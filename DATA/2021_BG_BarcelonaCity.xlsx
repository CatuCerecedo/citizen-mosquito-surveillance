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is\Documents\ISIS_BACKUP\Mosquito Alert\Trap Data Collection &amp; Harmonization\BarcelonaCity\"/>
    </mc:Choice>
  </mc:AlternateContent>
  <xr:revisionPtr revIDLastSave="0" documentId="13_ncr:1_{FBBCC9D5-F4D0-4962-BA30-7B6A10B94524}" xr6:coauthVersionLast="47" xr6:coauthVersionMax="47" xr10:uidLastSave="{00000000-0000-0000-0000-000000000000}"/>
  <bookViews>
    <workbookView xWindow="-120" yWindow="-120" windowWidth="24240" windowHeight="13140" xr2:uid="{1417299E-3EB3-411B-AB9C-5428BE5C411F}"/>
  </bookViews>
  <sheets>
    <sheet name="2021_BG_BarcelonaCity" sheetId="1" r:id="rId1"/>
  </sheets>
  <definedNames>
    <definedName name="_xlnm._FilterDatabase" localSheetId="0" hidden="1">'2021_BG_BarcelonaCity'!$A$4:$AG$1145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45" i="1" l="1"/>
  <c r="AE1145" i="1" s="1"/>
  <c r="X1145" i="1"/>
  <c r="O1145" i="1"/>
  <c r="K1145" i="1" a="1"/>
  <c r="K1145" i="1" s="1"/>
  <c r="J1145" i="1" a="1"/>
  <c r="J1145" i="1" s="1"/>
  <c r="I1145" i="1" a="1"/>
  <c r="I1145" i="1" s="1"/>
  <c r="H1145" i="1" a="1"/>
  <c r="H1145" i="1" s="1"/>
  <c r="F1145" i="1" a="1"/>
  <c r="F1145" i="1" s="1"/>
  <c r="AA1144" i="1"/>
  <c r="X1144" i="1"/>
  <c r="O1144" i="1"/>
  <c r="K1144" i="1" a="1"/>
  <c r="K1144" i="1" s="1"/>
  <c r="J1144" i="1" a="1"/>
  <c r="J1144" i="1" s="1"/>
  <c r="I1144" i="1" a="1"/>
  <c r="I1144" i="1" s="1"/>
  <c r="H1144" i="1" a="1"/>
  <c r="H1144" i="1" s="1"/>
  <c r="F1144" i="1" a="1"/>
  <c r="F1144" i="1" s="1"/>
  <c r="AA1143" i="1"/>
  <c r="AE1143" i="1" s="1"/>
  <c r="X1143" i="1"/>
  <c r="O1143" i="1"/>
  <c r="J1143" i="1" a="1"/>
  <c r="J1143" i="1" s="1"/>
  <c r="I1143" i="1" a="1"/>
  <c r="I1143" i="1" s="1"/>
  <c r="H1143" i="1" a="1"/>
  <c r="H1143" i="1" s="1"/>
  <c r="F1143" i="1"/>
  <c r="F1143" i="1" a="1"/>
  <c r="AA1142" i="1"/>
  <c r="X1142" i="1"/>
  <c r="O1142" i="1"/>
  <c r="K1142" i="1" a="1"/>
  <c r="K1142" i="1" s="1"/>
  <c r="I1142" i="1" a="1"/>
  <c r="I1142" i="1" s="1"/>
  <c r="H1142" i="1"/>
  <c r="H1142" i="1" a="1"/>
  <c r="F1142" i="1" a="1"/>
  <c r="F1142" i="1" s="1"/>
  <c r="AA1141" i="1"/>
  <c r="AE1141" i="1" s="1"/>
  <c r="X1141" i="1"/>
  <c r="O1141" i="1"/>
  <c r="K1141" i="1" a="1"/>
  <c r="K1141" i="1" s="1"/>
  <c r="J1141" i="1" a="1"/>
  <c r="J1141" i="1" s="1"/>
  <c r="I1141" i="1" a="1"/>
  <c r="I1141" i="1" s="1"/>
  <c r="H1141" i="1" a="1"/>
  <c r="H1141" i="1" s="1"/>
  <c r="F1141" i="1" a="1"/>
  <c r="F1141" i="1" s="1"/>
  <c r="AA1140" i="1"/>
  <c r="AE1140" i="1" s="1"/>
  <c r="X1140" i="1"/>
  <c r="O1140" i="1"/>
  <c r="K1140" i="1" a="1"/>
  <c r="K1140" i="1" s="1"/>
  <c r="I1140" i="1" a="1"/>
  <c r="I1140" i="1" s="1"/>
  <c r="H1140" i="1" a="1"/>
  <c r="H1140" i="1" s="1"/>
  <c r="F1140" i="1" a="1"/>
  <c r="F1140" i="1" s="1"/>
  <c r="AA1139" i="1"/>
  <c r="X1139" i="1"/>
  <c r="O1139" i="1"/>
  <c r="K1139" i="1" a="1"/>
  <c r="K1139" i="1" s="1"/>
  <c r="J1139" i="1" a="1"/>
  <c r="J1139" i="1" s="1"/>
  <c r="I1139" i="1"/>
  <c r="I1139" i="1" a="1"/>
  <c r="H1139" i="1" a="1"/>
  <c r="H1139" i="1" s="1"/>
  <c r="F1139" i="1"/>
  <c r="F1139" i="1" a="1"/>
  <c r="AA1138" i="1"/>
  <c r="X1138" i="1"/>
  <c r="O1138" i="1"/>
  <c r="K1138" i="1" a="1"/>
  <c r="K1138" i="1" s="1"/>
  <c r="J1138" i="1" a="1"/>
  <c r="J1138" i="1" s="1"/>
  <c r="I1138" i="1" a="1"/>
  <c r="I1138" i="1" s="1"/>
  <c r="H1138" i="1"/>
  <c r="H1138" i="1" a="1"/>
  <c r="F1138" i="1" a="1"/>
  <c r="F1138" i="1" s="1"/>
  <c r="AA1137" i="1"/>
  <c r="AE1137" i="1" s="1"/>
  <c r="X1137" i="1"/>
  <c r="O1137" i="1"/>
  <c r="K1137" i="1" a="1"/>
  <c r="K1137" i="1" s="1"/>
  <c r="J1137" i="1" a="1"/>
  <c r="J1137" i="1" s="1"/>
  <c r="I1137" i="1" a="1"/>
  <c r="I1137" i="1" s="1"/>
  <c r="H1137" i="1" a="1"/>
  <c r="H1137" i="1" s="1"/>
  <c r="F1137" i="1" a="1"/>
  <c r="F1137" i="1" s="1"/>
  <c r="AA1136" i="1"/>
  <c r="X1136" i="1"/>
  <c r="O1136" i="1"/>
  <c r="K1136" i="1" a="1"/>
  <c r="K1136" i="1" s="1"/>
  <c r="J1136" i="1" a="1"/>
  <c r="J1136" i="1" s="1"/>
  <c r="I1136" i="1" a="1"/>
  <c r="I1136" i="1" s="1"/>
  <c r="H1136" i="1" a="1"/>
  <c r="H1136" i="1" s="1"/>
  <c r="F1136" i="1" a="1"/>
  <c r="F1136" i="1" s="1"/>
  <c r="AB1135" i="1"/>
  <c r="AA1135" i="1"/>
  <c r="AE1135" i="1" s="1"/>
  <c r="X1135" i="1"/>
  <c r="O1135" i="1"/>
  <c r="K1135" i="1"/>
  <c r="K1135" i="1" a="1"/>
  <c r="J1135" i="1" a="1"/>
  <c r="J1135" i="1" s="1"/>
  <c r="I1135" i="1" a="1"/>
  <c r="I1135" i="1" s="1"/>
  <c r="H1135" i="1" a="1"/>
  <c r="H1135" i="1" s="1"/>
  <c r="F1135" i="1" a="1"/>
  <c r="F1135" i="1" s="1"/>
  <c r="AA1134" i="1"/>
  <c r="X1134" i="1"/>
  <c r="O1134" i="1"/>
  <c r="K1134" i="1" a="1"/>
  <c r="K1134" i="1" s="1"/>
  <c r="J1134" i="1" a="1"/>
  <c r="J1134" i="1" s="1"/>
  <c r="I1134" i="1" a="1"/>
  <c r="I1134" i="1" s="1"/>
  <c r="H1134" i="1" a="1"/>
  <c r="H1134" i="1" s="1"/>
  <c r="F1134" i="1" a="1"/>
  <c r="F1134" i="1" s="1"/>
  <c r="AA1133" i="1"/>
  <c r="AE1133" i="1" s="1"/>
  <c r="X1133" i="1"/>
  <c r="O1133" i="1"/>
  <c r="K1133" i="1" a="1"/>
  <c r="K1133" i="1" s="1"/>
  <c r="J1133" i="1" a="1"/>
  <c r="J1133" i="1" s="1"/>
  <c r="I1133" i="1" a="1"/>
  <c r="I1133" i="1" s="1"/>
  <c r="H1133" i="1" a="1"/>
  <c r="H1133" i="1" s="1"/>
  <c r="F1133" i="1" a="1"/>
  <c r="F1133" i="1" s="1"/>
  <c r="AE1132" i="1"/>
  <c r="AA1132" i="1"/>
  <c r="AB1132" i="1" s="1"/>
  <c r="X1132" i="1"/>
  <c r="O1132" i="1"/>
  <c r="K1132" i="1" a="1"/>
  <c r="K1132" i="1" s="1"/>
  <c r="J1132" i="1" a="1"/>
  <c r="J1132" i="1" s="1"/>
  <c r="I1132" i="1" a="1"/>
  <c r="I1132" i="1" s="1"/>
  <c r="H1132" i="1" a="1"/>
  <c r="H1132" i="1" s="1"/>
  <c r="F1132" i="1" a="1"/>
  <c r="F1132" i="1" s="1"/>
  <c r="AB1131" i="1"/>
  <c r="AA1131" i="1"/>
  <c r="AE1131" i="1" s="1"/>
  <c r="X1131" i="1"/>
  <c r="O1131" i="1"/>
  <c r="K1131" i="1"/>
  <c r="K1131" i="1" a="1"/>
  <c r="J1131" i="1" a="1"/>
  <c r="J1131" i="1" s="1"/>
  <c r="I1131" i="1" a="1"/>
  <c r="I1131" i="1" s="1"/>
  <c r="H1131" i="1" a="1"/>
  <c r="H1131" i="1" s="1"/>
  <c r="F1131" i="1" a="1"/>
  <c r="F1131" i="1" s="1"/>
  <c r="AA1130" i="1"/>
  <c r="X1130" i="1"/>
  <c r="O1130" i="1"/>
  <c r="K1130" i="1" a="1"/>
  <c r="K1130" i="1" s="1"/>
  <c r="J1130" i="1" a="1"/>
  <c r="J1130" i="1" s="1"/>
  <c r="I1130" i="1" a="1"/>
  <c r="I1130" i="1" s="1"/>
  <c r="H1130" i="1" a="1"/>
  <c r="H1130" i="1" s="1"/>
  <c r="F1130" i="1" a="1"/>
  <c r="F1130" i="1" s="1"/>
  <c r="AA1129" i="1"/>
  <c r="AE1129" i="1" s="1"/>
  <c r="X1129" i="1"/>
  <c r="O1129" i="1"/>
  <c r="K1129" i="1" a="1"/>
  <c r="K1129" i="1" s="1"/>
  <c r="J1129" i="1" a="1"/>
  <c r="J1129" i="1" s="1"/>
  <c r="I1129" i="1" a="1"/>
  <c r="I1129" i="1" s="1"/>
  <c r="H1129" i="1" a="1"/>
  <c r="H1129" i="1" s="1"/>
  <c r="F1129" i="1" a="1"/>
  <c r="F1129" i="1" s="1"/>
  <c r="AE1128" i="1"/>
  <c r="AA1128" i="1"/>
  <c r="AB1128" i="1" s="1"/>
  <c r="X1128" i="1"/>
  <c r="O1128" i="1"/>
  <c r="K1128" i="1" a="1"/>
  <c r="K1128" i="1" s="1"/>
  <c r="J1128" i="1" a="1"/>
  <c r="J1128" i="1" s="1"/>
  <c r="I1128" i="1" a="1"/>
  <c r="I1128" i="1" s="1"/>
  <c r="H1128" i="1" a="1"/>
  <c r="H1128" i="1" s="1"/>
  <c r="F1128" i="1" a="1"/>
  <c r="F1128" i="1" s="1"/>
  <c r="AB1127" i="1"/>
  <c r="AA1127" i="1"/>
  <c r="AE1127" i="1" s="1"/>
  <c r="X1127" i="1"/>
  <c r="O1127" i="1"/>
  <c r="K1127" i="1"/>
  <c r="K1127" i="1" a="1"/>
  <c r="J1127" i="1" a="1"/>
  <c r="J1127" i="1" s="1"/>
  <c r="I1127" i="1" a="1"/>
  <c r="I1127" i="1" s="1"/>
  <c r="H1127" i="1" a="1"/>
  <c r="H1127" i="1" s="1"/>
  <c r="F1127" i="1"/>
  <c r="F1127" i="1" a="1"/>
  <c r="AA1126" i="1"/>
  <c r="X1126" i="1"/>
  <c r="O1126" i="1"/>
  <c r="K1126" i="1" a="1"/>
  <c r="K1126" i="1" s="1"/>
  <c r="J1126" i="1" a="1"/>
  <c r="J1126" i="1" s="1"/>
  <c r="I1126" i="1" a="1"/>
  <c r="I1126" i="1" s="1"/>
  <c r="H1126" i="1" a="1"/>
  <c r="H1126" i="1" s="1"/>
  <c r="F1126" i="1" a="1"/>
  <c r="F1126" i="1" s="1"/>
  <c r="AA1125" i="1"/>
  <c r="AE1125" i="1" s="1"/>
  <c r="X1125" i="1"/>
  <c r="O1125" i="1"/>
  <c r="K1125" i="1" a="1"/>
  <c r="K1125" i="1" s="1"/>
  <c r="J1125" i="1" a="1"/>
  <c r="J1125" i="1" s="1"/>
  <c r="I1125" i="1" a="1"/>
  <c r="I1125" i="1" s="1"/>
  <c r="H1125" i="1" a="1"/>
  <c r="H1125" i="1" s="1"/>
  <c r="F1125" i="1" a="1"/>
  <c r="F1125" i="1" s="1"/>
  <c r="AA1124" i="1"/>
  <c r="AE1124" i="1" s="1"/>
  <c r="X1124" i="1"/>
  <c r="O1124" i="1"/>
  <c r="K1124" i="1" a="1"/>
  <c r="K1124" i="1" s="1"/>
  <c r="J1124" i="1" a="1"/>
  <c r="J1124" i="1" s="1"/>
  <c r="I1124" i="1" a="1"/>
  <c r="I1124" i="1" s="1"/>
  <c r="H1124" i="1" a="1"/>
  <c r="H1124" i="1" s="1"/>
  <c r="F1124" i="1" a="1"/>
  <c r="F1124" i="1" s="1"/>
  <c r="AA1123" i="1"/>
  <c r="AE1123" i="1" s="1"/>
  <c r="X1123" i="1"/>
  <c r="O1123" i="1"/>
  <c r="K1123" i="1" a="1"/>
  <c r="K1123" i="1" s="1"/>
  <c r="J1123" i="1" a="1"/>
  <c r="J1123" i="1" s="1"/>
  <c r="I1123" i="1" a="1"/>
  <c r="I1123" i="1" s="1"/>
  <c r="H1123" i="1" a="1"/>
  <c r="H1123" i="1" s="1"/>
  <c r="F1123" i="1" a="1"/>
  <c r="F1123" i="1" s="1"/>
  <c r="AE1122" i="1"/>
  <c r="AA1122" i="1"/>
  <c r="AB1122" i="1" s="1"/>
  <c r="X1122" i="1"/>
  <c r="O1122" i="1"/>
  <c r="K1122" i="1" a="1"/>
  <c r="K1122" i="1" s="1"/>
  <c r="J1122" i="1" a="1"/>
  <c r="J1122" i="1" s="1"/>
  <c r="I1122" i="1"/>
  <c r="I1122" i="1" a="1"/>
  <c r="H1122" i="1" a="1"/>
  <c r="H1122" i="1" s="1"/>
  <c r="F1122" i="1" a="1"/>
  <c r="F1122" i="1" s="1"/>
  <c r="AA1121" i="1"/>
  <c r="X1121" i="1"/>
  <c r="O1121" i="1"/>
  <c r="K1121" i="1" a="1"/>
  <c r="K1121" i="1" s="1"/>
  <c r="J1121" i="1" a="1"/>
  <c r="J1121" i="1" s="1"/>
  <c r="I1121" i="1" a="1"/>
  <c r="I1121" i="1" s="1"/>
  <c r="H1121" i="1" a="1"/>
  <c r="H1121" i="1" s="1"/>
  <c r="F1121" i="1" a="1"/>
  <c r="F1121" i="1" s="1"/>
  <c r="AA1120" i="1"/>
  <c r="AE1120" i="1" s="1"/>
  <c r="X1120" i="1"/>
  <c r="O1120" i="1"/>
  <c r="J1120" i="1"/>
  <c r="J1120" i="1" a="1"/>
  <c r="I1120" i="1" a="1"/>
  <c r="I1120" i="1" s="1"/>
  <c r="H1120" i="1" a="1"/>
  <c r="H1120" i="1" s="1"/>
  <c r="F1120" i="1" a="1"/>
  <c r="F1120" i="1" s="1"/>
  <c r="AE1119" i="1"/>
  <c r="AA1119" i="1"/>
  <c r="AB1119" i="1" s="1"/>
  <c r="X1119" i="1"/>
  <c r="O1119" i="1"/>
  <c r="K1119" i="1" a="1"/>
  <c r="K1119" i="1" s="1"/>
  <c r="I1119" i="1" a="1"/>
  <c r="I1119" i="1" s="1"/>
  <c r="H1119" i="1" a="1"/>
  <c r="H1119" i="1" s="1"/>
  <c r="F1119" i="1" a="1"/>
  <c r="F1119" i="1" s="1"/>
  <c r="AE1118" i="1"/>
  <c r="AB1118" i="1"/>
  <c r="X1118" i="1"/>
  <c r="O1118" i="1"/>
  <c r="K1118" i="1"/>
  <c r="K1118" i="1" a="1"/>
  <c r="J1118" i="1" a="1"/>
  <c r="J1118" i="1" s="1"/>
  <c r="I1118" i="1" a="1"/>
  <c r="I1118" i="1" s="1"/>
  <c r="H1118" i="1" a="1"/>
  <c r="H1118" i="1" s="1"/>
  <c r="F1118" i="1" a="1"/>
  <c r="F1118" i="1" s="1"/>
  <c r="AA1117" i="1"/>
  <c r="X1117" i="1"/>
  <c r="O1117" i="1"/>
  <c r="K1117" i="1" a="1"/>
  <c r="K1117" i="1" s="1"/>
  <c r="I1117" i="1" a="1"/>
  <c r="I1117" i="1" s="1"/>
  <c r="H1117" i="1"/>
  <c r="H1117" i="1" a="1"/>
  <c r="F1117" i="1" a="1"/>
  <c r="F1117" i="1" s="1"/>
  <c r="AA1116" i="1"/>
  <c r="AB1116" i="1" s="1"/>
  <c r="X1116" i="1"/>
  <c r="O1116" i="1"/>
  <c r="K1116" i="1" a="1"/>
  <c r="K1116" i="1" s="1"/>
  <c r="J1116" i="1" a="1"/>
  <c r="J1116" i="1" s="1"/>
  <c r="I1116" i="1" a="1"/>
  <c r="I1116" i="1" s="1"/>
  <c r="H1116" i="1"/>
  <c r="H1116" i="1" a="1"/>
  <c r="F1116" i="1" a="1"/>
  <c r="F1116" i="1" s="1"/>
  <c r="AB1115" i="1"/>
  <c r="AA1115" i="1"/>
  <c r="AE1115" i="1" s="1"/>
  <c r="X1115" i="1"/>
  <c r="O1115" i="1"/>
  <c r="K1115" i="1"/>
  <c r="K1115" i="1" a="1"/>
  <c r="J1115" i="1" a="1"/>
  <c r="J1115" i="1" s="1"/>
  <c r="I1115" i="1" a="1"/>
  <c r="I1115" i="1" s="1"/>
  <c r="H1115" i="1" a="1"/>
  <c r="H1115" i="1" s="1"/>
  <c r="F1115" i="1" a="1"/>
  <c r="F1115" i="1" s="1"/>
  <c r="AA1114" i="1"/>
  <c r="AE1114" i="1" s="1"/>
  <c r="X1114" i="1"/>
  <c r="O1114" i="1"/>
  <c r="K1114" i="1" a="1"/>
  <c r="K1114" i="1" s="1"/>
  <c r="J1114" i="1" a="1"/>
  <c r="J1114" i="1" s="1"/>
  <c r="I1114" i="1" a="1"/>
  <c r="I1114" i="1" s="1"/>
  <c r="H1114" i="1" a="1"/>
  <c r="H1114" i="1" s="1"/>
  <c r="F1114" i="1" a="1"/>
  <c r="F1114" i="1" s="1"/>
  <c r="AA1113" i="1"/>
  <c r="X1113" i="1"/>
  <c r="O1113" i="1"/>
  <c r="K1113" i="1" a="1"/>
  <c r="K1113" i="1" s="1"/>
  <c r="J1113" i="1" a="1"/>
  <c r="J1113" i="1" s="1"/>
  <c r="I1113" i="1" a="1"/>
  <c r="I1113" i="1" s="1"/>
  <c r="H1113" i="1"/>
  <c r="H1113" i="1" a="1"/>
  <c r="F1113" i="1" a="1"/>
  <c r="F1113" i="1" s="1"/>
  <c r="AA1112" i="1"/>
  <c r="X1112" i="1"/>
  <c r="O1112" i="1"/>
  <c r="K1112" i="1" a="1"/>
  <c r="K1112" i="1" s="1"/>
  <c r="J1112" i="1"/>
  <c r="J1112" i="1" a="1"/>
  <c r="I1112" i="1" a="1"/>
  <c r="I1112" i="1" s="1"/>
  <c r="H1112" i="1" a="1"/>
  <c r="H1112" i="1" s="1"/>
  <c r="F1112" i="1" a="1"/>
  <c r="F1112" i="1" s="1"/>
  <c r="AA1111" i="1"/>
  <c r="AE1111" i="1" s="1"/>
  <c r="X1111" i="1"/>
  <c r="O1111" i="1"/>
  <c r="K1111" i="1" a="1"/>
  <c r="K1111" i="1" s="1"/>
  <c r="J1111" i="1" a="1"/>
  <c r="J1111" i="1" s="1"/>
  <c r="I1111" i="1" a="1"/>
  <c r="I1111" i="1" s="1"/>
  <c r="H1111" i="1" a="1"/>
  <c r="H1111" i="1" s="1"/>
  <c r="F1111" i="1"/>
  <c r="F1111" i="1" a="1"/>
  <c r="AA1110" i="1"/>
  <c r="AE1110" i="1" s="1"/>
  <c r="X1110" i="1"/>
  <c r="O1110" i="1"/>
  <c r="K1110" i="1" a="1"/>
  <c r="K1110" i="1" s="1"/>
  <c r="J1110" i="1" a="1"/>
  <c r="J1110" i="1" s="1"/>
  <c r="I1110" i="1" a="1"/>
  <c r="I1110" i="1" s="1"/>
  <c r="H1110" i="1" a="1"/>
  <c r="H1110" i="1" s="1"/>
  <c r="F1110" i="1" a="1"/>
  <c r="F1110" i="1" s="1"/>
  <c r="AA1109" i="1"/>
  <c r="X1109" i="1"/>
  <c r="O1109" i="1"/>
  <c r="K1109" i="1" a="1"/>
  <c r="K1109" i="1" s="1"/>
  <c r="J1109" i="1" a="1"/>
  <c r="J1109" i="1" s="1"/>
  <c r="I1109" i="1" a="1"/>
  <c r="I1109" i="1" s="1"/>
  <c r="H1109" i="1"/>
  <c r="H1109" i="1" a="1"/>
  <c r="F1109" i="1" a="1"/>
  <c r="F1109" i="1" s="1"/>
  <c r="AA1108" i="1"/>
  <c r="AB1108" i="1" s="1"/>
  <c r="X1108" i="1"/>
  <c r="O1108" i="1"/>
  <c r="K1108" i="1" a="1"/>
  <c r="K1108" i="1" s="1"/>
  <c r="J1108" i="1" a="1"/>
  <c r="J1108" i="1" s="1"/>
  <c r="I1108" i="1" a="1"/>
  <c r="I1108" i="1" s="1"/>
  <c r="H1108" i="1" a="1"/>
  <c r="H1108" i="1" s="1"/>
  <c r="F1108" i="1" a="1"/>
  <c r="F1108" i="1" s="1"/>
  <c r="AB1107" i="1"/>
  <c r="AA1107" i="1"/>
  <c r="AE1107" i="1" s="1"/>
  <c r="X1107" i="1"/>
  <c r="O1107" i="1"/>
  <c r="K1107" i="1"/>
  <c r="K1107" i="1" a="1"/>
  <c r="J1107" i="1" a="1"/>
  <c r="J1107" i="1" s="1"/>
  <c r="I1107" i="1" a="1"/>
  <c r="I1107" i="1" s="1"/>
  <c r="H1107" i="1" a="1"/>
  <c r="H1107" i="1" s="1"/>
  <c r="F1107" i="1" a="1"/>
  <c r="F1107" i="1" s="1"/>
  <c r="AA1106" i="1"/>
  <c r="AE1106" i="1" s="1"/>
  <c r="X1106" i="1"/>
  <c r="O1106" i="1"/>
  <c r="K1106" i="1" a="1"/>
  <c r="K1106" i="1" s="1"/>
  <c r="J1106" i="1" a="1"/>
  <c r="J1106" i="1" s="1"/>
  <c r="I1106" i="1" a="1"/>
  <c r="I1106" i="1" s="1"/>
  <c r="H1106" i="1" a="1"/>
  <c r="H1106" i="1" s="1"/>
  <c r="F1106" i="1" a="1"/>
  <c r="F1106" i="1" s="1"/>
  <c r="AE1105" i="1"/>
  <c r="AB1105" i="1"/>
  <c r="X1105" i="1"/>
  <c r="O1105" i="1"/>
  <c r="K1105" i="1" a="1"/>
  <c r="K1105" i="1" s="1"/>
  <c r="J1105" i="1" a="1"/>
  <c r="J1105" i="1" s="1"/>
  <c r="I1105" i="1" a="1"/>
  <c r="I1105" i="1" s="1"/>
  <c r="H1105" i="1" a="1"/>
  <c r="H1105" i="1" s="1"/>
  <c r="F1105" i="1" a="1"/>
  <c r="F1105" i="1" s="1"/>
  <c r="AB1104" i="1"/>
  <c r="AA1104" i="1"/>
  <c r="AE1104" i="1" s="1"/>
  <c r="X1104" i="1"/>
  <c r="O1104" i="1"/>
  <c r="K1104" i="1"/>
  <c r="K1104" i="1" a="1"/>
  <c r="J1104" i="1" a="1"/>
  <c r="J1104" i="1" s="1"/>
  <c r="I1104" i="1" a="1"/>
  <c r="I1104" i="1" s="1"/>
  <c r="H1104" i="1" a="1"/>
  <c r="H1104" i="1" s="1"/>
  <c r="F1104" i="1" a="1"/>
  <c r="F1104" i="1" s="1"/>
  <c r="AE1103" i="1"/>
  <c r="AB1103" i="1"/>
  <c r="X1103" i="1"/>
  <c r="O1103" i="1"/>
  <c r="K1103" i="1" a="1"/>
  <c r="K1103" i="1" s="1"/>
  <c r="J1103" i="1" a="1"/>
  <c r="J1103" i="1" s="1"/>
  <c r="I1103" i="1" a="1"/>
  <c r="I1103" i="1" s="1"/>
  <c r="H1103" i="1"/>
  <c r="H1103" i="1" a="1"/>
  <c r="F1103" i="1" a="1"/>
  <c r="F1103" i="1" s="1"/>
  <c r="AA1102" i="1"/>
  <c r="X1102" i="1"/>
  <c r="O1102" i="1"/>
  <c r="K1102" i="1" a="1"/>
  <c r="K1102" i="1" s="1"/>
  <c r="J1102" i="1" a="1"/>
  <c r="J1102" i="1" s="1"/>
  <c r="I1102" i="1" a="1"/>
  <c r="I1102" i="1" s="1"/>
  <c r="H1102" i="1" a="1"/>
  <c r="H1102" i="1" s="1"/>
  <c r="F1102" i="1" a="1"/>
  <c r="F1102" i="1" s="1"/>
  <c r="AA1101" i="1"/>
  <c r="AE1101" i="1" s="1"/>
  <c r="X1101" i="1"/>
  <c r="O1101" i="1"/>
  <c r="K1101" i="1" a="1"/>
  <c r="K1101" i="1" s="1"/>
  <c r="J1101" i="1"/>
  <c r="J1101" i="1" a="1"/>
  <c r="I1101" i="1" a="1"/>
  <c r="I1101" i="1" s="1"/>
  <c r="H1101" i="1" a="1"/>
  <c r="H1101" i="1" s="1"/>
  <c r="F1101" i="1" a="1"/>
  <c r="F1101" i="1" s="1"/>
  <c r="AA1100" i="1"/>
  <c r="AE1100" i="1" s="1"/>
  <c r="X1100" i="1"/>
  <c r="O1100" i="1"/>
  <c r="K1100" i="1" a="1"/>
  <c r="K1100" i="1" s="1"/>
  <c r="J1100" i="1" a="1"/>
  <c r="J1100" i="1" s="1"/>
  <c r="I1100" i="1" a="1"/>
  <c r="I1100" i="1" s="1"/>
  <c r="H1100" i="1" a="1"/>
  <c r="H1100" i="1" s="1"/>
  <c r="F1100" i="1" a="1"/>
  <c r="F1100" i="1" s="1"/>
  <c r="AE1099" i="1"/>
  <c r="X1099" i="1"/>
  <c r="O1099" i="1"/>
  <c r="K1099" i="1"/>
  <c r="K1099" i="1" a="1"/>
  <c r="J1099" i="1" a="1"/>
  <c r="J1099" i="1" s="1"/>
  <c r="I1099" i="1"/>
  <c r="I1099" i="1" a="1"/>
  <c r="H1099" i="1" a="1"/>
  <c r="H1099" i="1" s="1"/>
  <c r="F1099" i="1" a="1"/>
  <c r="F1099" i="1" s="1"/>
  <c r="AA1098" i="1"/>
  <c r="AB1098" i="1" s="1"/>
  <c r="X1098" i="1"/>
  <c r="O1098" i="1"/>
  <c r="K1098" i="1" a="1"/>
  <c r="K1098" i="1" s="1"/>
  <c r="J1098" i="1" a="1"/>
  <c r="J1098" i="1" s="1"/>
  <c r="I1098" i="1" a="1"/>
  <c r="I1098" i="1" s="1"/>
  <c r="H1098" i="1" a="1"/>
  <c r="H1098" i="1" s="1"/>
  <c r="F1098" i="1" a="1"/>
  <c r="F1098" i="1" s="1"/>
  <c r="AA1097" i="1"/>
  <c r="AE1097" i="1" s="1"/>
  <c r="X1097" i="1"/>
  <c r="O1097" i="1"/>
  <c r="K1097" i="1" a="1"/>
  <c r="K1097" i="1" s="1"/>
  <c r="J1097" i="1" a="1"/>
  <c r="J1097" i="1" s="1"/>
  <c r="I1097" i="1" a="1"/>
  <c r="I1097" i="1" s="1"/>
  <c r="H1097" i="1" a="1"/>
  <c r="H1097" i="1" s="1"/>
  <c r="F1097" i="1" a="1"/>
  <c r="F1097" i="1" s="1"/>
  <c r="AA1096" i="1"/>
  <c r="AB1096" i="1" s="1"/>
  <c r="X1096" i="1"/>
  <c r="O1096" i="1"/>
  <c r="K1096" i="1" a="1"/>
  <c r="K1096" i="1" s="1"/>
  <c r="J1096" i="1" a="1"/>
  <c r="J1096" i="1" s="1"/>
  <c r="I1096" i="1" a="1"/>
  <c r="I1096" i="1" s="1"/>
  <c r="H1096" i="1" a="1"/>
  <c r="H1096" i="1" s="1"/>
  <c r="F1096" i="1" a="1"/>
  <c r="F1096" i="1" s="1"/>
  <c r="AB1095" i="1"/>
  <c r="AA1095" i="1"/>
  <c r="AE1095" i="1" s="1"/>
  <c r="X1095" i="1"/>
  <c r="O1095" i="1"/>
  <c r="K1095" i="1"/>
  <c r="K1095" i="1" a="1"/>
  <c r="J1095" i="1" a="1"/>
  <c r="J1095" i="1" s="1"/>
  <c r="I1095" i="1" a="1"/>
  <c r="I1095" i="1" s="1"/>
  <c r="H1095" i="1" a="1"/>
  <c r="H1095" i="1" s="1"/>
  <c r="F1095" i="1" a="1"/>
  <c r="F1095" i="1" s="1"/>
  <c r="AA1094" i="1"/>
  <c r="AE1094" i="1" s="1"/>
  <c r="X1094" i="1"/>
  <c r="O1094" i="1"/>
  <c r="J1094" i="1" a="1"/>
  <c r="J1094" i="1" s="1"/>
  <c r="I1094" i="1" a="1"/>
  <c r="I1094" i="1" s="1"/>
  <c r="H1094" i="1" a="1"/>
  <c r="H1094" i="1" s="1"/>
  <c r="F1094" i="1" a="1"/>
  <c r="F1094" i="1" s="1"/>
  <c r="AA1093" i="1"/>
  <c r="AE1093" i="1" s="1"/>
  <c r="X1093" i="1"/>
  <c r="O1093" i="1"/>
  <c r="K1093" i="1" a="1"/>
  <c r="K1093" i="1" s="1"/>
  <c r="I1093" i="1" a="1"/>
  <c r="I1093" i="1" s="1"/>
  <c r="H1093" i="1"/>
  <c r="H1093" i="1" a="1"/>
  <c r="F1093" i="1" a="1"/>
  <c r="F1093" i="1" s="1"/>
  <c r="AA1092" i="1"/>
  <c r="AB1092" i="1" s="1"/>
  <c r="X1092" i="1"/>
  <c r="O1092" i="1"/>
  <c r="K1092" i="1" a="1"/>
  <c r="K1092" i="1" s="1"/>
  <c r="I1092" i="1" a="1"/>
  <c r="I1092" i="1" s="1"/>
  <c r="H1092" i="1" a="1"/>
  <c r="H1092" i="1" s="1"/>
  <c r="F1092" i="1" a="1"/>
  <c r="F1092" i="1" s="1"/>
  <c r="AA1091" i="1"/>
  <c r="X1091" i="1"/>
  <c r="O1091" i="1"/>
  <c r="K1091" i="1" a="1"/>
  <c r="K1091" i="1" s="1"/>
  <c r="I1091" i="1" a="1"/>
  <c r="I1091" i="1" s="1"/>
  <c r="H1091" i="1" a="1"/>
  <c r="H1091" i="1" s="1"/>
  <c r="F1091" i="1" a="1"/>
  <c r="F1091" i="1" s="1"/>
  <c r="AA1090" i="1"/>
  <c r="X1090" i="1"/>
  <c r="O1090" i="1"/>
  <c r="K1090" i="1" a="1"/>
  <c r="K1090" i="1" s="1"/>
  <c r="J1090" i="1" a="1"/>
  <c r="J1090" i="1" s="1"/>
  <c r="I1090" i="1" a="1"/>
  <c r="I1090" i="1" s="1"/>
  <c r="H1090" i="1" a="1"/>
  <c r="H1090" i="1" s="1"/>
  <c r="F1090" i="1" a="1"/>
  <c r="F1090" i="1" s="1"/>
  <c r="AA1089" i="1"/>
  <c r="X1089" i="1"/>
  <c r="O1089" i="1"/>
  <c r="K1089" i="1" a="1"/>
  <c r="K1089" i="1" s="1"/>
  <c r="I1089" i="1" a="1"/>
  <c r="I1089" i="1" s="1"/>
  <c r="H1089" i="1"/>
  <c r="H1089" i="1" a="1"/>
  <c r="F1089" i="1" a="1"/>
  <c r="F1089" i="1" s="1"/>
  <c r="AA1088" i="1"/>
  <c r="AE1088" i="1" s="1"/>
  <c r="X1088" i="1"/>
  <c r="O1088" i="1"/>
  <c r="K1088" i="1" a="1"/>
  <c r="K1088" i="1" s="1"/>
  <c r="J1088" i="1" a="1"/>
  <c r="J1088" i="1" s="1"/>
  <c r="I1088" i="1" a="1"/>
  <c r="I1088" i="1" s="1"/>
  <c r="H1088" i="1" a="1"/>
  <c r="H1088" i="1" s="1"/>
  <c r="F1088" i="1" a="1"/>
  <c r="F1088" i="1" s="1"/>
  <c r="AE1087" i="1"/>
  <c r="AA1087" i="1"/>
  <c r="AB1087" i="1" s="1"/>
  <c r="X1087" i="1"/>
  <c r="O1087" i="1"/>
  <c r="K1087" i="1" a="1"/>
  <c r="K1087" i="1" s="1"/>
  <c r="J1087" i="1" a="1"/>
  <c r="J1087" i="1" s="1"/>
  <c r="I1087" i="1" a="1"/>
  <c r="I1087" i="1" s="1"/>
  <c r="H1087" i="1" a="1"/>
  <c r="H1087" i="1" s="1"/>
  <c r="F1087" i="1" a="1"/>
  <c r="F1087" i="1" s="1"/>
  <c r="AA1086" i="1"/>
  <c r="X1086" i="1"/>
  <c r="O1086" i="1"/>
  <c r="K1086" i="1" a="1"/>
  <c r="K1086" i="1" s="1"/>
  <c r="J1086" i="1" a="1"/>
  <c r="J1086" i="1" s="1"/>
  <c r="I1086" i="1" a="1"/>
  <c r="I1086" i="1" s="1"/>
  <c r="H1086" i="1" a="1"/>
  <c r="H1086" i="1" s="1"/>
  <c r="F1086" i="1" a="1"/>
  <c r="F1086" i="1" s="1"/>
  <c r="AB1085" i="1"/>
  <c r="AA1085" i="1"/>
  <c r="AE1085" i="1" s="1"/>
  <c r="X1085" i="1"/>
  <c r="O1085" i="1"/>
  <c r="K1085" i="1"/>
  <c r="K1085" i="1" a="1"/>
  <c r="J1085" i="1" a="1"/>
  <c r="J1085" i="1" s="1"/>
  <c r="I1085" i="1"/>
  <c r="I1085" i="1" a="1"/>
  <c r="H1085" i="1" a="1"/>
  <c r="H1085" i="1" s="1"/>
  <c r="F1085" i="1"/>
  <c r="F1085" i="1" a="1"/>
  <c r="AA1084" i="1"/>
  <c r="AE1084" i="1" s="1"/>
  <c r="X1084" i="1"/>
  <c r="O1084" i="1"/>
  <c r="K1084" i="1" a="1"/>
  <c r="K1084" i="1" s="1"/>
  <c r="J1084" i="1" a="1"/>
  <c r="J1084" i="1" s="1"/>
  <c r="I1084" i="1" a="1"/>
  <c r="I1084" i="1" s="1"/>
  <c r="H1084" i="1" a="1"/>
  <c r="H1084" i="1" s="1"/>
  <c r="F1084" i="1" a="1"/>
  <c r="F1084" i="1" s="1"/>
  <c r="AA1083" i="1"/>
  <c r="X1083" i="1"/>
  <c r="O1083" i="1"/>
  <c r="K1083" i="1" a="1"/>
  <c r="K1083" i="1" s="1"/>
  <c r="J1083" i="1" a="1"/>
  <c r="J1083" i="1" s="1"/>
  <c r="I1083" i="1" a="1"/>
  <c r="I1083" i="1" s="1"/>
  <c r="H1083" i="1" a="1"/>
  <c r="H1083" i="1" s="1"/>
  <c r="F1083" i="1" a="1"/>
  <c r="F1083" i="1" s="1"/>
  <c r="AA1082" i="1"/>
  <c r="AB1082" i="1" s="1"/>
  <c r="X1082" i="1"/>
  <c r="O1082" i="1"/>
  <c r="K1082" i="1" a="1"/>
  <c r="K1082" i="1" s="1"/>
  <c r="J1082" i="1" a="1"/>
  <c r="J1082" i="1" s="1"/>
  <c r="I1082" i="1" a="1"/>
  <c r="I1082" i="1" s="1"/>
  <c r="H1082" i="1" a="1"/>
  <c r="H1082" i="1" s="1"/>
  <c r="F1082" i="1" a="1"/>
  <c r="F1082" i="1" s="1"/>
  <c r="AA1081" i="1"/>
  <c r="AE1081" i="1" s="1"/>
  <c r="X1081" i="1"/>
  <c r="O1081" i="1"/>
  <c r="K1081" i="1" a="1"/>
  <c r="K1081" i="1" s="1"/>
  <c r="J1081" i="1"/>
  <c r="J1081" i="1" a="1"/>
  <c r="I1081" i="1" a="1"/>
  <c r="I1081" i="1" s="1"/>
  <c r="H1081" i="1"/>
  <c r="H1081" i="1" a="1"/>
  <c r="F1081" i="1" a="1"/>
  <c r="F1081" i="1" s="1"/>
  <c r="AA1080" i="1"/>
  <c r="AE1080" i="1" s="1"/>
  <c r="X1080" i="1"/>
  <c r="O1080" i="1"/>
  <c r="K1080" i="1" a="1"/>
  <c r="K1080" i="1" s="1"/>
  <c r="J1080" i="1" a="1"/>
  <c r="J1080" i="1" s="1"/>
  <c r="I1080" i="1" a="1"/>
  <c r="I1080" i="1" s="1"/>
  <c r="H1080" i="1" a="1"/>
  <c r="H1080" i="1" s="1"/>
  <c r="F1080" i="1" a="1"/>
  <c r="F1080" i="1" s="1"/>
  <c r="AA1079" i="1"/>
  <c r="AE1079" i="1" s="1"/>
  <c r="X1079" i="1"/>
  <c r="O1079" i="1"/>
  <c r="K1079" i="1" a="1"/>
  <c r="K1079" i="1" s="1"/>
  <c r="J1079" i="1" a="1"/>
  <c r="J1079" i="1" s="1"/>
  <c r="I1079" i="1" a="1"/>
  <c r="I1079" i="1" s="1"/>
  <c r="H1079" i="1" a="1"/>
  <c r="H1079" i="1" s="1"/>
  <c r="F1079" i="1" a="1"/>
  <c r="F1079" i="1" s="1"/>
  <c r="AB1078" i="1"/>
  <c r="AA1078" i="1"/>
  <c r="AE1078" i="1" s="1"/>
  <c r="X1078" i="1"/>
  <c r="O1078" i="1"/>
  <c r="K1078" i="1"/>
  <c r="K1078" i="1" a="1"/>
  <c r="J1078" i="1" a="1"/>
  <c r="J1078" i="1" s="1"/>
  <c r="I1078" i="1" a="1"/>
  <c r="I1078" i="1" s="1"/>
  <c r="H1078" i="1" a="1"/>
  <c r="H1078" i="1" s="1"/>
  <c r="F1078" i="1"/>
  <c r="F1078" i="1" a="1"/>
  <c r="AA1077" i="1"/>
  <c r="AE1077" i="1" s="1"/>
  <c r="X1077" i="1"/>
  <c r="O1077" i="1"/>
  <c r="K1077" i="1" a="1"/>
  <c r="K1077" i="1" s="1"/>
  <c r="J1077" i="1" a="1"/>
  <c r="J1077" i="1" s="1"/>
  <c r="I1077" i="1" a="1"/>
  <c r="I1077" i="1" s="1"/>
  <c r="H1077" i="1" a="1"/>
  <c r="H1077" i="1" s="1"/>
  <c r="F1077" i="1" a="1"/>
  <c r="F1077" i="1" s="1"/>
  <c r="AA1076" i="1"/>
  <c r="AE1076" i="1" s="1"/>
  <c r="X1076" i="1"/>
  <c r="O1076" i="1"/>
  <c r="K1076" i="1" a="1"/>
  <c r="K1076" i="1" s="1"/>
  <c r="J1076" i="1"/>
  <c r="J1076" i="1" a="1"/>
  <c r="I1076" i="1" a="1"/>
  <c r="I1076" i="1" s="1"/>
  <c r="H1076" i="1" a="1"/>
  <c r="H1076" i="1" s="1"/>
  <c r="F1076" i="1" a="1"/>
  <c r="F1076" i="1" s="1"/>
  <c r="AE1075" i="1"/>
  <c r="AA1075" i="1"/>
  <c r="AB1075" i="1" s="1"/>
  <c r="X1075" i="1"/>
  <c r="O1075" i="1"/>
  <c r="K1075" i="1" a="1"/>
  <c r="K1075" i="1" s="1"/>
  <c r="J1075" i="1" a="1"/>
  <c r="J1075" i="1" s="1"/>
  <c r="I1075" i="1" a="1"/>
  <c r="I1075" i="1" s="1"/>
  <c r="H1075" i="1" a="1"/>
  <c r="H1075" i="1" s="1"/>
  <c r="F1075" i="1" a="1"/>
  <c r="F1075" i="1" s="1"/>
  <c r="AA1074" i="1"/>
  <c r="X1074" i="1"/>
  <c r="O1074" i="1"/>
  <c r="K1074" i="1" a="1"/>
  <c r="K1074" i="1" s="1"/>
  <c r="J1074" i="1" a="1"/>
  <c r="J1074" i="1" s="1"/>
  <c r="I1074" i="1" a="1"/>
  <c r="I1074" i="1" s="1"/>
  <c r="H1074" i="1" a="1"/>
  <c r="H1074" i="1" s="1"/>
  <c r="F1074" i="1" a="1"/>
  <c r="F1074" i="1" s="1"/>
  <c r="AA1073" i="1"/>
  <c r="AE1073" i="1" s="1"/>
  <c r="X1073" i="1"/>
  <c r="O1073" i="1"/>
  <c r="K1073" i="1" a="1"/>
  <c r="K1073" i="1" s="1"/>
  <c r="J1073" i="1" a="1"/>
  <c r="J1073" i="1" s="1"/>
  <c r="I1073" i="1" a="1"/>
  <c r="I1073" i="1" s="1"/>
  <c r="H1073" i="1" a="1"/>
  <c r="H1073" i="1" s="1"/>
  <c r="F1073" i="1" a="1"/>
  <c r="F1073" i="1" s="1"/>
  <c r="AA1072" i="1"/>
  <c r="X1072" i="1"/>
  <c r="O1072" i="1"/>
  <c r="K1072" i="1" a="1"/>
  <c r="K1072" i="1" s="1"/>
  <c r="J1072" i="1" a="1"/>
  <c r="J1072" i="1" s="1"/>
  <c r="I1072" i="1" a="1"/>
  <c r="I1072" i="1" s="1"/>
  <c r="H1072" i="1" a="1"/>
  <c r="H1072" i="1" s="1"/>
  <c r="F1072" i="1" a="1"/>
  <c r="F1072" i="1" s="1"/>
  <c r="AA1071" i="1"/>
  <c r="AB1071" i="1" s="1"/>
  <c r="X1071" i="1"/>
  <c r="O1071" i="1"/>
  <c r="K1071" i="1" a="1"/>
  <c r="K1071" i="1" s="1"/>
  <c r="J1071" i="1" a="1"/>
  <c r="J1071" i="1" s="1"/>
  <c r="I1071" i="1" a="1"/>
  <c r="I1071" i="1" s="1"/>
  <c r="H1071" i="1" a="1"/>
  <c r="H1071" i="1" s="1"/>
  <c r="F1071" i="1" a="1"/>
  <c r="F1071" i="1" s="1"/>
  <c r="AA1070" i="1"/>
  <c r="AE1070" i="1" s="1"/>
  <c r="X1070" i="1"/>
  <c r="O1070" i="1"/>
  <c r="K1070" i="1" a="1"/>
  <c r="K1070" i="1" s="1"/>
  <c r="J1070" i="1" a="1"/>
  <c r="J1070" i="1" s="1"/>
  <c r="I1070" i="1" a="1"/>
  <c r="I1070" i="1" s="1"/>
  <c r="H1070" i="1"/>
  <c r="H1070" i="1" a="1"/>
  <c r="F1070" i="1" a="1"/>
  <c r="F1070" i="1" s="1"/>
  <c r="AA1069" i="1"/>
  <c r="AE1069" i="1" s="1"/>
  <c r="X1069" i="1"/>
  <c r="O1069" i="1"/>
  <c r="K1069" i="1" a="1"/>
  <c r="K1069" i="1" s="1"/>
  <c r="J1069" i="1" a="1"/>
  <c r="J1069" i="1" s="1"/>
  <c r="I1069" i="1" a="1"/>
  <c r="I1069" i="1" s="1"/>
  <c r="H1069" i="1" a="1"/>
  <c r="H1069" i="1" s="1"/>
  <c r="F1069" i="1" a="1"/>
  <c r="F1069" i="1" s="1"/>
  <c r="AA1068" i="1"/>
  <c r="X1068" i="1"/>
  <c r="O1068" i="1"/>
  <c r="K1068" i="1" a="1"/>
  <c r="K1068" i="1" s="1"/>
  <c r="J1068" i="1" a="1"/>
  <c r="J1068" i="1" s="1"/>
  <c r="I1068" i="1"/>
  <c r="I1068" i="1" a="1"/>
  <c r="H1068" i="1" a="1"/>
  <c r="H1068" i="1" s="1"/>
  <c r="F1068" i="1" a="1"/>
  <c r="F1068" i="1" s="1"/>
  <c r="AA1067" i="1"/>
  <c r="AB1067" i="1" s="1"/>
  <c r="X1067" i="1"/>
  <c r="O1067" i="1"/>
  <c r="K1067" i="1" a="1"/>
  <c r="K1067" i="1" s="1"/>
  <c r="J1067" i="1" a="1"/>
  <c r="J1067" i="1" s="1"/>
  <c r="I1067" i="1" a="1"/>
  <c r="I1067" i="1" s="1"/>
  <c r="H1067" i="1" a="1"/>
  <c r="H1067" i="1" s="1"/>
  <c r="F1067" i="1" a="1"/>
  <c r="F1067" i="1" s="1"/>
  <c r="AA1066" i="1"/>
  <c r="X1066" i="1"/>
  <c r="O1066" i="1"/>
  <c r="K1066" i="1" a="1"/>
  <c r="K1066" i="1" s="1"/>
  <c r="J1066" i="1" a="1"/>
  <c r="J1066" i="1" s="1"/>
  <c r="I1066" i="1" a="1"/>
  <c r="I1066" i="1" s="1"/>
  <c r="H1066" i="1" a="1"/>
  <c r="H1066" i="1" s="1"/>
  <c r="F1066" i="1" a="1"/>
  <c r="F1066" i="1" s="1"/>
  <c r="AE1065" i="1"/>
  <c r="AB1065" i="1"/>
  <c r="X1065" i="1"/>
  <c r="O1065" i="1"/>
  <c r="K1065" i="1" a="1"/>
  <c r="K1065" i="1" s="1"/>
  <c r="J1065" i="1" a="1"/>
  <c r="J1065" i="1" s="1"/>
  <c r="I1065" i="1" a="1"/>
  <c r="I1065" i="1" s="1"/>
  <c r="H1065" i="1" a="1"/>
  <c r="H1065" i="1" s="1"/>
  <c r="F1065" i="1" a="1"/>
  <c r="F1065" i="1" s="1"/>
  <c r="AA1064" i="1"/>
  <c r="X1064" i="1"/>
  <c r="O1064" i="1"/>
  <c r="K1064" i="1" a="1"/>
  <c r="K1064" i="1" s="1"/>
  <c r="J1064" i="1" a="1"/>
  <c r="J1064" i="1" s="1"/>
  <c r="I1064" i="1" a="1"/>
  <c r="I1064" i="1" s="1"/>
  <c r="H1064" i="1" a="1"/>
  <c r="H1064" i="1" s="1"/>
  <c r="F1064" i="1" a="1"/>
  <c r="F1064" i="1" s="1"/>
  <c r="AE1063" i="1"/>
  <c r="AA1063" i="1"/>
  <c r="AB1063" i="1" s="1"/>
  <c r="X1063" i="1"/>
  <c r="O1063" i="1"/>
  <c r="K1063" i="1" a="1"/>
  <c r="K1063" i="1" s="1"/>
  <c r="J1063" i="1" a="1"/>
  <c r="J1063" i="1" s="1"/>
  <c r="I1063" i="1" a="1"/>
  <c r="I1063" i="1" s="1"/>
  <c r="H1063" i="1" a="1"/>
  <c r="H1063" i="1" s="1"/>
  <c r="F1063" i="1" a="1"/>
  <c r="F1063" i="1" s="1"/>
  <c r="AA1062" i="1"/>
  <c r="AB1062" i="1" s="1"/>
  <c r="X1062" i="1"/>
  <c r="O1062" i="1"/>
  <c r="K1062" i="1" a="1"/>
  <c r="K1062" i="1" s="1"/>
  <c r="J1062" i="1" a="1"/>
  <c r="J1062" i="1" s="1"/>
  <c r="I1062" i="1" a="1"/>
  <c r="I1062" i="1" s="1"/>
  <c r="H1062" i="1" a="1"/>
  <c r="H1062" i="1" s="1"/>
  <c r="F1062" i="1" a="1"/>
  <c r="F1062" i="1" s="1"/>
  <c r="AA1061" i="1"/>
  <c r="X1061" i="1"/>
  <c r="O1061" i="1"/>
  <c r="K1061" i="1" a="1"/>
  <c r="K1061" i="1" s="1"/>
  <c r="J1061" i="1" a="1"/>
  <c r="J1061" i="1" s="1"/>
  <c r="I1061" i="1" a="1"/>
  <c r="I1061" i="1" s="1"/>
  <c r="H1061" i="1" a="1"/>
  <c r="H1061" i="1" s="1"/>
  <c r="F1061" i="1" a="1"/>
  <c r="F1061" i="1" s="1"/>
  <c r="AA1060" i="1"/>
  <c r="AB1060" i="1" s="1"/>
  <c r="X1060" i="1"/>
  <c r="O1060" i="1"/>
  <c r="J1060" i="1" a="1"/>
  <c r="J1060" i="1" s="1"/>
  <c r="I1060" i="1" a="1"/>
  <c r="I1060" i="1" s="1"/>
  <c r="H1060" i="1" a="1"/>
  <c r="H1060" i="1" s="1"/>
  <c r="F1060" i="1" a="1"/>
  <c r="F1060" i="1" s="1"/>
  <c r="AA1059" i="1"/>
  <c r="AE1059" i="1" s="1"/>
  <c r="X1059" i="1"/>
  <c r="O1059" i="1"/>
  <c r="J1059" i="1" a="1"/>
  <c r="J1059" i="1" s="1"/>
  <c r="I1059" i="1" a="1"/>
  <c r="I1059" i="1" s="1"/>
  <c r="H1059" i="1" a="1"/>
  <c r="H1059" i="1" s="1"/>
  <c r="F1059" i="1" a="1"/>
  <c r="F1059" i="1" s="1"/>
  <c r="AA1058" i="1"/>
  <c r="AB1058" i="1" s="1"/>
  <c r="X1058" i="1"/>
  <c r="O1058" i="1"/>
  <c r="K1058" i="1" a="1"/>
  <c r="K1058" i="1" s="1"/>
  <c r="I1058" i="1" a="1"/>
  <c r="I1058" i="1" s="1"/>
  <c r="H1058" i="1" a="1"/>
  <c r="H1058" i="1" s="1"/>
  <c r="F1058" i="1" a="1"/>
  <c r="F1058" i="1" s="1"/>
  <c r="AB1057" i="1"/>
  <c r="AA1057" i="1"/>
  <c r="AE1057" i="1" s="1"/>
  <c r="X1057" i="1"/>
  <c r="O1057" i="1"/>
  <c r="K1057" i="1"/>
  <c r="K1057" i="1" a="1"/>
  <c r="I1057" i="1" a="1"/>
  <c r="I1057" i="1" s="1"/>
  <c r="H1057" i="1" a="1"/>
  <c r="H1057" i="1" s="1"/>
  <c r="F1057" i="1" a="1"/>
  <c r="F1057" i="1" s="1"/>
  <c r="AE1056" i="1"/>
  <c r="AA1056" i="1"/>
  <c r="AB1056" i="1" s="1"/>
  <c r="X1056" i="1"/>
  <c r="O1056" i="1"/>
  <c r="K1056" i="1" a="1"/>
  <c r="K1056" i="1" s="1"/>
  <c r="I1056" i="1" a="1"/>
  <c r="I1056" i="1" s="1"/>
  <c r="H1056" i="1" a="1"/>
  <c r="H1056" i="1" s="1"/>
  <c r="F1056" i="1" a="1"/>
  <c r="F1056" i="1" s="1"/>
  <c r="AE1055" i="1"/>
  <c r="AA1055" i="1"/>
  <c r="AB1055" i="1" s="1"/>
  <c r="X1055" i="1"/>
  <c r="O1055" i="1"/>
  <c r="K1055" i="1" a="1"/>
  <c r="K1055" i="1" s="1"/>
  <c r="J1055" i="1" a="1"/>
  <c r="J1055" i="1" s="1"/>
  <c r="I1055" i="1" a="1"/>
  <c r="I1055" i="1" s="1"/>
  <c r="H1055" i="1" a="1"/>
  <c r="H1055" i="1" s="1"/>
  <c r="F1055" i="1" a="1"/>
  <c r="F1055" i="1" s="1"/>
  <c r="AA1054" i="1"/>
  <c r="AE1054" i="1" s="1"/>
  <c r="X1054" i="1"/>
  <c r="O1054" i="1"/>
  <c r="K1054" i="1" a="1"/>
  <c r="K1054" i="1" s="1"/>
  <c r="J1054" i="1" a="1"/>
  <c r="J1054" i="1" s="1"/>
  <c r="I1054" i="1" a="1"/>
  <c r="I1054" i="1" s="1"/>
  <c r="H1054" i="1" a="1"/>
  <c r="H1054" i="1" s="1"/>
  <c r="F1054" i="1" a="1"/>
  <c r="F1054" i="1" s="1"/>
  <c r="AA1053" i="1"/>
  <c r="X1053" i="1"/>
  <c r="O1053" i="1"/>
  <c r="K1053" i="1" a="1"/>
  <c r="K1053" i="1" s="1"/>
  <c r="I1053" i="1" a="1"/>
  <c r="I1053" i="1" s="1"/>
  <c r="H1053" i="1" a="1"/>
  <c r="H1053" i="1" s="1"/>
  <c r="F1053" i="1" a="1"/>
  <c r="F1053" i="1" s="1"/>
  <c r="AA1052" i="1"/>
  <c r="AE1052" i="1" s="1"/>
  <c r="X1052" i="1"/>
  <c r="O1052" i="1"/>
  <c r="K1052" i="1" a="1"/>
  <c r="K1052" i="1" s="1"/>
  <c r="J1052" i="1" a="1"/>
  <c r="J1052" i="1" s="1"/>
  <c r="I1052" i="1"/>
  <c r="I1052" i="1" a="1"/>
  <c r="H1052" i="1" a="1"/>
  <c r="H1052" i="1" s="1"/>
  <c r="F1052" i="1" a="1"/>
  <c r="F1052" i="1" s="1"/>
  <c r="AA1051" i="1"/>
  <c r="AB1051" i="1" s="1"/>
  <c r="X1051" i="1"/>
  <c r="O1051" i="1"/>
  <c r="K1051" i="1" a="1"/>
  <c r="K1051" i="1" s="1"/>
  <c r="J1051" i="1" a="1"/>
  <c r="J1051" i="1" s="1"/>
  <c r="I1051" i="1" a="1"/>
  <c r="I1051" i="1" s="1"/>
  <c r="H1051" i="1" a="1"/>
  <c r="H1051" i="1" s="1"/>
  <c r="F1051" i="1" a="1"/>
  <c r="F1051" i="1" s="1"/>
  <c r="AA1050" i="1"/>
  <c r="AE1050" i="1" s="1"/>
  <c r="X1050" i="1"/>
  <c r="O1050" i="1"/>
  <c r="K1050" i="1" a="1"/>
  <c r="K1050" i="1" s="1"/>
  <c r="J1050" i="1" a="1"/>
  <c r="J1050" i="1" s="1"/>
  <c r="I1050" i="1" a="1"/>
  <c r="I1050" i="1" s="1"/>
  <c r="H1050" i="1" a="1"/>
  <c r="H1050" i="1" s="1"/>
  <c r="F1050" i="1" a="1"/>
  <c r="F1050" i="1" s="1"/>
  <c r="AA1049" i="1"/>
  <c r="AE1049" i="1" s="1"/>
  <c r="X1049" i="1"/>
  <c r="O1049" i="1"/>
  <c r="K1049" i="1" a="1"/>
  <c r="K1049" i="1" s="1"/>
  <c r="J1049" i="1" a="1"/>
  <c r="J1049" i="1" s="1"/>
  <c r="I1049" i="1" a="1"/>
  <c r="I1049" i="1" s="1"/>
  <c r="H1049" i="1" a="1"/>
  <c r="H1049" i="1" s="1"/>
  <c r="F1049" i="1" a="1"/>
  <c r="F1049" i="1" s="1"/>
  <c r="AA1048" i="1"/>
  <c r="AE1048" i="1" s="1"/>
  <c r="X1048" i="1"/>
  <c r="O1048" i="1"/>
  <c r="K1048" i="1" a="1"/>
  <c r="K1048" i="1" s="1"/>
  <c r="J1048" i="1" a="1"/>
  <c r="J1048" i="1" s="1"/>
  <c r="I1048" i="1" a="1"/>
  <c r="I1048" i="1" s="1"/>
  <c r="H1048" i="1" a="1"/>
  <c r="H1048" i="1" s="1"/>
  <c r="F1048" i="1" a="1"/>
  <c r="F1048" i="1" s="1"/>
  <c r="AA1047" i="1"/>
  <c r="AB1047" i="1" s="1"/>
  <c r="X1047" i="1"/>
  <c r="O1047" i="1"/>
  <c r="K1047" i="1" a="1"/>
  <c r="K1047" i="1" s="1"/>
  <c r="J1047" i="1" a="1"/>
  <c r="J1047" i="1" s="1"/>
  <c r="I1047" i="1" a="1"/>
  <c r="I1047" i="1" s="1"/>
  <c r="H1047" i="1" a="1"/>
  <c r="H1047" i="1" s="1"/>
  <c r="F1047" i="1" a="1"/>
  <c r="F1047" i="1" s="1"/>
  <c r="AA1046" i="1"/>
  <c r="AE1046" i="1" s="1"/>
  <c r="X1046" i="1"/>
  <c r="O1046" i="1"/>
  <c r="K1046" i="1" a="1"/>
  <c r="K1046" i="1" s="1"/>
  <c r="J1046" i="1" a="1"/>
  <c r="J1046" i="1" s="1"/>
  <c r="I1046" i="1" a="1"/>
  <c r="I1046" i="1" s="1"/>
  <c r="H1046" i="1" a="1"/>
  <c r="H1046" i="1" s="1"/>
  <c r="F1046" i="1" a="1"/>
  <c r="F1046" i="1" s="1"/>
  <c r="AA1045" i="1"/>
  <c r="X1045" i="1"/>
  <c r="O1045" i="1"/>
  <c r="K1045" i="1" a="1"/>
  <c r="K1045" i="1" s="1"/>
  <c r="J1045" i="1" a="1"/>
  <c r="J1045" i="1" s="1"/>
  <c r="I1045" i="1" a="1"/>
  <c r="I1045" i="1" s="1"/>
  <c r="H1045" i="1" a="1"/>
  <c r="H1045" i="1" s="1"/>
  <c r="F1045" i="1" a="1"/>
  <c r="F1045" i="1" s="1"/>
  <c r="AA1044" i="1"/>
  <c r="AE1044" i="1" s="1"/>
  <c r="X1044" i="1"/>
  <c r="O1044" i="1"/>
  <c r="K1044" i="1" a="1"/>
  <c r="K1044" i="1" s="1"/>
  <c r="J1044" i="1" a="1"/>
  <c r="J1044" i="1" s="1"/>
  <c r="I1044" i="1" a="1"/>
  <c r="I1044" i="1" s="1"/>
  <c r="H1044" i="1" a="1"/>
  <c r="H1044" i="1" s="1"/>
  <c r="F1044" i="1"/>
  <c r="F1044" i="1" a="1"/>
  <c r="AA1043" i="1"/>
  <c r="AB1043" i="1" s="1"/>
  <c r="X1043" i="1"/>
  <c r="O1043" i="1"/>
  <c r="K1043" i="1" a="1"/>
  <c r="K1043" i="1" s="1"/>
  <c r="J1043" i="1" a="1"/>
  <c r="J1043" i="1" s="1"/>
  <c r="I1043" i="1" a="1"/>
  <c r="I1043" i="1" s="1"/>
  <c r="H1043" i="1" a="1"/>
  <c r="H1043" i="1" s="1"/>
  <c r="F1043" i="1" a="1"/>
  <c r="F1043" i="1" s="1"/>
  <c r="AA1042" i="1"/>
  <c r="AE1042" i="1" s="1"/>
  <c r="X1042" i="1"/>
  <c r="O1042" i="1"/>
  <c r="K1042" i="1" a="1"/>
  <c r="K1042" i="1" s="1"/>
  <c r="J1042" i="1"/>
  <c r="J1042" i="1" a="1"/>
  <c r="I1042" i="1" a="1"/>
  <c r="I1042" i="1" s="1"/>
  <c r="H1042" i="1" a="1"/>
  <c r="H1042" i="1" s="1"/>
  <c r="F1042" i="1" a="1"/>
  <c r="F1042" i="1" s="1"/>
  <c r="AA1041" i="1"/>
  <c r="X1041" i="1"/>
  <c r="O1041" i="1"/>
  <c r="K1041" i="1" a="1"/>
  <c r="K1041" i="1" s="1"/>
  <c r="J1041" i="1" a="1"/>
  <c r="J1041" i="1" s="1"/>
  <c r="I1041" i="1" a="1"/>
  <c r="I1041" i="1" s="1"/>
  <c r="H1041" i="1" a="1"/>
  <c r="H1041" i="1" s="1"/>
  <c r="F1041" i="1" a="1"/>
  <c r="F1041" i="1" s="1"/>
  <c r="AA1040" i="1"/>
  <c r="X1040" i="1"/>
  <c r="O1040" i="1"/>
  <c r="K1040" i="1" a="1"/>
  <c r="K1040" i="1" s="1"/>
  <c r="J1040" i="1" a="1"/>
  <c r="J1040" i="1" s="1"/>
  <c r="I1040" i="1" a="1"/>
  <c r="I1040" i="1" s="1"/>
  <c r="H1040" i="1" a="1"/>
  <c r="H1040" i="1" s="1"/>
  <c r="F1040" i="1" a="1"/>
  <c r="F1040" i="1" s="1"/>
  <c r="AA1039" i="1"/>
  <c r="AB1039" i="1" s="1"/>
  <c r="X1039" i="1"/>
  <c r="O1039" i="1"/>
  <c r="K1039" i="1" a="1"/>
  <c r="K1039" i="1" s="1"/>
  <c r="J1039" i="1" a="1"/>
  <c r="J1039" i="1" s="1"/>
  <c r="I1039" i="1" a="1"/>
  <c r="I1039" i="1" s="1"/>
  <c r="H1039" i="1" a="1"/>
  <c r="H1039" i="1" s="1"/>
  <c r="F1039" i="1" a="1"/>
  <c r="F1039" i="1" s="1"/>
  <c r="AA1038" i="1"/>
  <c r="X1038" i="1"/>
  <c r="O1038" i="1"/>
  <c r="K1038" i="1" a="1"/>
  <c r="K1038" i="1" s="1"/>
  <c r="J1038" i="1" a="1"/>
  <c r="J1038" i="1" s="1"/>
  <c r="I1038" i="1" a="1"/>
  <c r="I1038" i="1" s="1"/>
  <c r="H1038" i="1" a="1"/>
  <c r="H1038" i="1" s="1"/>
  <c r="F1038" i="1" a="1"/>
  <c r="F1038" i="1" s="1"/>
  <c r="AE1037" i="1"/>
  <c r="AA1037" i="1"/>
  <c r="AB1037" i="1" s="1"/>
  <c r="X1037" i="1"/>
  <c r="O1037" i="1"/>
  <c r="K1037" i="1" a="1"/>
  <c r="K1037" i="1" s="1"/>
  <c r="J1037" i="1" a="1"/>
  <c r="J1037" i="1" s="1"/>
  <c r="I1037" i="1" a="1"/>
  <c r="I1037" i="1" s="1"/>
  <c r="H1037" i="1" a="1"/>
  <c r="H1037" i="1" s="1"/>
  <c r="F1037" i="1" a="1"/>
  <c r="F1037" i="1" s="1"/>
  <c r="AA1036" i="1"/>
  <c r="X1036" i="1"/>
  <c r="O1036" i="1"/>
  <c r="K1036" i="1" a="1"/>
  <c r="K1036" i="1" s="1"/>
  <c r="J1036" i="1" a="1"/>
  <c r="J1036" i="1" s="1"/>
  <c r="I1036" i="1" a="1"/>
  <c r="I1036" i="1" s="1"/>
  <c r="H1036" i="1" a="1"/>
  <c r="H1036" i="1" s="1"/>
  <c r="F1036" i="1" a="1"/>
  <c r="F1036" i="1" s="1"/>
  <c r="AA1035" i="1"/>
  <c r="AB1035" i="1" s="1"/>
  <c r="X1035" i="1"/>
  <c r="O1035" i="1"/>
  <c r="K1035" i="1" a="1"/>
  <c r="K1035" i="1" s="1"/>
  <c r="J1035" i="1" a="1"/>
  <c r="J1035" i="1" s="1"/>
  <c r="I1035" i="1" a="1"/>
  <c r="I1035" i="1" s="1"/>
  <c r="H1035" i="1" a="1"/>
  <c r="H1035" i="1" s="1"/>
  <c r="F1035" i="1" a="1"/>
  <c r="F1035" i="1" s="1"/>
  <c r="AA1034" i="1"/>
  <c r="X1034" i="1"/>
  <c r="O1034" i="1"/>
  <c r="K1034" i="1" a="1"/>
  <c r="K1034" i="1" s="1"/>
  <c r="J1034" i="1" a="1"/>
  <c r="J1034" i="1" s="1"/>
  <c r="I1034" i="1" a="1"/>
  <c r="I1034" i="1" s="1"/>
  <c r="H1034" i="1" a="1"/>
  <c r="H1034" i="1" s="1"/>
  <c r="F1034" i="1" a="1"/>
  <c r="F1034" i="1" s="1"/>
  <c r="AA1033" i="1"/>
  <c r="X1033" i="1"/>
  <c r="O1033" i="1"/>
  <c r="K1033" i="1" a="1"/>
  <c r="K1033" i="1" s="1"/>
  <c r="J1033" i="1" a="1"/>
  <c r="J1033" i="1" s="1"/>
  <c r="I1033" i="1" a="1"/>
  <c r="I1033" i="1" s="1"/>
  <c r="H1033" i="1" a="1"/>
  <c r="H1033" i="1" s="1"/>
  <c r="F1033" i="1" a="1"/>
  <c r="F1033" i="1" s="1"/>
  <c r="AA1032" i="1"/>
  <c r="X1032" i="1"/>
  <c r="O1032" i="1"/>
  <c r="K1032" i="1" a="1"/>
  <c r="K1032" i="1" s="1"/>
  <c r="J1032" i="1" a="1"/>
  <c r="J1032" i="1" s="1"/>
  <c r="I1032" i="1"/>
  <c r="I1032" i="1" a="1"/>
  <c r="H1032" i="1" a="1"/>
  <c r="H1032" i="1" s="1"/>
  <c r="F1032" i="1" a="1"/>
  <c r="F1032" i="1" s="1"/>
  <c r="AA1031" i="1"/>
  <c r="AB1031" i="1" s="1"/>
  <c r="X1031" i="1"/>
  <c r="O1031" i="1"/>
  <c r="K1031" i="1" a="1"/>
  <c r="K1031" i="1" s="1"/>
  <c r="J1031" i="1" a="1"/>
  <c r="J1031" i="1" s="1"/>
  <c r="I1031" i="1" a="1"/>
  <c r="I1031" i="1" s="1"/>
  <c r="H1031" i="1" a="1"/>
  <c r="H1031" i="1" s="1"/>
  <c r="F1031" i="1" a="1"/>
  <c r="F1031" i="1" s="1"/>
  <c r="AA1030" i="1"/>
  <c r="X1030" i="1"/>
  <c r="O1030" i="1"/>
  <c r="K1030" i="1" a="1"/>
  <c r="K1030" i="1" s="1"/>
  <c r="J1030" i="1" a="1"/>
  <c r="J1030" i="1" s="1"/>
  <c r="I1030" i="1" a="1"/>
  <c r="I1030" i="1" s="1"/>
  <c r="H1030" i="1" a="1"/>
  <c r="H1030" i="1" s="1"/>
  <c r="F1030" i="1" a="1"/>
  <c r="F1030" i="1" s="1"/>
  <c r="AA1029" i="1"/>
  <c r="X1029" i="1"/>
  <c r="O1029" i="1"/>
  <c r="K1029" i="1" a="1"/>
  <c r="K1029" i="1" s="1"/>
  <c r="J1029" i="1" a="1"/>
  <c r="J1029" i="1" s="1"/>
  <c r="I1029" i="1" a="1"/>
  <c r="I1029" i="1" s="1"/>
  <c r="H1029" i="1" a="1"/>
  <c r="H1029" i="1" s="1"/>
  <c r="F1029" i="1" a="1"/>
  <c r="F1029" i="1" s="1"/>
  <c r="AB1028" i="1"/>
  <c r="AA1028" i="1"/>
  <c r="AE1028" i="1" s="1"/>
  <c r="X1028" i="1"/>
  <c r="O1028" i="1"/>
  <c r="K1028" i="1"/>
  <c r="K1028" i="1" a="1"/>
  <c r="J1028" i="1" a="1"/>
  <c r="J1028" i="1" s="1"/>
  <c r="I1028" i="1" a="1"/>
  <c r="I1028" i="1" s="1"/>
  <c r="H1028" i="1" a="1"/>
  <c r="H1028" i="1" s="1"/>
  <c r="F1028" i="1" a="1"/>
  <c r="F1028" i="1" s="1"/>
  <c r="AA1027" i="1"/>
  <c r="AB1027" i="1" s="1"/>
  <c r="X1027" i="1"/>
  <c r="O1027" i="1"/>
  <c r="K1027" i="1" a="1"/>
  <c r="K1027" i="1" s="1"/>
  <c r="J1027" i="1" a="1"/>
  <c r="J1027" i="1" s="1"/>
  <c r="I1027" i="1" a="1"/>
  <c r="I1027" i="1" s="1"/>
  <c r="H1027" i="1" a="1"/>
  <c r="H1027" i="1" s="1"/>
  <c r="F1027" i="1" a="1"/>
  <c r="F1027" i="1" s="1"/>
  <c r="AA1026" i="1"/>
  <c r="X1026" i="1"/>
  <c r="O1026" i="1"/>
  <c r="K1026" i="1" a="1"/>
  <c r="K1026" i="1" s="1"/>
  <c r="J1026" i="1" a="1"/>
  <c r="J1026" i="1" s="1"/>
  <c r="I1026" i="1"/>
  <c r="I1026" i="1" a="1"/>
  <c r="H1026" i="1" a="1"/>
  <c r="H1026" i="1" s="1"/>
  <c r="F1026" i="1" a="1"/>
  <c r="F1026" i="1" s="1"/>
  <c r="AE1025" i="1"/>
  <c r="AA1025" i="1"/>
  <c r="AB1025" i="1" s="1"/>
  <c r="X1025" i="1"/>
  <c r="O1025" i="1"/>
  <c r="K1025" i="1" a="1"/>
  <c r="K1025" i="1" s="1"/>
  <c r="J1025" i="1" a="1"/>
  <c r="J1025" i="1" s="1"/>
  <c r="I1025" i="1" a="1"/>
  <c r="I1025" i="1" s="1"/>
  <c r="H1025" i="1" a="1"/>
  <c r="H1025" i="1" s="1"/>
  <c r="F1025" i="1" a="1"/>
  <c r="F1025" i="1" s="1"/>
  <c r="AA1024" i="1"/>
  <c r="X1024" i="1"/>
  <c r="O1024" i="1"/>
  <c r="J1024" i="1" a="1"/>
  <c r="J1024" i="1" s="1"/>
  <c r="I1024" i="1"/>
  <c r="I1024" i="1" a="1"/>
  <c r="H1024" i="1" a="1"/>
  <c r="H1024" i="1" s="1"/>
  <c r="F1024" i="1" a="1"/>
  <c r="F1024" i="1" s="1"/>
  <c r="AA1023" i="1"/>
  <c r="AB1023" i="1" s="1"/>
  <c r="X1023" i="1"/>
  <c r="O1023" i="1"/>
  <c r="J1023" i="1" a="1"/>
  <c r="J1023" i="1" s="1"/>
  <c r="I1023" i="1" a="1"/>
  <c r="I1023" i="1" s="1"/>
  <c r="H1023" i="1" a="1"/>
  <c r="H1023" i="1" s="1"/>
  <c r="F1023" i="1" a="1"/>
  <c r="F1023" i="1" s="1"/>
  <c r="AB1022" i="1"/>
  <c r="AA1022" i="1"/>
  <c r="AE1022" i="1" s="1"/>
  <c r="X1022" i="1"/>
  <c r="O1022" i="1"/>
  <c r="K1022" i="1"/>
  <c r="K1022" i="1" a="1"/>
  <c r="I1022" i="1"/>
  <c r="I1022" i="1" a="1"/>
  <c r="H1022" i="1"/>
  <c r="H1022" i="1" a="1"/>
  <c r="F1022" i="1" a="1"/>
  <c r="F1022" i="1" s="1"/>
  <c r="AB1021" i="1"/>
  <c r="AA1021" i="1"/>
  <c r="AE1021" i="1" s="1"/>
  <c r="X1021" i="1"/>
  <c r="O1021" i="1"/>
  <c r="K1021" i="1"/>
  <c r="K1021" i="1" a="1"/>
  <c r="I1021" i="1" a="1"/>
  <c r="I1021" i="1" s="1"/>
  <c r="H1021" i="1" a="1"/>
  <c r="H1021" i="1" s="1"/>
  <c r="F1021" i="1" a="1"/>
  <c r="F1021" i="1" s="1"/>
  <c r="AA1020" i="1"/>
  <c r="AE1020" i="1" s="1"/>
  <c r="X1020" i="1"/>
  <c r="O1020" i="1"/>
  <c r="K1020" i="1" a="1"/>
  <c r="K1020" i="1" s="1"/>
  <c r="I1020" i="1" a="1"/>
  <c r="I1020" i="1" s="1"/>
  <c r="H1020" i="1" a="1"/>
  <c r="H1020" i="1" s="1"/>
  <c r="F1020" i="1" a="1"/>
  <c r="F1020" i="1" s="1"/>
  <c r="AA1019" i="1"/>
  <c r="AB1019" i="1" s="1"/>
  <c r="X1019" i="1"/>
  <c r="O1019" i="1"/>
  <c r="K1019" i="1" a="1"/>
  <c r="K1019" i="1" s="1"/>
  <c r="J1019" i="1" a="1"/>
  <c r="J1019" i="1" s="1"/>
  <c r="I1019" i="1" a="1"/>
  <c r="I1019" i="1" s="1"/>
  <c r="H1019" i="1" a="1"/>
  <c r="H1019" i="1" s="1"/>
  <c r="F1019" i="1" a="1"/>
  <c r="F1019" i="1" s="1"/>
  <c r="AB1018" i="1"/>
  <c r="AA1018" i="1"/>
  <c r="AE1018" i="1" s="1"/>
  <c r="X1018" i="1"/>
  <c r="O1018" i="1"/>
  <c r="K1018" i="1"/>
  <c r="K1018" i="1" a="1"/>
  <c r="J1018" i="1" a="1"/>
  <c r="J1018" i="1" s="1"/>
  <c r="I1018" i="1"/>
  <c r="I1018" i="1" a="1"/>
  <c r="H1018" i="1" a="1"/>
  <c r="H1018" i="1" s="1"/>
  <c r="F1018" i="1" a="1"/>
  <c r="F1018" i="1" s="1"/>
  <c r="AB1017" i="1"/>
  <c r="AA1017" i="1"/>
  <c r="AE1017" i="1" s="1"/>
  <c r="X1017" i="1"/>
  <c r="O1017" i="1"/>
  <c r="K1017" i="1"/>
  <c r="K1017" i="1" a="1"/>
  <c r="I1017" i="1" a="1"/>
  <c r="I1017" i="1" s="1"/>
  <c r="H1017" i="1" a="1"/>
  <c r="H1017" i="1" s="1"/>
  <c r="F1017" i="1" a="1"/>
  <c r="F1017" i="1" s="1"/>
  <c r="AA1016" i="1"/>
  <c r="X1016" i="1"/>
  <c r="O1016" i="1"/>
  <c r="K1016" i="1" a="1"/>
  <c r="K1016" i="1" s="1"/>
  <c r="I1016" i="1" a="1"/>
  <c r="I1016" i="1" s="1"/>
  <c r="H1016" i="1" a="1"/>
  <c r="H1016" i="1" s="1"/>
  <c r="F1016" i="1"/>
  <c r="F1016" i="1" a="1"/>
  <c r="AA1015" i="1"/>
  <c r="AB1015" i="1" s="1"/>
  <c r="X1015" i="1"/>
  <c r="O1015" i="1"/>
  <c r="K1015" i="1" a="1"/>
  <c r="K1015" i="1" s="1"/>
  <c r="J1015" i="1" a="1"/>
  <c r="J1015" i="1" s="1"/>
  <c r="I1015" i="1" a="1"/>
  <c r="I1015" i="1" s="1"/>
  <c r="H1015" i="1" a="1"/>
  <c r="H1015" i="1" s="1"/>
  <c r="F1015" i="1" a="1"/>
  <c r="F1015" i="1" s="1"/>
  <c r="AA1014" i="1"/>
  <c r="X1014" i="1"/>
  <c r="O1014" i="1"/>
  <c r="K1014" i="1" a="1"/>
  <c r="K1014" i="1" s="1"/>
  <c r="J1014" i="1"/>
  <c r="J1014" i="1" a="1"/>
  <c r="I1014" i="1" a="1"/>
  <c r="I1014" i="1" s="1"/>
  <c r="H1014" i="1"/>
  <c r="H1014" i="1" a="1"/>
  <c r="F1014" i="1" a="1"/>
  <c r="F1014" i="1" s="1"/>
  <c r="AE1013" i="1"/>
  <c r="AA1013" i="1"/>
  <c r="AB1013" i="1" s="1"/>
  <c r="X1013" i="1"/>
  <c r="O1013" i="1"/>
  <c r="K1013" i="1" a="1"/>
  <c r="K1013" i="1" s="1"/>
  <c r="J1013" i="1" a="1"/>
  <c r="J1013" i="1" s="1"/>
  <c r="I1013" i="1" a="1"/>
  <c r="I1013" i="1" s="1"/>
  <c r="H1013" i="1" a="1"/>
  <c r="H1013" i="1" s="1"/>
  <c r="F1013" i="1" a="1"/>
  <c r="F1013" i="1" s="1"/>
  <c r="AA1012" i="1"/>
  <c r="X1012" i="1"/>
  <c r="O1012" i="1"/>
  <c r="K1012" i="1" a="1"/>
  <c r="K1012" i="1" s="1"/>
  <c r="J1012" i="1" a="1"/>
  <c r="J1012" i="1" s="1"/>
  <c r="I1012" i="1" a="1"/>
  <c r="I1012" i="1" s="1"/>
  <c r="H1012" i="1" a="1"/>
  <c r="H1012" i="1" s="1"/>
  <c r="F1012" i="1" a="1"/>
  <c r="F1012" i="1" s="1"/>
  <c r="AA1011" i="1"/>
  <c r="AB1011" i="1" s="1"/>
  <c r="X1011" i="1"/>
  <c r="O1011" i="1"/>
  <c r="K1011" i="1" a="1"/>
  <c r="K1011" i="1" s="1"/>
  <c r="J1011" i="1" a="1"/>
  <c r="J1011" i="1" s="1"/>
  <c r="I1011" i="1" a="1"/>
  <c r="I1011" i="1" s="1"/>
  <c r="H1011" i="1" a="1"/>
  <c r="H1011" i="1" s="1"/>
  <c r="F1011" i="1" a="1"/>
  <c r="F1011" i="1" s="1"/>
  <c r="AA1010" i="1"/>
  <c r="X1010" i="1"/>
  <c r="O1010" i="1"/>
  <c r="K1010" i="1" a="1"/>
  <c r="K1010" i="1" s="1"/>
  <c r="J1010" i="1" a="1"/>
  <c r="J1010" i="1" s="1"/>
  <c r="I1010" i="1" a="1"/>
  <c r="I1010" i="1" s="1"/>
  <c r="H1010" i="1" a="1"/>
  <c r="H1010" i="1" s="1"/>
  <c r="F1010" i="1" a="1"/>
  <c r="F1010" i="1" s="1"/>
  <c r="AA1009" i="1"/>
  <c r="X1009" i="1"/>
  <c r="O1009" i="1"/>
  <c r="K1009" i="1" a="1"/>
  <c r="K1009" i="1" s="1"/>
  <c r="J1009" i="1" a="1"/>
  <c r="J1009" i="1" s="1"/>
  <c r="I1009" i="1" a="1"/>
  <c r="I1009" i="1" s="1"/>
  <c r="H1009" i="1" a="1"/>
  <c r="H1009" i="1" s="1"/>
  <c r="F1009" i="1" a="1"/>
  <c r="F1009" i="1" s="1"/>
  <c r="AB1008" i="1"/>
  <c r="AA1008" i="1"/>
  <c r="AE1008" i="1" s="1"/>
  <c r="X1008" i="1"/>
  <c r="O1008" i="1"/>
  <c r="K1008" i="1"/>
  <c r="K1008" i="1" a="1"/>
  <c r="J1008" i="1" a="1"/>
  <c r="J1008" i="1" s="1"/>
  <c r="I1008" i="1" a="1"/>
  <c r="I1008" i="1" s="1"/>
  <c r="H1008" i="1" a="1"/>
  <c r="H1008" i="1" s="1"/>
  <c r="F1008" i="1"/>
  <c r="F1008" i="1" a="1"/>
  <c r="AA1007" i="1"/>
  <c r="AB1007" i="1" s="1"/>
  <c r="X1007" i="1"/>
  <c r="O1007" i="1"/>
  <c r="K1007" i="1" a="1"/>
  <c r="K1007" i="1" s="1"/>
  <c r="J1007" i="1" a="1"/>
  <c r="J1007" i="1" s="1"/>
  <c r="I1007" i="1" a="1"/>
  <c r="I1007" i="1" s="1"/>
  <c r="H1007" i="1" a="1"/>
  <c r="H1007" i="1" s="1"/>
  <c r="F1007" i="1" a="1"/>
  <c r="F1007" i="1" s="1"/>
  <c r="AB1006" i="1"/>
  <c r="AA1006" i="1"/>
  <c r="AE1006" i="1" s="1"/>
  <c r="X1006" i="1"/>
  <c r="O1006" i="1"/>
  <c r="K1006" i="1"/>
  <c r="K1006" i="1" a="1"/>
  <c r="J1006" i="1"/>
  <c r="J1006" i="1" a="1"/>
  <c r="I1006" i="1"/>
  <c r="I1006" i="1" a="1"/>
  <c r="H1006" i="1"/>
  <c r="H1006" i="1" a="1"/>
  <c r="F1006" i="1"/>
  <c r="F1006" i="1" a="1"/>
  <c r="AA1005" i="1"/>
  <c r="X1005" i="1"/>
  <c r="O1005" i="1"/>
  <c r="K1005" i="1" a="1"/>
  <c r="K1005" i="1" s="1"/>
  <c r="J1005" i="1" a="1"/>
  <c r="J1005" i="1" s="1"/>
  <c r="I1005" i="1" a="1"/>
  <c r="I1005" i="1" s="1"/>
  <c r="H1005" i="1" a="1"/>
  <c r="H1005" i="1" s="1"/>
  <c r="F1005" i="1" a="1"/>
  <c r="F1005" i="1" s="1"/>
  <c r="AA1004" i="1"/>
  <c r="AE1004" i="1" s="1"/>
  <c r="X1004" i="1"/>
  <c r="O1004" i="1"/>
  <c r="K1004" i="1" a="1"/>
  <c r="K1004" i="1" s="1"/>
  <c r="J1004" i="1" a="1"/>
  <c r="J1004" i="1" s="1"/>
  <c r="I1004" i="1" a="1"/>
  <c r="I1004" i="1" s="1"/>
  <c r="H1004" i="1" a="1"/>
  <c r="H1004" i="1" s="1"/>
  <c r="F1004" i="1" a="1"/>
  <c r="F1004" i="1" s="1"/>
  <c r="AA1003" i="1"/>
  <c r="AB1003" i="1" s="1"/>
  <c r="X1003" i="1"/>
  <c r="O1003" i="1"/>
  <c r="K1003" i="1" a="1"/>
  <c r="K1003" i="1" s="1"/>
  <c r="J1003" i="1" a="1"/>
  <c r="J1003" i="1" s="1"/>
  <c r="I1003" i="1" a="1"/>
  <c r="I1003" i="1" s="1"/>
  <c r="H1003" i="1" a="1"/>
  <c r="H1003" i="1" s="1"/>
  <c r="F1003" i="1" a="1"/>
  <c r="F1003" i="1" s="1"/>
  <c r="AA1002" i="1"/>
  <c r="AE1002" i="1" s="1"/>
  <c r="X1002" i="1"/>
  <c r="O1002" i="1"/>
  <c r="K1002" i="1" a="1"/>
  <c r="K1002" i="1" s="1"/>
  <c r="J1002" i="1" a="1"/>
  <c r="J1002" i="1" s="1"/>
  <c r="I1002" i="1" a="1"/>
  <c r="I1002" i="1" s="1"/>
  <c r="H1002" i="1" a="1"/>
  <c r="H1002" i="1" s="1"/>
  <c r="F1002" i="1" a="1"/>
  <c r="F1002" i="1" s="1"/>
  <c r="AB1001" i="1"/>
  <c r="AA1001" i="1"/>
  <c r="AE1001" i="1" s="1"/>
  <c r="X1001" i="1"/>
  <c r="O1001" i="1"/>
  <c r="K1001" i="1"/>
  <c r="K1001" i="1" a="1"/>
  <c r="J1001" i="1" a="1"/>
  <c r="J1001" i="1" s="1"/>
  <c r="I1001" i="1" a="1"/>
  <c r="I1001" i="1" s="1"/>
  <c r="H1001" i="1" a="1"/>
  <c r="H1001" i="1" s="1"/>
  <c r="F1001" i="1" a="1"/>
  <c r="F1001" i="1" s="1"/>
  <c r="AB1000" i="1"/>
  <c r="AA1000" i="1"/>
  <c r="AE1000" i="1" s="1"/>
  <c r="X1000" i="1"/>
  <c r="O1000" i="1"/>
  <c r="K1000" i="1"/>
  <c r="K1000" i="1" a="1"/>
  <c r="J1000" i="1" a="1"/>
  <c r="J1000" i="1" s="1"/>
  <c r="I1000" i="1" a="1"/>
  <c r="I1000" i="1" s="1"/>
  <c r="H1000" i="1" a="1"/>
  <c r="H1000" i="1" s="1"/>
  <c r="F1000" i="1" a="1"/>
  <c r="F1000" i="1" s="1"/>
  <c r="AA999" i="1"/>
  <c r="AB999" i="1" s="1"/>
  <c r="X999" i="1"/>
  <c r="O999" i="1"/>
  <c r="K999" i="1" a="1"/>
  <c r="K999" i="1" s="1"/>
  <c r="J999" i="1" a="1"/>
  <c r="J999" i="1" s="1"/>
  <c r="I999" i="1" a="1"/>
  <c r="I999" i="1" s="1"/>
  <c r="H999" i="1" a="1"/>
  <c r="H999" i="1" s="1"/>
  <c r="F999" i="1" a="1"/>
  <c r="F999" i="1" s="1"/>
  <c r="AB998" i="1"/>
  <c r="AA998" i="1"/>
  <c r="AE998" i="1" s="1"/>
  <c r="X998" i="1"/>
  <c r="O998" i="1"/>
  <c r="K998" i="1"/>
  <c r="K998" i="1" a="1"/>
  <c r="J998" i="1" a="1"/>
  <c r="J998" i="1" s="1"/>
  <c r="I998" i="1"/>
  <c r="I998" i="1" a="1"/>
  <c r="H998" i="1" a="1"/>
  <c r="H998" i="1" s="1"/>
  <c r="F998" i="1"/>
  <c r="F998" i="1" a="1"/>
  <c r="AA997" i="1"/>
  <c r="X997" i="1"/>
  <c r="O997" i="1"/>
  <c r="K997" i="1" a="1"/>
  <c r="K997" i="1" s="1"/>
  <c r="J997" i="1" a="1"/>
  <c r="J997" i="1" s="1"/>
  <c r="I997" i="1" a="1"/>
  <c r="I997" i="1" s="1"/>
  <c r="H997" i="1" a="1"/>
  <c r="H997" i="1" s="1"/>
  <c r="F997" i="1" a="1"/>
  <c r="F997" i="1" s="1"/>
  <c r="AB996" i="1"/>
  <c r="AA996" i="1"/>
  <c r="AE996" i="1" s="1"/>
  <c r="X996" i="1"/>
  <c r="O996" i="1"/>
  <c r="K996" i="1"/>
  <c r="K996" i="1" a="1"/>
  <c r="J996" i="1" a="1"/>
  <c r="J996" i="1" s="1"/>
  <c r="I996" i="1" a="1"/>
  <c r="I996" i="1" s="1"/>
  <c r="H996" i="1" a="1"/>
  <c r="H996" i="1" s="1"/>
  <c r="F996" i="1"/>
  <c r="F996" i="1" a="1"/>
  <c r="AA995" i="1"/>
  <c r="AB995" i="1" s="1"/>
  <c r="X995" i="1"/>
  <c r="O995" i="1"/>
  <c r="K995" i="1" a="1"/>
  <c r="K995" i="1" s="1"/>
  <c r="J995" i="1" a="1"/>
  <c r="J995" i="1" s="1"/>
  <c r="I995" i="1" a="1"/>
  <c r="I995" i="1" s="1"/>
  <c r="H995" i="1" a="1"/>
  <c r="H995" i="1" s="1"/>
  <c r="F995" i="1" a="1"/>
  <c r="F995" i="1" s="1"/>
  <c r="AA994" i="1"/>
  <c r="X994" i="1"/>
  <c r="O994" i="1"/>
  <c r="K994" i="1" a="1"/>
  <c r="K994" i="1" s="1"/>
  <c r="J994" i="1"/>
  <c r="J994" i="1" a="1"/>
  <c r="I994" i="1" a="1"/>
  <c r="I994" i="1" s="1"/>
  <c r="H994" i="1"/>
  <c r="H994" i="1" a="1"/>
  <c r="F994" i="1" a="1"/>
  <c r="F994" i="1" s="1"/>
  <c r="AE993" i="1"/>
  <c r="AB993" i="1"/>
  <c r="AA993" i="1"/>
  <c r="X993" i="1"/>
  <c r="O993" i="1"/>
  <c r="K993" i="1" a="1"/>
  <c r="K993" i="1" s="1"/>
  <c r="J993" i="1" a="1"/>
  <c r="J993" i="1" s="1"/>
  <c r="I993" i="1" a="1"/>
  <c r="I993" i="1" s="1"/>
  <c r="H993" i="1" a="1"/>
  <c r="H993" i="1" s="1"/>
  <c r="F993" i="1" a="1"/>
  <c r="F993" i="1" s="1"/>
  <c r="AA992" i="1"/>
  <c r="AE992" i="1" s="1"/>
  <c r="X992" i="1"/>
  <c r="O992" i="1"/>
  <c r="K992" i="1" a="1"/>
  <c r="K992" i="1" s="1"/>
  <c r="J992" i="1" a="1"/>
  <c r="J992" i="1" s="1"/>
  <c r="I992" i="1" a="1"/>
  <c r="I992" i="1" s="1"/>
  <c r="H992" i="1" a="1"/>
  <c r="H992" i="1" s="1"/>
  <c r="F992" i="1"/>
  <c r="F992" i="1" a="1"/>
  <c r="AA991" i="1"/>
  <c r="X991" i="1"/>
  <c r="O991" i="1"/>
  <c r="K991" i="1" a="1"/>
  <c r="K991" i="1" s="1"/>
  <c r="J991" i="1" a="1"/>
  <c r="J991" i="1" s="1"/>
  <c r="I991" i="1" a="1"/>
  <c r="I991" i="1" s="1"/>
  <c r="H991" i="1" a="1"/>
  <c r="H991" i="1" s="1"/>
  <c r="F991" i="1" a="1"/>
  <c r="F991" i="1" s="1"/>
  <c r="AA990" i="1"/>
  <c r="AE990" i="1" s="1"/>
  <c r="X990" i="1"/>
  <c r="O990" i="1"/>
  <c r="K990" i="1" a="1"/>
  <c r="K990" i="1" s="1"/>
  <c r="J990" i="1" a="1"/>
  <c r="J990" i="1" s="1"/>
  <c r="I990" i="1" a="1"/>
  <c r="I990" i="1" s="1"/>
  <c r="H990" i="1" a="1"/>
  <c r="H990" i="1" s="1"/>
  <c r="F990" i="1" a="1"/>
  <c r="F990" i="1" s="1"/>
  <c r="AA989" i="1"/>
  <c r="X989" i="1"/>
  <c r="O989" i="1"/>
  <c r="K989" i="1" a="1"/>
  <c r="K989" i="1" s="1"/>
  <c r="J989" i="1" a="1"/>
  <c r="J989" i="1" s="1"/>
  <c r="I989" i="1" a="1"/>
  <c r="I989" i="1" s="1"/>
  <c r="H989" i="1" a="1"/>
  <c r="H989" i="1" s="1"/>
  <c r="F989" i="1"/>
  <c r="F989" i="1" a="1"/>
  <c r="AA988" i="1"/>
  <c r="X988" i="1"/>
  <c r="O988" i="1"/>
  <c r="K988" i="1" a="1"/>
  <c r="K988" i="1" s="1"/>
  <c r="J988" i="1" a="1"/>
  <c r="J988" i="1" s="1"/>
  <c r="I988" i="1" a="1"/>
  <c r="I988" i="1" s="1"/>
  <c r="H988" i="1" a="1"/>
  <c r="H988" i="1" s="1"/>
  <c r="F988" i="1" a="1"/>
  <c r="F988" i="1" s="1"/>
  <c r="AB987" i="1"/>
  <c r="AA987" i="1"/>
  <c r="AE987" i="1" s="1"/>
  <c r="X987" i="1"/>
  <c r="O987" i="1"/>
  <c r="K987" i="1"/>
  <c r="K987" i="1" a="1"/>
  <c r="J987" i="1" a="1"/>
  <c r="J987" i="1" s="1"/>
  <c r="I987" i="1" a="1"/>
  <c r="I987" i="1" s="1"/>
  <c r="H987" i="1" a="1"/>
  <c r="H987" i="1" s="1"/>
  <c r="F987" i="1" a="1"/>
  <c r="F987" i="1" s="1"/>
  <c r="AA986" i="1"/>
  <c r="AE986" i="1" s="1"/>
  <c r="X986" i="1"/>
  <c r="O986" i="1"/>
  <c r="K986" i="1" a="1"/>
  <c r="K986" i="1" s="1"/>
  <c r="J986" i="1" a="1"/>
  <c r="J986" i="1" s="1"/>
  <c r="I986" i="1" a="1"/>
  <c r="I986" i="1" s="1"/>
  <c r="H986" i="1" a="1"/>
  <c r="H986" i="1" s="1"/>
  <c r="F986" i="1" a="1"/>
  <c r="F986" i="1" s="1"/>
  <c r="AA985" i="1"/>
  <c r="X985" i="1"/>
  <c r="O985" i="1"/>
  <c r="K985" i="1" a="1"/>
  <c r="K985" i="1" s="1"/>
  <c r="J985" i="1" a="1"/>
  <c r="J985" i="1" s="1"/>
  <c r="I985" i="1"/>
  <c r="I985" i="1" a="1"/>
  <c r="H985" i="1" a="1"/>
  <c r="H985" i="1" s="1"/>
  <c r="F985" i="1" a="1"/>
  <c r="F985" i="1" s="1"/>
  <c r="AA984" i="1"/>
  <c r="X984" i="1"/>
  <c r="O984" i="1"/>
  <c r="J984" i="1" a="1"/>
  <c r="J984" i="1" s="1"/>
  <c r="I984" i="1" a="1"/>
  <c r="I984" i="1" s="1"/>
  <c r="H984" i="1" a="1"/>
  <c r="H984" i="1" s="1"/>
  <c r="F984" i="1" a="1"/>
  <c r="F984" i="1" s="1"/>
  <c r="AA983" i="1"/>
  <c r="AE983" i="1" s="1"/>
  <c r="X983" i="1"/>
  <c r="O983" i="1"/>
  <c r="J983" i="1" a="1"/>
  <c r="J983" i="1" s="1"/>
  <c r="I983" i="1" a="1"/>
  <c r="I983" i="1" s="1"/>
  <c r="H983" i="1" a="1"/>
  <c r="H983" i="1" s="1"/>
  <c r="F983" i="1" a="1"/>
  <c r="F983" i="1" s="1"/>
  <c r="AA982" i="1"/>
  <c r="AE982" i="1" s="1"/>
  <c r="X982" i="1"/>
  <c r="O982" i="1"/>
  <c r="K982" i="1" a="1"/>
  <c r="K982" i="1" s="1"/>
  <c r="I982" i="1" a="1"/>
  <c r="I982" i="1" s="1"/>
  <c r="H982" i="1" a="1"/>
  <c r="H982" i="1" s="1"/>
  <c r="F982" i="1" a="1"/>
  <c r="F982" i="1" s="1"/>
  <c r="AA981" i="1"/>
  <c r="AE981" i="1" s="1"/>
  <c r="X981" i="1"/>
  <c r="O981" i="1"/>
  <c r="K981" i="1" a="1"/>
  <c r="K981" i="1" s="1"/>
  <c r="I981" i="1" a="1"/>
  <c r="I981" i="1" s="1"/>
  <c r="H981" i="1" a="1"/>
  <c r="H981" i="1" s="1"/>
  <c r="F981" i="1" a="1"/>
  <c r="F981" i="1" s="1"/>
  <c r="AA980" i="1"/>
  <c r="X980" i="1"/>
  <c r="O980" i="1"/>
  <c r="K980" i="1" a="1"/>
  <c r="K980" i="1" s="1"/>
  <c r="I980" i="1" a="1"/>
  <c r="I980" i="1" s="1"/>
  <c r="H980" i="1" a="1"/>
  <c r="H980" i="1" s="1"/>
  <c r="F980" i="1" a="1"/>
  <c r="F980" i="1" s="1"/>
  <c r="AA979" i="1"/>
  <c r="X979" i="1"/>
  <c r="O979" i="1"/>
  <c r="K979" i="1" a="1"/>
  <c r="K979" i="1" s="1"/>
  <c r="J979" i="1" a="1"/>
  <c r="J979" i="1" s="1"/>
  <c r="I979" i="1" a="1"/>
  <c r="I979" i="1" s="1"/>
  <c r="H979" i="1" a="1"/>
  <c r="H979" i="1" s="1"/>
  <c r="F979" i="1" a="1"/>
  <c r="F979" i="1" s="1"/>
  <c r="AA978" i="1"/>
  <c r="AE978" i="1" s="1"/>
  <c r="X978" i="1"/>
  <c r="O978" i="1"/>
  <c r="K978" i="1" a="1"/>
  <c r="K978" i="1" s="1"/>
  <c r="J978" i="1" a="1"/>
  <c r="J978" i="1" s="1"/>
  <c r="I978" i="1" a="1"/>
  <c r="I978" i="1" s="1"/>
  <c r="H978" i="1"/>
  <c r="H978" i="1" a="1"/>
  <c r="F978" i="1" a="1"/>
  <c r="F978" i="1" s="1"/>
  <c r="AA977" i="1"/>
  <c r="AE977" i="1" s="1"/>
  <c r="X977" i="1"/>
  <c r="O977" i="1"/>
  <c r="K977" i="1" a="1"/>
  <c r="K977" i="1" s="1"/>
  <c r="I977" i="1" a="1"/>
  <c r="I977" i="1" s="1"/>
  <c r="H977" i="1" a="1"/>
  <c r="H977" i="1" s="1"/>
  <c r="F977" i="1" a="1"/>
  <c r="F977" i="1" s="1"/>
  <c r="AB976" i="1"/>
  <c r="AA976" i="1"/>
  <c r="AE976" i="1" s="1"/>
  <c r="X976" i="1"/>
  <c r="O976" i="1"/>
  <c r="K976" i="1" a="1"/>
  <c r="K976" i="1" s="1"/>
  <c r="I976" i="1" a="1"/>
  <c r="I976" i="1" s="1"/>
  <c r="H976" i="1" a="1"/>
  <c r="H976" i="1" s="1"/>
  <c r="F976" i="1" a="1"/>
  <c r="F976" i="1" s="1"/>
  <c r="AA975" i="1"/>
  <c r="AE975" i="1" s="1"/>
  <c r="X975" i="1"/>
  <c r="O975" i="1"/>
  <c r="K975" i="1" a="1"/>
  <c r="K975" i="1" s="1"/>
  <c r="J975" i="1" a="1"/>
  <c r="J975" i="1" s="1"/>
  <c r="I975" i="1" a="1"/>
  <c r="I975" i="1" s="1"/>
  <c r="H975" i="1" a="1"/>
  <c r="H975" i="1" s="1"/>
  <c r="F975" i="1" a="1"/>
  <c r="F975" i="1" s="1"/>
  <c r="AA974" i="1"/>
  <c r="AE974" i="1" s="1"/>
  <c r="X974" i="1"/>
  <c r="O974" i="1"/>
  <c r="K974" i="1" a="1"/>
  <c r="K974" i="1" s="1"/>
  <c r="J974" i="1" a="1"/>
  <c r="J974" i="1" s="1"/>
  <c r="I974" i="1" a="1"/>
  <c r="I974" i="1" s="1"/>
  <c r="H974" i="1" a="1"/>
  <c r="H974" i="1" s="1"/>
  <c r="F974" i="1" a="1"/>
  <c r="F974" i="1" s="1"/>
  <c r="AE973" i="1"/>
  <c r="AA973" i="1"/>
  <c r="AB973" i="1" s="1"/>
  <c r="X973" i="1"/>
  <c r="O973" i="1"/>
  <c r="K973" i="1" a="1"/>
  <c r="K973" i="1" s="1"/>
  <c r="J973" i="1" a="1"/>
  <c r="J973" i="1" s="1"/>
  <c r="I973" i="1" a="1"/>
  <c r="I973" i="1" s="1"/>
  <c r="H973" i="1" a="1"/>
  <c r="H973" i="1" s="1"/>
  <c r="F973" i="1" a="1"/>
  <c r="F973" i="1" s="1"/>
  <c r="AB972" i="1"/>
  <c r="AA972" i="1"/>
  <c r="AE972" i="1" s="1"/>
  <c r="X972" i="1"/>
  <c r="O972" i="1"/>
  <c r="K972" i="1" a="1"/>
  <c r="K972" i="1" s="1"/>
  <c r="J972" i="1" a="1"/>
  <c r="J972" i="1" s="1"/>
  <c r="I972" i="1"/>
  <c r="I972" i="1" a="1"/>
  <c r="H972" i="1" a="1"/>
  <c r="H972" i="1" s="1"/>
  <c r="F972" i="1" a="1"/>
  <c r="F972" i="1" s="1"/>
  <c r="AA971" i="1"/>
  <c r="AE971" i="1" s="1"/>
  <c r="X971" i="1"/>
  <c r="O971" i="1"/>
  <c r="K971" i="1" a="1"/>
  <c r="K971" i="1" s="1"/>
  <c r="J971" i="1" a="1"/>
  <c r="J971" i="1" s="1"/>
  <c r="I971" i="1" a="1"/>
  <c r="I971" i="1" s="1"/>
  <c r="H971" i="1" a="1"/>
  <c r="H971" i="1" s="1"/>
  <c r="F971" i="1" a="1"/>
  <c r="F971" i="1" s="1"/>
  <c r="AA970" i="1"/>
  <c r="AE970" i="1" s="1"/>
  <c r="X970" i="1"/>
  <c r="O970" i="1"/>
  <c r="K970" i="1" a="1"/>
  <c r="K970" i="1" s="1"/>
  <c r="J970" i="1" a="1"/>
  <c r="J970" i="1" s="1"/>
  <c r="I970" i="1" a="1"/>
  <c r="I970" i="1" s="1"/>
  <c r="H970" i="1"/>
  <c r="H970" i="1" a="1"/>
  <c r="F970" i="1" a="1"/>
  <c r="F970" i="1" s="1"/>
  <c r="AB969" i="1"/>
  <c r="AA969" i="1"/>
  <c r="AE969" i="1" s="1"/>
  <c r="X969" i="1"/>
  <c r="O969" i="1"/>
  <c r="K969" i="1"/>
  <c r="K969" i="1" a="1"/>
  <c r="J969" i="1" a="1"/>
  <c r="J969" i="1" s="1"/>
  <c r="I969" i="1" a="1"/>
  <c r="I969" i="1" s="1"/>
  <c r="H969" i="1" a="1"/>
  <c r="H969" i="1" s="1"/>
  <c r="F969" i="1" a="1"/>
  <c r="F969" i="1" s="1"/>
  <c r="AE968" i="1"/>
  <c r="AA968" i="1"/>
  <c r="AB968" i="1" s="1"/>
  <c r="X968" i="1"/>
  <c r="O968" i="1"/>
  <c r="K968" i="1" a="1"/>
  <c r="K968" i="1" s="1"/>
  <c r="J968" i="1" a="1"/>
  <c r="J968" i="1" s="1"/>
  <c r="I968" i="1"/>
  <c r="I968" i="1" a="1"/>
  <c r="H968" i="1" a="1"/>
  <c r="H968" i="1" s="1"/>
  <c r="F968" i="1" a="1"/>
  <c r="F968" i="1" s="1"/>
  <c r="AA967" i="1"/>
  <c r="AE967" i="1" s="1"/>
  <c r="X967" i="1"/>
  <c r="O967" i="1"/>
  <c r="K967" i="1" a="1"/>
  <c r="K967" i="1" s="1"/>
  <c r="J967" i="1" a="1"/>
  <c r="J967" i="1" s="1"/>
  <c r="I967" i="1" a="1"/>
  <c r="I967" i="1" s="1"/>
  <c r="H967" i="1" a="1"/>
  <c r="H967" i="1" s="1"/>
  <c r="F967" i="1" a="1"/>
  <c r="F967" i="1" s="1"/>
  <c r="AA966" i="1"/>
  <c r="AE966" i="1" s="1"/>
  <c r="X966" i="1"/>
  <c r="O966" i="1"/>
  <c r="K966" i="1" a="1"/>
  <c r="K966" i="1" s="1"/>
  <c r="J966" i="1" a="1"/>
  <c r="J966" i="1" s="1"/>
  <c r="I966" i="1" a="1"/>
  <c r="I966" i="1" s="1"/>
  <c r="H966" i="1"/>
  <c r="H966" i="1" a="1"/>
  <c r="F966" i="1" a="1"/>
  <c r="F966" i="1" s="1"/>
  <c r="AE965" i="1"/>
  <c r="AB965" i="1"/>
  <c r="AA965" i="1"/>
  <c r="X965" i="1"/>
  <c r="O965" i="1"/>
  <c r="K965" i="1"/>
  <c r="K965" i="1" a="1"/>
  <c r="J965" i="1" a="1"/>
  <c r="J965" i="1" s="1"/>
  <c r="I965" i="1" a="1"/>
  <c r="I965" i="1" s="1"/>
  <c r="H965" i="1" a="1"/>
  <c r="H965" i="1" s="1"/>
  <c r="F965" i="1" a="1"/>
  <c r="F965" i="1" s="1"/>
  <c r="AE964" i="1"/>
  <c r="AA964" i="1"/>
  <c r="AB964" i="1" s="1"/>
  <c r="X964" i="1"/>
  <c r="O964" i="1"/>
  <c r="K964" i="1" a="1"/>
  <c r="K964" i="1" s="1"/>
  <c r="J964" i="1" a="1"/>
  <c r="J964" i="1" s="1"/>
  <c r="I964" i="1"/>
  <c r="I964" i="1" a="1"/>
  <c r="H964" i="1" a="1"/>
  <c r="H964" i="1" s="1"/>
  <c r="F964" i="1" a="1"/>
  <c r="F964" i="1" s="1"/>
  <c r="AA963" i="1"/>
  <c r="AE963" i="1" s="1"/>
  <c r="X963" i="1"/>
  <c r="O963" i="1"/>
  <c r="K963" i="1" a="1"/>
  <c r="K963" i="1" s="1"/>
  <c r="J963" i="1" a="1"/>
  <c r="J963" i="1" s="1"/>
  <c r="I963" i="1" a="1"/>
  <c r="I963" i="1" s="1"/>
  <c r="H963" i="1" a="1"/>
  <c r="H963" i="1" s="1"/>
  <c r="F963" i="1" a="1"/>
  <c r="F963" i="1" s="1"/>
  <c r="AA962" i="1"/>
  <c r="AE962" i="1" s="1"/>
  <c r="X962" i="1"/>
  <c r="O962" i="1"/>
  <c r="K962" i="1" a="1"/>
  <c r="K962" i="1" s="1"/>
  <c r="J962" i="1" a="1"/>
  <c r="J962" i="1" s="1"/>
  <c r="I962" i="1" a="1"/>
  <c r="I962" i="1" s="1"/>
  <c r="H962" i="1"/>
  <c r="H962" i="1" a="1"/>
  <c r="F962" i="1" a="1"/>
  <c r="F962" i="1" s="1"/>
  <c r="AB961" i="1"/>
  <c r="AA961" i="1"/>
  <c r="AE961" i="1" s="1"/>
  <c r="X961" i="1"/>
  <c r="O961" i="1"/>
  <c r="K961" i="1"/>
  <c r="K961" i="1" a="1"/>
  <c r="J961" i="1" a="1"/>
  <c r="J961" i="1" s="1"/>
  <c r="I961" i="1" a="1"/>
  <c r="I961" i="1" s="1"/>
  <c r="H961" i="1" a="1"/>
  <c r="H961" i="1" s="1"/>
  <c r="F961" i="1" a="1"/>
  <c r="F961" i="1" s="1"/>
  <c r="AE960" i="1"/>
  <c r="AA960" i="1"/>
  <c r="AB960" i="1" s="1"/>
  <c r="X960" i="1"/>
  <c r="O960" i="1"/>
  <c r="K960" i="1" a="1"/>
  <c r="K960" i="1" s="1"/>
  <c r="J960" i="1" a="1"/>
  <c r="J960" i="1" s="1"/>
  <c r="I960" i="1"/>
  <c r="I960" i="1" a="1"/>
  <c r="H960" i="1" a="1"/>
  <c r="H960" i="1" s="1"/>
  <c r="F960" i="1" a="1"/>
  <c r="F960" i="1" s="1"/>
  <c r="AA959" i="1"/>
  <c r="AE959" i="1" s="1"/>
  <c r="X959" i="1"/>
  <c r="O959" i="1"/>
  <c r="K959" i="1" a="1"/>
  <c r="K959" i="1" s="1"/>
  <c r="J959" i="1" a="1"/>
  <c r="J959" i="1" s="1"/>
  <c r="I959" i="1" a="1"/>
  <c r="I959" i="1" s="1"/>
  <c r="H959" i="1" a="1"/>
  <c r="H959" i="1" s="1"/>
  <c r="F959" i="1" a="1"/>
  <c r="F959" i="1" s="1"/>
  <c r="AA958" i="1"/>
  <c r="AE958" i="1" s="1"/>
  <c r="X958" i="1"/>
  <c r="O958" i="1"/>
  <c r="K958" i="1" a="1"/>
  <c r="K958" i="1" s="1"/>
  <c r="J958" i="1" a="1"/>
  <c r="J958" i="1" s="1"/>
  <c r="I958" i="1" a="1"/>
  <c r="I958" i="1" s="1"/>
  <c r="H958" i="1" a="1"/>
  <c r="H958" i="1" s="1"/>
  <c r="F958" i="1" a="1"/>
  <c r="F958" i="1" s="1"/>
  <c r="AA957" i="1"/>
  <c r="X957" i="1"/>
  <c r="O957" i="1"/>
  <c r="K957" i="1" a="1"/>
  <c r="K957" i="1" s="1"/>
  <c r="J957" i="1" a="1"/>
  <c r="J957" i="1" s="1"/>
  <c r="I957" i="1" a="1"/>
  <c r="I957" i="1" s="1"/>
  <c r="H957" i="1" a="1"/>
  <c r="H957" i="1" s="1"/>
  <c r="F957" i="1" a="1"/>
  <c r="F957" i="1" s="1"/>
  <c r="AB956" i="1"/>
  <c r="AA956" i="1"/>
  <c r="AE956" i="1" s="1"/>
  <c r="X956" i="1"/>
  <c r="O956" i="1"/>
  <c r="K956" i="1"/>
  <c r="K956" i="1" a="1"/>
  <c r="J956" i="1" a="1"/>
  <c r="J956" i="1" s="1"/>
  <c r="I956" i="1" a="1"/>
  <c r="I956" i="1" s="1"/>
  <c r="H956" i="1" a="1"/>
  <c r="H956" i="1" s="1"/>
  <c r="F956" i="1" a="1"/>
  <c r="F956" i="1" s="1"/>
  <c r="AA955" i="1"/>
  <c r="X955" i="1"/>
  <c r="O955" i="1"/>
  <c r="K955" i="1" a="1"/>
  <c r="K955" i="1" s="1"/>
  <c r="J955" i="1" a="1"/>
  <c r="J955" i="1" s="1"/>
  <c r="I955" i="1" a="1"/>
  <c r="I955" i="1" s="1"/>
  <c r="H955" i="1" a="1"/>
  <c r="H955" i="1" s="1"/>
  <c r="F955" i="1" a="1"/>
  <c r="F955" i="1" s="1"/>
  <c r="AA954" i="1"/>
  <c r="AE954" i="1" s="1"/>
  <c r="X954" i="1"/>
  <c r="O954" i="1"/>
  <c r="K954" i="1" a="1"/>
  <c r="K954" i="1" s="1"/>
  <c r="J954" i="1" a="1"/>
  <c r="J954" i="1" s="1"/>
  <c r="I954" i="1" a="1"/>
  <c r="I954" i="1" s="1"/>
  <c r="H954" i="1" a="1"/>
  <c r="H954" i="1" s="1"/>
  <c r="F954" i="1" a="1"/>
  <c r="F954" i="1" s="1"/>
  <c r="AA953" i="1"/>
  <c r="AE953" i="1" s="1"/>
  <c r="X953" i="1"/>
  <c r="O953" i="1"/>
  <c r="K953" i="1" a="1"/>
  <c r="K953" i="1" s="1"/>
  <c r="J953" i="1" a="1"/>
  <c r="J953" i="1" s="1"/>
  <c r="I953" i="1" a="1"/>
  <c r="I953" i="1" s="1"/>
  <c r="H953" i="1" a="1"/>
  <c r="H953" i="1" s="1"/>
  <c r="F953" i="1" a="1"/>
  <c r="F953" i="1" s="1"/>
  <c r="AA952" i="1"/>
  <c r="AE952" i="1" s="1"/>
  <c r="X952" i="1"/>
  <c r="O952" i="1"/>
  <c r="K952" i="1" a="1"/>
  <c r="K952" i="1" s="1"/>
  <c r="J952" i="1" a="1"/>
  <c r="J952" i="1" s="1"/>
  <c r="I952" i="1" a="1"/>
  <c r="I952" i="1" s="1"/>
  <c r="H952" i="1" a="1"/>
  <c r="H952" i="1" s="1"/>
  <c r="F952" i="1"/>
  <c r="F952" i="1" a="1"/>
  <c r="AA951" i="1"/>
  <c r="AE951" i="1" s="1"/>
  <c r="X951" i="1"/>
  <c r="O951" i="1"/>
  <c r="K951" i="1" a="1"/>
  <c r="K951" i="1" s="1"/>
  <c r="J951" i="1" a="1"/>
  <c r="J951" i="1" s="1"/>
  <c r="I951" i="1" a="1"/>
  <c r="I951" i="1" s="1"/>
  <c r="H951" i="1" a="1"/>
  <c r="H951" i="1" s="1"/>
  <c r="F951" i="1" a="1"/>
  <c r="F951" i="1" s="1"/>
  <c r="AA950" i="1"/>
  <c r="AE950" i="1" s="1"/>
  <c r="X950" i="1"/>
  <c r="O950" i="1"/>
  <c r="K950" i="1" a="1"/>
  <c r="K950" i="1" s="1"/>
  <c r="J950" i="1" a="1"/>
  <c r="J950" i="1" s="1"/>
  <c r="I950" i="1" a="1"/>
  <c r="I950" i="1" s="1"/>
  <c r="H950" i="1" a="1"/>
  <c r="H950" i="1" s="1"/>
  <c r="F950" i="1" a="1"/>
  <c r="F950" i="1" s="1"/>
  <c r="AE949" i="1"/>
  <c r="AA949" i="1"/>
  <c r="AB949" i="1" s="1"/>
  <c r="X949" i="1"/>
  <c r="O949" i="1"/>
  <c r="K949" i="1" a="1"/>
  <c r="K949" i="1" s="1"/>
  <c r="J949" i="1" a="1"/>
  <c r="J949" i="1" s="1"/>
  <c r="I949" i="1" a="1"/>
  <c r="I949" i="1" s="1"/>
  <c r="H949" i="1" a="1"/>
  <c r="H949" i="1" s="1"/>
  <c r="F949" i="1" a="1"/>
  <c r="F949" i="1" s="1"/>
  <c r="AB948" i="1"/>
  <c r="AA948" i="1"/>
  <c r="AE948" i="1" s="1"/>
  <c r="X948" i="1"/>
  <c r="O948" i="1"/>
  <c r="K948" i="1"/>
  <c r="K948" i="1" a="1"/>
  <c r="J948" i="1" a="1"/>
  <c r="J948" i="1" s="1"/>
  <c r="I948" i="1" a="1"/>
  <c r="I948" i="1" s="1"/>
  <c r="H948" i="1" a="1"/>
  <c r="H948" i="1" s="1"/>
  <c r="F948" i="1" a="1"/>
  <c r="F948" i="1" s="1"/>
  <c r="AB947" i="1"/>
  <c r="AA947" i="1"/>
  <c r="AE947" i="1" s="1"/>
  <c r="X947" i="1"/>
  <c r="O947" i="1"/>
  <c r="K947" i="1"/>
  <c r="K947" i="1" a="1"/>
  <c r="J947" i="1" a="1"/>
  <c r="J947" i="1" s="1"/>
  <c r="I947" i="1" a="1"/>
  <c r="I947" i="1" s="1"/>
  <c r="H947" i="1" a="1"/>
  <c r="H947" i="1" s="1"/>
  <c r="F947" i="1" a="1"/>
  <c r="F947" i="1" s="1"/>
  <c r="AA946" i="1"/>
  <c r="AE946" i="1" s="1"/>
  <c r="X946" i="1"/>
  <c r="O946" i="1"/>
  <c r="K946" i="1" a="1"/>
  <c r="K946" i="1" s="1"/>
  <c r="J946" i="1" a="1"/>
  <c r="J946" i="1" s="1"/>
  <c r="I946" i="1" a="1"/>
  <c r="I946" i="1" s="1"/>
  <c r="H946" i="1" a="1"/>
  <c r="H946" i="1" s="1"/>
  <c r="F946" i="1" a="1"/>
  <c r="F946" i="1" s="1"/>
  <c r="AA945" i="1"/>
  <c r="AE945" i="1" s="1"/>
  <c r="X945" i="1"/>
  <c r="O945" i="1"/>
  <c r="K945" i="1" a="1"/>
  <c r="K945" i="1" s="1"/>
  <c r="J945" i="1" a="1"/>
  <c r="J945" i="1" s="1"/>
  <c r="I945" i="1" a="1"/>
  <c r="I945" i="1" s="1"/>
  <c r="H945" i="1" a="1"/>
  <c r="H945" i="1" s="1"/>
  <c r="F945" i="1" a="1"/>
  <c r="F945" i="1" s="1"/>
  <c r="AA944" i="1"/>
  <c r="AE944" i="1" s="1"/>
  <c r="X944" i="1"/>
  <c r="O944" i="1"/>
  <c r="K944" i="1" a="1"/>
  <c r="K944" i="1" s="1"/>
  <c r="J944" i="1" a="1"/>
  <c r="J944" i="1" s="1"/>
  <c r="I944" i="1"/>
  <c r="I944" i="1" a="1"/>
  <c r="H944" i="1" a="1"/>
  <c r="H944" i="1" s="1"/>
  <c r="F944" i="1" a="1"/>
  <c r="F944" i="1" s="1"/>
  <c r="AA943" i="1"/>
  <c r="AE943" i="1" s="1"/>
  <c r="X943" i="1"/>
  <c r="O943" i="1"/>
  <c r="K943" i="1" a="1"/>
  <c r="K943" i="1" s="1"/>
  <c r="J943" i="1" a="1"/>
  <c r="J943" i="1" s="1"/>
  <c r="I943" i="1"/>
  <c r="I943" i="1" a="1"/>
  <c r="H943" i="1" a="1"/>
  <c r="H943" i="1" s="1"/>
  <c r="F943" i="1" a="1"/>
  <c r="F943" i="1" s="1"/>
  <c r="AA942" i="1"/>
  <c r="AE942" i="1" s="1"/>
  <c r="X942" i="1"/>
  <c r="O942" i="1"/>
  <c r="K942" i="1" a="1"/>
  <c r="K942" i="1" s="1"/>
  <c r="J942" i="1"/>
  <c r="J942" i="1" a="1"/>
  <c r="I942" i="1" a="1"/>
  <c r="I942" i="1" s="1"/>
  <c r="H942" i="1" a="1"/>
  <c r="H942" i="1" s="1"/>
  <c r="F942" i="1" a="1"/>
  <c r="F942" i="1" s="1"/>
  <c r="AA941" i="1"/>
  <c r="X941" i="1"/>
  <c r="O941" i="1"/>
  <c r="K941" i="1" a="1"/>
  <c r="K941" i="1" s="1"/>
  <c r="J941" i="1" a="1"/>
  <c r="J941" i="1" s="1"/>
  <c r="I941" i="1" a="1"/>
  <c r="I941" i="1" s="1"/>
  <c r="H941" i="1" a="1"/>
  <c r="H941" i="1" s="1"/>
  <c r="F941" i="1" a="1"/>
  <c r="F941" i="1" s="1"/>
  <c r="AE940" i="1"/>
  <c r="AB940" i="1"/>
  <c r="AA940" i="1"/>
  <c r="X940" i="1"/>
  <c r="O940" i="1"/>
  <c r="K940" i="1"/>
  <c r="K940" i="1" a="1"/>
  <c r="J940" i="1" a="1"/>
  <c r="J940" i="1" s="1"/>
  <c r="I940" i="1" a="1"/>
  <c r="I940" i="1" s="1"/>
  <c r="H940" i="1" a="1"/>
  <c r="H940" i="1" s="1"/>
  <c r="F940" i="1" a="1"/>
  <c r="F940" i="1" s="1"/>
  <c r="AB939" i="1"/>
  <c r="AA939" i="1"/>
  <c r="AE939" i="1" s="1"/>
  <c r="X939" i="1"/>
  <c r="O939" i="1"/>
  <c r="K939" i="1"/>
  <c r="K939" i="1" a="1"/>
  <c r="J939" i="1" a="1"/>
  <c r="J939" i="1" s="1"/>
  <c r="I939" i="1" a="1"/>
  <c r="I939" i="1" s="1"/>
  <c r="H939" i="1" a="1"/>
  <c r="H939" i="1" s="1"/>
  <c r="F939" i="1" a="1"/>
  <c r="F939" i="1" s="1"/>
  <c r="AA938" i="1"/>
  <c r="AE938" i="1" s="1"/>
  <c r="X938" i="1"/>
  <c r="O938" i="1"/>
  <c r="K938" i="1" a="1"/>
  <c r="K938" i="1" s="1"/>
  <c r="J938" i="1" a="1"/>
  <c r="J938" i="1" s="1"/>
  <c r="I938" i="1" a="1"/>
  <c r="I938" i="1" s="1"/>
  <c r="H938" i="1" a="1"/>
  <c r="H938" i="1" s="1"/>
  <c r="F938" i="1" a="1"/>
  <c r="F938" i="1" s="1"/>
  <c r="AA937" i="1"/>
  <c r="AE937" i="1" s="1"/>
  <c r="X937" i="1"/>
  <c r="O937" i="1"/>
  <c r="J937" i="1" a="1"/>
  <c r="J937" i="1" s="1"/>
  <c r="I937" i="1" a="1"/>
  <c r="I937" i="1" s="1"/>
  <c r="H937" i="1" a="1"/>
  <c r="H937" i="1" s="1"/>
  <c r="F937" i="1" a="1"/>
  <c r="F937" i="1" s="1"/>
  <c r="AE936" i="1"/>
  <c r="AB936" i="1"/>
  <c r="AA936" i="1"/>
  <c r="X936" i="1"/>
  <c r="O936" i="1"/>
  <c r="J936" i="1" a="1"/>
  <c r="J936" i="1" s="1"/>
  <c r="I936" i="1" a="1"/>
  <c r="I936" i="1" s="1"/>
  <c r="H936" i="1" a="1"/>
  <c r="H936" i="1" s="1"/>
  <c r="F936" i="1"/>
  <c r="F936" i="1" a="1"/>
  <c r="AA935" i="1"/>
  <c r="AE935" i="1" s="1"/>
  <c r="X935" i="1"/>
  <c r="O935" i="1"/>
  <c r="K935" i="1" a="1"/>
  <c r="K935" i="1" s="1"/>
  <c r="I935" i="1"/>
  <c r="I935" i="1" a="1"/>
  <c r="H935" i="1" a="1"/>
  <c r="H935" i="1" s="1"/>
  <c r="F935" i="1" a="1"/>
  <c r="F935" i="1" s="1"/>
  <c r="AA934" i="1"/>
  <c r="AE934" i="1" s="1"/>
  <c r="X934" i="1"/>
  <c r="O934" i="1"/>
  <c r="K934" i="1" a="1"/>
  <c r="K934" i="1" s="1"/>
  <c r="I934" i="1" a="1"/>
  <c r="I934" i="1" s="1"/>
  <c r="H934" i="1" a="1"/>
  <c r="H934" i="1" s="1"/>
  <c r="F934" i="1" a="1"/>
  <c r="F934" i="1" s="1"/>
  <c r="AE933" i="1"/>
  <c r="AA933" i="1"/>
  <c r="AB933" i="1" s="1"/>
  <c r="X933" i="1"/>
  <c r="O933" i="1"/>
  <c r="K933" i="1" a="1"/>
  <c r="K933" i="1" s="1"/>
  <c r="I933" i="1" a="1"/>
  <c r="I933" i="1" s="1"/>
  <c r="H933" i="1" a="1"/>
  <c r="H933" i="1" s="1"/>
  <c r="F933" i="1" a="1"/>
  <c r="F933" i="1" s="1"/>
  <c r="AA932" i="1"/>
  <c r="X932" i="1"/>
  <c r="O932" i="1"/>
  <c r="K932" i="1" a="1"/>
  <c r="K932" i="1" s="1"/>
  <c r="J932" i="1" a="1"/>
  <c r="J932" i="1" s="1"/>
  <c r="I932" i="1" a="1"/>
  <c r="I932" i="1" s="1"/>
  <c r="H932" i="1" a="1"/>
  <c r="H932" i="1" s="1"/>
  <c r="F932" i="1" a="1"/>
  <c r="F932" i="1" s="1"/>
  <c r="AA931" i="1"/>
  <c r="AE931" i="1" s="1"/>
  <c r="X931" i="1"/>
  <c r="O931" i="1"/>
  <c r="K931" i="1" a="1"/>
  <c r="K931" i="1" s="1"/>
  <c r="J931" i="1" a="1"/>
  <c r="J931" i="1" s="1"/>
  <c r="I931" i="1" a="1"/>
  <c r="I931" i="1" s="1"/>
  <c r="H931" i="1" a="1"/>
  <c r="H931" i="1" s="1"/>
  <c r="F931" i="1" a="1"/>
  <c r="F931" i="1" s="1"/>
  <c r="AA930" i="1"/>
  <c r="AE930" i="1" s="1"/>
  <c r="X930" i="1"/>
  <c r="O930" i="1"/>
  <c r="K930" i="1" a="1"/>
  <c r="K930" i="1" s="1"/>
  <c r="J930" i="1" a="1"/>
  <c r="J930" i="1" s="1"/>
  <c r="I930" i="1" a="1"/>
  <c r="I930" i="1" s="1"/>
  <c r="H930" i="1" a="1"/>
  <c r="H930" i="1" s="1"/>
  <c r="F930" i="1" a="1"/>
  <c r="F930" i="1" s="1"/>
  <c r="AA929" i="1"/>
  <c r="AE929" i="1" s="1"/>
  <c r="X929" i="1"/>
  <c r="O929" i="1"/>
  <c r="K929" i="1" a="1"/>
  <c r="K929" i="1" s="1"/>
  <c r="I929" i="1" a="1"/>
  <c r="I929" i="1" s="1"/>
  <c r="H929" i="1" a="1"/>
  <c r="H929" i="1" s="1"/>
  <c r="F929" i="1" a="1"/>
  <c r="F929" i="1" s="1"/>
  <c r="AB928" i="1"/>
  <c r="AA928" i="1"/>
  <c r="AE928" i="1" s="1"/>
  <c r="X928" i="1"/>
  <c r="O928" i="1"/>
  <c r="K928" i="1"/>
  <c r="K928" i="1" a="1"/>
  <c r="I928" i="1" a="1"/>
  <c r="I928" i="1" s="1"/>
  <c r="H928" i="1" a="1"/>
  <c r="H928" i="1" s="1"/>
  <c r="F928" i="1" a="1"/>
  <c r="F928" i="1" s="1"/>
  <c r="AA927" i="1"/>
  <c r="AE927" i="1" s="1"/>
  <c r="X927" i="1"/>
  <c r="O927" i="1"/>
  <c r="K927" i="1" a="1"/>
  <c r="K927" i="1" s="1"/>
  <c r="I927" i="1" a="1"/>
  <c r="I927" i="1" s="1"/>
  <c r="H927" i="1" a="1"/>
  <c r="H927" i="1" s="1"/>
  <c r="F927" i="1" a="1"/>
  <c r="F927" i="1" s="1"/>
  <c r="AA926" i="1"/>
  <c r="AE926" i="1" s="1"/>
  <c r="X926" i="1"/>
  <c r="O926" i="1"/>
  <c r="K926" i="1" a="1"/>
  <c r="K926" i="1" s="1"/>
  <c r="J926" i="1" a="1"/>
  <c r="J926" i="1" s="1"/>
  <c r="I926" i="1" a="1"/>
  <c r="I926" i="1" s="1"/>
  <c r="H926" i="1"/>
  <c r="H926" i="1" a="1"/>
  <c r="F926" i="1" a="1"/>
  <c r="F926" i="1" s="1"/>
  <c r="AB925" i="1"/>
  <c r="AA925" i="1"/>
  <c r="AE925" i="1" s="1"/>
  <c r="X925" i="1"/>
  <c r="O925" i="1"/>
  <c r="K925" i="1"/>
  <c r="K925" i="1" a="1"/>
  <c r="J925" i="1" a="1"/>
  <c r="J925" i="1" s="1"/>
  <c r="I925" i="1" a="1"/>
  <c r="I925" i="1" s="1"/>
  <c r="H925" i="1" a="1"/>
  <c r="H925" i="1" s="1"/>
  <c r="F925" i="1" a="1"/>
  <c r="F925" i="1" s="1"/>
  <c r="AB924" i="1"/>
  <c r="AA924" i="1"/>
  <c r="AE924" i="1" s="1"/>
  <c r="X924" i="1"/>
  <c r="O924" i="1"/>
  <c r="K924" i="1"/>
  <c r="K924" i="1" a="1"/>
  <c r="J924" i="1" a="1"/>
  <c r="J924" i="1" s="1"/>
  <c r="I924" i="1" a="1"/>
  <c r="I924" i="1" s="1"/>
  <c r="H924" i="1" a="1"/>
  <c r="H924" i="1" s="1"/>
  <c r="F924" i="1" a="1"/>
  <c r="F924" i="1" s="1"/>
  <c r="AA923" i="1"/>
  <c r="X923" i="1"/>
  <c r="O923" i="1"/>
  <c r="K923" i="1" a="1"/>
  <c r="K923" i="1" s="1"/>
  <c r="J923" i="1" a="1"/>
  <c r="J923" i="1" s="1"/>
  <c r="I923" i="1"/>
  <c r="I923" i="1" a="1"/>
  <c r="H923" i="1" a="1"/>
  <c r="H923" i="1" s="1"/>
  <c r="F923" i="1" a="1"/>
  <c r="F923" i="1" s="1"/>
  <c r="AA922" i="1"/>
  <c r="AE922" i="1" s="1"/>
  <c r="X922" i="1"/>
  <c r="O922" i="1"/>
  <c r="K922" i="1" a="1"/>
  <c r="K922" i="1" s="1"/>
  <c r="J922" i="1"/>
  <c r="J922" i="1" a="1"/>
  <c r="I922" i="1" a="1"/>
  <c r="I922" i="1" s="1"/>
  <c r="H922" i="1" a="1"/>
  <c r="H922" i="1" s="1"/>
  <c r="F922" i="1" a="1"/>
  <c r="F922" i="1" s="1"/>
  <c r="AA921" i="1"/>
  <c r="X921" i="1"/>
  <c r="O921" i="1"/>
  <c r="K921" i="1" a="1"/>
  <c r="K921" i="1" s="1"/>
  <c r="J921" i="1" a="1"/>
  <c r="J921" i="1" s="1"/>
  <c r="I921" i="1" a="1"/>
  <c r="I921" i="1" s="1"/>
  <c r="H921" i="1" a="1"/>
  <c r="H921" i="1" s="1"/>
  <c r="F921" i="1" a="1"/>
  <c r="F921" i="1" s="1"/>
  <c r="AA920" i="1"/>
  <c r="AE920" i="1" s="1"/>
  <c r="X920" i="1"/>
  <c r="O920" i="1"/>
  <c r="K920" i="1" a="1"/>
  <c r="K920" i="1" s="1"/>
  <c r="J920" i="1" a="1"/>
  <c r="J920" i="1" s="1"/>
  <c r="I920" i="1"/>
  <c r="I920" i="1" a="1"/>
  <c r="H920" i="1" a="1"/>
  <c r="H920" i="1" s="1"/>
  <c r="F920" i="1" a="1"/>
  <c r="F920" i="1" s="1"/>
  <c r="AA919" i="1"/>
  <c r="AE919" i="1" s="1"/>
  <c r="X919" i="1"/>
  <c r="O919" i="1"/>
  <c r="K919" i="1" a="1"/>
  <c r="K919" i="1" s="1"/>
  <c r="J919" i="1" a="1"/>
  <c r="J919" i="1" s="1"/>
  <c r="I919" i="1"/>
  <c r="I919" i="1" a="1"/>
  <c r="H919" i="1" a="1"/>
  <c r="H919" i="1" s="1"/>
  <c r="F919" i="1" a="1"/>
  <c r="F919" i="1" s="1"/>
  <c r="AA918" i="1"/>
  <c r="AE918" i="1" s="1"/>
  <c r="X918" i="1"/>
  <c r="O918" i="1"/>
  <c r="K918" i="1" a="1"/>
  <c r="K918" i="1" s="1"/>
  <c r="J918" i="1"/>
  <c r="J918" i="1" a="1"/>
  <c r="I918" i="1" a="1"/>
  <c r="I918" i="1" s="1"/>
  <c r="H918" i="1" a="1"/>
  <c r="H918" i="1" s="1"/>
  <c r="F918" i="1" a="1"/>
  <c r="F918" i="1" s="1"/>
  <c r="AA917" i="1"/>
  <c r="AE917" i="1" s="1"/>
  <c r="X917" i="1"/>
  <c r="O917" i="1"/>
  <c r="K917" i="1" a="1"/>
  <c r="K917" i="1" s="1"/>
  <c r="J917" i="1" a="1"/>
  <c r="J917" i="1" s="1"/>
  <c r="I917" i="1" a="1"/>
  <c r="I917" i="1" s="1"/>
  <c r="H917" i="1" a="1"/>
  <c r="H917" i="1" s="1"/>
  <c r="F917" i="1" a="1"/>
  <c r="F917" i="1" s="1"/>
  <c r="AA916" i="1"/>
  <c r="X916" i="1"/>
  <c r="O916" i="1"/>
  <c r="K916" i="1" a="1"/>
  <c r="K916" i="1" s="1"/>
  <c r="J916" i="1" a="1"/>
  <c r="J916" i="1" s="1"/>
  <c r="I916" i="1" a="1"/>
  <c r="I916" i="1" s="1"/>
  <c r="H916" i="1" a="1"/>
  <c r="H916" i="1" s="1"/>
  <c r="F916" i="1"/>
  <c r="F916" i="1" a="1"/>
  <c r="AA915" i="1"/>
  <c r="X915" i="1"/>
  <c r="O915" i="1"/>
  <c r="K915" i="1" a="1"/>
  <c r="K915" i="1" s="1"/>
  <c r="J915" i="1" a="1"/>
  <c r="J915" i="1" s="1"/>
  <c r="I915" i="1" a="1"/>
  <c r="I915" i="1" s="1"/>
  <c r="H915" i="1" a="1"/>
  <c r="H915" i="1" s="1"/>
  <c r="F915" i="1" a="1"/>
  <c r="F915" i="1" s="1"/>
  <c r="AA914" i="1"/>
  <c r="AE914" i="1" s="1"/>
  <c r="X914" i="1"/>
  <c r="O914" i="1"/>
  <c r="K914" i="1" a="1"/>
  <c r="K914" i="1" s="1"/>
  <c r="J914" i="1" a="1"/>
  <c r="J914" i="1" s="1"/>
  <c r="I914" i="1" a="1"/>
  <c r="I914" i="1" s="1"/>
  <c r="H914" i="1"/>
  <c r="H914" i="1" a="1"/>
  <c r="F914" i="1" a="1"/>
  <c r="F914" i="1" s="1"/>
  <c r="AE913" i="1"/>
  <c r="AB913" i="1"/>
  <c r="AA913" i="1"/>
  <c r="X913" i="1"/>
  <c r="O913" i="1"/>
  <c r="K913" i="1"/>
  <c r="K913" i="1" a="1"/>
  <c r="J913" i="1" a="1"/>
  <c r="J913" i="1" s="1"/>
  <c r="I913" i="1" a="1"/>
  <c r="I913" i="1" s="1"/>
  <c r="H913" i="1" a="1"/>
  <c r="H913" i="1" s="1"/>
  <c r="F913" i="1" a="1"/>
  <c r="F913" i="1" s="1"/>
  <c r="AE912" i="1"/>
  <c r="AB912" i="1"/>
  <c r="AA912" i="1"/>
  <c r="X912" i="1"/>
  <c r="O912" i="1"/>
  <c r="K912" i="1"/>
  <c r="K912" i="1" a="1"/>
  <c r="J912" i="1" a="1"/>
  <c r="J912" i="1" s="1"/>
  <c r="I912" i="1" a="1"/>
  <c r="I912" i="1" s="1"/>
  <c r="H912" i="1" a="1"/>
  <c r="H912" i="1" s="1"/>
  <c r="F912" i="1" a="1"/>
  <c r="F912" i="1" s="1"/>
  <c r="AA911" i="1"/>
  <c r="AE911" i="1" s="1"/>
  <c r="X911" i="1"/>
  <c r="O911" i="1"/>
  <c r="K911" i="1" a="1"/>
  <c r="K911" i="1" s="1"/>
  <c r="J911" i="1" a="1"/>
  <c r="J911" i="1" s="1"/>
  <c r="I911" i="1" a="1"/>
  <c r="I911" i="1" s="1"/>
  <c r="H911" i="1" a="1"/>
  <c r="H911" i="1" s="1"/>
  <c r="F911" i="1" a="1"/>
  <c r="F911" i="1" s="1"/>
  <c r="AA910" i="1"/>
  <c r="AE910" i="1" s="1"/>
  <c r="X910" i="1"/>
  <c r="O910" i="1"/>
  <c r="K910" i="1" a="1"/>
  <c r="K910" i="1" s="1"/>
  <c r="J910" i="1" a="1"/>
  <c r="J910" i="1" s="1"/>
  <c r="I910" i="1" a="1"/>
  <c r="I910" i="1" s="1"/>
  <c r="H910" i="1" a="1"/>
  <c r="H910" i="1" s="1"/>
  <c r="F910" i="1" a="1"/>
  <c r="F910" i="1" s="1"/>
  <c r="AA909" i="1"/>
  <c r="AE909" i="1" s="1"/>
  <c r="X909" i="1"/>
  <c r="O909" i="1"/>
  <c r="K909" i="1" a="1"/>
  <c r="K909" i="1" s="1"/>
  <c r="J909" i="1" a="1"/>
  <c r="J909" i="1" s="1"/>
  <c r="I909" i="1" a="1"/>
  <c r="I909" i="1" s="1"/>
  <c r="H909" i="1" a="1"/>
  <c r="H909" i="1" s="1"/>
  <c r="F909" i="1" a="1"/>
  <c r="F909" i="1" s="1"/>
  <c r="AB908" i="1"/>
  <c r="AA908" i="1"/>
  <c r="AE908" i="1" s="1"/>
  <c r="X908" i="1"/>
  <c r="O908" i="1"/>
  <c r="K908" i="1"/>
  <c r="K908" i="1" a="1"/>
  <c r="J908" i="1" a="1"/>
  <c r="J908" i="1" s="1"/>
  <c r="I908" i="1" a="1"/>
  <c r="I908" i="1" s="1"/>
  <c r="H908" i="1" a="1"/>
  <c r="H908" i="1" s="1"/>
  <c r="F908" i="1" a="1"/>
  <c r="F908" i="1" s="1"/>
  <c r="AA907" i="1"/>
  <c r="X907" i="1"/>
  <c r="O907" i="1"/>
  <c r="K907" i="1" a="1"/>
  <c r="K907" i="1" s="1"/>
  <c r="J907" i="1" a="1"/>
  <c r="J907" i="1" s="1"/>
  <c r="I907" i="1" a="1"/>
  <c r="I907" i="1" s="1"/>
  <c r="H907" i="1" a="1"/>
  <c r="H907" i="1" s="1"/>
  <c r="F907" i="1" a="1"/>
  <c r="F907" i="1" s="1"/>
  <c r="AA906" i="1"/>
  <c r="AE906" i="1" s="1"/>
  <c r="X906" i="1"/>
  <c r="O906" i="1"/>
  <c r="K906" i="1" a="1"/>
  <c r="K906" i="1" s="1"/>
  <c r="J906" i="1" a="1"/>
  <c r="J906" i="1" s="1"/>
  <c r="I906" i="1" a="1"/>
  <c r="I906" i="1" s="1"/>
  <c r="H906" i="1" a="1"/>
  <c r="H906" i="1" s="1"/>
  <c r="F906" i="1" a="1"/>
  <c r="F906" i="1" s="1"/>
  <c r="AA905" i="1"/>
  <c r="AB905" i="1" s="1"/>
  <c r="X905" i="1"/>
  <c r="O905" i="1"/>
  <c r="K905" i="1" a="1"/>
  <c r="K905" i="1" s="1"/>
  <c r="J905" i="1" a="1"/>
  <c r="J905" i="1" s="1"/>
  <c r="I905" i="1" a="1"/>
  <c r="I905" i="1" s="1"/>
  <c r="H905" i="1" a="1"/>
  <c r="H905" i="1" s="1"/>
  <c r="F905" i="1" a="1"/>
  <c r="F905" i="1" s="1"/>
  <c r="AA904" i="1"/>
  <c r="X904" i="1"/>
  <c r="O904" i="1"/>
  <c r="K904" i="1" a="1"/>
  <c r="K904" i="1" s="1"/>
  <c r="J904" i="1" a="1"/>
  <c r="J904" i="1" s="1"/>
  <c r="I904" i="1"/>
  <c r="I904" i="1" a="1"/>
  <c r="H904" i="1" a="1"/>
  <c r="H904" i="1" s="1"/>
  <c r="F904" i="1" a="1"/>
  <c r="F904" i="1" s="1"/>
  <c r="AB903" i="1"/>
  <c r="AA903" i="1"/>
  <c r="AE903" i="1" s="1"/>
  <c r="X903" i="1"/>
  <c r="O903" i="1"/>
  <c r="K903" i="1"/>
  <c r="K903" i="1" a="1"/>
  <c r="J903" i="1" a="1"/>
  <c r="J903" i="1" s="1"/>
  <c r="I903" i="1" a="1"/>
  <c r="I903" i="1" s="1"/>
  <c r="H903" i="1" a="1"/>
  <c r="H903" i="1" s="1"/>
  <c r="F903" i="1" a="1"/>
  <c r="F903" i="1" s="1"/>
  <c r="AA902" i="1"/>
  <c r="AE902" i="1" s="1"/>
  <c r="X902" i="1"/>
  <c r="O902" i="1"/>
  <c r="K902" i="1" a="1"/>
  <c r="K902" i="1" s="1"/>
  <c r="J902" i="1" a="1"/>
  <c r="J902" i="1" s="1"/>
  <c r="I902" i="1" a="1"/>
  <c r="I902" i="1" s="1"/>
  <c r="H902" i="1" a="1"/>
  <c r="H902" i="1" s="1"/>
  <c r="F902" i="1" a="1"/>
  <c r="F902" i="1" s="1"/>
  <c r="AA901" i="1"/>
  <c r="X901" i="1"/>
  <c r="O901" i="1"/>
  <c r="K901" i="1" a="1"/>
  <c r="K901" i="1" s="1"/>
  <c r="J901" i="1" a="1"/>
  <c r="J901" i="1" s="1"/>
  <c r="I901" i="1" a="1"/>
  <c r="I901" i="1" s="1"/>
  <c r="H901" i="1" a="1"/>
  <c r="H901" i="1" s="1"/>
  <c r="F901" i="1" a="1"/>
  <c r="F901" i="1" s="1"/>
  <c r="AE900" i="1"/>
  <c r="AB900" i="1"/>
  <c r="AA900" i="1"/>
  <c r="X900" i="1"/>
  <c r="O900" i="1"/>
  <c r="K900" i="1"/>
  <c r="K900" i="1" a="1"/>
  <c r="J900" i="1" a="1"/>
  <c r="J900" i="1" s="1"/>
  <c r="I900" i="1"/>
  <c r="I900" i="1" a="1"/>
  <c r="H900" i="1" a="1"/>
  <c r="H900" i="1" s="1"/>
  <c r="F900" i="1" a="1"/>
  <c r="F900" i="1" s="1"/>
  <c r="AA899" i="1"/>
  <c r="AE899" i="1" s="1"/>
  <c r="X899" i="1"/>
  <c r="O899" i="1"/>
  <c r="K899" i="1" a="1"/>
  <c r="K899" i="1" s="1"/>
  <c r="J899" i="1" a="1"/>
  <c r="J899" i="1" s="1"/>
  <c r="I899" i="1" a="1"/>
  <c r="I899" i="1" s="1"/>
  <c r="H899" i="1" a="1"/>
  <c r="H899" i="1" s="1"/>
  <c r="F899" i="1" a="1"/>
  <c r="F899" i="1" s="1"/>
  <c r="AA898" i="1"/>
  <c r="X898" i="1"/>
  <c r="O898" i="1"/>
  <c r="K898" i="1" a="1"/>
  <c r="K898" i="1" s="1"/>
  <c r="J898" i="1" a="1"/>
  <c r="J898" i="1" s="1"/>
  <c r="I898" i="1" a="1"/>
  <c r="I898" i="1" s="1"/>
  <c r="H898" i="1" a="1"/>
  <c r="H898" i="1" s="1"/>
  <c r="F898" i="1" a="1"/>
  <c r="F898" i="1" s="1"/>
  <c r="AA897" i="1"/>
  <c r="AE897" i="1" s="1"/>
  <c r="X897" i="1"/>
  <c r="O897" i="1"/>
  <c r="K897" i="1" a="1"/>
  <c r="K897" i="1" s="1"/>
  <c r="J897" i="1" a="1"/>
  <c r="J897" i="1" s="1"/>
  <c r="I897" i="1" a="1"/>
  <c r="I897" i="1" s="1"/>
  <c r="H897" i="1" a="1"/>
  <c r="H897" i="1" s="1"/>
  <c r="F897" i="1" a="1"/>
  <c r="F897" i="1" s="1"/>
  <c r="AB896" i="1"/>
  <c r="AA896" i="1"/>
  <c r="AE896" i="1" s="1"/>
  <c r="X896" i="1"/>
  <c r="O896" i="1"/>
  <c r="K896" i="1"/>
  <c r="K896" i="1" a="1"/>
  <c r="J896" i="1" a="1"/>
  <c r="J896" i="1" s="1"/>
  <c r="I896" i="1" a="1"/>
  <c r="I896" i="1" s="1"/>
  <c r="H896" i="1" a="1"/>
  <c r="H896" i="1" s="1"/>
  <c r="F896" i="1" a="1"/>
  <c r="F896" i="1" s="1"/>
  <c r="AA895" i="1"/>
  <c r="AE895" i="1" s="1"/>
  <c r="X895" i="1"/>
  <c r="O895" i="1"/>
  <c r="K895" i="1" a="1"/>
  <c r="K895" i="1" s="1"/>
  <c r="J895" i="1" a="1"/>
  <c r="J895" i="1" s="1"/>
  <c r="I895" i="1" a="1"/>
  <c r="I895" i="1" s="1"/>
  <c r="H895" i="1" a="1"/>
  <c r="H895" i="1" s="1"/>
  <c r="F895" i="1" a="1"/>
  <c r="F895" i="1" s="1"/>
  <c r="AA894" i="1"/>
  <c r="X894" i="1"/>
  <c r="O894" i="1"/>
  <c r="K894" i="1" a="1"/>
  <c r="K894" i="1" s="1"/>
  <c r="J894" i="1" a="1"/>
  <c r="J894" i="1" s="1"/>
  <c r="I894" i="1" a="1"/>
  <c r="I894" i="1" s="1"/>
  <c r="H894" i="1" a="1"/>
  <c r="H894" i="1" s="1"/>
  <c r="F894" i="1" a="1"/>
  <c r="F894" i="1" s="1"/>
  <c r="AE893" i="1"/>
  <c r="AA893" i="1"/>
  <c r="AB893" i="1" s="1"/>
  <c r="X893" i="1"/>
  <c r="O893" i="1"/>
  <c r="K893" i="1" a="1"/>
  <c r="K893" i="1" s="1"/>
  <c r="J893" i="1" a="1"/>
  <c r="J893" i="1" s="1"/>
  <c r="I893" i="1" a="1"/>
  <c r="I893" i="1" s="1"/>
  <c r="H893" i="1" a="1"/>
  <c r="H893" i="1" s="1"/>
  <c r="F893" i="1" a="1"/>
  <c r="F893" i="1" s="1"/>
  <c r="AA892" i="1"/>
  <c r="X892" i="1"/>
  <c r="O892" i="1"/>
  <c r="K892" i="1" a="1"/>
  <c r="K892" i="1" s="1"/>
  <c r="J892" i="1" a="1"/>
  <c r="J892" i="1" s="1"/>
  <c r="I892" i="1" a="1"/>
  <c r="I892" i="1" s="1"/>
  <c r="H892" i="1" a="1"/>
  <c r="H892" i="1" s="1"/>
  <c r="F892" i="1"/>
  <c r="F892" i="1" a="1"/>
  <c r="AA891" i="1"/>
  <c r="X891" i="1"/>
  <c r="O891" i="1"/>
  <c r="J891" i="1" a="1"/>
  <c r="J891" i="1" s="1"/>
  <c r="I891" i="1" a="1"/>
  <c r="I891" i="1" s="1"/>
  <c r="H891" i="1" a="1"/>
  <c r="H891" i="1" s="1"/>
  <c r="F891" i="1" a="1"/>
  <c r="F891" i="1" s="1"/>
  <c r="AA890" i="1"/>
  <c r="X890" i="1"/>
  <c r="O890" i="1"/>
  <c r="J890" i="1" a="1"/>
  <c r="J890" i="1" s="1"/>
  <c r="I890" i="1" a="1"/>
  <c r="I890" i="1" s="1"/>
  <c r="H890" i="1" a="1"/>
  <c r="H890" i="1" s="1"/>
  <c r="F890" i="1" a="1"/>
  <c r="F890" i="1" s="1"/>
  <c r="AA889" i="1"/>
  <c r="AB889" i="1" s="1"/>
  <c r="X889" i="1"/>
  <c r="O889" i="1"/>
  <c r="J889" i="1" a="1"/>
  <c r="J889" i="1" s="1"/>
  <c r="I889" i="1" a="1"/>
  <c r="I889" i="1" s="1"/>
  <c r="H889" i="1" a="1"/>
  <c r="H889" i="1" s="1"/>
  <c r="F889" i="1" a="1"/>
  <c r="F889" i="1" s="1"/>
  <c r="AA888" i="1"/>
  <c r="X888" i="1"/>
  <c r="O888" i="1"/>
  <c r="K888" i="1" a="1"/>
  <c r="K888" i="1" s="1"/>
  <c r="I888" i="1"/>
  <c r="I888" i="1" a="1"/>
  <c r="H888" i="1" a="1"/>
  <c r="H888" i="1" s="1"/>
  <c r="F888" i="1" a="1"/>
  <c r="F888" i="1" s="1"/>
  <c r="AB887" i="1"/>
  <c r="AA887" i="1"/>
  <c r="AE887" i="1" s="1"/>
  <c r="X887" i="1"/>
  <c r="O887" i="1"/>
  <c r="K887" i="1"/>
  <c r="K887" i="1" a="1"/>
  <c r="I887" i="1" a="1"/>
  <c r="I887" i="1" s="1"/>
  <c r="H887" i="1" a="1"/>
  <c r="H887" i="1" s="1"/>
  <c r="F887" i="1" a="1"/>
  <c r="F887" i="1" s="1"/>
  <c r="AA886" i="1"/>
  <c r="AE886" i="1" s="1"/>
  <c r="X886" i="1"/>
  <c r="O886" i="1"/>
  <c r="K886" i="1" a="1"/>
  <c r="K886" i="1" s="1"/>
  <c r="I886" i="1" a="1"/>
  <c r="I886" i="1" s="1"/>
  <c r="H886" i="1"/>
  <c r="H886" i="1" a="1"/>
  <c r="F886" i="1" a="1"/>
  <c r="F886" i="1" s="1"/>
  <c r="AA885" i="1"/>
  <c r="X885" i="1"/>
  <c r="O885" i="1"/>
  <c r="K885" i="1" a="1"/>
  <c r="K885" i="1" s="1"/>
  <c r="J885" i="1" a="1"/>
  <c r="J885" i="1" s="1"/>
  <c r="I885" i="1" a="1"/>
  <c r="I885" i="1" s="1"/>
  <c r="H885" i="1" a="1"/>
  <c r="H885" i="1" s="1"/>
  <c r="F885" i="1" a="1"/>
  <c r="F885" i="1" s="1"/>
  <c r="AE884" i="1"/>
  <c r="AB884" i="1"/>
  <c r="AA884" i="1"/>
  <c r="X884" i="1"/>
  <c r="O884" i="1"/>
  <c r="K884" i="1"/>
  <c r="K884" i="1" a="1"/>
  <c r="J884" i="1" a="1"/>
  <c r="J884" i="1" s="1"/>
  <c r="I884" i="1" a="1"/>
  <c r="I884" i="1" s="1"/>
  <c r="H884" i="1" a="1"/>
  <c r="H884" i="1" s="1"/>
  <c r="F884" i="1" a="1"/>
  <c r="F884" i="1" s="1"/>
  <c r="AA883" i="1"/>
  <c r="X883" i="1"/>
  <c r="O883" i="1"/>
  <c r="K883" i="1" a="1"/>
  <c r="K883" i="1" s="1"/>
  <c r="J883" i="1" a="1"/>
  <c r="J883" i="1" s="1"/>
  <c r="I883" i="1" a="1"/>
  <c r="I883" i="1" s="1"/>
  <c r="H883" i="1" a="1"/>
  <c r="H883" i="1" s="1"/>
  <c r="F883" i="1" a="1"/>
  <c r="F883" i="1" s="1"/>
  <c r="AA882" i="1"/>
  <c r="X882" i="1"/>
  <c r="O882" i="1"/>
  <c r="K882" i="1" a="1"/>
  <c r="K882" i="1" s="1"/>
  <c r="I882" i="1" a="1"/>
  <c r="I882" i="1" s="1"/>
  <c r="H882" i="1" a="1"/>
  <c r="H882" i="1" s="1"/>
  <c r="F882" i="1" a="1"/>
  <c r="F882" i="1" s="1"/>
  <c r="AE881" i="1"/>
  <c r="AA881" i="1"/>
  <c r="AB881" i="1" s="1"/>
  <c r="X881" i="1"/>
  <c r="O881" i="1"/>
  <c r="K881" i="1" a="1"/>
  <c r="K881" i="1" s="1"/>
  <c r="J881" i="1" a="1"/>
  <c r="J881" i="1" s="1"/>
  <c r="I881" i="1" a="1"/>
  <c r="I881" i="1" s="1"/>
  <c r="H881" i="1" a="1"/>
  <c r="H881" i="1" s="1"/>
  <c r="F881" i="1" a="1"/>
  <c r="F881" i="1" s="1"/>
  <c r="AA880" i="1"/>
  <c r="AE880" i="1" s="1"/>
  <c r="X880" i="1"/>
  <c r="O880" i="1"/>
  <c r="K880" i="1" a="1"/>
  <c r="K880" i="1" s="1"/>
  <c r="J880" i="1" a="1"/>
  <c r="J880" i="1" s="1"/>
  <c r="I880" i="1" a="1"/>
  <c r="I880" i="1" s="1"/>
  <c r="H880" i="1" a="1"/>
  <c r="H880" i="1" s="1"/>
  <c r="F880" i="1" a="1"/>
  <c r="F880" i="1" s="1"/>
  <c r="AB879" i="1"/>
  <c r="AA879" i="1"/>
  <c r="AE879" i="1" s="1"/>
  <c r="X879" i="1"/>
  <c r="O879" i="1"/>
  <c r="K879" i="1"/>
  <c r="K879" i="1" a="1"/>
  <c r="J879" i="1" a="1"/>
  <c r="J879" i="1" s="1"/>
  <c r="I879" i="1" a="1"/>
  <c r="I879" i="1" s="1"/>
  <c r="H879" i="1" a="1"/>
  <c r="H879" i="1" s="1"/>
  <c r="F879" i="1" a="1"/>
  <c r="F879" i="1" s="1"/>
  <c r="AA878" i="1"/>
  <c r="X878" i="1"/>
  <c r="O878" i="1"/>
  <c r="K878" i="1" a="1"/>
  <c r="K878" i="1" s="1"/>
  <c r="J878" i="1" a="1"/>
  <c r="J878" i="1" s="1"/>
  <c r="I878" i="1" a="1"/>
  <c r="I878" i="1" s="1"/>
  <c r="H878" i="1" a="1"/>
  <c r="H878" i="1" s="1"/>
  <c r="F878" i="1" a="1"/>
  <c r="F878" i="1" s="1"/>
  <c r="AA877" i="1"/>
  <c r="AB877" i="1" s="1"/>
  <c r="X877" i="1"/>
  <c r="O877" i="1"/>
  <c r="K877" i="1" a="1"/>
  <c r="K877" i="1" s="1"/>
  <c r="J877" i="1" a="1"/>
  <c r="J877" i="1" s="1"/>
  <c r="I877" i="1" a="1"/>
  <c r="I877" i="1" s="1"/>
  <c r="H877" i="1" a="1"/>
  <c r="H877" i="1" s="1"/>
  <c r="F877" i="1" a="1"/>
  <c r="F877" i="1" s="1"/>
  <c r="AA876" i="1"/>
  <c r="AE876" i="1" s="1"/>
  <c r="X876" i="1"/>
  <c r="O876" i="1"/>
  <c r="K876" i="1" a="1"/>
  <c r="K876" i="1" s="1"/>
  <c r="J876" i="1" a="1"/>
  <c r="J876" i="1" s="1"/>
  <c r="I876" i="1"/>
  <c r="I876" i="1" a="1"/>
  <c r="H876" i="1" a="1"/>
  <c r="H876" i="1" s="1"/>
  <c r="F876" i="1" a="1"/>
  <c r="F876" i="1" s="1"/>
  <c r="AA875" i="1"/>
  <c r="AE875" i="1" s="1"/>
  <c r="X875" i="1"/>
  <c r="O875" i="1"/>
  <c r="K875" i="1" a="1"/>
  <c r="K875" i="1" s="1"/>
  <c r="J875" i="1" a="1"/>
  <c r="J875" i="1" s="1"/>
  <c r="I875" i="1" a="1"/>
  <c r="I875" i="1" s="1"/>
  <c r="H875" i="1" a="1"/>
  <c r="H875" i="1" s="1"/>
  <c r="F875" i="1" a="1"/>
  <c r="F875" i="1" s="1"/>
  <c r="AA874" i="1"/>
  <c r="X874" i="1"/>
  <c r="O874" i="1"/>
  <c r="K874" i="1" a="1"/>
  <c r="K874" i="1" s="1"/>
  <c r="J874" i="1"/>
  <c r="J874" i="1" a="1"/>
  <c r="I874" i="1" a="1"/>
  <c r="I874" i="1" s="1"/>
  <c r="H874" i="1"/>
  <c r="H874" i="1" a="1"/>
  <c r="F874" i="1" a="1"/>
  <c r="F874" i="1" s="1"/>
  <c r="AA873" i="1"/>
  <c r="X873" i="1"/>
  <c r="O873" i="1"/>
  <c r="K873" i="1" a="1"/>
  <c r="K873" i="1" s="1"/>
  <c r="J873" i="1" a="1"/>
  <c r="J873" i="1" s="1"/>
  <c r="I873" i="1" a="1"/>
  <c r="I873" i="1" s="1"/>
  <c r="H873" i="1" a="1"/>
  <c r="H873" i="1" s="1"/>
  <c r="F873" i="1" a="1"/>
  <c r="F873" i="1" s="1"/>
  <c r="AE872" i="1"/>
  <c r="AB872" i="1"/>
  <c r="AA872" i="1"/>
  <c r="X872" i="1"/>
  <c r="O872" i="1"/>
  <c r="K872" i="1"/>
  <c r="K872" i="1" a="1"/>
  <c r="J872" i="1" a="1"/>
  <c r="J872" i="1" s="1"/>
  <c r="I872" i="1" a="1"/>
  <c r="I872" i="1" s="1"/>
  <c r="H872" i="1" a="1"/>
  <c r="H872" i="1" s="1"/>
  <c r="F872" i="1" a="1"/>
  <c r="F872" i="1" s="1"/>
  <c r="AA871" i="1"/>
  <c r="AE871" i="1" s="1"/>
  <c r="X871" i="1"/>
  <c r="O871" i="1"/>
  <c r="K871" i="1" a="1"/>
  <c r="K871" i="1" s="1"/>
  <c r="J871" i="1" a="1"/>
  <c r="J871" i="1" s="1"/>
  <c r="I871" i="1" a="1"/>
  <c r="I871" i="1" s="1"/>
  <c r="H871" i="1" a="1"/>
  <c r="H871" i="1" s="1"/>
  <c r="F871" i="1" a="1"/>
  <c r="F871" i="1" s="1"/>
  <c r="AA870" i="1"/>
  <c r="X870" i="1"/>
  <c r="O870" i="1"/>
  <c r="K870" i="1" a="1"/>
  <c r="K870" i="1" s="1"/>
  <c r="J870" i="1"/>
  <c r="J870" i="1" a="1"/>
  <c r="I870" i="1" a="1"/>
  <c r="I870" i="1" s="1"/>
  <c r="H870" i="1" a="1"/>
  <c r="H870" i="1" s="1"/>
  <c r="F870" i="1" a="1"/>
  <c r="F870" i="1" s="1"/>
  <c r="AA869" i="1"/>
  <c r="AB869" i="1" s="1"/>
  <c r="X869" i="1"/>
  <c r="O869" i="1"/>
  <c r="K869" i="1" a="1"/>
  <c r="K869" i="1" s="1"/>
  <c r="J869" i="1" a="1"/>
  <c r="J869" i="1" s="1"/>
  <c r="I869" i="1" a="1"/>
  <c r="I869" i="1" s="1"/>
  <c r="H869" i="1" a="1"/>
  <c r="H869" i="1" s="1"/>
  <c r="F869" i="1" a="1"/>
  <c r="F869" i="1" s="1"/>
  <c r="AA868" i="1"/>
  <c r="X868" i="1"/>
  <c r="O868" i="1"/>
  <c r="K868" i="1" a="1"/>
  <c r="K868" i="1" s="1"/>
  <c r="J868" i="1" a="1"/>
  <c r="J868" i="1" s="1"/>
  <c r="I868" i="1" a="1"/>
  <c r="I868" i="1" s="1"/>
  <c r="H868" i="1" a="1"/>
  <c r="H868" i="1" s="1"/>
  <c r="F868" i="1" a="1"/>
  <c r="F868" i="1" s="1"/>
  <c r="AB867" i="1"/>
  <c r="AA867" i="1"/>
  <c r="AE867" i="1" s="1"/>
  <c r="X867" i="1"/>
  <c r="O867" i="1"/>
  <c r="K867" i="1" a="1"/>
  <c r="K867" i="1" s="1"/>
  <c r="J867" i="1" a="1"/>
  <c r="J867" i="1" s="1"/>
  <c r="I867" i="1" a="1"/>
  <c r="I867" i="1" s="1"/>
  <c r="H867" i="1" a="1"/>
  <c r="H867" i="1" s="1"/>
  <c r="F867" i="1" a="1"/>
  <c r="F867" i="1" s="1"/>
  <c r="AA866" i="1"/>
  <c r="AE866" i="1" s="1"/>
  <c r="X866" i="1"/>
  <c r="O866" i="1"/>
  <c r="K866" i="1" a="1"/>
  <c r="K866" i="1" s="1"/>
  <c r="J866" i="1" a="1"/>
  <c r="J866" i="1" s="1"/>
  <c r="I866" i="1" a="1"/>
  <c r="I866" i="1" s="1"/>
  <c r="H866" i="1" a="1"/>
  <c r="H866" i="1" s="1"/>
  <c r="F866" i="1" a="1"/>
  <c r="F866" i="1" s="1"/>
  <c r="AE865" i="1"/>
  <c r="AA865" i="1"/>
  <c r="AB865" i="1" s="1"/>
  <c r="X865" i="1"/>
  <c r="O865" i="1"/>
  <c r="K865" i="1" a="1"/>
  <c r="K865" i="1" s="1"/>
  <c r="J865" i="1" a="1"/>
  <c r="J865" i="1" s="1"/>
  <c r="I865" i="1" a="1"/>
  <c r="I865" i="1" s="1"/>
  <c r="H865" i="1" a="1"/>
  <c r="H865" i="1" s="1"/>
  <c r="F865" i="1" a="1"/>
  <c r="F865" i="1" s="1"/>
  <c r="AA864" i="1"/>
  <c r="X864" i="1"/>
  <c r="O864" i="1"/>
  <c r="K864" i="1" a="1"/>
  <c r="K864" i="1" s="1"/>
  <c r="J864" i="1" a="1"/>
  <c r="J864" i="1" s="1"/>
  <c r="I864" i="1" a="1"/>
  <c r="I864" i="1" s="1"/>
  <c r="H864" i="1" a="1"/>
  <c r="H864" i="1" s="1"/>
  <c r="F864" i="1"/>
  <c r="F864" i="1" a="1"/>
  <c r="AA863" i="1"/>
  <c r="X863" i="1"/>
  <c r="O863" i="1"/>
  <c r="K863" i="1" a="1"/>
  <c r="K863" i="1" s="1"/>
  <c r="J863" i="1" a="1"/>
  <c r="J863" i="1" s="1"/>
  <c r="I863" i="1" a="1"/>
  <c r="I863" i="1" s="1"/>
  <c r="H863" i="1" a="1"/>
  <c r="H863" i="1" s="1"/>
  <c r="F863" i="1" a="1"/>
  <c r="F863" i="1" s="1"/>
  <c r="AA862" i="1"/>
  <c r="X862" i="1"/>
  <c r="O862" i="1"/>
  <c r="K862" i="1" a="1"/>
  <c r="K862" i="1" s="1"/>
  <c r="J862" i="1"/>
  <c r="J862" i="1" a="1"/>
  <c r="I862" i="1" a="1"/>
  <c r="I862" i="1" s="1"/>
  <c r="H862" i="1"/>
  <c r="H862" i="1" a="1"/>
  <c r="F862" i="1" a="1"/>
  <c r="F862" i="1" s="1"/>
  <c r="AA861" i="1"/>
  <c r="X861" i="1"/>
  <c r="O861" i="1"/>
  <c r="K861" i="1" a="1"/>
  <c r="K861" i="1" s="1"/>
  <c r="J861" i="1" a="1"/>
  <c r="J861" i="1" s="1"/>
  <c r="I861" i="1" a="1"/>
  <c r="I861" i="1" s="1"/>
  <c r="H861" i="1" a="1"/>
  <c r="H861" i="1" s="1"/>
  <c r="F861" i="1" a="1"/>
  <c r="F861" i="1" s="1"/>
  <c r="AA860" i="1"/>
  <c r="AE860" i="1" s="1"/>
  <c r="X860" i="1"/>
  <c r="O860" i="1"/>
  <c r="K860" i="1" a="1"/>
  <c r="K860" i="1" s="1"/>
  <c r="J860" i="1" a="1"/>
  <c r="J860" i="1" s="1"/>
  <c r="I860" i="1"/>
  <c r="I860" i="1" a="1"/>
  <c r="H860" i="1" a="1"/>
  <c r="H860" i="1" s="1"/>
  <c r="F860" i="1"/>
  <c r="F860" i="1" a="1"/>
  <c r="AA859" i="1"/>
  <c r="AE859" i="1" s="1"/>
  <c r="X859" i="1"/>
  <c r="O859" i="1"/>
  <c r="K859" i="1" a="1"/>
  <c r="K859" i="1" s="1"/>
  <c r="J859" i="1" a="1"/>
  <c r="J859" i="1" s="1"/>
  <c r="I859" i="1" a="1"/>
  <c r="I859" i="1" s="1"/>
  <c r="H859" i="1" a="1"/>
  <c r="H859" i="1" s="1"/>
  <c r="F859" i="1" a="1"/>
  <c r="F859" i="1" s="1"/>
  <c r="AA858" i="1"/>
  <c r="X858" i="1"/>
  <c r="O858" i="1"/>
  <c r="K858" i="1" a="1"/>
  <c r="K858" i="1" s="1"/>
  <c r="J858" i="1" a="1"/>
  <c r="J858" i="1" s="1"/>
  <c r="I858" i="1" a="1"/>
  <c r="I858" i="1" s="1"/>
  <c r="H858" i="1"/>
  <c r="H858" i="1" a="1"/>
  <c r="F858" i="1" a="1"/>
  <c r="F858" i="1" s="1"/>
  <c r="AA857" i="1"/>
  <c r="X857" i="1"/>
  <c r="O857" i="1"/>
  <c r="K857" i="1" a="1"/>
  <c r="K857" i="1" s="1"/>
  <c r="J857" i="1" a="1"/>
  <c r="J857" i="1" s="1"/>
  <c r="I857" i="1" a="1"/>
  <c r="I857" i="1" s="1"/>
  <c r="H857" i="1" a="1"/>
  <c r="H857" i="1" s="1"/>
  <c r="F857" i="1" a="1"/>
  <c r="F857" i="1" s="1"/>
  <c r="AE856" i="1"/>
  <c r="AA856" i="1"/>
  <c r="AB856" i="1" s="1"/>
  <c r="X856" i="1"/>
  <c r="O856" i="1"/>
  <c r="K856" i="1" a="1"/>
  <c r="K856" i="1" s="1"/>
  <c r="J856" i="1" a="1"/>
  <c r="J856" i="1" s="1"/>
  <c r="I856" i="1" a="1"/>
  <c r="I856" i="1" s="1"/>
  <c r="H856" i="1" a="1"/>
  <c r="H856" i="1" s="1"/>
  <c r="F856" i="1" a="1"/>
  <c r="F856" i="1" s="1"/>
  <c r="AA855" i="1"/>
  <c r="AE855" i="1" s="1"/>
  <c r="X855" i="1"/>
  <c r="O855" i="1"/>
  <c r="K855" i="1" a="1"/>
  <c r="K855" i="1" s="1"/>
  <c r="J855" i="1" a="1"/>
  <c r="J855" i="1" s="1"/>
  <c r="I855" i="1" a="1"/>
  <c r="I855" i="1" s="1"/>
  <c r="H855" i="1" a="1"/>
  <c r="H855" i="1" s="1"/>
  <c r="F855" i="1" a="1"/>
  <c r="F855" i="1" s="1"/>
  <c r="AA854" i="1"/>
  <c r="AE854" i="1" s="1"/>
  <c r="X854" i="1"/>
  <c r="O854" i="1"/>
  <c r="K854" i="1" a="1"/>
  <c r="K854" i="1" s="1"/>
  <c r="J854" i="1"/>
  <c r="J854" i="1" a="1"/>
  <c r="I854" i="1" a="1"/>
  <c r="I854" i="1" s="1"/>
  <c r="H854" i="1" a="1"/>
  <c r="H854" i="1" s="1"/>
  <c r="F854" i="1" a="1"/>
  <c r="F854" i="1" s="1"/>
  <c r="AE853" i="1"/>
  <c r="AA853" i="1"/>
  <c r="AB853" i="1" s="1"/>
  <c r="X853" i="1"/>
  <c r="O853" i="1"/>
  <c r="K853" i="1" a="1"/>
  <c r="K853" i="1" s="1"/>
  <c r="J853" i="1" a="1"/>
  <c r="J853" i="1" s="1"/>
  <c r="I853" i="1" a="1"/>
  <c r="I853" i="1" s="1"/>
  <c r="H853" i="1" a="1"/>
  <c r="H853" i="1" s="1"/>
  <c r="F853" i="1" a="1"/>
  <c r="F853" i="1" s="1"/>
  <c r="AA852" i="1"/>
  <c r="AE852" i="1" s="1"/>
  <c r="X852" i="1"/>
  <c r="O852" i="1"/>
  <c r="K852" i="1" a="1"/>
  <c r="K852" i="1" s="1"/>
  <c r="J852" i="1" a="1"/>
  <c r="J852" i="1" s="1"/>
  <c r="I852" i="1"/>
  <c r="I852" i="1" a="1"/>
  <c r="H852" i="1" a="1"/>
  <c r="H852" i="1" s="1"/>
  <c r="F852" i="1" a="1"/>
  <c r="F852" i="1" s="1"/>
  <c r="AA851" i="1"/>
  <c r="AE851" i="1" s="1"/>
  <c r="X851" i="1"/>
  <c r="O851" i="1"/>
  <c r="K851" i="1" a="1"/>
  <c r="K851" i="1" s="1"/>
  <c r="J851" i="1" a="1"/>
  <c r="J851" i="1" s="1"/>
  <c r="I851" i="1" a="1"/>
  <c r="I851" i="1" s="1"/>
  <c r="H851" i="1" a="1"/>
  <c r="H851" i="1" s="1"/>
  <c r="F851" i="1" a="1"/>
  <c r="F851" i="1" s="1"/>
  <c r="AA850" i="1"/>
  <c r="X850" i="1"/>
  <c r="O850" i="1"/>
  <c r="K850" i="1" a="1"/>
  <c r="K850" i="1" s="1"/>
  <c r="J850" i="1"/>
  <c r="J850" i="1" a="1"/>
  <c r="I850" i="1" a="1"/>
  <c r="I850" i="1" s="1"/>
  <c r="H850" i="1"/>
  <c r="H850" i="1" a="1"/>
  <c r="F850" i="1" a="1"/>
  <c r="F850" i="1" s="1"/>
  <c r="AA849" i="1"/>
  <c r="AE849" i="1" s="1"/>
  <c r="X849" i="1"/>
  <c r="O849" i="1"/>
  <c r="K849" i="1" a="1"/>
  <c r="K849" i="1" s="1"/>
  <c r="J849" i="1" a="1"/>
  <c r="J849" i="1" s="1"/>
  <c r="I849" i="1" a="1"/>
  <c r="I849" i="1" s="1"/>
  <c r="H849" i="1" a="1"/>
  <c r="H849" i="1" s="1"/>
  <c r="F849" i="1" a="1"/>
  <c r="F849" i="1" s="1"/>
  <c r="AA848" i="1"/>
  <c r="X848" i="1"/>
  <c r="O848" i="1"/>
  <c r="K848" i="1" a="1"/>
  <c r="K848" i="1" s="1"/>
  <c r="J848" i="1" a="1"/>
  <c r="J848" i="1" s="1"/>
  <c r="I848" i="1" a="1"/>
  <c r="I848" i="1" s="1"/>
  <c r="H848" i="1" a="1"/>
  <c r="H848" i="1" s="1"/>
  <c r="F848" i="1" a="1"/>
  <c r="F848" i="1" s="1"/>
  <c r="AA847" i="1"/>
  <c r="X847" i="1"/>
  <c r="O847" i="1"/>
  <c r="J847" i="1" a="1"/>
  <c r="J847" i="1" s="1"/>
  <c r="I847" i="1" a="1"/>
  <c r="I847" i="1" s="1"/>
  <c r="H847" i="1" a="1"/>
  <c r="H847" i="1" s="1"/>
  <c r="F847" i="1" a="1"/>
  <c r="F847" i="1" s="1"/>
  <c r="AB846" i="1"/>
  <c r="AA846" i="1"/>
  <c r="AE846" i="1" s="1"/>
  <c r="X846" i="1"/>
  <c r="O846" i="1"/>
  <c r="J846" i="1"/>
  <c r="J846" i="1" a="1"/>
  <c r="I846" i="1" a="1"/>
  <c r="I846" i="1" s="1"/>
  <c r="H846" i="1" a="1"/>
  <c r="H846" i="1" s="1"/>
  <c r="F846" i="1" a="1"/>
  <c r="F846" i="1" s="1"/>
  <c r="AA845" i="1"/>
  <c r="AE845" i="1" s="1"/>
  <c r="X845" i="1"/>
  <c r="O845" i="1"/>
  <c r="K845" i="1" a="1"/>
  <c r="K845" i="1" s="1"/>
  <c r="I845" i="1" a="1"/>
  <c r="I845" i="1" s="1"/>
  <c r="H845" i="1" a="1"/>
  <c r="H845" i="1" s="1"/>
  <c r="F845" i="1" a="1"/>
  <c r="F845" i="1" s="1"/>
  <c r="AB844" i="1"/>
  <c r="AA844" i="1"/>
  <c r="AE844" i="1" s="1"/>
  <c r="X844" i="1"/>
  <c r="O844" i="1"/>
  <c r="K844" i="1"/>
  <c r="K844" i="1" a="1"/>
  <c r="I844" i="1" a="1"/>
  <c r="I844" i="1" s="1"/>
  <c r="H844" i="1"/>
  <c r="H844" i="1" a="1"/>
  <c r="F844" i="1" a="1"/>
  <c r="F844" i="1" s="1"/>
  <c r="AE843" i="1"/>
  <c r="AA843" i="1"/>
  <c r="AB843" i="1" s="1"/>
  <c r="X843" i="1"/>
  <c r="O843" i="1"/>
  <c r="K843" i="1" a="1"/>
  <c r="K843" i="1" s="1"/>
  <c r="I843" i="1" a="1"/>
  <c r="I843" i="1" s="1"/>
  <c r="H843" i="1" a="1"/>
  <c r="H843" i="1" s="1"/>
  <c r="F843" i="1" a="1"/>
  <c r="F843" i="1" s="1"/>
  <c r="AA842" i="1"/>
  <c r="X842" i="1"/>
  <c r="O842" i="1"/>
  <c r="K842" i="1" a="1"/>
  <c r="K842" i="1" s="1"/>
  <c r="J842" i="1" a="1"/>
  <c r="J842" i="1" s="1"/>
  <c r="I842" i="1" a="1"/>
  <c r="I842" i="1" s="1"/>
  <c r="H842" i="1" a="1"/>
  <c r="H842" i="1" s="1"/>
  <c r="F842" i="1"/>
  <c r="F842" i="1" a="1"/>
  <c r="AA841" i="1"/>
  <c r="AE841" i="1" s="1"/>
  <c r="X841" i="1"/>
  <c r="O841" i="1"/>
  <c r="K841" i="1" a="1"/>
  <c r="K841" i="1" s="1"/>
  <c r="J841" i="1" a="1"/>
  <c r="J841" i="1" s="1"/>
  <c r="I841" i="1" a="1"/>
  <c r="I841" i="1" s="1"/>
  <c r="H841" i="1" a="1"/>
  <c r="H841" i="1" s="1"/>
  <c r="F841" i="1" a="1"/>
  <c r="F841" i="1" s="1"/>
  <c r="AA840" i="1"/>
  <c r="X840" i="1"/>
  <c r="O840" i="1"/>
  <c r="K840" i="1" a="1"/>
  <c r="K840" i="1" s="1"/>
  <c r="I840" i="1" a="1"/>
  <c r="I840" i="1" s="1"/>
  <c r="H840" i="1" a="1"/>
  <c r="H840" i="1" s="1"/>
  <c r="F840" i="1" a="1"/>
  <c r="F840" i="1" s="1"/>
  <c r="AA839" i="1"/>
  <c r="X839" i="1"/>
  <c r="O839" i="1"/>
  <c r="K839" i="1" a="1"/>
  <c r="K839" i="1" s="1"/>
  <c r="J839" i="1" a="1"/>
  <c r="J839" i="1" s="1"/>
  <c r="I839" i="1" a="1"/>
  <c r="I839" i="1" s="1"/>
  <c r="H839" i="1" a="1"/>
  <c r="H839" i="1" s="1"/>
  <c r="F839" i="1" a="1"/>
  <c r="F839" i="1" s="1"/>
  <c r="AA838" i="1"/>
  <c r="AB838" i="1" s="1"/>
  <c r="X838" i="1"/>
  <c r="O838" i="1"/>
  <c r="K838" i="1" a="1"/>
  <c r="K838" i="1" s="1"/>
  <c r="J838" i="1" a="1"/>
  <c r="J838" i="1" s="1"/>
  <c r="I838" i="1"/>
  <c r="I838" i="1" a="1"/>
  <c r="H838" i="1" a="1"/>
  <c r="H838" i="1" s="1"/>
  <c r="F838" i="1" a="1"/>
  <c r="F838" i="1" s="1"/>
  <c r="AA837" i="1"/>
  <c r="AE837" i="1" s="1"/>
  <c r="X837" i="1"/>
  <c r="O837" i="1"/>
  <c r="K837" i="1" a="1"/>
  <c r="K837" i="1" s="1"/>
  <c r="J837" i="1" a="1"/>
  <c r="J837" i="1" s="1"/>
  <c r="I837" i="1" a="1"/>
  <c r="I837" i="1" s="1"/>
  <c r="H837" i="1" a="1"/>
  <c r="H837" i="1" s="1"/>
  <c r="F837" i="1" a="1"/>
  <c r="F837" i="1" s="1"/>
  <c r="AA836" i="1"/>
  <c r="X836" i="1"/>
  <c r="O836" i="1"/>
  <c r="K836" i="1" a="1"/>
  <c r="K836" i="1" s="1"/>
  <c r="J836" i="1" a="1"/>
  <c r="J836" i="1" s="1"/>
  <c r="I836" i="1" a="1"/>
  <c r="I836" i="1" s="1"/>
  <c r="H836" i="1" a="1"/>
  <c r="H836" i="1" s="1"/>
  <c r="F836" i="1" a="1"/>
  <c r="F836" i="1" s="1"/>
  <c r="AA835" i="1"/>
  <c r="X835" i="1"/>
  <c r="O835" i="1"/>
  <c r="K835" i="1" a="1"/>
  <c r="K835" i="1" s="1"/>
  <c r="J835" i="1" a="1"/>
  <c r="J835" i="1" s="1"/>
  <c r="I835" i="1" a="1"/>
  <c r="I835" i="1" s="1"/>
  <c r="H835" i="1" a="1"/>
  <c r="H835" i="1" s="1"/>
  <c r="F835" i="1" a="1"/>
  <c r="F835" i="1" s="1"/>
  <c r="AA834" i="1"/>
  <c r="AB834" i="1" s="1"/>
  <c r="X834" i="1"/>
  <c r="O834" i="1"/>
  <c r="K834" i="1" a="1"/>
  <c r="K834" i="1" s="1"/>
  <c r="J834" i="1" a="1"/>
  <c r="J834" i="1" s="1"/>
  <c r="I834" i="1" a="1"/>
  <c r="I834" i="1" s="1"/>
  <c r="H834" i="1" a="1"/>
  <c r="H834" i="1" s="1"/>
  <c r="F834" i="1" a="1"/>
  <c r="F834" i="1" s="1"/>
  <c r="AA833" i="1"/>
  <c r="AE833" i="1" s="1"/>
  <c r="X833" i="1"/>
  <c r="O833" i="1"/>
  <c r="K833" i="1" a="1"/>
  <c r="K833" i="1" s="1"/>
  <c r="J833" i="1" a="1"/>
  <c r="J833" i="1" s="1"/>
  <c r="I833" i="1" a="1"/>
  <c r="I833" i="1" s="1"/>
  <c r="H833" i="1" a="1"/>
  <c r="H833" i="1" s="1"/>
  <c r="F833" i="1" a="1"/>
  <c r="F833" i="1" s="1"/>
  <c r="AA832" i="1"/>
  <c r="X832" i="1"/>
  <c r="O832" i="1"/>
  <c r="L832" i="1" a="1"/>
  <c r="L832" i="1" s="1"/>
  <c r="K832" i="1" a="1"/>
  <c r="K832" i="1" s="1"/>
  <c r="J832" i="1" a="1"/>
  <c r="J832" i="1" s="1"/>
  <c r="I832" i="1" a="1"/>
  <c r="I832" i="1" s="1"/>
  <c r="H832" i="1" a="1"/>
  <c r="H832" i="1" s="1"/>
  <c r="F832" i="1" a="1"/>
  <c r="F832" i="1" s="1"/>
  <c r="AA831" i="1"/>
  <c r="AE831" i="1" s="1"/>
  <c r="X831" i="1"/>
  <c r="O831" i="1"/>
  <c r="L831" i="1" a="1"/>
  <c r="L831" i="1" s="1"/>
  <c r="K831" i="1" a="1"/>
  <c r="K831" i="1" s="1"/>
  <c r="J831" i="1" a="1"/>
  <c r="J831" i="1" s="1"/>
  <c r="I831" i="1" a="1"/>
  <c r="I831" i="1" s="1"/>
  <c r="H831" i="1" a="1"/>
  <c r="H831" i="1" s="1"/>
  <c r="F831" i="1" a="1"/>
  <c r="F831" i="1" s="1"/>
  <c r="AA830" i="1"/>
  <c r="AB830" i="1" s="1"/>
  <c r="X830" i="1"/>
  <c r="O830" i="1"/>
  <c r="L830" i="1" a="1"/>
  <c r="L830" i="1" s="1"/>
  <c r="K830" i="1" a="1"/>
  <c r="K830" i="1" s="1"/>
  <c r="J830" i="1" a="1"/>
  <c r="J830" i="1" s="1"/>
  <c r="I830" i="1" a="1"/>
  <c r="I830" i="1" s="1"/>
  <c r="H830" i="1" a="1"/>
  <c r="H830" i="1" s="1"/>
  <c r="F830" i="1" a="1"/>
  <c r="F830" i="1" s="1"/>
  <c r="AA829" i="1"/>
  <c r="AB829" i="1" s="1"/>
  <c r="X829" i="1"/>
  <c r="O829" i="1"/>
  <c r="K829" i="1" a="1"/>
  <c r="K829" i="1" s="1"/>
  <c r="J829" i="1" a="1"/>
  <c r="J829" i="1" s="1"/>
  <c r="I829" i="1" a="1"/>
  <c r="I829" i="1" s="1"/>
  <c r="H829" i="1" a="1"/>
  <c r="H829" i="1" s="1"/>
  <c r="F829" i="1" a="1"/>
  <c r="F829" i="1" s="1"/>
  <c r="AA828" i="1"/>
  <c r="X828" i="1"/>
  <c r="O828" i="1"/>
  <c r="K828" i="1" a="1"/>
  <c r="K828" i="1" s="1"/>
  <c r="J828" i="1" a="1"/>
  <c r="J828" i="1" s="1"/>
  <c r="I828" i="1"/>
  <c r="I828" i="1" a="1"/>
  <c r="H828" i="1" a="1"/>
  <c r="H828" i="1" s="1"/>
  <c r="F828" i="1" a="1"/>
  <c r="F828" i="1" s="1"/>
  <c r="AA827" i="1"/>
  <c r="AE827" i="1" s="1"/>
  <c r="X827" i="1"/>
  <c r="O827" i="1"/>
  <c r="K827" i="1" a="1"/>
  <c r="K827" i="1" s="1"/>
  <c r="J827" i="1" a="1"/>
  <c r="J827" i="1" s="1"/>
  <c r="I827" i="1" a="1"/>
  <c r="I827" i="1" s="1"/>
  <c r="H827" i="1" a="1"/>
  <c r="H827" i="1" s="1"/>
  <c r="F827" i="1" a="1"/>
  <c r="F827" i="1" s="1"/>
  <c r="AA826" i="1"/>
  <c r="X826" i="1"/>
  <c r="O826" i="1"/>
  <c r="K826" i="1" a="1"/>
  <c r="K826" i="1" s="1"/>
  <c r="J826" i="1" a="1"/>
  <c r="J826" i="1" s="1"/>
  <c r="I826" i="1" a="1"/>
  <c r="I826" i="1" s="1"/>
  <c r="H826" i="1" a="1"/>
  <c r="H826" i="1" s="1"/>
  <c r="F826" i="1" a="1"/>
  <c r="F826" i="1" s="1"/>
  <c r="AA825" i="1"/>
  <c r="AB825" i="1" s="1"/>
  <c r="X825" i="1"/>
  <c r="O825" i="1"/>
  <c r="K825" i="1" a="1"/>
  <c r="K825" i="1" s="1"/>
  <c r="J825" i="1" a="1"/>
  <c r="J825" i="1" s="1"/>
  <c r="I825" i="1" a="1"/>
  <c r="I825" i="1" s="1"/>
  <c r="H825" i="1" a="1"/>
  <c r="H825" i="1" s="1"/>
  <c r="F825" i="1" a="1"/>
  <c r="F825" i="1" s="1"/>
  <c r="AA824" i="1"/>
  <c r="X824" i="1"/>
  <c r="O824" i="1"/>
  <c r="K824" i="1" a="1"/>
  <c r="K824" i="1" s="1"/>
  <c r="J824" i="1" a="1"/>
  <c r="J824" i="1" s="1"/>
  <c r="I824" i="1" a="1"/>
  <c r="I824" i="1" s="1"/>
  <c r="H824" i="1" a="1"/>
  <c r="H824" i="1" s="1"/>
  <c r="F824" i="1" a="1"/>
  <c r="F824" i="1" s="1"/>
  <c r="AA823" i="1"/>
  <c r="AE823" i="1" s="1"/>
  <c r="X823" i="1"/>
  <c r="O823" i="1"/>
  <c r="L823" i="1" a="1"/>
  <c r="L823" i="1" s="1"/>
  <c r="K823" i="1" a="1"/>
  <c r="K823" i="1" s="1"/>
  <c r="J823" i="1" a="1"/>
  <c r="J823" i="1" s="1"/>
  <c r="I823" i="1" a="1"/>
  <c r="I823" i="1" s="1"/>
  <c r="H823" i="1" a="1"/>
  <c r="H823" i="1" s="1"/>
  <c r="F823" i="1" a="1"/>
  <c r="F823" i="1" s="1"/>
  <c r="AA822" i="1"/>
  <c r="X822" i="1"/>
  <c r="O822" i="1"/>
  <c r="L822" i="1" a="1"/>
  <c r="L822" i="1" s="1"/>
  <c r="K822" i="1" a="1"/>
  <c r="K822" i="1" s="1"/>
  <c r="J822" i="1" a="1"/>
  <c r="J822" i="1" s="1"/>
  <c r="I822" i="1" a="1"/>
  <c r="I822" i="1" s="1"/>
  <c r="H822" i="1" a="1"/>
  <c r="H822" i="1" s="1"/>
  <c r="F822" i="1" a="1"/>
  <c r="F822" i="1" s="1"/>
  <c r="AA821" i="1"/>
  <c r="X821" i="1"/>
  <c r="O821" i="1"/>
  <c r="K821" i="1" a="1"/>
  <c r="K821" i="1" s="1"/>
  <c r="J821" i="1" a="1"/>
  <c r="J821" i="1" s="1"/>
  <c r="I821" i="1" a="1"/>
  <c r="I821" i="1" s="1"/>
  <c r="H821" i="1" a="1"/>
  <c r="H821" i="1" s="1"/>
  <c r="F821" i="1" a="1"/>
  <c r="F821" i="1" s="1"/>
  <c r="AA820" i="1"/>
  <c r="AB820" i="1" s="1"/>
  <c r="X820" i="1"/>
  <c r="O820" i="1"/>
  <c r="K820" i="1" a="1"/>
  <c r="K820" i="1" s="1"/>
  <c r="J820" i="1" a="1"/>
  <c r="J820" i="1" s="1"/>
  <c r="I820" i="1"/>
  <c r="I820" i="1" a="1"/>
  <c r="H820" i="1" a="1"/>
  <c r="H820" i="1" s="1"/>
  <c r="F820" i="1" a="1"/>
  <c r="F820" i="1" s="1"/>
  <c r="AA819" i="1"/>
  <c r="AE819" i="1" s="1"/>
  <c r="X819" i="1"/>
  <c r="O819" i="1"/>
  <c r="K819" i="1" a="1"/>
  <c r="K819" i="1" s="1"/>
  <c r="J819" i="1" a="1"/>
  <c r="J819" i="1" s="1"/>
  <c r="I819" i="1" a="1"/>
  <c r="I819" i="1" s="1"/>
  <c r="H819" i="1" a="1"/>
  <c r="H819" i="1" s="1"/>
  <c r="F819" i="1" a="1"/>
  <c r="F819" i="1" s="1"/>
  <c r="AA818" i="1"/>
  <c r="AE818" i="1" s="1"/>
  <c r="X818" i="1"/>
  <c r="O818" i="1"/>
  <c r="K818" i="1" a="1"/>
  <c r="K818" i="1" s="1"/>
  <c r="J818" i="1" a="1"/>
  <c r="J818" i="1" s="1"/>
  <c r="I818" i="1" a="1"/>
  <c r="I818" i="1" s="1"/>
  <c r="H818" i="1" a="1"/>
  <c r="H818" i="1" s="1"/>
  <c r="F818" i="1" a="1"/>
  <c r="F818" i="1" s="1"/>
  <c r="AA817" i="1"/>
  <c r="AB817" i="1" s="1"/>
  <c r="X817" i="1"/>
  <c r="O817" i="1"/>
  <c r="K817" i="1" a="1"/>
  <c r="K817" i="1" s="1"/>
  <c r="J817" i="1" a="1"/>
  <c r="J817" i="1" s="1"/>
  <c r="I817" i="1" a="1"/>
  <c r="I817" i="1" s="1"/>
  <c r="H817" i="1" a="1"/>
  <c r="H817" i="1" s="1"/>
  <c r="F817" i="1" a="1"/>
  <c r="F817" i="1" s="1"/>
  <c r="AA816" i="1"/>
  <c r="X816" i="1"/>
  <c r="O816" i="1"/>
  <c r="K816" i="1" a="1"/>
  <c r="K816" i="1" s="1"/>
  <c r="J816" i="1" a="1"/>
  <c r="J816" i="1" s="1"/>
  <c r="I816" i="1" a="1"/>
  <c r="I816" i="1" s="1"/>
  <c r="H816" i="1" a="1"/>
  <c r="H816" i="1" s="1"/>
  <c r="F816" i="1" a="1"/>
  <c r="F816" i="1" s="1"/>
  <c r="AA815" i="1"/>
  <c r="AE815" i="1" s="1"/>
  <c r="X815" i="1"/>
  <c r="O815" i="1"/>
  <c r="K815" i="1" a="1"/>
  <c r="K815" i="1" s="1"/>
  <c r="J815" i="1" a="1"/>
  <c r="J815" i="1" s="1"/>
  <c r="I815" i="1" a="1"/>
  <c r="I815" i="1" s="1"/>
  <c r="H815" i="1" a="1"/>
  <c r="H815" i="1" s="1"/>
  <c r="F815" i="1" a="1"/>
  <c r="F815" i="1" s="1"/>
  <c r="AA814" i="1"/>
  <c r="X814" i="1"/>
  <c r="O814" i="1"/>
  <c r="K814" i="1" a="1"/>
  <c r="K814" i="1" s="1"/>
  <c r="J814" i="1" a="1"/>
  <c r="J814" i="1" s="1"/>
  <c r="I814" i="1" a="1"/>
  <c r="I814" i="1" s="1"/>
  <c r="H814" i="1"/>
  <c r="H814" i="1" a="1"/>
  <c r="F814" i="1" a="1"/>
  <c r="F814" i="1" s="1"/>
  <c r="AE813" i="1"/>
  <c r="AB813" i="1"/>
  <c r="X813" i="1"/>
  <c r="O813" i="1"/>
  <c r="K813" i="1" a="1"/>
  <c r="K813" i="1" s="1"/>
  <c r="J813" i="1" a="1"/>
  <c r="J813" i="1" s="1"/>
  <c r="I813" i="1"/>
  <c r="I813" i="1" a="1"/>
  <c r="H813" i="1" a="1"/>
  <c r="H813" i="1" s="1"/>
  <c r="F813" i="1" a="1"/>
  <c r="F813" i="1" s="1"/>
  <c r="AA812" i="1"/>
  <c r="AE812" i="1" s="1"/>
  <c r="X812" i="1"/>
  <c r="O812" i="1"/>
  <c r="K812" i="1" a="1"/>
  <c r="K812" i="1" s="1"/>
  <c r="J812" i="1" a="1"/>
  <c r="J812" i="1" s="1"/>
  <c r="I812" i="1" a="1"/>
  <c r="I812" i="1" s="1"/>
  <c r="H812" i="1" a="1"/>
  <c r="H812" i="1" s="1"/>
  <c r="F812" i="1" a="1"/>
  <c r="F812" i="1" s="1"/>
  <c r="AA811" i="1"/>
  <c r="AE811" i="1" s="1"/>
  <c r="X811" i="1"/>
  <c r="O811" i="1"/>
  <c r="K811" i="1" a="1"/>
  <c r="K811" i="1" s="1"/>
  <c r="J811" i="1" a="1"/>
  <c r="J811" i="1" s="1"/>
  <c r="I811" i="1" a="1"/>
  <c r="I811" i="1" s="1"/>
  <c r="H811" i="1" a="1"/>
  <c r="H811" i="1" s="1"/>
  <c r="F811" i="1" a="1"/>
  <c r="F811" i="1" s="1"/>
  <c r="AA810" i="1"/>
  <c r="AB810" i="1" s="1"/>
  <c r="X810" i="1"/>
  <c r="O810" i="1"/>
  <c r="K810" i="1" a="1"/>
  <c r="K810" i="1" s="1"/>
  <c r="J810" i="1" a="1"/>
  <c r="J810" i="1" s="1"/>
  <c r="I810" i="1" a="1"/>
  <c r="I810" i="1" s="1"/>
  <c r="H810" i="1" a="1"/>
  <c r="H810" i="1" s="1"/>
  <c r="F810" i="1" a="1"/>
  <c r="F810" i="1" s="1"/>
  <c r="AA809" i="1"/>
  <c r="X809" i="1"/>
  <c r="O809" i="1"/>
  <c r="K809" i="1" a="1"/>
  <c r="K809" i="1" s="1"/>
  <c r="J809" i="1" a="1"/>
  <c r="J809" i="1" s="1"/>
  <c r="I809" i="1" a="1"/>
  <c r="I809" i="1" s="1"/>
  <c r="H809" i="1" a="1"/>
  <c r="H809" i="1" s="1"/>
  <c r="F809" i="1" a="1"/>
  <c r="F809" i="1" s="1"/>
  <c r="AA808" i="1"/>
  <c r="AE808" i="1" s="1"/>
  <c r="X808" i="1"/>
  <c r="O808" i="1"/>
  <c r="K808" i="1" a="1"/>
  <c r="K808" i="1" s="1"/>
  <c r="J808" i="1" a="1"/>
  <c r="J808" i="1" s="1"/>
  <c r="I808" i="1" a="1"/>
  <c r="I808" i="1" s="1"/>
  <c r="H808" i="1" a="1"/>
  <c r="H808" i="1" s="1"/>
  <c r="F808" i="1" a="1"/>
  <c r="F808" i="1" s="1"/>
  <c r="AA807" i="1"/>
  <c r="AE807" i="1" s="1"/>
  <c r="X807" i="1"/>
  <c r="O807" i="1"/>
  <c r="K807" i="1" a="1"/>
  <c r="K807" i="1" s="1"/>
  <c r="J807" i="1" a="1"/>
  <c r="J807" i="1" s="1"/>
  <c r="I807" i="1" a="1"/>
  <c r="I807" i="1" s="1"/>
  <c r="H807" i="1"/>
  <c r="H807" i="1" a="1"/>
  <c r="F807" i="1" a="1"/>
  <c r="F807" i="1" s="1"/>
  <c r="AA806" i="1"/>
  <c r="AB806" i="1" s="1"/>
  <c r="X806" i="1"/>
  <c r="O806" i="1"/>
  <c r="K806" i="1" a="1"/>
  <c r="K806" i="1" s="1"/>
  <c r="J806" i="1" a="1"/>
  <c r="J806" i="1" s="1"/>
  <c r="I806" i="1" a="1"/>
  <c r="I806" i="1" s="1"/>
  <c r="H806" i="1" a="1"/>
  <c r="H806" i="1" s="1"/>
  <c r="F806" i="1" a="1"/>
  <c r="F806" i="1" s="1"/>
  <c r="AA805" i="1"/>
  <c r="X805" i="1"/>
  <c r="O805" i="1"/>
  <c r="J805" i="1" a="1"/>
  <c r="J805" i="1" s="1"/>
  <c r="I805" i="1"/>
  <c r="I805" i="1" a="1"/>
  <c r="H805" i="1" a="1"/>
  <c r="H805" i="1" s="1"/>
  <c r="F805" i="1" a="1"/>
  <c r="F805" i="1" s="1"/>
  <c r="AA804" i="1"/>
  <c r="AE804" i="1" s="1"/>
  <c r="X804" i="1"/>
  <c r="O804" i="1"/>
  <c r="J804" i="1" a="1"/>
  <c r="J804" i="1" s="1"/>
  <c r="I804" i="1" a="1"/>
  <c r="I804" i="1" s="1"/>
  <c r="H804" i="1" a="1"/>
  <c r="H804" i="1" s="1"/>
  <c r="F804" i="1" a="1"/>
  <c r="F804" i="1" s="1"/>
  <c r="AA803" i="1"/>
  <c r="AE803" i="1" s="1"/>
  <c r="X803" i="1"/>
  <c r="O803" i="1"/>
  <c r="J803" i="1" a="1"/>
  <c r="J803" i="1" s="1"/>
  <c r="I803" i="1" a="1"/>
  <c r="I803" i="1" s="1"/>
  <c r="H803" i="1"/>
  <c r="H803" i="1" a="1"/>
  <c r="F803" i="1" a="1"/>
  <c r="F803" i="1" s="1"/>
  <c r="AA802" i="1"/>
  <c r="AB802" i="1" s="1"/>
  <c r="X802" i="1"/>
  <c r="O802" i="1"/>
  <c r="K802" i="1" a="1"/>
  <c r="K802" i="1" s="1"/>
  <c r="I802" i="1" a="1"/>
  <c r="I802" i="1" s="1"/>
  <c r="H802" i="1" a="1"/>
  <c r="H802" i="1" s="1"/>
  <c r="F802" i="1" a="1"/>
  <c r="F802" i="1" s="1"/>
  <c r="AA801" i="1"/>
  <c r="AE801" i="1" s="1"/>
  <c r="X801" i="1"/>
  <c r="O801" i="1"/>
  <c r="K801" i="1" a="1"/>
  <c r="K801" i="1" s="1"/>
  <c r="I801" i="1"/>
  <c r="I801" i="1" a="1"/>
  <c r="H801" i="1" a="1"/>
  <c r="H801" i="1" s="1"/>
  <c r="F801" i="1" a="1"/>
  <c r="F801" i="1" s="1"/>
  <c r="AA800" i="1"/>
  <c r="AE800" i="1" s="1"/>
  <c r="X800" i="1"/>
  <c r="O800" i="1"/>
  <c r="K800" i="1" a="1"/>
  <c r="K800" i="1" s="1"/>
  <c r="I800" i="1" a="1"/>
  <c r="I800" i="1" s="1"/>
  <c r="H800" i="1" a="1"/>
  <c r="H800" i="1" s="1"/>
  <c r="F800" i="1" a="1"/>
  <c r="F800" i="1" s="1"/>
  <c r="AA799" i="1"/>
  <c r="AE799" i="1" s="1"/>
  <c r="X799" i="1"/>
  <c r="O799" i="1"/>
  <c r="K799" i="1" a="1"/>
  <c r="K799" i="1" s="1"/>
  <c r="J799" i="1" a="1"/>
  <c r="J799" i="1" s="1"/>
  <c r="I799" i="1" a="1"/>
  <c r="I799" i="1" s="1"/>
  <c r="H799" i="1" a="1"/>
  <c r="H799" i="1" s="1"/>
  <c r="F799" i="1" a="1"/>
  <c r="F799" i="1" s="1"/>
  <c r="AE798" i="1"/>
  <c r="AA798" i="1"/>
  <c r="AB798" i="1" s="1"/>
  <c r="X798" i="1"/>
  <c r="O798" i="1"/>
  <c r="K798" i="1" a="1"/>
  <c r="K798" i="1" s="1"/>
  <c r="J798" i="1" a="1"/>
  <c r="J798" i="1" s="1"/>
  <c r="I798" i="1" a="1"/>
  <c r="I798" i="1" s="1"/>
  <c r="H798" i="1" a="1"/>
  <c r="H798" i="1" s="1"/>
  <c r="F798" i="1" a="1"/>
  <c r="F798" i="1" s="1"/>
  <c r="AA797" i="1"/>
  <c r="AE797" i="1" s="1"/>
  <c r="X797" i="1"/>
  <c r="O797" i="1"/>
  <c r="K797" i="1" a="1"/>
  <c r="K797" i="1" s="1"/>
  <c r="I797" i="1"/>
  <c r="I797" i="1" a="1"/>
  <c r="H797" i="1" a="1"/>
  <c r="H797" i="1" s="1"/>
  <c r="F797" i="1" a="1"/>
  <c r="F797" i="1" s="1"/>
  <c r="AA796" i="1"/>
  <c r="AE796" i="1" s="1"/>
  <c r="X796" i="1"/>
  <c r="O796" i="1"/>
  <c r="K796" i="1" a="1"/>
  <c r="K796" i="1" s="1"/>
  <c r="I796" i="1" a="1"/>
  <c r="I796" i="1" s="1"/>
  <c r="H796" i="1" a="1"/>
  <c r="H796" i="1" s="1"/>
  <c r="F796" i="1" a="1"/>
  <c r="F796" i="1" s="1"/>
  <c r="AA795" i="1"/>
  <c r="AE795" i="1" s="1"/>
  <c r="X795" i="1"/>
  <c r="O795" i="1"/>
  <c r="K795" i="1" a="1"/>
  <c r="K795" i="1" s="1"/>
  <c r="J795" i="1" a="1"/>
  <c r="J795" i="1" s="1"/>
  <c r="I795" i="1" a="1"/>
  <c r="I795" i="1" s="1"/>
  <c r="H795" i="1" a="1"/>
  <c r="H795" i="1" s="1"/>
  <c r="F795" i="1" a="1"/>
  <c r="F795" i="1" s="1"/>
  <c r="AE794" i="1"/>
  <c r="AA794" i="1"/>
  <c r="AB794" i="1" s="1"/>
  <c r="X794" i="1"/>
  <c r="O794" i="1"/>
  <c r="K794" i="1" a="1"/>
  <c r="K794" i="1" s="1"/>
  <c r="J794" i="1" a="1"/>
  <c r="J794" i="1" s="1"/>
  <c r="I794" i="1" a="1"/>
  <c r="I794" i="1" s="1"/>
  <c r="H794" i="1" a="1"/>
  <c r="H794" i="1" s="1"/>
  <c r="F794" i="1" a="1"/>
  <c r="F794" i="1" s="1"/>
  <c r="AB793" i="1"/>
  <c r="AA793" i="1"/>
  <c r="AE793" i="1" s="1"/>
  <c r="X793" i="1"/>
  <c r="O793" i="1"/>
  <c r="K793" i="1"/>
  <c r="K793" i="1" a="1"/>
  <c r="J793" i="1" a="1"/>
  <c r="J793" i="1" s="1"/>
  <c r="I793" i="1" a="1"/>
  <c r="I793" i="1" s="1"/>
  <c r="H793" i="1" a="1"/>
  <c r="H793" i="1" s="1"/>
  <c r="F793" i="1" a="1"/>
  <c r="F793" i="1" s="1"/>
  <c r="AA792" i="1"/>
  <c r="AE792" i="1" s="1"/>
  <c r="X792" i="1"/>
  <c r="O792" i="1"/>
  <c r="K792" i="1" a="1"/>
  <c r="K792" i="1" s="1"/>
  <c r="J792" i="1" a="1"/>
  <c r="J792" i="1" s="1"/>
  <c r="I792" i="1" a="1"/>
  <c r="I792" i="1" s="1"/>
  <c r="H792" i="1" a="1"/>
  <c r="H792" i="1" s="1"/>
  <c r="F792" i="1" a="1"/>
  <c r="F792" i="1" s="1"/>
  <c r="AA791" i="1"/>
  <c r="AE791" i="1" s="1"/>
  <c r="X791" i="1"/>
  <c r="O791" i="1"/>
  <c r="K791" i="1" a="1"/>
  <c r="K791" i="1" s="1"/>
  <c r="J791" i="1"/>
  <c r="J791" i="1" a="1"/>
  <c r="I791" i="1" a="1"/>
  <c r="I791" i="1" s="1"/>
  <c r="H791" i="1" a="1"/>
  <c r="H791" i="1" s="1"/>
  <c r="F791" i="1" a="1"/>
  <c r="F791" i="1" s="1"/>
  <c r="AE790" i="1"/>
  <c r="AA790" i="1"/>
  <c r="AB790" i="1" s="1"/>
  <c r="X790" i="1"/>
  <c r="O790" i="1"/>
  <c r="K790" i="1" a="1"/>
  <c r="K790" i="1" s="1"/>
  <c r="J790" i="1" a="1"/>
  <c r="J790" i="1" s="1"/>
  <c r="I790" i="1" a="1"/>
  <c r="I790" i="1" s="1"/>
  <c r="H790" i="1" a="1"/>
  <c r="H790" i="1" s="1"/>
  <c r="F790" i="1" a="1"/>
  <c r="F790" i="1" s="1"/>
  <c r="AA789" i="1"/>
  <c r="AE789" i="1" s="1"/>
  <c r="X789" i="1"/>
  <c r="O789" i="1"/>
  <c r="L789" i="1" a="1"/>
  <c r="L789" i="1" s="1"/>
  <c r="K789" i="1" a="1"/>
  <c r="K789" i="1" s="1"/>
  <c r="J789" i="1" a="1"/>
  <c r="J789" i="1" s="1"/>
  <c r="I789" i="1" a="1"/>
  <c r="I789" i="1" s="1"/>
  <c r="H789" i="1" a="1"/>
  <c r="H789" i="1" s="1"/>
  <c r="F789" i="1" a="1"/>
  <c r="F789" i="1" s="1"/>
  <c r="AA788" i="1"/>
  <c r="X788" i="1"/>
  <c r="O788" i="1"/>
  <c r="K788" i="1" a="1"/>
  <c r="K788" i="1" s="1"/>
  <c r="J788" i="1" a="1"/>
  <c r="J788" i="1" s="1"/>
  <c r="I788" i="1" a="1"/>
  <c r="I788" i="1" s="1"/>
  <c r="H788" i="1" a="1"/>
  <c r="H788" i="1" s="1"/>
  <c r="F788" i="1" a="1"/>
  <c r="F788" i="1" s="1"/>
  <c r="AA787" i="1"/>
  <c r="AB787" i="1" s="1"/>
  <c r="X787" i="1"/>
  <c r="O787" i="1"/>
  <c r="K787" i="1" a="1"/>
  <c r="K787" i="1" s="1"/>
  <c r="J787" i="1" a="1"/>
  <c r="J787" i="1" s="1"/>
  <c r="I787" i="1"/>
  <c r="I787" i="1" a="1"/>
  <c r="H787" i="1" a="1"/>
  <c r="H787" i="1" s="1"/>
  <c r="F787" i="1" a="1"/>
  <c r="F787" i="1" s="1"/>
  <c r="AA786" i="1"/>
  <c r="AE786" i="1" s="1"/>
  <c r="X786" i="1"/>
  <c r="O786" i="1"/>
  <c r="K786" i="1" a="1"/>
  <c r="K786" i="1" s="1"/>
  <c r="J786" i="1" a="1"/>
  <c r="J786" i="1" s="1"/>
  <c r="I786" i="1" a="1"/>
  <c r="I786" i="1" s="1"/>
  <c r="H786" i="1" a="1"/>
  <c r="H786" i="1" s="1"/>
  <c r="F786" i="1" a="1"/>
  <c r="F786" i="1" s="1"/>
  <c r="AA785" i="1"/>
  <c r="AE785" i="1" s="1"/>
  <c r="X785" i="1"/>
  <c r="O785" i="1"/>
  <c r="K785" i="1" a="1"/>
  <c r="K785" i="1" s="1"/>
  <c r="J785" i="1" a="1"/>
  <c r="J785" i="1" s="1"/>
  <c r="I785" i="1" a="1"/>
  <c r="I785" i="1" s="1"/>
  <c r="H785" i="1" a="1"/>
  <c r="H785" i="1" s="1"/>
  <c r="F785" i="1" a="1"/>
  <c r="F785" i="1" s="1"/>
  <c r="AA784" i="1"/>
  <c r="X784" i="1"/>
  <c r="O784" i="1"/>
  <c r="K784" i="1" a="1"/>
  <c r="K784" i="1" s="1"/>
  <c r="J784" i="1" a="1"/>
  <c r="J784" i="1" s="1"/>
  <c r="I784" i="1" a="1"/>
  <c r="I784" i="1" s="1"/>
  <c r="H784" i="1" a="1"/>
  <c r="H784" i="1" s="1"/>
  <c r="F784" i="1" a="1"/>
  <c r="F784" i="1" s="1"/>
  <c r="AE783" i="1"/>
  <c r="AA783" i="1"/>
  <c r="AB783" i="1" s="1"/>
  <c r="X783" i="1"/>
  <c r="O783" i="1"/>
  <c r="K783" i="1" a="1"/>
  <c r="K783" i="1" s="1"/>
  <c r="J783" i="1" a="1"/>
  <c r="J783" i="1" s="1"/>
  <c r="I783" i="1" a="1"/>
  <c r="I783" i="1" s="1"/>
  <c r="H783" i="1" a="1"/>
  <c r="H783" i="1" s="1"/>
  <c r="F783" i="1" a="1"/>
  <c r="F783" i="1" s="1"/>
  <c r="AA782" i="1"/>
  <c r="AE782" i="1" s="1"/>
  <c r="X782" i="1"/>
  <c r="O782" i="1"/>
  <c r="K782" i="1" a="1"/>
  <c r="K782" i="1" s="1"/>
  <c r="J782" i="1" a="1"/>
  <c r="J782" i="1" s="1"/>
  <c r="I782" i="1" a="1"/>
  <c r="I782" i="1" s="1"/>
  <c r="H782" i="1" a="1"/>
  <c r="H782" i="1" s="1"/>
  <c r="F782" i="1" a="1"/>
  <c r="F782" i="1" s="1"/>
  <c r="AA781" i="1"/>
  <c r="AE781" i="1" s="1"/>
  <c r="X781" i="1"/>
  <c r="O781" i="1"/>
  <c r="L781" i="1" a="1"/>
  <c r="L781" i="1" s="1"/>
  <c r="K781" i="1" a="1"/>
  <c r="K781" i="1" s="1"/>
  <c r="J781" i="1" a="1"/>
  <c r="J781" i="1" s="1"/>
  <c r="I781" i="1"/>
  <c r="I781" i="1" a="1"/>
  <c r="H781" i="1" a="1"/>
  <c r="H781" i="1" s="1"/>
  <c r="F781" i="1" a="1"/>
  <c r="F781" i="1" s="1"/>
  <c r="AA780" i="1"/>
  <c r="AE780" i="1" s="1"/>
  <c r="X780" i="1"/>
  <c r="O780" i="1"/>
  <c r="K780" i="1" a="1"/>
  <c r="K780" i="1" s="1"/>
  <c r="J780" i="1" a="1"/>
  <c r="J780" i="1" s="1"/>
  <c r="I780" i="1" a="1"/>
  <c r="I780" i="1" s="1"/>
  <c r="H780" i="1" a="1"/>
  <c r="H780" i="1" s="1"/>
  <c r="F780" i="1" a="1"/>
  <c r="F780" i="1" s="1"/>
  <c r="AA779" i="1"/>
  <c r="AE779" i="1" s="1"/>
  <c r="X779" i="1"/>
  <c r="O779" i="1"/>
  <c r="K779" i="1" a="1"/>
  <c r="K779" i="1" s="1"/>
  <c r="J779" i="1" a="1"/>
  <c r="J779" i="1" s="1"/>
  <c r="I779" i="1" a="1"/>
  <c r="I779" i="1" s="1"/>
  <c r="H779" i="1" a="1"/>
  <c r="H779" i="1" s="1"/>
  <c r="F779" i="1" a="1"/>
  <c r="F779" i="1" s="1"/>
  <c r="AA778" i="1"/>
  <c r="X778" i="1"/>
  <c r="O778" i="1"/>
  <c r="K778" i="1" a="1"/>
  <c r="K778" i="1" s="1"/>
  <c r="J778" i="1" a="1"/>
  <c r="J778" i="1" s="1"/>
  <c r="I778" i="1" a="1"/>
  <c r="I778" i="1" s="1"/>
  <c r="H778" i="1" a="1"/>
  <c r="H778" i="1" s="1"/>
  <c r="F778" i="1" a="1"/>
  <c r="F778" i="1" s="1"/>
  <c r="AA777" i="1"/>
  <c r="AB777" i="1" s="1"/>
  <c r="X777" i="1"/>
  <c r="O777" i="1"/>
  <c r="K777" i="1" a="1"/>
  <c r="K777" i="1" s="1"/>
  <c r="J777" i="1" a="1"/>
  <c r="J777" i="1" s="1"/>
  <c r="I777" i="1"/>
  <c r="I777" i="1" a="1"/>
  <c r="H777" i="1" a="1"/>
  <c r="H777" i="1" s="1"/>
  <c r="F777" i="1" a="1"/>
  <c r="F777" i="1" s="1"/>
  <c r="AA776" i="1"/>
  <c r="AE776" i="1" s="1"/>
  <c r="X776" i="1"/>
  <c r="O776" i="1"/>
  <c r="K776" i="1" a="1"/>
  <c r="K776" i="1" s="1"/>
  <c r="J776" i="1" a="1"/>
  <c r="J776" i="1" s="1"/>
  <c r="I776" i="1" a="1"/>
  <c r="I776" i="1" s="1"/>
  <c r="H776" i="1" a="1"/>
  <c r="H776" i="1" s="1"/>
  <c r="F776" i="1" a="1"/>
  <c r="F776" i="1" s="1"/>
  <c r="AA775" i="1"/>
  <c r="AE775" i="1" s="1"/>
  <c r="X775" i="1"/>
  <c r="O775" i="1"/>
  <c r="K775" i="1" a="1"/>
  <c r="K775" i="1" s="1"/>
  <c r="J775" i="1" a="1"/>
  <c r="J775" i="1" s="1"/>
  <c r="I775" i="1" a="1"/>
  <c r="I775" i="1" s="1"/>
  <c r="H775" i="1" a="1"/>
  <c r="H775" i="1" s="1"/>
  <c r="F775" i="1" a="1"/>
  <c r="F775" i="1" s="1"/>
  <c r="AA774" i="1"/>
  <c r="X774" i="1"/>
  <c r="O774" i="1"/>
  <c r="K774" i="1" a="1"/>
  <c r="K774" i="1" s="1"/>
  <c r="J774" i="1" a="1"/>
  <c r="J774" i="1" s="1"/>
  <c r="I774" i="1" a="1"/>
  <c r="I774" i="1" s="1"/>
  <c r="H774" i="1" a="1"/>
  <c r="H774" i="1" s="1"/>
  <c r="F774" i="1" a="1"/>
  <c r="F774" i="1" s="1"/>
  <c r="AE773" i="1"/>
  <c r="AA773" i="1"/>
  <c r="AB773" i="1" s="1"/>
  <c r="X773" i="1"/>
  <c r="O773" i="1"/>
  <c r="K773" i="1" a="1"/>
  <c r="K773" i="1" s="1"/>
  <c r="J773" i="1" a="1"/>
  <c r="J773" i="1" s="1"/>
  <c r="I773" i="1" a="1"/>
  <c r="I773" i="1" s="1"/>
  <c r="H773" i="1" a="1"/>
  <c r="H773" i="1" s="1"/>
  <c r="F773" i="1" a="1"/>
  <c r="F773" i="1" s="1"/>
  <c r="AA772" i="1"/>
  <c r="X772" i="1"/>
  <c r="O772" i="1"/>
  <c r="K772" i="1" a="1"/>
  <c r="K772" i="1" s="1"/>
  <c r="J772" i="1" a="1"/>
  <c r="J772" i="1" s="1"/>
  <c r="I772" i="1" a="1"/>
  <c r="I772" i="1" s="1"/>
  <c r="H772" i="1" a="1"/>
  <c r="H772" i="1" s="1"/>
  <c r="F772" i="1" a="1"/>
  <c r="F772" i="1" s="1"/>
  <c r="AA771" i="1"/>
  <c r="AE771" i="1" s="1"/>
  <c r="X771" i="1"/>
  <c r="O771" i="1"/>
  <c r="K771" i="1" a="1"/>
  <c r="K771" i="1" s="1"/>
  <c r="J771" i="1" a="1"/>
  <c r="J771" i="1" s="1"/>
  <c r="I771" i="1" a="1"/>
  <c r="I771" i="1" s="1"/>
  <c r="H771" i="1"/>
  <c r="H771" i="1" a="1"/>
  <c r="F771" i="1" a="1"/>
  <c r="F771" i="1" s="1"/>
  <c r="AA770" i="1"/>
  <c r="X770" i="1"/>
  <c r="O770" i="1"/>
  <c r="K770" i="1" a="1"/>
  <c r="K770" i="1" s="1"/>
  <c r="J770" i="1" a="1"/>
  <c r="J770" i="1" s="1"/>
  <c r="I770" i="1" a="1"/>
  <c r="I770" i="1" s="1"/>
  <c r="H770" i="1" a="1"/>
  <c r="H770" i="1" s="1"/>
  <c r="F770" i="1" a="1"/>
  <c r="F770" i="1" s="1"/>
  <c r="AE769" i="1"/>
  <c r="AB769" i="1"/>
  <c r="X769" i="1"/>
  <c r="O769" i="1"/>
  <c r="L769" i="1" a="1"/>
  <c r="L769" i="1" s="1"/>
  <c r="K769" i="1" a="1"/>
  <c r="K769" i="1" s="1"/>
  <c r="J769" i="1" a="1"/>
  <c r="J769" i="1" s="1"/>
  <c r="I769" i="1" a="1"/>
  <c r="I769" i="1" s="1"/>
  <c r="H769" i="1" a="1"/>
  <c r="H769" i="1" s="1"/>
  <c r="F769" i="1" a="1"/>
  <c r="F769" i="1" s="1"/>
  <c r="AA768" i="1"/>
  <c r="X768" i="1"/>
  <c r="O768" i="1"/>
  <c r="L768" i="1" a="1"/>
  <c r="L768" i="1" s="1"/>
  <c r="K768" i="1" a="1"/>
  <c r="K768" i="1" s="1"/>
  <c r="J768" i="1" a="1"/>
  <c r="J768" i="1" s="1"/>
  <c r="I768" i="1" a="1"/>
  <c r="I768" i="1" s="1"/>
  <c r="H768" i="1" a="1"/>
  <c r="H768" i="1" s="1"/>
  <c r="F768" i="1" a="1"/>
  <c r="F768" i="1" s="1"/>
  <c r="AE767" i="1"/>
  <c r="AA767" i="1"/>
  <c r="AB767" i="1" s="1"/>
  <c r="X767" i="1"/>
  <c r="O767" i="1"/>
  <c r="L767" i="1" a="1"/>
  <c r="L767" i="1" s="1"/>
  <c r="K767" i="1" a="1"/>
  <c r="K767" i="1" s="1"/>
  <c r="J767" i="1" a="1"/>
  <c r="J767" i="1" s="1"/>
  <c r="I767" i="1" a="1"/>
  <c r="I767" i="1" s="1"/>
  <c r="H767" i="1" a="1"/>
  <c r="H767" i="1" s="1"/>
  <c r="F767" i="1" a="1"/>
  <c r="F767" i="1" s="1"/>
  <c r="AA766" i="1"/>
  <c r="AE766" i="1" s="1"/>
  <c r="X766" i="1"/>
  <c r="O766" i="1"/>
  <c r="L766" i="1" a="1"/>
  <c r="L766" i="1" s="1"/>
  <c r="K766" i="1" a="1"/>
  <c r="K766" i="1" s="1"/>
  <c r="J766" i="1" a="1"/>
  <c r="J766" i="1" s="1"/>
  <c r="I766" i="1" a="1"/>
  <c r="I766" i="1" s="1"/>
  <c r="H766" i="1" a="1"/>
  <c r="H766" i="1" s="1"/>
  <c r="F766" i="1" a="1"/>
  <c r="F766" i="1" s="1"/>
  <c r="AA765" i="1"/>
  <c r="X765" i="1"/>
  <c r="O765" i="1"/>
  <c r="K765" i="1" a="1"/>
  <c r="K765" i="1" s="1"/>
  <c r="J765" i="1" a="1"/>
  <c r="J765" i="1" s="1"/>
  <c r="I765" i="1" a="1"/>
  <c r="I765" i="1" s="1"/>
  <c r="H765" i="1" a="1"/>
  <c r="H765" i="1" s="1"/>
  <c r="F765" i="1" a="1"/>
  <c r="F765" i="1" s="1"/>
  <c r="AB764" i="1"/>
  <c r="AA764" i="1"/>
  <c r="AE764" i="1" s="1"/>
  <c r="X764" i="1"/>
  <c r="O764" i="1"/>
  <c r="K764" i="1"/>
  <c r="K764" i="1" a="1"/>
  <c r="J764" i="1" a="1"/>
  <c r="J764" i="1" s="1"/>
  <c r="I764" i="1" a="1"/>
  <c r="I764" i="1" s="1"/>
  <c r="H764" i="1" a="1"/>
  <c r="H764" i="1" s="1"/>
  <c r="F764" i="1" a="1"/>
  <c r="F764" i="1" s="1"/>
  <c r="AE763" i="1"/>
  <c r="AA763" i="1"/>
  <c r="AB763" i="1" s="1"/>
  <c r="X763" i="1"/>
  <c r="O763" i="1"/>
  <c r="K763" i="1" a="1"/>
  <c r="K763" i="1" s="1"/>
  <c r="J763" i="1" a="1"/>
  <c r="J763" i="1" s="1"/>
  <c r="I763" i="1" a="1"/>
  <c r="I763" i="1" s="1"/>
  <c r="H763" i="1" a="1"/>
  <c r="H763" i="1" s="1"/>
  <c r="F763" i="1" a="1"/>
  <c r="F763" i="1" s="1"/>
  <c r="AA762" i="1"/>
  <c r="AE762" i="1" s="1"/>
  <c r="X762" i="1"/>
  <c r="O762" i="1"/>
  <c r="K762" i="1" a="1"/>
  <c r="K762" i="1" s="1"/>
  <c r="J762" i="1" a="1"/>
  <c r="J762" i="1" s="1"/>
  <c r="I762" i="1" a="1"/>
  <c r="I762" i="1" s="1"/>
  <c r="H762" i="1" a="1"/>
  <c r="H762" i="1" s="1"/>
  <c r="F762" i="1" a="1"/>
  <c r="F762" i="1" s="1"/>
  <c r="AA761" i="1"/>
  <c r="AE761" i="1" s="1"/>
  <c r="X761" i="1"/>
  <c r="O761" i="1"/>
  <c r="J761" i="1" a="1"/>
  <c r="J761" i="1" s="1"/>
  <c r="I761" i="1" a="1"/>
  <c r="I761" i="1" s="1"/>
  <c r="H761" i="1" a="1"/>
  <c r="H761" i="1" s="1"/>
  <c r="F761" i="1" a="1"/>
  <c r="F761" i="1" s="1"/>
  <c r="AA760" i="1"/>
  <c r="AE760" i="1" s="1"/>
  <c r="X760" i="1"/>
  <c r="O760" i="1"/>
  <c r="J760" i="1" a="1"/>
  <c r="J760" i="1" s="1"/>
  <c r="I760" i="1" a="1"/>
  <c r="I760" i="1" s="1"/>
  <c r="H760" i="1" a="1"/>
  <c r="H760" i="1" s="1"/>
  <c r="F760" i="1" a="1"/>
  <c r="F760" i="1" s="1"/>
  <c r="AA759" i="1"/>
  <c r="AB759" i="1" s="1"/>
  <c r="X759" i="1"/>
  <c r="O759" i="1"/>
  <c r="J759" i="1" a="1"/>
  <c r="J759" i="1" s="1"/>
  <c r="I759" i="1" a="1"/>
  <c r="I759" i="1" s="1"/>
  <c r="H759" i="1" a="1"/>
  <c r="H759" i="1" s="1"/>
  <c r="F759" i="1" a="1"/>
  <c r="F759" i="1" s="1"/>
  <c r="AA758" i="1"/>
  <c r="X758" i="1"/>
  <c r="O758" i="1"/>
  <c r="K758" i="1" a="1"/>
  <c r="K758" i="1" s="1"/>
  <c r="I758" i="1" a="1"/>
  <c r="I758" i="1" s="1"/>
  <c r="H758" i="1" a="1"/>
  <c r="H758" i="1" s="1"/>
  <c r="F758" i="1" a="1"/>
  <c r="F758" i="1" s="1"/>
  <c r="AB757" i="1"/>
  <c r="AA757" i="1"/>
  <c r="AE757" i="1" s="1"/>
  <c r="X757" i="1"/>
  <c r="O757" i="1"/>
  <c r="K757" i="1"/>
  <c r="K757" i="1" a="1"/>
  <c r="I757" i="1" a="1"/>
  <c r="I757" i="1" s="1"/>
  <c r="H757" i="1" a="1"/>
  <c r="H757" i="1" s="1"/>
  <c r="F757" i="1" a="1"/>
  <c r="F757" i="1" s="1"/>
  <c r="AA756" i="1"/>
  <c r="X756" i="1"/>
  <c r="O756" i="1"/>
  <c r="K756" i="1" a="1"/>
  <c r="K756" i="1" s="1"/>
  <c r="I756" i="1" a="1"/>
  <c r="I756" i="1" s="1"/>
  <c r="H756" i="1" a="1"/>
  <c r="H756" i="1" s="1"/>
  <c r="F756" i="1" a="1"/>
  <c r="F756" i="1" s="1"/>
  <c r="AA755" i="1"/>
  <c r="AB755" i="1" s="1"/>
  <c r="X755" i="1"/>
  <c r="O755" i="1"/>
  <c r="K755" i="1" a="1"/>
  <c r="K755" i="1" s="1"/>
  <c r="J755" i="1" a="1"/>
  <c r="J755" i="1" s="1"/>
  <c r="I755" i="1" a="1"/>
  <c r="I755" i="1" s="1"/>
  <c r="H755" i="1" a="1"/>
  <c r="H755" i="1" s="1"/>
  <c r="F755" i="1" a="1"/>
  <c r="F755" i="1" s="1"/>
  <c r="AA754" i="1"/>
  <c r="X754" i="1"/>
  <c r="O754" i="1"/>
  <c r="K754" i="1" a="1"/>
  <c r="K754" i="1" s="1"/>
  <c r="J754" i="1" a="1"/>
  <c r="J754" i="1" s="1"/>
  <c r="I754" i="1" a="1"/>
  <c r="I754" i="1" s="1"/>
  <c r="H754" i="1" a="1"/>
  <c r="H754" i="1" s="1"/>
  <c r="F754" i="1"/>
  <c r="F754" i="1" a="1"/>
  <c r="AA753" i="1"/>
  <c r="AE753" i="1" s="1"/>
  <c r="X753" i="1"/>
  <c r="O753" i="1"/>
  <c r="K753" i="1" a="1"/>
  <c r="K753" i="1" s="1"/>
  <c r="I753" i="1"/>
  <c r="I753" i="1" a="1"/>
  <c r="H753" i="1" a="1"/>
  <c r="H753" i="1" s="1"/>
  <c r="F753" i="1" a="1"/>
  <c r="F753" i="1" s="1"/>
  <c r="AA752" i="1"/>
  <c r="AE752" i="1" s="1"/>
  <c r="X752" i="1"/>
  <c r="O752" i="1"/>
  <c r="K752" i="1" a="1"/>
  <c r="K752" i="1" s="1"/>
  <c r="J752" i="1" a="1"/>
  <c r="J752" i="1" s="1"/>
  <c r="I752" i="1" a="1"/>
  <c r="I752" i="1" s="1"/>
  <c r="H752" i="1" a="1"/>
  <c r="H752" i="1" s="1"/>
  <c r="F752" i="1" a="1"/>
  <c r="F752" i="1" s="1"/>
  <c r="AA751" i="1"/>
  <c r="AB751" i="1" s="1"/>
  <c r="X751" i="1"/>
  <c r="O751" i="1"/>
  <c r="K751" i="1" a="1"/>
  <c r="K751" i="1" s="1"/>
  <c r="J751" i="1" a="1"/>
  <c r="J751" i="1" s="1"/>
  <c r="I751" i="1" a="1"/>
  <c r="I751" i="1" s="1"/>
  <c r="H751" i="1" a="1"/>
  <c r="H751" i="1" s="1"/>
  <c r="F751" i="1" a="1"/>
  <c r="F751" i="1" s="1"/>
  <c r="AA750" i="1"/>
  <c r="X750" i="1"/>
  <c r="O750" i="1"/>
  <c r="K750" i="1" a="1"/>
  <c r="K750" i="1" s="1"/>
  <c r="J750" i="1" a="1"/>
  <c r="J750" i="1" s="1"/>
  <c r="I750" i="1" a="1"/>
  <c r="I750" i="1" s="1"/>
  <c r="H750" i="1" a="1"/>
  <c r="H750" i="1" s="1"/>
  <c r="F750" i="1"/>
  <c r="F750" i="1" a="1"/>
  <c r="AA749" i="1"/>
  <c r="AE749" i="1" s="1"/>
  <c r="X749" i="1"/>
  <c r="O749" i="1"/>
  <c r="K749" i="1" a="1"/>
  <c r="K749" i="1" s="1"/>
  <c r="J749" i="1" a="1"/>
  <c r="J749" i="1" s="1"/>
  <c r="I749" i="1" a="1"/>
  <c r="I749" i="1" s="1"/>
  <c r="H749" i="1" a="1"/>
  <c r="H749" i="1" s="1"/>
  <c r="F749" i="1" a="1"/>
  <c r="F749" i="1" s="1"/>
  <c r="AA748" i="1"/>
  <c r="AE748" i="1" s="1"/>
  <c r="X748" i="1"/>
  <c r="O748" i="1"/>
  <c r="K748" i="1" a="1"/>
  <c r="K748" i="1" s="1"/>
  <c r="J748" i="1"/>
  <c r="J748" i="1" a="1"/>
  <c r="I748" i="1" a="1"/>
  <c r="I748" i="1" s="1"/>
  <c r="H748" i="1" a="1"/>
  <c r="H748" i="1" s="1"/>
  <c r="F748" i="1" a="1"/>
  <c r="F748" i="1" s="1"/>
  <c r="AA747" i="1"/>
  <c r="AB747" i="1" s="1"/>
  <c r="X747" i="1"/>
  <c r="O747" i="1"/>
  <c r="K747" i="1" a="1"/>
  <c r="K747" i="1" s="1"/>
  <c r="J747" i="1" a="1"/>
  <c r="J747" i="1" s="1"/>
  <c r="I747" i="1" a="1"/>
  <c r="I747" i="1" s="1"/>
  <c r="H747" i="1" a="1"/>
  <c r="H747" i="1" s="1"/>
  <c r="F747" i="1" a="1"/>
  <c r="F747" i="1" s="1"/>
  <c r="AA746" i="1"/>
  <c r="X746" i="1"/>
  <c r="O746" i="1"/>
  <c r="K746" i="1" a="1"/>
  <c r="K746" i="1" s="1"/>
  <c r="J746" i="1" a="1"/>
  <c r="J746" i="1" s="1"/>
  <c r="I746" i="1"/>
  <c r="I746" i="1" a="1"/>
  <c r="H746" i="1" a="1"/>
  <c r="H746" i="1" s="1"/>
  <c r="F746" i="1" a="1"/>
  <c r="F746" i="1" s="1"/>
  <c r="AA745" i="1"/>
  <c r="AE745" i="1" s="1"/>
  <c r="X745" i="1"/>
  <c r="O745" i="1"/>
  <c r="K745" i="1" a="1"/>
  <c r="K745" i="1" s="1"/>
  <c r="J745" i="1" a="1"/>
  <c r="J745" i="1" s="1"/>
  <c r="I745" i="1" a="1"/>
  <c r="I745" i="1" s="1"/>
  <c r="H745" i="1" a="1"/>
  <c r="H745" i="1" s="1"/>
  <c r="F745" i="1" a="1"/>
  <c r="F745" i="1" s="1"/>
  <c r="AA744" i="1"/>
  <c r="AE744" i="1" s="1"/>
  <c r="X744" i="1"/>
  <c r="O744" i="1"/>
  <c r="K744" i="1" a="1"/>
  <c r="K744" i="1" s="1"/>
  <c r="J744" i="1" a="1"/>
  <c r="J744" i="1" s="1"/>
  <c r="I744" i="1" a="1"/>
  <c r="I744" i="1" s="1"/>
  <c r="H744" i="1"/>
  <c r="H744" i="1" a="1"/>
  <c r="F744" i="1" a="1"/>
  <c r="F744" i="1" s="1"/>
  <c r="AA743" i="1"/>
  <c r="X743" i="1"/>
  <c r="O743" i="1"/>
  <c r="K743" i="1" a="1"/>
  <c r="K743" i="1" s="1"/>
  <c r="J743" i="1" a="1"/>
  <c r="J743" i="1" s="1"/>
  <c r="I743" i="1" a="1"/>
  <c r="I743" i="1" s="1"/>
  <c r="H743" i="1" a="1"/>
  <c r="H743" i="1" s="1"/>
  <c r="F743" i="1" a="1"/>
  <c r="F743" i="1" s="1"/>
  <c r="X742" i="1"/>
  <c r="O742" i="1"/>
  <c r="K742" i="1" a="1"/>
  <c r="K742" i="1" s="1"/>
  <c r="J742" i="1" a="1"/>
  <c r="J742" i="1" s="1"/>
  <c r="I742" i="1" a="1"/>
  <c r="I742" i="1" s="1"/>
  <c r="H742" i="1"/>
  <c r="H742" i="1" a="1"/>
  <c r="F742" i="1" a="1"/>
  <c r="F742" i="1" s="1"/>
  <c r="AE741" i="1"/>
  <c r="AB741" i="1"/>
  <c r="AA741" i="1"/>
  <c r="X741" i="1"/>
  <c r="O741" i="1"/>
  <c r="K741" i="1"/>
  <c r="K741" i="1" a="1"/>
  <c r="J741" i="1" a="1"/>
  <c r="J741" i="1" s="1"/>
  <c r="I741" i="1" a="1"/>
  <c r="I741" i="1" s="1"/>
  <c r="H741" i="1" a="1"/>
  <c r="H741" i="1" s="1"/>
  <c r="F741" i="1" a="1"/>
  <c r="F741" i="1" s="1"/>
  <c r="AB740" i="1"/>
  <c r="AA740" i="1"/>
  <c r="AE740" i="1" s="1"/>
  <c r="X740" i="1"/>
  <c r="O740" i="1"/>
  <c r="K740" i="1"/>
  <c r="K740" i="1" a="1"/>
  <c r="J740" i="1" a="1"/>
  <c r="J740" i="1" s="1"/>
  <c r="I740" i="1" a="1"/>
  <c r="I740" i="1" s="1"/>
  <c r="H740" i="1" a="1"/>
  <c r="H740" i="1" s="1"/>
  <c r="F740" i="1"/>
  <c r="F740" i="1" a="1"/>
  <c r="AA739" i="1"/>
  <c r="AE739" i="1" s="1"/>
  <c r="X739" i="1"/>
  <c r="O739" i="1"/>
  <c r="K739" i="1" a="1"/>
  <c r="K739" i="1" s="1"/>
  <c r="J739" i="1" a="1"/>
  <c r="J739" i="1" s="1"/>
  <c r="I739" i="1" a="1"/>
  <c r="I739" i="1" s="1"/>
  <c r="H739" i="1" a="1"/>
  <c r="H739" i="1" s="1"/>
  <c r="F739" i="1" a="1"/>
  <c r="F739" i="1" s="1"/>
  <c r="AE738" i="1"/>
  <c r="AA738" i="1"/>
  <c r="AB738" i="1" s="1"/>
  <c r="X738" i="1"/>
  <c r="O738" i="1"/>
  <c r="K738" i="1" a="1"/>
  <c r="K738" i="1" s="1"/>
  <c r="J738" i="1" a="1"/>
  <c r="J738" i="1" s="1"/>
  <c r="I738" i="1" a="1"/>
  <c r="I738" i="1" s="1"/>
  <c r="H738" i="1" a="1"/>
  <c r="H738" i="1" s="1"/>
  <c r="F738" i="1" a="1"/>
  <c r="F738" i="1" s="1"/>
  <c r="AA737" i="1"/>
  <c r="AE737" i="1" s="1"/>
  <c r="X737" i="1"/>
  <c r="O737" i="1"/>
  <c r="K737" i="1" a="1"/>
  <c r="K737" i="1" s="1"/>
  <c r="J737" i="1" a="1"/>
  <c r="J737" i="1" s="1"/>
  <c r="I737" i="1" a="1"/>
  <c r="I737" i="1" s="1"/>
  <c r="H737" i="1" a="1"/>
  <c r="H737" i="1" s="1"/>
  <c r="F737" i="1" a="1"/>
  <c r="F737" i="1" s="1"/>
  <c r="AB736" i="1"/>
  <c r="AA736" i="1"/>
  <c r="AE736" i="1" s="1"/>
  <c r="X736" i="1"/>
  <c r="O736" i="1"/>
  <c r="K736" i="1"/>
  <c r="K736" i="1" a="1"/>
  <c r="J736" i="1" a="1"/>
  <c r="J736" i="1" s="1"/>
  <c r="I736" i="1" a="1"/>
  <c r="I736" i="1" s="1"/>
  <c r="H736" i="1" a="1"/>
  <c r="H736" i="1" s="1"/>
  <c r="F736" i="1" a="1"/>
  <c r="F736" i="1" s="1"/>
  <c r="AA735" i="1"/>
  <c r="AE735" i="1" s="1"/>
  <c r="X735" i="1"/>
  <c r="O735" i="1"/>
  <c r="K735" i="1" a="1"/>
  <c r="K735" i="1" s="1"/>
  <c r="J735" i="1"/>
  <c r="J735" i="1" a="1"/>
  <c r="I735" i="1" a="1"/>
  <c r="I735" i="1" s="1"/>
  <c r="H735" i="1" a="1"/>
  <c r="H735" i="1" s="1"/>
  <c r="F735" i="1" a="1"/>
  <c r="F735" i="1" s="1"/>
  <c r="AE734" i="1"/>
  <c r="AA734" i="1"/>
  <c r="AB734" i="1" s="1"/>
  <c r="X734" i="1"/>
  <c r="O734" i="1"/>
  <c r="K734" i="1" a="1"/>
  <c r="K734" i="1" s="1"/>
  <c r="J734" i="1" a="1"/>
  <c r="J734" i="1" s="1"/>
  <c r="I734" i="1" a="1"/>
  <c r="I734" i="1" s="1"/>
  <c r="H734" i="1"/>
  <c r="H734" i="1" a="1"/>
  <c r="F734" i="1" a="1"/>
  <c r="F734" i="1" s="1"/>
  <c r="AE733" i="1"/>
  <c r="AB733" i="1"/>
  <c r="AA733" i="1"/>
  <c r="X733" i="1"/>
  <c r="O733" i="1"/>
  <c r="K733" i="1"/>
  <c r="K733" i="1" a="1"/>
  <c r="J733" i="1" a="1"/>
  <c r="J733" i="1" s="1"/>
  <c r="I733" i="1" a="1"/>
  <c r="I733" i="1" s="1"/>
  <c r="H733" i="1" a="1"/>
  <c r="H733" i="1" s="1"/>
  <c r="F733" i="1"/>
  <c r="F733" i="1" a="1"/>
  <c r="AA732" i="1"/>
  <c r="X732" i="1"/>
  <c r="O732" i="1"/>
  <c r="K732" i="1" a="1"/>
  <c r="K732" i="1" s="1"/>
  <c r="J732" i="1" a="1"/>
  <c r="J732" i="1" s="1"/>
  <c r="I732" i="1" a="1"/>
  <c r="I732" i="1" s="1"/>
  <c r="H732" i="1" a="1"/>
  <c r="H732" i="1" s="1"/>
  <c r="F732" i="1"/>
  <c r="F732" i="1" a="1"/>
  <c r="AA731" i="1"/>
  <c r="AE731" i="1" s="1"/>
  <c r="X731" i="1"/>
  <c r="O731" i="1"/>
  <c r="K731" i="1" a="1"/>
  <c r="K731" i="1" s="1"/>
  <c r="J731" i="1" a="1"/>
  <c r="J731" i="1" s="1"/>
  <c r="I731" i="1" a="1"/>
  <c r="I731" i="1" s="1"/>
  <c r="H731" i="1" a="1"/>
  <c r="H731" i="1" s="1"/>
  <c r="F731" i="1" a="1"/>
  <c r="F731" i="1" s="1"/>
  <c r="AA730" i="1"/>
  <c r="X730" i="1"/>
  <c r="O730" i="1"/>
  <c r="K730" i="1" a="1"/>
  <c r="K730" i="1" s="1"/>
  <c r="J730" i="1" a="1"/>
  <c r="J730" i="1" s="1"/>
  <c r="I730" i="1" a="1"/>
  <c r="I730" i="1" s="1"/>
  <c r="H730" i="1" a="1"/>
  <c r="H730" i="1" s="1"/>
  <c r="F730" i="1" a="1"/>
  <c r="F730" i="1" s="1"/>
  <c r="AB729" i="1"/>
  <c r="AA729" i="1"/>
  <c r="AE729" i="1" s="1"/>
  <c r="X729" i="1"/>
  <c r="O729" i="1"/>
  <c r="K729" i="1"/>
  <c r="K729" i="1" a="1"/>
  <c r="J729" i="1" a="1"/>
  <c r="J729" i="1" s="1"/>
  <c r="I729" i="1" a="1"/>
  <c r="I729" i="1" s="1"/>
  <c r="H729" i="1" a="1"/>
  <c r="H729" i="1" s="1"/>
  <c r="F729" i="1" a="1"/>
  <c r="F729" i="1" s="1"/>
  <c r="AB728" i="1"/>
  <c r="AA728" i="1"/>
  <c r="AE728" i="1" s="1"/>
  <c r="X728" i="1"/>
  <c r="O728" i="1"/>
  <c r="K728" i="1"/>
  <c r="K728" i="1" a="1"/>
  <c r="J728" i="1" a="1"/>
  <c r="J728" i="1" s="1"/>
  <c r="I728" i="1" a="1"/>
  <c r="I728" i="1" s="1"/>
  <c r="H728" i="1" a="1"/>
  <c r="H728" i="1" s="1"/>
  <c r="F728" i="1"/>
  <c r="F728" i="1" a="1"/>
  <c r="AA727" i="1"/>
  <c r="AE727" i="1" s="1"/>
  <c r="X727" i="1"/>
  <c r="O727" i="1"/>
  <c r="K727" i="1" a="1"/>
  <c r="K727" i="1" s="1"/>
  <c r="J727" i="1"/>
  <c r="J727" i="1" a="1"/>
  <c r="I727" i="1" a="1"/>
  <c r="I727" i="1" s="1"/>
  <c r="H727" i="1" a="1"/>
  <c r="H727" i="1" s="1"/>
  <c r="F727" i="1" a="1"/>
  <c r="F727" i="1" s="1"/>
  <c r="AA726" i="1"/>
  <c r="AB726" i="1" s="1"/>
  <c r="X726" i="1"/>
  <c r="O726" i="1"/>
  <c r="K726" i="1" a="1"/>
  <c r="K726" i="1" s="1"/>
  <c r="J726" i="1" a="1"/>
  <c r="J726" i="1" s="1"/>
  <c r="I726" i="1" a="1"/>
  <c r="I726" i="1" s="1"/>
  <c r="H726" i="1"/>
  <c r="H726" i="1" a="1"/>
  <c r="F726" i="1" a="1"/>
  <c r="F726" i="1" s="1"/>
  <c r="AA725" i="1"/>
  <c r="X725" i="1"/>
  <c r="O725" i="1"/>
  <c r="K725" i="1" a="1"/>
  <c r="K725" i="1" s="1"/>
  <c r="J725" i="1" a="1"/>
  <c r="J725" i="1" s="1"/>
  <c r="I725" i="1" a="1"/>
  <c r="I725" i="1" s="1"/>
  <c r="H725" i="1" a="1"/>
  <c r="H725" i="1" s="1"/>
  <c r="F725" i="1"/>
  <c r="F725" i="1" a="1"/>
  <c r="AA724" i="1"/>
  <c r="X724" i="1"/>
  <c r="O724" i="1"/>
  <c r="K724" i="1" a="1"/>
  <c r="K724" i="1" s="1"/>
  <c r="J724" i="1" a="1"/>
  <c r="J724" i="1" s="1"/>
  <c r="I724" i="1" a="1"/>
  <c r="I724" i="1" s="1"/>
  <c r="H724" i="1" a="1"/>
  <c r="H724" i="1" s="1"/>
  <c r="F724" i="1" a="1"/>
  <c r="F724" i="1" s="1"/>
  <c r="AA723" i="1"/>
  <c r="AE723" i="1" s="1"/>
  <c r="X723" i="1"/>
  <c r="O723" i="1"/>
  <c r="K723" i="1" a="1"/>
  <c r="K723" i="1" s="1"/>
  <c r="I723" i="1" a="1"/>
  <c r="I723" i="1" s="1"/>
  <c r="H723" i="1" a="1"/>
  <c r="H723" i="1" s="1"/>
  <c r="F723" i="1" a="1"/>
  <c r="F723" i="1" s="1"/>
  <c r="AE722" i="1"/>
  <c r="AA722" i="1"/>
  <c r="AB722" i="1" s="1"/>
  <c r="X722" i="1"/>
  <c r="O722" i="1"/>
  <c r="K722" i="1" a="1"/>
  <c r="K722" i="1" s="1"/>
  <c r="I722" i="1" a="1"/>
  <c r="I722" i="1" s="1"/>
  <c r="H722" i="1" a="1"/>
  <c r="H722" i="1" s="1"/>
  <c r="F722" i="1" a="1"/>
  <c r="F722" i="1" s="1"/>
  <c r="AB721" i="1"/>
  <c r="AA721" i="1"/>
  <c r="AE721" i="1" s="1"/>
  <c r="X721" i="1"/>
  <c r="O721" i="1"/>
  <c r="K721" i="1"/>
  <c r="K721" i="1" a="1"/>
  <c r="I721" i="1"/>
  <c r="I721" i="1" a="1"/>
  <c r="H721" i="1" a="1"/>
  <c r="H721" i="1" s="1"/>
  <c r="F721" i="1" a="1"/>
  <c r="F721" i="1" s="1"/>
  <c r="AA720" i="1"/>
  <c r="AE720" i="1" s="1"/>
  <c r="X720" i="1"/>
  <c r="O720" i="1"/>
  <c r="K720" i="1" a="1"/>
  <c r="K720" i="1" s="1"/>
  <c r="J720" i="1" a="1"/>
  <c r="J720" i="1" s="1"/>
  <c r="I720" i="1" a="1"/>
  <c r="I720" i="1" s="1"/>
  <c r="H720" i="1" a="1"/>
  <c r="H720" i="1" s="1"/>
  <c r="F720" i="1" a="1"/>
  <c r="F720" i="1" s="1"/>
  <c r="AA719" i="1"/>
  <c r="AE719" i="1" s="1"/>
  <c r="X719" i="1"/>
  <c r="O719" i="1"/>
  <c r="K719" i="1" a="1"/>
  <c r="K719" i="1" s="1"/>
  <c r="J719" i="1" a="1"/>
  <c r="J719" i="1" s="1"/>
  <c r="I719" i="1" a="1"/>
  <c r="I719" i="1" s="1"/>
  <c r="H719" i="1" a="1"/>
  <c r="H719" i="1" s="1"/>
  <c r="F719" i="1" a="1"/>
  <c r="F719" i="1" s="1"/>
  <c r="AA718" i="1"/>
  <c r="X718" i="1"/>
  <c r="O718" i="1"/>
  <c r="K718" i="1" a="1"/>
  <c r="K718" i="1" s="1"/>
  <c r="I718" i="1" a="1"/>
  <c r="I718" i="1" s="1"/>
  <c r="H718" i="1" a="1"/>
  <c r="H718" i="1" s="1"/>
  <c r="F718" i="1" a="1"/>
  <c r="F718" i="1" s="1"/>
  <c r="AE717" i="1"/>
  <c r="AA717" i="1"/>
  <c r="AB717" i="1" s="1"/>
  <c r="X717" i="1"/>
  <c r="O717" i="1"/>
  <c r="K717" i="1" a="1"/>
  <c r="K717" i="1" s="1"/>
  <c r="I717" i="1" a="1"/>
  <c r="I717" i="1" s="1"/>
  <c r="H717" i="1" a="1"/>
  <c r="H717" i="1" s="1"/>
  <c r="F717" i="1" a="1"/>
  <c r="F717" i="1" s="1"/>
  <c r="AB716" i="1"/>
  <c r="AA716" i="1"/>
  <c r="AE716" i="1" s="1"/>
  <c r="X716" i="1"/>
  <c r="O716" i="1"/>
  <c r="K716" i="1"/>
  <c r="K716" i="1" a="1"/>
  <c r="J716" i="1" a="1"/>
  <c r="J716" i="1" s="1"/>
  <c r="I716" i="1" a="1"/>
  <c r="I716" i="1" s="1"/>
  <c r="H716" i="1" a="1"/>
  <c r="H716" i="1" s="1"/>
  <c r="F716" i="1" a="1"/>
  <c r="F716" i="1" s="1"/>
  <c r="AA715" i="1"/>
  <c r="AE715" i="1" s="1"/>
  <c r="X715" i="1"/>
  <c r="O715" i="1"/>
  <c r="K715" i="1" a="1"/>
  <c r="K715" i="1" s="1"/>
  <c r="J715" i="1" a="1"/>
  <c r="J715" i="1" s="1"/>
  <c r="I715" i="1" a="1"/>
  <c r="I715" i="1" s="1"/>
  <c r="H715" i="1" a="1"/>
  <c r="H715" i="1" s="1"/>
  <c r="F715" i="1" a="1"/>
  <c r="F715" i="1" s="1"/>
  <c r="AE714" i="1"/>
  <c r="AA714" i="1"/>
  <c r="AB714" i="1" s="1"/>
  <c r="X714" i="1"/>
  <c r="O714" i="1"/>
  <c r="K714" i="1" a="1"/>
  <c r="K714" i="1" s="1"/>
  <c r="J714" i="1" a="1"/>
  <c r="J714" i="1" s="1"/>
  <c r="I714" i="1" a="1"/>
  <c r="I714" i="1" s="1"/>
  <c r="H714" i="1" a="1"/>
  <c r="H714" i="1" s="1"/>
  <c r="F714" i="1" a="1"/>
  <c r="F714" i="1" s="1"/>
  <c r="AB713" i="1"/>
  <c r="AA713" i="1"/>
  <c r="AE713" i="1" s="1"/>
  <c r="X713" i="1"/>
  <c r="O713" i="1"/>
  <c r="K713" i="1"/>
  <c r="K713" i="1" a="1"/>
  <c r="J713" i="1" a="1"/>
  <c r="J713" i="1" s="1"/>
  <c r="I713" i="1" a="1"/>
  <c r="I713" i="1" s="1"/>
  <c r="H713" i="1" a="1"/>
  <c r="H713" i="1" s="1"/>
  <c r="F713" i="1" a="1"/>
  <c r="F713" i="1" s="1"/>
  <c r="AA712" i="1"/>
  <c r="X712" i="1"/>
  <c r="O712" i="1"/>
  <c r="K712" i="1" a="1"/>
  <c r="K712" i="1" s="1"/>
  <c r="J712" i="1" a="1"/>
  <c r="J712" i="1" s="1"/>
  <c r="I712" i="1" a="1"/>
  <c r="I712" i="1" s="1"/>
  <c r="H712" i="1" a="1"/>
  <c r="H712" i="1" s="1"/>
  <c r="F712" i="1"/>
  <c r="F712" i="1" a="1"/>
  <c r="AA711" i="1"/>
  <c r="AE711" i="1" s="1"/>
  <c r="X711" i="1"/>
  <c r="O711" i="1"/>
  <c r="K711" i="1" a="1"/>
  <c r="K711" i="1" s="1"/>
  <c r="J711" i="1"/>
  <c r="J711" i="1" a="1"/>
  <c r="I711" i="1" a="1"/>
  <c r="I711" i="1" s="1"/>
  <c r="H711" i="1" a="1"/>
  <c r="H711" i="1" s="1"/>
  <c r="F711" i="1" a="1"/>
  <c r="F711" i="1" s="1"/>
  <c r="AA710" i="1"/>
  <c r="X710" i="1"/>
  <c r="O710" i="1"/>
  <c r="K710" i="1" a="1"/>
  <c r="K710" i="1" s="1"/>
  <c r="J710" i="1" a="1"/>
  <c r="J710" i="1" s="1"/>
  <c r="I710" i="1" a="1"/>
  <c r="I710" i="1" s="1"/>
  <c r="H710" i="1"/>
  <c r="H710" i="1" a="1"/>
  <c r="F710" i="1" a="1"/>
  <c r="F710" i="1" s="1"/>
  <c r="AE709" i="1"/>
  <c r="AB709" i="1"/>
  <c r="AA709" i="1"/>
  <c r="X709" i="1"/>
  <c r="O709" i="1"/>
  <c r="K709" i="1"/>
  <c r="K709" i="1" a="1"/>
  <c r="J709" i="1" a="1"/>
  <c r="J709" i="1" s="1"/>
  <c r="I709" i="1" a="1"/>
  <c r="I709" i="1" s="1"/>
  <c r="H709" i="1" a="1"/>
  <c r="H709" i="1" s="1"/>
  <c r="F709" i="1" a="1"/>
  <c r="F709" i="1" s="1"/>
  <c r="AA708" i="1"/>
  <c r="X708" i="1"/>
  <c r="O708" i="1"/>
  <c r="K708" i="1" a="1"/>
  <c r="K708" i="1" s="1"/>
  <c r="J708" i="1" a="1"/>
  <c r="J708" i="1" s="1"/>
  <c r="I708" i="1" a="1"/>
  <c r="I708" i="1" s="1"/>
  <c r="H708" i="1" a="1"/>
  <c r="H708" i="1" s="1"/>
  <c r="F708" i="1"/>
  <c r="F708" i="1" a="1"/>
  <c r="AA707" i="1"/>
  <c r="AE707" i="1" s="1"/>
  <c r="X707" i="1"/>
  <c r="O707" i="1"/>
  <c r="K707" i="1" a="1"/>
  <c r="K707" i="1" s="1"/>
  <c r="J707" i="1"/>
  <c r="J707" i="1" a="1"/>
  <c r="I707" i="1" a="1"/>
  <c r="I707" i="1" s="1"/>
  <c r="H707" i="1" a="1"/>
  <c r="H707" i="1" s="1"/>
  <c r="F707" i="1" a="1"/>
  <c r="F707" i="1" s="1"/>
  <c r="AE706" i="1"/>
  <c r="AB706" i="1"/>
  <c r="X706" i="1"/>
  <c r="O706" i="1"/>
  <c r="K706" i="1" a="1"/>
  <c r="K706" i="1" s="1"/>
  <c r="J706" i="1" a="1"/>
  <c r="J706" i="1" s="1"/>
  <c r="I706" i="1" a="1"/>
  <c r="I706" i="1" s="1"/>
  <c r="H706" i="1" a="1"/>
  <c r="H706" i="1" s="1"/>
  <c r="F706" i="1"/>
  <c r="F706" i="1" a="1"/>
  <c r="AB705" i="1"/>
  <c r="AA705" i="1"/>
  <c r="AE705" i="1" s="1"/>
  <c r="X705" i="1"/>
  <c r="O705" i="1"/>
  <c r="K705" i="1"/>
  <c r="K705" i="1" a="1"/>
  <c r="J705" i="1" a="1"/>
  <c r="J705" i="1" s="1"/>
  <c r="I705" i="1" a="1"/>
  <c r="I705" i="1" s="1"/>
  <c r="H705" i="1" a="1"/>
  <c r="H705" i="1" s="1"/>
  <c r="F705" i="1" a="1"/>
  <c r="F705" i="1" s="1"/>
  <c r="AA704" i="1"/>
  <c r="AE704" i="1" s="1"/>
  <c r="X704" i="1"/>
  <c r="O704" i="1"/>
  <c r="K704" i="1" a="1"/>
  <c r="K704" i="1" s="1"/>
  <c r="J704" i="1" a="1"/>
  <c r="J704" i="1" s="1"/>
  <c r="I704" i="1" a="1"/>
  <c r="I704" i="1" s="1"/>
  <c r="H704" i="1" a="1"/>
  <c r="H704" i="1" s="1"/>
  <c r="F704" i="1" a="1"/>
  <c r="F704" i="1" s="1"/>
  <c r="AA703" i="1"/>
  <c r="AB703" i="1" s="1"/>
  <c r="X703" i="1"/>
  <c r="O703" i="1"/>
  <c r="K703" i="1" a="1"/>
  <c r="K703" i="1" s="1"/>
  <c r="J703" i="1" a="1"/>
  <c r="J703" i="1" s="1"/>
  <c r="I703" i="1" a="1"/>
  <c r="I703" i="1" s="1"/>
  <c r="H703" i="1" a="1"/>
  <c r="H703" i="1" s="1"/>
  <c r="F703" i="1" a="1"/>
  <c r="F703" i="1" s="1"/>
  <c r="AB702" i="1"/>
  <c r="AA702" i="1"/>
  <c r="AE702" i="1" s="1"/>
  <c r="X702" i="1"/>
  <c r="O702" i="1"/>
  <c r="K702" i="1"/>
  <c r="K702" i="1" a="1"/>
  <c r="J702" i="1" a="1"/>
  <c r="J702" i="1" s="1"/>
  <c r="I702" i="1" a="1"/>
  <c r="I702" i="1" s="1"/>
  <c r="H702" i="1" a="1"/>
  <c r="H702" i="1" s="1"/>
  <c r="F702" i="1" a="1"/>
  <c r="F702" i="1" s="1"/>
  <c r="AB701" i="1"/>
  <c r="AA701" i="1"/>
  <c r="AE701" i="1" s="1"/>
  <c r="X701" i="1"/>
  <c r="O701" i="1"/>
  <c r="K701" i="1"/>
  <c r="K701" i="1" a="1"/>
  <c r="J701" i="1" a="1"/>
  <c r="J701" i="1" s="1"/>
  <c r="I701" i="1" a="1"/>
  <c r="I701" i="1" s="1"/>
  <c r="H701" i="1" a="1"/>
  <c r="H701" i="1" s="1"/>
  <c r="F701" i="1"/>
  <c r="F701" i="1" a="1"/>
  <c r="AA700" i="1"/>
  <c r="AE700" i="1" s="1"/>
  <c r="X700" i="1"/>
  <c r="O700" i="1"/>
  <c r="K700" i="1" a="1"/>
  <c r="K700" i="1" s="1"/>
  <c r="J700" i="1" a="1"/>
  <c r="J700" i="1" s="1"/>
  <c r="I700" i="1" a="1"/>
  <c r="I700" i="1" s="1"/>
  <c r="H700" i="1" a="1"/>
  <c r="H700" i="1" s="1"/>
  <c r="F700" i="1" a="1"/>
  <c r="F700" i="1" s="1"/>
  <c r="AA699" i="1"/>
  <c r="X699" i="1"/>
  <c r="O699" i="1"/>
  <c r="K699" i="1" a="1"/>
  <c r="K699" i="1" s="1"/>
  <c r="J699" i="1" a="1"/>
  <c r="J699" i="1" s="1"/>
  <c r="I699" i="1" a="1"/>
  <c r="I699" i="1" s="1"/>
  <c r="H699" i="1" a="1"/>
  <c r="H699" i="1" s="1"/>
  <c r="F699" i="1" a="1"/>
  <c r="F699" i="1" s="1"/>
  <c r="AA698" i="1"/>
  <c r="AE698" i="1" s="1"/>
  <c r="X698" i="1"/>
  <c r="O698" i="1"/>
  <c r="K698" i="1" a="1"/>
  <c r="K698" i="1" s="1"/>
  <c r="J698" i="1" a="1"/>
  <c r="J698" i="1" s="1"/>
  <c r="I698" i="1" a="1"/>
  <c r="I698" i="1" s="1"/>
  <c r="H698" i="1" a="1"/>
  <c r="H698" i="1" s="1"/>
  <c r="F698" i="1" a="1"/>
  <c r="F698" i="1" s="1"/>
  <c r="AA697" i="1"/>
  <c r="AE697" i="1" s="1"/>
  <c r="X697" i="1"/>
  <c r="O697" i="1"/>
  <c r="K697" i="1" a="1"/>
  <c r="K697" i="1" s="1"/>
  <c r="J697" i="1" a="1"/>
  <c r="J697" i="1" s="1"/>
  <c r="I697" i="1" a="1"/>
  <c r="I697" i="1" s="1"/>
  <c r="H697" i="1" a="1"/>
  <c r="H697" i="1" s="1"/>
  <c r="F697" i="1"/>
  <c r="F697" i="1" a="1"/>
  <c r="AA696" i="1"/>
  <c r="AE696" i="1" s="1"/>
  <c r="X696" i="1"/>
  <c r="O696" i="1"/>
  <c r="K696" i="1" a="1"/>
  <c r="K696" i="1" s="1"/>
  <c r="J696" i="1" a="1"/>
  <c r="J696" i="1" s="1"/>
  <c r="I696" i="1" a="1"/>
  <c r="I696" i="1" s="1"/>
  <c r="H696" i="1" a="1"/>
  <c r="H696" i="1" s="1"/>
  <c r="F696" i="1" a="1"/>
  <c r="F696" i="1" s="1"/>
  <c r="AA695" i="1"/>
  <c r="X695" i="1"/>
  <c r="O695" i="1"/>
  <c r="K695" i="1" a="1"/>
  <c r="K695" i="1" s="1"/>
  <c r="J695" i="1" a="1"/>
  <c r="J695" i="1" s="1"/>
  <c r="I695" i="1" a="1"/>
  <c r="I695" i="1" s="1"/>
  <c r="H695" i="1" a="1"/>
  <c r="H695" i="1" s="1"/>
  <c r="F695" i="1" a="1"/>
  <c r="F695" i="1" s="1"/>
  <c r="AA694" i="1"/>
  <c r="AE694" i="1" s="1"/>
  <c r="X694" i="1"/>
  <c r="O694" i="1"/>
  <c r="K694" i="1" a="1"/>
  <c r="K694" i="1" s="1"/>
  <c r="J694" i="1" a="1"/>
  <c r="J694" i="1" s="1"/>
  <c r="I694" i="1" a="1"/>
  <c r="I694" i="1" s="1"/>
  <c r="H694" i="1" a="1"/>
  <c r="H694" i="1" s="1"/>
  <c r="F694" i="1" a="1"/>
  <c r="F694" i="1" s="1"/>
  <c r="AA693" i="1"/>
  <c r="AE693" i="1" s="1"/>
  <c r="X693" i="1"/>
  <c r="O693" i="1"/>
  <c r="K693" i="1" a="1"/>
  <c r="K693" i="1" s="1"/>
  <c r="J693" i="1" a="1"/>
  <c r="J693" i="1" s="1"/>
  <c r="I693" i="1" a="1"/>
  <c r="I693" i="1" s="1"/>
  <c r="H693" i="1" a="1"/>
  <c r="H693" i="1" s="1"/>
  <c r="F693" i="1" a="1"/>
  <c r="F693" i="1" s="1"/>
  <c r="AA692" i="1"/>
  <c r="AE692" i="1" s="1"/>
  <c r="X692" i="1"/>
  <c r="O692" i="1"/>
  <c r="K692" i="1" a="1"/>
  <c r="K692" i="1" s="1"/>
  <c r="J692" i="1" a="1"/>
  <c r="J692" i="1" s="1"/>
  <c r="I692" i="1" a="1"/>
  <c r="I692" i="1" s="1"/>
  <c r="H692" i="1" a="1"/>
  <c r="H692" i="1" s="1"/>
  <c r="F692" i="1" a="1"/>
  <c r="F692" i="1" s="1"/>
  <c r="AA691" i="1"/>
  <c r="X691" i="1"/>
  <c r="O691" i="1"/>
  <c r="K691" i="1" a="1"/>
  <c r="K691" i="1" s="1"/>
  <c r="J691" i="1" a="1"/>
  <c r="J691" i="1" s="1"/>
  <c r="I691" i="1" a="1"/>
  <c r="I691" i="1" s="1"/>
  <c r="H691" i="1" a="1"/>
  <c r="H691" i="1" s="1"/>
  <c r="F691" i="1" a="1"/>
  <c r="F691" i="1" s="1"/>
  <c r="AA690" i="1"/>
  <c r="AE690" i="1" s="1"/>
  <c r="X690" i="1"/>
  <c r="O690" i="1"/>
  <c r="K690" i="1" a="1"/>
  <c r="K690" i="1" s="1"/>
  <c r="J690" i="1" a="1"/>
  <c r="J690" i="1" s="1"/>
  <c r="I690" i="1" a="1"/>
  <c r="I690" i="1" s="1"/>
  <c r="H690" i="1" a="1"/>
  <c r="H690" i="1" s="1"/>
  <c r="F690" i="1" a="1"/>
  <c r="F690" i="1" s="1"/>
  <c r="AA689" i="1"/>
  <c r="AE689" i="1" s="1"/>
  <c r="X689" i="1"/>
  <c r="O689" i="1"/>
  <c r="K689" i="1" a="1"/>
  <c r="K689" i="1" s="1"/>
  <c r="J689" i="1" a="1"/>
  <c r="J689" i="1" s="1"/>
  <c r="I689" i="1" a="1"/>
  <c r="I689" i="1" s="1"/>
  <c r="H689" i="1" a="1"/>
  <c r="H689" i="1" s="1"/>
  <c r="F689" i="1"/>
  <c r="F689" i="1" a="1"/>
  <c r="AA688" i="1"/>
  <c r="AE688" i="1" s="1"/>
  <c r="X688" i="1"/>
  <c r="O688" i="1"/>
  <c r="K688" i="1" a="1"/>
  <c r="K688" i="1" s="1"/>
  <c r="J688" i="1" a="1"/>
  <c r="J688" i="1" s="1"/>
  <c r="I688" i="1" a="1"/>
  <c r="I688" i="1" s="1"/>
  <c r="H688" i="1" a="1"/>
  <c r="H688" i="1" s="1"/>
  <c r="F688" i="1" a="1"/>
  <c r="F688" i="1" s="1"/>
  <c r="AE687" i="1"/>
  <c r="AA687" i="1"/>
  <c r="AB687" i="1" s="1"/>
  <c r="X687" i="1"/>
  <c r="O687" i="1"/>
  <c r="K687" i="1" a="1"/>
  <c r="K687" i="1" s="1"/>
  <c r="J687" i="1" a="1"/>
  <c r="J687" i="1" s="1"/>
  <c r="I687" i="1" a="1"/>
  <c r="I687" i="1" s="1"/>
  <c r="H687" i="1" a="1"/>
  <c r="H687" i="1" s="1"/>
  <c r="F687" i="1" a="1"/>
  <c r="F687" i="1" s="1"/>
  <c r="AA686" i="1"/>
  <c r="X686" i="1"/>
  <c r="O686" i="1"/>
  <c r="K686" i="1" a="1"/>
  <c r="K686" i="1" s="1"/>
  <c r="J686" i="1" a="1"/>
  <c r="J686" i="1" s="1"/>
  <c r="I686" i="1" a="1"/>
  <c r="I686" i="1" s="1"/>
  <c r="H686" i="1" a="1"/>
  <c r="H686" i="1" s="1"/>
  <c r="F686" i="1" a="1"/>
  <c r="F686" i="1" s="1"/>
  <c r="AA685" i="1"/>
  <c r="X685" i="1"/>
  <c r="O685" i="1"/>
  <c r="K685" i="1" a="1"/>
  <c r="K685" i="1" s="1"/>
  <c r="J685" i="1" a="1"/>
  <c r="J685" i="1" s="1"/>
  <c r="I685" i="1" a="1"/>
  <c r="I685" i="1" s="1"/>
  <c r="H685" i="1" a="1"/>
  <c r="H685" i="1" s="1"/>
  <c r="F685" i="1" a="1"/>
  <c r="F685" i="1" s="1"/>
  <c r="AA684" i="1"/>
  <c r="AE684" i="1" s="1"/>
  <c r="X684" i="1"/>
  <c r="O684" i="1"/>
  <c r="J684" i="1" a="1"/>
  <c r="J684" i="1" s="1"/>
  <c r="I684" i="1" a="1"/>
  <c r="I684" i="1" s="1"/>
  <c r="H684" i="1" a="1"/>
  <c r="H684" i="1" s="1"/>
  <c r="F684" i="1" a="1"/>
  <c r="F684" i="1" s="1"/>
  <c r="AE683" i="1"/>
  <c r="AA683" i="1"/>
  <c r="AB683" i="1" s="1"/>
  <c r="X683" i="1"/>
  <c r="O683" i="1"/>
  <c r="J683" i="1" a="1"/>
  <c r="J683" i="1" s="1"/>
  <c r="I683" i="1" a="1"/>
  <c r="I683" i="1" s="1"/>
  <c r="H683" i="1" a="1"/>
  <c r="H683" i="1" s="1"/>
  <c r="F683" i="1" a="1"/>
  <c r="F683" i="1" s="1"/>
  <c r="AA682" i="1"/>
  <c r="X682" i="1"/>
  <c r="O682" i="1"/>
  <c r="K682" i="1" a="1"/>
  <c r="K682" i="1" s="1"/>
  <c r="I682" i="1" a="1"/>
  <c r="I682" i="1" s="1"/>
  <c r="H682" i="1" a="1"/>
  <c r="H682" i="1" s="1"/>
  <c r="F682" i="1"/>
  <c r="F682" i="1" a="1"/>
  <c r="AA681" i="1"/>
  <c r="X681" i="1"/>
  <c r="O681" i="1"/>
  <c r="K681" i="1" a="1"/>
  <c r="K681" i="1" s="1"/>
  <c r="I681" i="1" a="1"/>
  <c r="I681" i="1" s="1"/>
  <c r="H681" i="1" a="1"/>
  <c r="H681" i="1" s="1"/>
  <c r="F681" i="1" a="1"/>
  <c r="F681" i="1" s="1"/>
  <c r="AA680" i="1"/>
  <c r="AE680" i="1" s="1"/>
  <c r="X680" i="1"/>
  <c r="O680" i="1"/>
  <c r="K680" i="1" a="1"/>
  <c r="K680" i="1" s="1"/>
  <c r="I680" i="1" a="1"/>
  <c r="I680" i="1" s="1"/>
  <c r="H680" i="1" a="1"/>
  <c r="H680" i="1" s="1"/>
  <c r="F680" i="1" a="1"/>
  <c r="F680" i="1" s="1"/>
  <c r="AA679" i="1"/>
  <c r="AB679" i="1" s="1"/>
  <c r="X679" i="1"/>
  <c r="O679" i="1"/>
  <c r="K679" i="1" a="1"/>
  <c r="K679" i="1" s="1"/>
  <c r="J679" i="1" a="1"/>
  <c r="J679" i="1" s="1"/>
  <c r="I679" i="1" a="1"/>
  <c r="I679" i="1" s="1"/>
  <c r="H679" i="1" a="1"/>
  <c r="H679" i="1" s="1"/>
  <c r="F679" i="1" a="1"/>
  <c r="F679" i="1" s="1"/>
  <c r="AA678" i="1"/>
  <c r="X678" i="1"/>
  <c r="O678" i="1"/>
  <c r="K678" i="1" a="1"/>
  <c r="K678" i="1" s="1"/>
  <c r="I678" i="1" a="1"/>
  <c r="I678" i="1" s="1"/>
  <c r="H678" i="1" a="1"/>
  <c r="H678" i="1" s="1"/>
  <c r="F678" i="1"/>
  <c r="F678" i="1" a="1"/>
  <c r="AA677" i="1"/>
  <c r="X677" i="1"/>
  <c r="O677" i="1"/>
  <c r="K677" i="1" a="1"/>
  <c r="K677" i="1" s="1"/>
  <c r="J677" i="1" a="1"/>
  <c r="J677" i="1" s="1"/>
  <c r="I677" i="1" a="1"/>
  <c r="I677" i="1" s="1"/>
  <c r="H677" i="1" a="1"/>
  <c r="H677" i="1" s="1"/>
  <c r="F677" i="1" a="1"/>
  <c r="F677" i="1" s="1"/>
  <c r="AA676" i="1"/>
  <c r="AE676" i="1" s="1"/>
  <c r="X676" i="1"/>
  <c r="O676" i="1"/>
  <c r="K676" i="1" a="1"/>
  <c r="K676" i="1" s="1"/>
  <c r="J676" i="1" a="1"/>
  <c r="J676" i="1" s="1"/>
  <c r="I676" i="1" a="1"/>
  <c r="I676" i="1" s="1"/>
  <c r="H676" i="1" a="1"/>
  <c r="H676" i="1" s="1"/>
  <c r="F676" i="1" a="1"/>
  <c r="F676" i="1" s="1"/>
  <c r="AE675" i="1"/>
  <c r="AA675" i="1"/>
  <c r="AB675" i="1" s="1"/>
  <c r="X675" i="1"/>
  <c r="O675" i="1"/>
  <c r="K675" i="1" a="1"/>
  <c r="K675" i="1" s="1"/>
  <c r="J675" i="1" a="1"/>
  <c r="J675" i="1" s="1"/>
  <c r="I675" i="1" a="1"/>
  <c r="I675" i="1" s="1"/>
  <c r="H675" i="1" a="1"/>
  <c r="H675" i="1" s="1"/>
  <c r="F675" i="1" a="1"/>
  <c r="F675" i="1" s="1"/>
  <c r="AA674" i="1"/>
  <c r="AE674" i="1" s="1"/>
  <c r="X674" i="1"/>
  <c r="O674" i="1"/>
  <c r="K674" i="1" a="1"/>
  <c r="K674" i="1" s="1"/>
  <c r="J674" i="1" a="1"/>
  <c r="J674" i="1" s="1"/>
  <c r="I674" i="1" a="1"/>
  <c r="I674" i="1" s="1"/>
  <c r="H674" i="1" a="1"/>
  <c r="H674" i="1" s="1"/>
  <c r="F674" i="1"/>
  <c r="F674" i="1" a="1"/>
  <c r="AA673" i="1"/>
  <c r="X673" i="1"/>
  <c r="O673" i="1"/>
  <c r="K673" i="1" a="1"/>
  <c r="K673" i="1" s="1"/>
  <c r="J673" i="1" a="1"/>
  <c r="J673" i="1" s="1"/>
  <c r="I673" i="1" a="1"/>
  <c r="I673" i="1" s="1"/>
  <c r="H673" i="1" a="1"/>
  <c r="H673" i="1" s="1"/>
  <c r="F673" i="1" a="1"/>
  <c r="F673" i="1" s="1"/>
  <c r="AA672" i="1"/>
  <c r="AE672" i="1" s="1"/>
  <c r="X672" i="1"/>
  <c r="O672" i="1"/>
  <c r="K672" i="1" a="1"/>
  <c r="K672" i="1" s="1"/>
  <c r="J672" i="1" a="1"/>
  <c r="J672" i="1" s="1"/>
  <c r="I672" i="1" a="1"/>
  <c r="I672" i="1" s="1"/>
  <c r="H672" i="1" a="1"/>
  <c r="H672" i="1" s="1"/>
  <c r="F672" i="1" a="1"/>
  <c r="F672" i="1" s="1"/>
  <c r="AA671" i="1"/>
  <c r="AB671" i="1" s="1"/>
  <c r="X671" i="1"/>
  <c r="O671" i="1"/>
  <c r="K671" i="1" a="1"/>
  <c r="K671" i="1" s="1"/>
  <c r="J671" i="1" a="1"/>
  <c r="J671" i="1" s="1"/>
  <c r="I671" i="1" a="1"/>
  <c r="I671" i="1" s="1"/>
  <c r="H671" i="1" a="1"/>
  <c r="H671" i="1" s="1"/>
  <c r="F671" i="1" a="1"/>
  <c r="F671" i="1" s="1"/>
  <c r="AA670" i="1"/>
  <c r="AE670" i="1" s="1"/>
  <c r="X670" i="1"/>
  <c r="O670" i="1"/>
  <c r="K670" i="1" a="1"/>
  <c r="K670" i="1" s="1"/>
  <c r="J670" i="1" a="1"/>
  <c r="J670" i="1" s="1"/>
  <c r="I670" i="1" a="1"/>
  <c r="I670" i="1" s="1"/>
  <c r="H670" i="1" a="1"/>
  <c r="H670" i="1" s="1"/>
  <c r="F670" i="1" a="1"/>
  <c r="F670" i="1" s="1"/>
  <c r="AA669" i="1"/>
  <c r="AE669" i="1" s="1"/>
  <c r="X669" i="1"/>
  <c r="O669" i="1"/>
  <c r="K669" i="1" a="1"/>
  <c r="K669" i="1" s="1"/>
  <c r="J669" i="1" a="1"/>
  <c r="J669" i="1" s="1"/>
  <c r="I669" i="1" a="1"/>
  <c r="I669" i="1" s="1"/>
  <c r="H669" i="1" a="1"/>
  <c r="H669" i="1" s="1"/>
  <c r="F669" i="1" a="1"/>
  <c r="F669" i="1" s="1"/>
  <c r="AA668" i="1"/>
  <c r="X668" i="1"/>
  <c r="O668" i="1"/>
  <c r="K668" i="1" a="1"/>
  <c r="K668" i="1" s="1"/>
  <c r="J668" i="1" a="1"/>
  <c r="J668" i="1" s="1"/>
  <c r="I668" i="1" a="1"/>
  <c r="I668" i="1" s="1"/>
  <c r="H668" i="1" a="1"/>
  <c r="H668" i="1" s="1"/>
  <c r="F668" i="1" a="1"/>
  <c r="F668" i="1" s="1"/>
  <c r="AA667" i="1"/>
  <c r="AB667" i="1" s="1"/>
  <c r="X667" i="1"/>
  <c r="O667" i="1"/>
  <c r="L667" i="1" a="1"/>
  <c r="L667" i="1" s="1"/>
  <c r="K667" i="1" a="1"/>
  <c r="K667" i="1" s="1"/>
  <c r="J667" i="1" a="1"/>
  <c r="J667" i="1" s="1"/>
  <c r="I667" i="1" a="1"/>
  <c r="I667" i="1" s="1"/>
  <c r="H667" i="1" a="1"/>
  <c r="H667" i="1" s="1"/>
  <c r="F667" i="1" a="1"/>
  <c r="F667" i="1" s="1"/>
  <c r="AA666" i="1"/>
  <c r="X666" i="1"/>
  <c r="O666" i="1"/>
  <c r="L666" i="1" a="1"/>
  <c r="L666" i="1" s="1"/>
  <c r="K666" i="1" a="1"/>
  <c r="K666" i="1" s="1"/>
  <c r="J666" i="1" a="1"/>
  <c r="J666" i="1" s="1"/>
  <c r="I666" i="1" a="1"/>
  <c r="I666" i="1" s="1"/>
  <c r="H666" i="1" a="1"/>
  <c r="H666" i="1" s="1"/>
  <c r="F666" i="1" a="1"/>
  <c r="F666" i="1" s="1"/>
  <c r="AA665" i="1"/>
  <c r="AE665" i="1" s="1"/>
  <c r="X665" i="1"/>
  <c r="O665" i="1"/>
  <c r="L665" i="1" a="1"/>
  <c r="L665" i="1" s="1"/>
  <c r="K665" i="1" a="1"/>
  <c r="K665" i="1" s="1"/>
  <c r="J665" i="1" a="1"/>
  <c r="J665" i="1" s="1"/>
  <c r="I665" i="1"/>
  <c r="I665" i="1" a="1"/>
  <c r="H665" i="1" a="1"/>
  <c r="H665" i="1" s="1"/>
  <c r="F665" i="1" a="1"/>
  <c r="F665" i="1" s="1"/>
  <c r="AA664" i="1"/>
  <c r="AB664" i="1" s="1"/>
  <c r="X664" i="1"/>
  <c r="O664" i="1"/>
  <c r="K664" i="1" a="1"/>
  <c r="K664" i="1" s="1"/>
  <c r="J664" i="1" a="1"/>
  <c r="J664" i="1" s="1"/>
  <c r="I664" i="1" a="1"/>
  <c r="I664" i="1" s="1"/>
  <c r="H664" i="1" a="1"/>
  <c r="H664" i="1" s="1"/>
  <c r="F664" i="1" a="1"/>
  <c r="F664" i="1" s="1"/>
  <c r="AB663" i="1"/>
  <c r="AA663" i="1"/>
  <c r="AE663" i="1" s="1"/>
  <c r="X663" i="1"/>
  <c r="O663" i="1"/>
  <c r="K663" i="1"/>
  <c r="K663" i="1" a="1"/>
  <c r="J663" i="1" a="1"/>
  <c r="J663" i="1" s="1"/>
  <c r="I663" i="1" a="1"/>
  <c r="I663" i="1" s="1"/>
  <c r="H663" i="1" a="1"/>
  <c r="H663" i="1" s="1"/>
  <c r="F663" i="1"/>
  <c r="F663" i="1" a="1"/>
  <c r="AA662" i="1"/>
  <c r="X662" i="1"/>
  <c r="O662" i="1"/>
  <c r="K662" i="1" a="1"/>
  <c r="K662" i="1" s="1"/>
  <c r="J662" i="1" a="1"/>
  <c r="J662" i="1" s="1"/>
  <c r="I662" i="1" a="1"/>
  <c r="I662" i="1" s="1"/>
  <c r="H662" i="1" a="1"/>
  <c r="H662" i="1" s="1"/>
  <c r="F662" i="1" a="1"/>
  <c r="F662" i="1" s="1"/>
  <c r="AA661" i="1"/>
  <c r="AE661" i="1" s="1"/>
  <c r="X661" i="1"/>
  <c r="O661" i="1"/>
  <c r="K661" i="1" a="1"/>
  <c r="K661" i="1" s="1"/>
  <c r="J661" i="1"/>
  <c r="J661" i="1" a="1"/>
  <c r="I661" i="1" a="1"/>
  <c r="I661" i="1" s="1"/>
  <c r="H661" i="1" a="1"/>
  <c r="H661" i="1" s="1"/>
  <c r="F661" i="1" a="1"/>
  <c r="F661" i="1" s="1"/>
  <c r="AE660" i="1"/>
  <c r="AA660" i="1"/>
  <c r="AB660" i="1" s="1"/>
  <c r="X660" i="1"/>
  <c r="O660" i="1"/>
  <c r="K660" i="1" a="1"/>
  <c r="K660" i="1" s="1"/>
  <c r="J660" i="1" a="1"/>
  <c r="J660" i="1" s="1"/>
  <c r="I660" i="1" a="1"/>
  <c r="I660" i="1" s="1"/>
  <c r="H660" i="1" a="1"/>
  <c r="H660" i="1" s="1"/>
  <c r="F660" i="1" a="1"/>
  <c r="F660" i="1" s="1"/>
  <c r="AA659" i="1"/>
  <c r="AE659" i="1" s="1"/>
  <c r="X659" i="1"/>
  <c r="O659" i="1"/>
  <c r="K659" i="1" a="1"/>
  <c r="K659" i="1" s="1"/>
  <c r="J659" i="1" a="1"/>
  <c r="J659" i="1" s="1"/>
  <c r="I659" i="1" a="1"/>
  <c r="I659" i="1" s="1"/>
  <c r="H659" i="1"/>
  <c r="H659" i="1" a="1"/>
  <c r="F659" i="1" a="1"/>
  <c r="F659" i="1" s="1"/>
  <c r="AA658" i="1"/>
  <c r="X658" i="1"/>
  <c r="O658" i="1"/>
  <c r="K658" i="1" a="1"/>
  <c r="K658" i="1" s="1"/>
  <c r="J658" i="1" a="1"/>
  <c r="J658" i="1" s="1"/>
  <c r="I658" i="1" a="1"/>
  <c r="I658" i="1" s="1"/>
  <c r="H658" i="1" a="1"/>
  <c r="H658" i="1" s="1"/>
  <c r="F658" i="1" a="1"/>
  <c r="F658" i="1" s="1"/>
  <c r="AB657" i="1"/>
  <c r="AA657" i="1"/>
  <c r="AE657" i="1" s="1"/>
  <c r="X657" i="1"/>
  <c r="O657" i="1"/>
  <c r="L657" i="1"/>
  <c r="L657" i="1" a="1"/>
  <c r="K657" i="1" a="1"/>
  <c r="K657" i="1" s="1"/>
  <c r="J657" i="1"/>
  <c r="J657" i="1" a="1"/>
  <c r="I657" i="1" a="1"/>
  <c r="I657" i="1" s="1"/>
  <c r="H657" i="1" a="1"/>
  <c r="H657" i="1" s="1"/>
  <c r="F657" i="1" a="1"/>
  <c r="F657" i="1" s="1"/>
  <c r="AA656" i="1"/>
  <c r="X656" i="1"/>
  <c r="O656" i="1"/>
  <c r="L656" i="1" a="1"/>
  <c r="L656" i="1" s="1"/>
  <c r="K656" i="1" a="1"/>
  <c r="K656" i="1" s="1"/>
  <c r="J656" i="1" a="1"/>
  <c r="J656" i="1" s="1"/>
  <c r="I656" i="1" a="1"/>
  <c r="I656" i="1" s="1"/>
  <c r="H656" i="1" a="1"/>
  <c r="H656" i="1" s="1"/>
  <c r="F656" i="1" a="1"/>
  <c r="F656" i="1" s="1"/>
  <c r="AA655" i="1"/>
  <c r="AE655" i="1" s="1"/>
  <c r="X655" i="1"/>
  <c r="O655" i="1"/>
  <c r="L655" i="1" a="1"/>
  <c r="L655" i="1" s="1"/>
  <c r="K655" i="1" a="1"/>
  <c r="K655" i="1" s="1"/>
  <c r="J655" i="1" a="1"/>
  <c r="J655" i="1" s="1"/>
  <c r="I655" i="1"/>
  <c r="I655" i="1" a="1"/>
  <c r="H655" i="1" a="1"/>
  <c r="H655" i="1" s="1"/>
  <c r="F655" i="1"/>
  <c r="F655" i="1" a="1"/>
  <c r="AA654" i="1"/>
  <c r="AB654" i="1" s="1"/>
  <c r="X654" i="1"/>
  <c r="O654" i="1"/>
  <c r="L654" i="1" a="1"/>
  <c r="L654" i="1" s="1"/>
  <c r="K654" i="1" a="1"/>
  <c r="K654" i="1" s="1"/>
  <c r="J654" i="1" a="1"/>
  <c r="J654" i="1" s="1"/>
  <c r="I654" i="1" a="1"/>
  <c r="I654" i="1" s="1"/>
  <c r="H654" i="1" a="1"/>
  <c r="H654" i="1" s="1"/>
  <c r="F654" i="1" a="1"/>
  <c r="F654" i="1" s="1"/>
  <c r="AB653" i="1"/>
  <c r="AA653" i="1"/>
  <c r="AE653" i="1" s="1"/>
  <c r="X653" i="1"/>
  <c r="O653" i="1"/>
  <c r="K653" i="1"/>
  <c r="K653" i="1" a="1"/>
  <c r="J653" i="1" a="1"/>
  <c r="J653" i="1" s="1"/>
  <c r="I653" i="1" a="1"/>
  <c r="I653" i="1" s="1"/>
  <c r="H653" i="1" a="1"/>
  <c r="H653" i="1" s="1"/>
  <c r="F653" i="1"/>
  <c r="F653" i="1" a="1"/>
  <c r="AA652" i="1"/>
  <c r="AB652" i="1" s="1"/>
  <c r="X652" i="1"/>
  <c r="O652" i="1"/>
  <c r="K652" i="1" a="1"/>
  <c r="K652" i="1" s="1"/>
  <c r="J652" i="1" a="1"/>
  <c r="J652" i="1" s="1"/>
  <c r="I652" i="1" a="1"/>
  <c r="I652" i="1" s="1"/>
  <c r="H652" i="1" a="1"/>
  <c r="H652" i="1" s="1"/>
  <c r="F652" i="1" a="1"/>
  <c r="F652" i="1" s="1"/>
  <c r="AE651" i="1"/>
  <c r="AB651" i="1"/>
  <c r="AA651" i="1"/>
  <c r="X651" i="1"/>
  <c r="O651" i="1"/>
  <c r="K651" i="1"/>
  <c r="K651" i="1" a="1"/>
  <c r="J651" i="1" a="1"/>
  <c r="J651" i="1" s="1"/>
  <c r="I651" i="1"/>
  <c r="I651" i="1" a="1"/>
  <c r="H651" i="1" a="1"/>
  <c r="H651" i="1" s="1"/>
  <c r="F651" i="1" a="1"/>
  <c r="F651" i="1" s="1"/>
  <c r="AA650" i="1"/>
  <c r="X650" i="1"/>
  <c r="O650" i="1"/>
  <c r="K650" i="1" a="1"/>
  <c r="K650" i="1" s="1"/>
  <c r="J650" i="1" a="1"/>
  <c r="J650" i="1" s="1"/>
  <c r="I650" i="1" a="1"/>
  <c r="I650" i="1" s="1"/>
  <c r="H650" i="1" a="1"/>
  <c r="H650" i="1" s="1"/>
  <c r="F650" i="1" a="1"/>
  <c r="F650" i="1" s="1"/>
  <c r="AA649" i="1"/>
  <c r="AE649" i="1" s="1"/>
  <c r="X649" i="1"/>
  <c r="O649" i="1"/>
  <c r="K649" i="1" a="1"/>
  <c r="K649" i="1" s="1"/>
  <c r="J649" i="1"/>
  <c r="J649" i="1" a="1"/>
  <c r="I649" i="1" a="1"/>
  <c r="I649" i="1" s="1"/>
  <c r="H649" i="1"/>
  <c r="H649" i="1" a="1"/>
  <c r="F649" i="1" a="1"/>
  <c r="F649" i="1" s="1"/>
  <c r="AA648" i="1"/>
  <c r="X648" i="1"/>
  <c r="O648" i="1"/>
  <c r="K648" i="1" a="1"/>
  <c r="K648" i="1" s="1"/>
  <c r="J648" i="1" a="1"/>
  <c r="J648" i="1" s="1"/>
  <c r="I648" i="1" a="1"/>
  <c r="I648" i="1" s="1"/>
  <c r="H648" i="1" a="1"/>
  <c r="H648" i="1" s="1"/>
  <c r="F648" i="1" a="1"/>
  <c r="F648" i="1" s="1"/>
  <c r="AA647" i="1"/>
  <c r="AE647" i="1" s="1"/>
  <c r="X647" i="1"/>
  <c r="O647" i="1"/>
  <c r="K647" i="1" a="1"/>
  <c r="K647" i="1" s="1"/>
  <c r="J647" i="1"/>
  <c r="J647" i="1" a="1"/>
  <c r="I647" i="1" a="1"/>
  <c r="I647" i="1" s="1"/>
  <c r="H647" i="1" a="1"/>
  <c r="H647" i="1" s="1"/>
  <c r="F647" i="1" a="1"/>
  <c r="F647" i="1" s="1"/>
  <c r="AA646" i="1"/>
  <c r="X646" i="1"/>
  <c r="O646" i="1"/>
  <c r="J646" i="1" a="1"/>
  <c r="J646" i="1" s="1"/>
  <c r="I646" i="1" a="1"/>
  <c r="I646" i="1" s="1"/>
  <c r="H646" i="1" a="1"/>
  <c r="H646" i="1" s="1"/>
  <c r="F646" i="1" a="1"/>
  <c r="F646" i="1" s="1"/>
  <c r="AA645" i="1"/>
  <c r="AE645" i="1" s="1"/>
  <c r="X645" i="1"/>
  <c r="O645" i="1"/>
  <c r="K645" i="1" a="1"/>
  <c r="K645" i="1" s="1"/>
  <c r="J645" i="1" a="1"/>
  <c r="J645" i="1" s="1"/>
  <c r="I645" i="1" a="1"/>
  <c r="I645" i="1" s="1"/>
  <c r="H645" i="1" a="1"/>
  <c r="H645" i="1" s="1"/>
  <c r="F645" i="1" a="1"/>
  <c r="F645" i="1" s="1"/>
  <c r="AA644" i="1"/>
  <c r="X644" i="1"/>
  <c r="O644" i="1"/>
  <c r="K644" i="1" a="1"/>
  <c r="K644" i="1" s="1"/>
  <c r="J644" i="1" a="1"/>
  <c r="J644" i="1" s="1"/>
  <c r="I644" i="1" a="1"/>
  <c r="I644" i="1" s="1"/>
  <c r="H644" i="1" a="1"/>
  <c r="H644" i="1" s="1"/>
  <c r="F644" i="1" a="1"/>
  <c r="F644" i="1" s="1"/>
  <c r="AA643" i="1"/>
  <c r="X643" i="1"/>
  <c r="O643" i="1"/>
  <c r="K643" i="1" a="1"/>
  <c r="K643" i="1" s="1"/>
  <c r="J643" i="1"/>
  <c r="J643" i="1" a="1"/>
  <c r="I643" i="1" a="1"/>
  <c r="I643" i="1" s="1"/>
  <c r="H643" i="1" a="1"/>
  <c r="H643" i="1" s="1"/>
  <c r="F643" i="1" a="1"/>
  <c r="F643" i="1" s="1"/>
  <c r="AA642" i="1"/>
  <c r="X642" i="1"/>
  <c r="O642" i="1"/>
  <c r="K642" i="1" a="1"/>
  <c r="K642" i="1" s="1"/>
  <c r="J642" i="1" a="1"/>
  <c r="J642" i="1" s="1"/>
  <c r="I642" i="1" a="1"/>
  <c r="I642" i="1" s="1"/>
  <c r="H642" i="1" a="1"/>
  <c r="H642" i="1" s="1"/>
  <c r="F642" i="1" a="1"/>
  <c r="F642" i="1" s="1"/>
  <c r="AB641" i="1"/>
  <c r="AA641" i="1"/>
  <c r="AE641" i="1" s="1"/>
  <c r="X641" i="1"/>
  <c r="O641" i="1"/>
  <c r="K641" i="1"/>
  <c r="K641" i="1" a="1"/>
  <c r="J641" i="1" a="1"/>
  <c r="J641" i="1" s="1"/>
  <c r="I641" i="1" a="1"/>
  <c r="I641" i="1" s="1"/>
  <c r="H641" i="1" a="1"/>
  <c r="H641" i="1" s="1"/>
  <c r="F641" i="1" a="1"/>
  <c r="F641" i="1" s="1"/>
  <c r="AE640" i="1"/>
  <c r="AA640" i="1"/>
  <c r="AB640" i="1" s="1"/>
  <c r="X640" i="1"/>
  <c r="O640" i="1"/>
  <c r="K640" i="1" a="1"/>
  <c r="K640" i="1" s="1"/>
  <c r="J640" i="1" a="1"/>
  <c r="J640" i="1" s="1"/>
  <c r="I640" i="1" a="1"/>
  <c r="I640" i="1" s="1"/>
  <c r="H640" i="1" a="1"/>
  <c r="H640" i="1" s="1"/>
  <c r="F640" i="1" a="1"/>
  <c r="F640" i="1" s="1"/>
  <c r="AA639" i="1"/>
  <c r="AB639" i="1" s="1"/>
  <c r="X639" i="1"/>
  <c r="O639" i="1"/>
  <c r="K639" i="1" a="1"/>
  <c r="K639" i="1" s="1"/>
  <c r="J639" i="1" a="1"/>
  <c r="J639" i="1" s="1"/>
  <c r="I639" i="1" a="1"/>
  <c r="I639" i="1" s="1"/>
  <c r="H639" i="1" a="1"/>
  <c r="H639" i="1" s="1"/>
  <c r="F639" i="1" a="1"/>
  <c r="F639" i="1" s="1"/>
  <c r="AA638" i="1"/>
  <c r="X638" i="1"/>
  <c r="O638" i="1"/>
  <c r="L638" i="1" a="1"/>
  <c r="L638" i="1" s="1"/>
  <c r="K638" i="1" a="1"/>
  <c r="K638" i="1" s="1"/>
  <c r="J638" i="1" a="1"/>
  <c r="J638" i="1" s="1"/>
  <c r="I638" i="1" a="1"/>
  <c r="I638" i="1" s="1"/>
  <c r="H638" i="1" a="1"/>
  <c r="H638" i="1" s="1"/>
  <c r="F638" i="1" a="1"/>
  <c r="F638" i="1" s="1"/>
  <c r="AA637" i="1"/>
  <c r="X637" i="1"/>
  <c r="O637" i="1"/>
  <c r="L637" i="1" a="1"/>
  <c r="L637" i="1" s="1"/>
  <c r="K637" i="1" a="1"/>
  <c r="K637" i="1" s="1"/>
  <c r="J637" i="1" a="1"/>
  <c r="J637" i="1" s="1"/>
  <c r="I637" i="1" a="1"/>
  <c r="I637" i="1" s="1"/>
  <c r="H637" i="1" a="1"/>
  <c r="H637" i="1" s="1"/>
  <c r="F637" i="1"/>
  <c r="F637" i="1" a="1"/>
  <c r="AA636" i="1"/>
  <c r="AB636" i="1" s="1"/>
  <c r="X636" i="1"/>
  <c r="O636" i="1"/>
  <c r="L636" i="1" a="1"/>
  <c r="L636" i="1" s="1"/>
  <c r="K636" i="1" a="1"/>
  <c r="K636" i="1" s="1"/>
  <c r="J636" i="1" a="1"/>
  <c r="J636" i="1" s="1"/>
  <c r="I636" i="1" a="1"/>
  <c r="I636" i="1" s="1"/>
  <c r="H636" i="1" a="1"/>
  <c r="H636" i="1" s="1"/>
  <c r="F636" i="1" a="1"/>
  <c r="F636" i="1" s="1"/>
  <c r="AA635" i="1"/>
  <c r="X635" i="1"/>
  <c r="O635" i="1"/>
  <c r="L635" i="1" a="1"/>
  <c r="L635" i="1" s="1"/>
  <c r="K635" i="1" a="1"/>
  <c r="K635" i="1" s="1"/>
  <c r="J635" i="1" a="1"/>
  <c r="J635" i="1" s="1"/>
  <c r="I635" i="1" a="1"/>
  <c r="I635" i="1" s="1"/>
  <c r="H635" i="1" a="1"/>
  <c r="H635" i="1" s="1"/>
  <c r="F635" i="1" a="1"/>
  <c r="F635" i="1" s="1"/>
  <c r="AA634" i="1"/>
  <c r="X634" i="1"/>
  <c r="O634" i="1"/>
  <c r="L634" i="1" a="1"/>
  <c r="L634" i="1" s="1"/>
  <c r="K634" i="1" a="1"/>
  <c r="K634" i="1" s="1"/>
  <c r="J634" i="1" a="1"/>
  <c r="J634" i="1" s="1"/>
  <c r="I634" i="1" a="1"/>
  <c r="I634" i="1" s="1"/>
  <c r="H634" i="1" a="1"/>
  <c r="H634" i="1" s="1"/>
  <c r="F634" i="1" a="1"/>
  <c r="F634" i="1" s="1"/>
  <c r="AA633" i="1"/>
  <c r="AB633" i="1" s="1"/>
  <c r="X633" i="1"/>
  <c r="O633" i="1"/>
  <c r="L633" i="1" a="1"/>
  <c r="L633" i="1" s="1"/>
  <c r="K633" i="1" a="1"/>
  <c r="K633" i="1" s="1"/>
  <c r="J633" i="1" a="1"/>
  <c r="J633" i="1" s="1"/>
  <c r="I633" i="1" a="1"/>
  <c r="I633" i="1" s="1"/>
  <c r="H633" i="1" a="1"/>
  <c r="H633" i="1" s="1"/>
  <c r="F633" i="1" a="1"/>
  <c r="F633" i="1" s="1"/>
  <c r="AA632" i="1"/>
  <c r="X632" i="1"/>
  <c r="O632" i="1"/>
  <c r="L632" i="1" a="1"/>
  <c r="L632" i="1" s="1"/>
  <c r="K632" i="1" a="1"/>
  <c r="K632" i="1" s="1"/>
  <c r="J632" i="1" a="1"/>
  <c r="J632" i="1" s="1"/>
  <c r="I632" i="1" a="1"/>
  <c r="I632" i="1" s="1"/>
  <c r="H632" i="1" a="1"/>
  <c r="H632" i="1" s="1"/>
  <c r="F632" i="1" a="1"/>
  <c r="F632" i="1" s="1"/>
  <c r="AA631" i="1"/>
  <c r="AE631" i="1" s="1"/>
  <c r="X631" i="1"/>
  <c r="O631" i="1"/>
  <c r="L631" i="1" a="1"/>
  <c r="L631" i="1" s="1"/>
  <c r="K631" i="1" a="1"/>
  <c r="K631" i="1" s="1"/>
  <c r="J631" i="1" a="1"/>
  <c r="J631" i="1" s="1"/>
  <c r="I631" i="1" a="1"/>
  <c r="I631" i="1" s="1"/>
  <c r="H631" i="1" a="1"/>
  <c r="H631" i="1" s="1"/>
  <c r="F631" i="1" a="1"/>
  <c r="F631" i="1" s="1"/>
  <c r="AA630" i="1"/>
  <c r="X630" i="1"/>
  <c r="O630" i="1"/>
  <c r="L630" i="1" a="1"/>
  <c r="L630" i="1" s="1"/>
  <c r="K630" i="1" a="1"/>
  <c r="K630" i="1" s="1"/>
  <c r="J630" i="1" a="1"/>
  <c r="J630" i="1" s="1"/>
  <c r="I630" i="1" a="1"/>
  <c r="I630" i="1" s="1"/>
  <c r="H630" i="1" a="1"/>
  <c r="H630" i="1" s="1"/>
  <c r="F630" i="1" a="1"/>
  <c r="F630" i="1" s="1"/>
  <c r="AA629" i="1"/>
  <c r="AB629" i="1" s="1"/>
  <c r="X629" i="1"/>
  <c r="O629" i="1"/>
  <c r="L629" i="1" a="1"/>
  <c r="L629" i="1" s="1"/>
  <c r="K629" i="1" a="1"/>
  <c r="K629" i="1" s="1"/>
  <c r="J629" i="1" a="1"/>
  <c r="J629" i="1" s="1"/>
  <c r="I629" i="1" a="1"/>
  <c r="I629" i="1" s="1"/>
  <c r="H629" i="1" a="1"/>
  <c r="H629" i="1" s="1"/>
  <c r="F629" i="1" a="1"/>
  <c r="F629" i="1" s="1"/>
  <c r="AA628" i="1"/>
  <c r="X628" i="1"/>
  <c r="O628" i="1"/>
  <c r="L628" i="1" a="1"/>
  <c r="L628" i="1" s="1"/>
  <c r="K628" i="1" a="1"/>
  <c r="K628" i="1" s="1"/>
  <c r="J628" i="1" a="1"/>
  <c r="J628" i="1" s="1"/>
  <c r="I628" i="1" a="1"/>
  <c r="I628" i="1" s="1"/>
  <c r="H628" i="1" a="1"/>
  <c r="H628" i="1" s="1"/>
  <c r="F628" i="1" a="1"/>
  <c r="F628" i="1" s="1"/>
  <c r="AA627" i="1"/>
  <c r="AE627" i="1" s="1"/>
  <c r="X627" i="1"/>
  <c r="O627" i="1"/>
  <c r="L627" i="1" a="1"/>
  <c r="L627" i="1" s="1"/>
  <c r="K627" i="1" a="1"/>
  <c r="K627" i="1" s="1"/>
  <c r="J627" i="1" a="1"/>
  <c r="J627" i="1" s="1"/>
  <c r="I627" i="1" a="1"/>
  <c r="I627" i="1" s="1"/>
  <c r="H627" i="1" a="1"/>
  <c r="H627" i="1" s="1"/>
  <c r="F627" i="1" a="1"/>
  <c r="F627" i="1" s="1"/>
  <c r="AA626" i="1"/>
  <c r="X626" i="1"/>
  <c r="O626" i="1"/>
  <c r="L626" i="1" a="1"/>
  <c r="L626" i="1" s="1"/>
  <c r="K626" i="1" a="1"/>
  <c r="K626" i="1" s="1"/>
  <c r="J626" i="1" a="1"/>
  <c r="J626" i="1" s="1"/>
  <c r="I626" i="1" a="1"/>
  <c r="I626" i="1" s="1"/>
  <c r="H626" i="1" a="1"/>
  <c r="H626" i="1" s="1"/>
  <c r="F626" i="1" a="1"/>
  <c r="F626" i="1" s="1"/>
  <c r="AA625" i="1"/>
  <c r="AB625" i="1" s="1"/>
  <c r="X625" i="1"/>
  <c r="O625" i="1"/>
  <c r="L625" i="1" a="1"/>
  <c r="L625" i="1" s="1"/>
  <c r="K625" i="1" a="1"/>
  <c r="K625" i="1" s="1"/>
  <c r="J625" i="1" a="1"/>
  <c r="J625" i="1" s="1"/>
  <c r="I625" i="1" a="1"/>
  <c r="I625" i="1" s="1"/>
  <c r="H625" i="1" a="1"/>
  <c r="H625" i="1" s="1"/>
  <c r="F625" i="1" a="1"/>
  <c r="F625" i="1" s="1"/>
  <c r="AE624" i="1"/>
  <c r="AA624" i="1"/>
  <c r="AB624" i="1" s="1"/>
  <c r="X624" i="1"/>
  <c r="O624" i="1"/>
  <c r="L624" i="1" a="1"/>
  <c r="L624" i="1" s="1"/>
  <c r="K624" i="1" a="1"/>
  <c r="K624" i="1" s="1"/>
  <c r="J624" i="1" a="1"/>
  <c r="J624" i="1" s="1"/>
  <c r="I624" i="1" a="1"/>
  <c r="I624" i="1" s="1"/>
  <c r="H624" i="1" a="1"/>
  <c r="H624" i="1" s="1"/>
  <c r="F624" i="1" a="1"/>
  <c r="F624" i="1" s="1"/>
  <c r="AA623" i="1"/>
  <c r="X623" i="1"/>
  <c r="O623" i="1"/>
  <c r="L623" i="1" a="1"/>
  <c r="L623" i="1" s="1"/>
  <c r="K623" i="1" a="1"/>
  <c r="K623" i="1" s="1"/>
  <c r="J623" i="1" a="1"/>
  <c r="J623" i="1" s="1"/>
  <c r="I623" i="1" a="1"/>
  <c r="I623" i="1" s="1"/>
  <c r="H623" i="1" a="1"/>
  <c r="H623" i="1" s="1"/>
  <c r="F623" i="1"/>
  <c r="F623" i="1" a="1"/>
  <c r="AA622" i="1"/>
  <c r="X622" i="1"/>
  <c r="O622" i="1"/>
  <c r="K622" i="1" a="1"/>
  <c r="K622" i="1" s="1"/>
  <c r="J622" i="1" a="1"/>
  <c r="J622" i="1" s="1"/>
  <c r="I622" i="1" a="1"/>
  <c r="I622" i="1" s="1"/>
  <c r="H622" i="1" a="1"/>
  <c r="H622" i="1" s="1"/>
  <c r="F622" i="1" a="1"/>
  <c r="F622" i="1" s="1"/>
  <c r="AA621" i="1"/>
  <c r="X621" i="1"/>
  <c r="O621" i="1"/>
  <c r="K621" i="1" a="1"/>
  <c r="K621" i="1" s="1"/>
  <c r="J621" i="1" a="1"/>
  <c r="J621" i="1" s="1"/>
  <c r="I621" i="1" a="1"/>
  <c r="I621" i="1" s="1"/>
  <c r="H621" i="1" a="1"/>
  <c r="H621" i="1" s="1"/>
  <c r="F621" i="1" a="1"/>
  <c r="F621" i="1" s="1"/>
  <c r="AE620" i="1"/>
  <c r="AA620" i="1"/>
  <c r="AB620" i="1" s="1"/>
  <c r="X620" i="1"/>
  <c r="O620" i="1"/>
  <c r="K620" i="1" a="1"/>
  <c r="K620" i="1" s="1"/>
  <c r="J620" i="1" a="1"/>
  <c r="J620" i="1" s="1"/>
  <c r="I620" i="1" a="1"/>
  <c r="I620" i="1" s="1"/>
  <c r="H620" i="1" a="1"/>
  <c r="H620" i="1" s="1"/>
  <c r="F620" i="1" a="1"/>
  <c r="F620" i="1" s="1"/>
  <c r="AA619" i="1"/>
  <c r="AE619" i="1" s="1"/>
  <c r="X619" i="1"/>
  <c r="O619" i="1"/>
  <c r="K619" i="1" a="1"/>
  <c r="K619" i="1" s="1"/>
  <c r="J619" i="1" a="1"/>
  <c r="J619" i="1" s="1"/>
  <c r="I619" i="1" a="1"/>
  <c r="I619" i="1" s="1"/>
  <c r="H619" i="1"/>
  <c r="H619" i="1" a="1"/>
  <c r="F619" i="1" a="1"/>
  <c r="F619" i="1" s="1"/>
  <c r="AA618" i="1"/>
  <c r="X618" i="1"/>
  <c r="O618" i="1"/>
  <c r="K618" i="1" a="1"/>
  <c r="K618" i="1" s="1"/>
  <c r="J618" i="1" a="1"/>
  <c r="J618" i="1" s="1"/>
  <c r="I618" i="1" a="1"/>
  <c r="I618" i="1" s="1"/>
  <c r="H618" i="1" a="1"/>
  <c r="H618" i="1" s="1"/>
  <c r="F618" i="1" a="1"/>
  <c r="F618" i="1" s="1"/>
  <c r="AA617" i="1"/>
  <c r="X617" i="1"/>
  <c r="O617" i="1"/>
  <c r="K617" i="1" a="1"/>
  <c r="K617" i="1" s="1"/>
  <c r="J617" i="1" a="1"/>
  <c r="J617" i="1" s="1"/>
  <c r="I617" i="1" a="1"/>
  <c r="I617" i="1" s="1"/>
  <c r="H617" i="1" a="1"/>
  <c r="H617" i="1" s="1"/>
  <c r="F617" i="1" a="1"/>
  <c r="F617" i="1" s="1"/>
  <c r="AA616" i="1"/>
  <c r="AB616" i="1" s="1"/>
  <c r="X616" i="1"/>
  <c r="O616" i="1"/>
  <c r="K616" i="1" a="1"/>
  <c r="K616" i="1" s="1"/>
  <c r="J616" i="1" a="1"/>
  <c r="J616" i="1" s="1"/>
  <c r="I616" i="1" a="1"/>
  <c r="I616" i="1" s="1"/>
  <c r="H616" i="1" a="1"/>
  <c r="H616" i="1" s="1"/>
  <c r="F616" i="1" a="1"/>
  <c r="F616" i="1" s="1"/>
  <c r="AA615" i="1"/>
  <c r="X615" i="1"/>
  <c r="O615" i="1"/>
  <c r="J615" i="1" a="1"/>
  <c r="J615" i="1" s="1"/>
  <c r="I615" i="1" a="1"/>
  <c r="I615" i="1" s="1"/>
  <c r="H615" i="1" a="1"/>
  <c r="H615" i="1" s="1"/>
  <c r="F615" i="1" a="1"/>
  <c r="F615" i="1" s="1"/>
  <c r="AA614" i="1"/>
  <c r="X614" i="1"/>
  <c r="O614" i="1"/>
  <c r="K614" i="1" a="1"/>
  <c r="K614" i="1" s="1"/>
  <c r="J614" i="1" a="1"/>
  <c r="J614" i="1" s="1"/>
  <c r="I614" i="1" a="1"/>
  <c r="I614" i="1" s="1"/>
  <c r="H614" i="1" a="1"/>
  <c r="H614" i="1" s="1"/>
  <c r="F614" i="1" a="1"/>
  <c r="F614" i="1" s="1"/>
  <c r="AA613" i="1"/>
  <c r="X613" i="1"/>
  <c r="O613" i="1"/>
  <c r="K613" i="1" a="1"/>
  <c r="K613" i="1" s="1"/>
  <c r="J613" i="1"/>
  <c r="J613" i="1" a="1"/>
  <c r="I613" i="1" a="1"/>
  <c r="I613" i="1" s="1"/>
  <c r="H613" i="1" a="1"/>
  <c r="H613" i="1" s="1"/>
  <c r="F613" i="1" a="1"/>
  <c r="F613" i="1" s="1"/>
  <c r="AA612" i="1"/>
  <c r="AB612" i="1" s="1"/>
  <c r="X612" i="1"/>
  <c r="O612" i="1"/>
  <c r="K612" i="1" a="1"/>
  <c r="K612" i="1" s="1"/>
  <c r="J612" i="1" a="1"/>
  <c r="J612" i="1" s="1"/>
  <c r="I612" i="1" a="1"/>
  <c r="I612" i="1" s="1"/>
  <c r="H612" i="1" a="1"/>
  <c r="H612" i="1" s="1"/>
  <c r="F612" i="1" a="1"/>
  <c r="F612" i="1" s="1"/>
  <c r="AA611" i="1"/>
  <c r="AE611" i="1" s="1"/>
  <c r="X611" i="1"/>
  <c r="O611" i="1"/>
  <c r="K611" i="1" a="1"/>
  <c r="K611" i="1" s="1"/>
  <c r="J611" i="1" a="1"/>
  <c r="J611" i="1" s="1"/>
  <c r="I611" i="1" a="1"/>
  <c r="I611" i="1" s="1"/>
  <c r="H611" i="1" a="1"/>
  <c r="H611" i="1" s="1"/>
  <c r="F611" i="1" a="1"/>
  <c r="F611" i="1" s="1"/>
  <c r="AA610" i="1"/>
  <c r="X610" i="1"/>
  <c r="O610" i="1"/>
  <c r="K610" i="1" a="1"/>
  <c r="K610" i="1" s="1"/>
  <c r="J610" i="1" a="1"/>
  <c r="J610" i="1" s="1"/>
  <c r="I610" i="1" a="1"/>
  <c r="I610" i="1" s="1"/>
  <c r="H610" i="1" a="1"/>
  <c r="H610" i="1" s="1"/>
  <c r="F610" i="1" a="1"/>
  <c r="F610" i="1" s="1"/>
  <c r="AB609" i="1"/>
  <c r="AA609" i="1"/>
  <c r="AE609" i="1" s="1"/>
  <c r="X609" i="1"/>
  <c r="O609" i="1"/>
  <c r="K609" i="1" a="1"/>
  <c r="K609" i="1" s="1"/>
  <c r="J609" i="1" a="1"/>
  <c r="J609" i="1" s="1"/>
  <c r="I609" i="1"/>
  <c r="I609" i="1" a="1"/>
  <c r="H609" i="1" a="1"/>
  <c r="H609" i="1" s="1"/>
  <c r="F609" i="1" a="1"/>
  <c r="F609" i="1" s="1"/>
  <c r="AA608" i="1"/>
  <c r="AB608" i="1" s="1"/>
  <c r="X608" i="1"/>
  <c r="O608" i="1"/>
  <c r="K608" i="1" a="1"/>
  <c r="K608" i="1" s="1"/>
  <c r="J608" i="1" a="1"/>
  <c r="J608" i="1" s="1"/>
  <c r="I608" i="1" a="1"/>
  <c r="I608" i="1" s="1"/>
  <c r="H608" i="1" a="1"/>
  <c r="H608" i="1" s="1"/>
  <c r="F608" i="1" a="1"/>
  <c r="F608" i="1" s="1"/>
  <c r="AA607" i="1"/>
  <c r="X607" i="1"/>
  <c r="O607" i="1"/>
  <c r="K607" i="1" a="1"/>
  <c r="K607" i="1" s="1"/>
  <c r="J607" i="1" a="1"/>
  <c r="J607" i="1" s="1"/>
  <c r="I607" i="1" a="1"/>
  <c r="I607" i="1" s="1"/>
  <c r="H607" i="1"/>
  <c r="H607" i="1" a="1"/>
  <c r="F607" i="1" a="1"/>
  <c r="F607" i="1" s="1"/>
  <c r="AA606" i="1"/>
  <c r="X606" i="1"/>
  <c r="O606" i="1"/>
  <c r="L606" i="1" a="1"/>
  <c r="L606" i="1" s="1"/>
  <c r="K606" i="1" a="1"/>
  <c r="K606" i="1" s="1"/>
  <c r="J606" i="1" a="1"/>
  <c r="J606" i="1" s="1"/>
  <c r="I606" i="1" a="1"/>
  <c r="I606" i="1" s="1"/>
  <c r="H606" i="1" a="1"/>
  <c r="H606" i="1" s="1"/>
  <c r="F606" i="1" a="1"/>
  <c r="F606" i="1" s="1"/>
  <c r="AA605" i="1"/>
  <c r="X605" i="1"/>
  <c r="O605" i="1"/>
  <c r="L605" i="1" a="1"/>
  <c r="L605" i="1" s="1"/>
  <c r="K605" i="1"/>
  <c r="K605" i="1" a="1"/>
  <c r="J605" i="1" a="1"/>
  <c r="J605" i="1" s="1"/>
  <c r="I605" i="1" a="1"/>
  <c r="I605" i="1" s="1"/>
  <c r="H605" i="1" a="1"/>
  <c r="H605" i="1" s="1"/>
  <c r="F605" i="1" a="1"/>
  <c r="F605" i="1" s="1"/>
  <c r="AA604" i="1"/>
  <c r="X604" i="1"/>
  <c r="O604" i="1"/>
  <c r="L604" i="1" a="1"/>
  <c r="L604" i="1" s="1"/>
  <c r="K604" i="1" a="1"/>
  <c r="K604" i="1" s="1"/>
  <c r="J604" i="1" a="1"/>
  <c r="J604" i="1" s="1"/>
  <c r="I604" i="1" a="1"/>
  <c r="I604" i="1" s="1"/>
  <c r="H604" i="1" a="1"/>
  <c r="H604" i="1" s="1"/>
  <c r="F604" i="1" a="1"/>
  <c r="F604" i="1" s="1"/>
  <c r="AA603" i="1"/>
  <c r="AE603" i="1" s="1"/>
  <c r="X603" i="1"/>
  <c r="O603" i="1"/>
  <c r="L603" i="1" a="1"/>
  <c r="L603" i="1" s="1"/>
  <c r="K603" i="1" a="1"/>
  <c r="K603" i="1" s="1"/>
  <c r="J603" i="1"/>
  <c r="J603" i="1" a="1"/>
  <c r="I603" i="1" a="1"/>
  <c r="I603" i="1" s="1"/>
  <c r="H603" i="1" a="1"/>
  <c r="H603" i="1" s="1"/>
  <c r="F603" i="1" a="1"/>
  <c r="F603" i="1" s="1"/>
  <c r="AA602" i="1"/>
  <c r="X602" i="1"/>
  <c r="O602" i="1"/>
  <c r="L602" i="1" a="1"/>
  <c r="L602" i="1" s="1"/>
  <c r="K602" i="1" a="1"/>
  <c r="K602" i="1" s="1"/>
  <c r="J602" i="1" a="1"/>
  <c r="J602" i="1" s="1"/>
  <c r="I602" i="1" a="1"/>
  <c r="I602" i="1" s="1"/>
  <c r="H602" i="1" a="1"/>
  <c r="H602" i="1" s="1"/>
  <c r="F602" i="1" a="1"/>
  <c r="F602" i="1" s="1"/>
  <c r="AA601" i="1"/>
  <c r="X601" i="1"/>
  <c r="O601" i="1"/>
  <c r="L601" i="1" a="1"/>
  <c r="L601" i="1" s="1"/>
  <c r="K601" i="1" a="1"/>
  <c r="K601" i="1" s="1"/>
  <c r="J601" i="1" a="1"/>
  <c r="J601" i="1" s="1"/>
  <c r="I601" i="1" a="1"/>
  <c r="I601" i="1" s="1"/>
  <c r="H601" i="1" a="1"/>
  <c r="H601" i="1" s="1"/>
  <c r="F601" i="1" a="1"/>
  <c r="F601" i="1" s="1"/>
  <c r="AA600" i="1"/>
  <c r="X600" i="1"/>
  <c r="O600" i="1"/>
  <c r="L600" i="1" a="1"/>
  <c r="L600" i="1" s="1"/>
  <c r="K600" i="1" a="1"/>
  <c r="K600" i="1" s="1"/>
  <c r="J600" i="1" a="1"/>
  <c r="J600" i="1" s="1"/>
  <c r="I600" i="1" a="1"/>
  <c r="I600" i="1" s="1"/>
  <c r="H600" i="1" a="1"/>
  <c r="H600" i="1" s="1"/>
  <c r="F600" i="1" a="1"/>
  <c r="F600" i="1" s="1"/>
  <c r="AB599" i="1"/>
  <c r="AA599" i="1"/>
  <c r="AE599" i="1" s="1"/>
  <c r="X599" i="1"/>
  <c r="O599" i="1"/>
  <c r="K599" i="1"/>
  <c r="K599" i="1" a="1"/>
  <c r="J599" i="1" a="1"/>
  <c r="J599" i="1" s="1"/>
  <c r="I599" i="1" a="1"/>
  <c r="I599" i="1" s="1"/>
  <c r="H599" i="1" a="1"/>
  <c r="H599" i="1" s="1"/>
  <c r="F599" i="1" a="1"/>
  <c r="F599" i="1" s="1"/>
  <c r="AA598" i="1"/>
  <c r="X598" i="1"/>
  <c r="O598" i="1"/>
  <c r="K598" i="1" a="1"/>
  <c r="K598" i="1" s="1"/>
  <c r="J598" i="1" a="1"/>
  <c r="J598" i="1" s="1"/>
  <c r="I598" i="1" a="1"/>
  <c r="I598" i="1" s="1"/>
  <c r="H598" i="1" a="1"/>
  <c r="H598" i="1" s="1"/>
  <c r="F598" i="1" a="1"/>
  <c r="F598" i="1" s="1"/>
  <c r="AE597" i="1"/>
  <c r="AA597" i="1"/>
  <c r="AB597" i="1" s="1"/>
  <c r="X597" i="1"/>
  <c r="O597" i="1"/>
  <c r="L597" i="1" a="1"/>
  <c r="L597" i="1" s="1"/>
  <c r="K597" i="1" a="1"/>
  <c r="K597" i="1" s="1"/>
  <c r="J597" i="1"/>
  <c r="J597" i="1" a="1"/>
  <c r="I597" i="1" a="1"/>
  <c r="I597" i="1" s="1"/>
  <c r="H597" i="1" a="1"/>
  <c r="H597" i="1" s="1"/>
  <c r="F597" i="1" a="1"/>
  <c r="F597" i="1" s="1"/>
  <c r="AA596" i="1"/>
  <c r="AB596" i="1" s="1"/>
  <c r="X596" i="1"/>
  <c r="O596" i="1"/>
  <c r="K596" i="1" a="1"/>
  <c r="K596" i="1" s="1"/>
  <c r="J596" i="1" a="1"/>
  <c r="J596" i="1" s="1"/>
  <c r="I596" i="1" a="1"/>
  <c r="I596" i="1" s="1"/>
  <c r="H596" i="1" a="1"/>
  <c r="H596" i="1" s="1"/>
  <c r="F596" i="1" a="1"/>
  <c r="F596" i="1" s="1"/>
  <c r="AA595" i="1"/>
  <c r="X595" i="1"/>
  <c r="O595" i="1"/>
  <c r="K595" i="1" a="1"/>
  <c r="K595" i="1" s="1"/>
  <c r="J595" i="1" a="1"/>
  <c r="J595" i="1" s="1"/>
  <c r="I595" i="1" a="1"/>
  <c r="I595" i="1" s="1"/>
  <c r="H595" i="1" a="1"/>
  <c r="H595" i="1" s="1"/>
  <c r="F595" i="1" a="1"/>
  <c r="F595" i="1" s="1"/>
  <c r="AA594" i="1"/>
  <c r="X594" i="1"/>
  <c r="O594" i="1"/>
  <c r="K594" i="1" a="1"/>
  <c r="K594" i="1" s="1"/>
  <c r="J594" i="1" a="1"/>
  <c r="J594" i="1" s="1"/>
  <c r="I594" i="1" a="1"/>
  <c r="I594" i="1" s="1"/>
  <c r="H594" i="1" a="1"/>
  <c r="H594" i="1" s="1"/>
  <c r="F594" i="1" a="1"/>
  <c r="F594" i="1" s="1"/>
  <c r="AB593" i="1"/>
  <c r="AA593" i="1"/>
  <c r="AE593" i="1" s="1"/>
  <c r="X593" i="1"/>
  <c r="O593" i="1"/>
  <c r="K593" i="1"/>
  <c r="K593" i="1" a="1"/>
  <c r="J593" i="1" a="1"/>
  <c r="J593" i="1" s="1"/>
  <c r="I593" i="1"/>
  <c r="I593" i="1" a="1"/>
  <c r="H593" i="1" a="1"/>
  <c r="H593" i="1" s="1"/>
  <c r="F593" i="1" a="1"/>
  <c r="F593" i="1" s="1"/>
  <c r="AA592" i="1"/>
  <c r="X592" i="1"/>
  <c r="O592" i="1"/>
  <c r="K592" i="1" a="1"/>
  <c r="K592" i="1" s="1"/>
  <c r="J592" i="1" a="1"/>
  <c r="J592" i="1" s="1"/>
  <c r="I592" i="1" a="1"/>
  <c r="I592" i="1" s="1"/>
  <c r="H592" i="1" a="1"/>
  <c r="H592" i="1" s="1"/>
  <c r="F592" i="1" a="1"/>
  <c r="F592" i="1" s="1"/>
  <c r="AA591" i="1"/>
  <c r="AE591" i="1" s="1"/>
  <c r="X591" i="1"/>
  <c r="O591" i="1"/>
  <c r="K591" i="1" a="1"/>
  <c r="K591" i="1" s="1"/>
  <c r="J591" i="1" a="1"/>
  <c r="J591" i="1" s="1"/>
  <c r="I591" i="1"/>
  <c r="I591" i="1" a="1"/>
  <c r="H591" i="1" a="1"/>
  <c r="H591" i="1" s="1"/>
  <c r="F591" i="1"/>
  <c r="F591" i="1" a="1"/>
  <c r="AA590" i="1"/>
  <c r="X590" i="1"/>
  <c r="O590" i="1"/>
  <c r="K590" i="1" a="1"/>
  <c r="K590" i="1" s="1"/>
  <c r="J590" i="1" a="1"/>
  <c r="J590" i="1" s="1"/>
  <c r="I590" i="1" a="1"/>
  <c r="I590" i="1" s="1"/>
  <c r="H590" i="1" a="1"/>
  <c r="H590" i="1" s="1"/>
  <c r="F590" i="1" a="1"/>
  <c r="F590" i="1" s="1"/>
  <c r="AA589" i="1"/>
  <c r="X589" i="1"/>
  <c r="O589" i="1"/>
  <c r="K589" i="1" a="1"/>
  <c r="K589" i="1" s="1"/>
  <c r="J589" i="1" a="1"/>
  <c r="J589" i="1" s="1"/>
  <c r="I589" i="1" a="1"/>
  <c r="I589" i="1" s="1"/>
  <c r="H589" i="1"/>
  <c r="H589" i="1" a="1"/>
  <c r="F589" i="1" a="1"/>
  <c r="F589" i="1" s="1"/>
  <c r="AE588" i="1"/>
  <c r="AA588" i="1"/>
  <c r="AB588" i="1" s="1"/>
  <c r="X588" i="1"/>
  <c r="O588" i="1"/>
  <c r="K588" i="1" a="1"/>
  <c r="K588" i="1" s="1"/>
  <c r="J588" i="1" a="1"/>
  <c r="J588" i="1" s="1"/>
  <c r="I588" i="1" a="1"/>
  <c r="I588" i="1" s="1"/>
  <c r="H588" i="1" a="1"/>
  <c r="H588" i="1" s="1"/>
  <c r="F588" i="1" a="1"/>
  <c r="F588" i="1" s="1"/>
  <c r="AA587" i="1"/>
  <c r="X587" i="1"/>
  <c r="O587" i="1"/>
  <c r="K587" i="1" a="1"/>
  <c r="K587" i="1" s="1"/>
  <c r="J587" i="1"/>
  <c r="J587" i="1" a="1"/>
  <c r="I587" i="1" a="1"/>
  <c r="I587" i="1" s="1"/>
  <c r="H587" i="1"/>
  <c r="H587" i="1" a="1"/>
  <c r="F587" i="1" a="1"/>
  <c r="F587" i="1" s="1"/>
  <c r="AA586" i="1"/>
  <c r="X586" i="1"/>
  <c r="O586" i="1"/>
  <c r="J586" i="1" a="1"/>
  <c r="J586" i="1" s="1"/>
  <c r="I586" i="1" a="1"/>
  <c r="I586" i="1" s="1"/>
  <c r="H586" i="1" a="1"/>
  <c r="H586" i="1" s="1"/>
  <c r="F586" i="1" a="1"/>
  <c r="F586" i="1" s="1"/>
  <c r="AA585" i="1"/>
  <c r="AE585" i="1" s="1"/>
  <c r="X585" i="1"/>
  <c r="O585" i="1"/>
  <c r="K585" i="1" a="1"/>
  <c r="K585" i="1" s="1"/>
  <c r="J585" i="1"/>
  <c r="J585" i="1" a="1"/>
  <c r="I585" i="1" a="1"/>
  <c r="I585" i="1" s="1"/>
  <c r="H585" i="1"/>
  <c r="H585" i="1" a="1"/>
  <c r="F585" i="1" a="1"/>
  <c r="F585" i="1" s="1"/>
  <c r="AE584" i="1"/>
  <c r="AA584" i="1"/>
  <c r="AB584" i="1" s="1"/>
  <c r="X584" i="1"/>
  <c r="O584" i="1"/>
  <c r="K584" i="1" a="1"/>
  <c r="K584" i="1" s="1"/>
  <c r="J584" i="1" a="1"/>
  <c r="J584" i="1" s="1"/>
  <c r="I584" i="1" a="1"/>
  <c r="I584" i="1" s="1"/>
  <c r="H584" i="1" a="1"/>
  <c r="H584" i="1" s="1"/>
  <c r="F584" i="1" a="1"/>
  <c r="F584" i="1" s="1"/>
  <c r="AB583" i="1"/>
  <c r="AA583" i="1"/>
  <c r="AE583" i="1" s="1"/>
  <c r="X583" i="1"/>
  <c r="O583" i="1"/>
  <c r="K583" i="1"/>
  <c r="K583" i="1" a="1"/>
  <c r="J583" i="1" a="1"/>
  <c r="J583" i="1" s="1"/>
  <c r="I583" i="1"/>
  <c r="I583" i="1" a="1"/>
  <c r="H583" i="1" a="1"/>
  <c r="H583" i="1" s="1"/>
  <c r="F583" i="1"/>
  <c r="F583" i="1" a="1"/>
  <c r="AA582" i="1"/>
  <c r="X582" i="1"/>
  <c r="O582" i="1"/>
  <c r="K582" i="1" a="1"/>
  <c r="K582" i="1" s="1"/>
  <c r="J582" i="1" a="1"/>
  <c r="J582" i="1" s="1"/>
  <c r="I582" i="1" a="1"/>
  <c r="I582" i="1" s="1"/>
  <c r="H582" i="1" a="1"/>
  <c r="H582" i="1" s="1"/>
  <c r="F582" i="1" a="1"/>
  <c r="F582" i="1" s="1"/>
  <c r="AA581" i="1"/>
  <c r="X581" i="1"/>
  <c r="O581" i="1"/>
  <c r="K581" i="1" a="1"/>
  <c r="K581" i="1" s="1"/>
  <c r="J581" i="1"/>
  <c r="J581" i="1" a="1"/>
  <c r="I581" i="1" a="1"/>
  <c r="I581" i="1" s="1"/>
  <c r="H581" i="1"/>
  <c r="H581" i="1" a="1"/>
  <c r="F581" i="1" a="1"/>
  <c r="F581" i="1" s="1"/>
  <c r="AE580" i="1"/>
  <c r="AA580" i="1"/>
  <c r="AB580" i="1" s="1"/>
  <c r="X580" i="1"/>
  <c r="O580" i="1"/>
  <c r="K580" i="1" a="1"/>
  <c r="K580" i="1" s="1"/>
  <c r="J580" i="1" a="1"/>
  <c r="J580" i="1" s="1"/>
  <c r="I580" i="1" a="1"/>
  <c r="I580" i="1" s="1"/>
  <c r="H580" i="1" a="1"/>
  <c r="H580" i="1" s="1"/>
  <c r="F580" i="1" a="1"/>
  <c r="F580" i="1" s="1"/>
  <c r="AA579" i="1"/>
  <c r="O579" i="1"/>
  <c r="K579" i="1" a="1"/>
  <c r="K579" i="1" s="1"/>
  <c r="J579" i="1" a="1"/>
  <c r="J579" i="1" s="1"/>
  <c r="I579" i="1" a="1"/>
  <c r="I579" i="1" s="1"/>
  <c r="H579" i="1" a="1"/>
  <c r="H579" i="1" s="1"/>
  <c r="F579" i="1" a="1"/>
  <c r="F579" i="1" s="1"/>
  <c r="AA578" i="1"/>
  <c r="X578" i="1"/>
  <c r="O578" i="1"/>
  <c r="K578" i="1" a="1"/>
  <c r="K578" i="1" s="1"/>
  <c r="J578" i="1"/>
  <c r="J578" i="1" a="1"/>
  <c r="I578" i="1" a="1"/>
  <c r="I578" i="1" s="1"/>
  <c r="H578" i="1"/>
  <c r="H578" i="1" a="1"/>
  <c r="F578" i="1" a="1"/>
  <c r="F578" i="1" s="1"/>
  <c r="AE577" i="1"/>
  <c r="AA577" i="1"/>
  <c r="AB577" i="1" s="1"/>
  <c r="X577" i="1"/>
  <c r="O577" i="1"/>
  <c r="K577" i="1" a="1"/>
  <c r="K577" i="1" s="1"/>
  <c r="J577" i="1" a="1"/>
  <c r="J577" i="1" s="1"/>
  <c r="I577" i="1" a="1"/>
  <c r="I577" i="1" s="1"/>
  <c r="H577" i="1" a="1"/>
  <c r="H577" i="1" s="1"/>
  <c r="F577" i="1" a="1"/>
  <c r="F577" i="1" s="1"/>
  <c r="AA576" i="1"/>
  <c r="X576" i="1"/>
  <c r="O576" i="1"/>
  <c r="K576" i="1" a="1"/>
  <c r="K576" i="1" s="1"/>
  <c r="J576" i="1" a="1"/>
  <c r="J576" i="1" s="1"/>
  <c r="I576" i="1" a="1"/>
  <c r="I576" i="1" s="1"/>
  <c r="H576" i="1" a="1"/>
  <c r="H576" i="1" s="1"/>
  <c r="F576" i="1" a="1"/>
  <c r="F576" i="1" s="1"/>
  <c r="AA575" i="1"/>
  <c r="X575" i="1"/>
  <c r="O575" i="1"/>
  <c r="K575" i="1" a="1"/>
  <c r="K575" i="1" s="1"/>
  <c r="J575" i="1" a="1"/>
  <c r="J575" i="1" s="1"/>
  <c r="I575" i="1" a="1"/>
  <c r="I575" i="1" s="1"/>
  <c r="H575" i="1" a="1"/>
  <c r="H575" i="1" s="1"/>
  <c r="F575" i="1" a="1"/>
  <c r="F575" i="1" s="1"/>
  <c r="AA574" i="1"/>
  <c r="AE574" i="1" s="1"/>
  <c r="X574" i="1"/>
  <c r="O574" i="1"/>
  <c r="K574" i="1" a="1"/>
  <c r="K574" i="1" s="1"/>
  <c r="J574" i="1" a="1"/>
  <c r="J574" i="1" s="1"/>
  <c r="I574" i="1" a="1"/>
  <c r="I574" i="1" s="1"/>
  <c r="H574" i="1" a="1"/>
  <c r="H574" i="1" s="1"/>
  <c r="F574" i="1" a="1"/>
  <c r="F574" i="1" s="1"/>
  <c r="AA573" i="1"/>
  <c r="AB573" i="1" s="1"/>
  <c r="X573" i="1"/>
  <c r="O573" i="1"/>
  <c r="K573" i="1" a="1"/>
  <c r="K573" i="1" s="1"/>
  <c r="J573" i="1" a="1"/>
  <c r="J573" i="1" s="1"/>
  <c r="I573" i="1" a="1"/>
  <c r="I573" i="1" s="1"/>
  <c r="H573" i="1" a="1"/>
  <c r="H573" i="1" s="1"/>
  <c r="F573" i="1" a="1"/>
  <c r="F573" i="1" s="1"/>
  <c r="AA572" i="1"/>
  <c r="X572" i="1"/>
  <c r="O572" i="1"/>
  <c r="K572" i="1" a="1"/>
  <c r="K572" i="1" s="1"/>
  <c r="J572" i="1" a="1"/>
  <c r="J572" i="1" s="1"/>
  <c r="I572" i="1" a="1"/>
  <c r="I572" i="1" s="1"/>
  <c r="H572" i="1" a="1"/>
  <c r="H572" i="1" s="1"/>
  <c r="F572" i="1" a="1"/>
  <c r="F572" i="1" s="1"/>
  <c r="AA571" i="1"/>
  <c r="AB571" i="1" s="1"/>
  <c r="X571" i="1"/>
  <c r="O571" i="1"/>
  <c r="K571" i="1" a="1"/>
  <c r="K571" i="1" s="1"/>
  <c r="J571" i="1" a="1"/>
  <c r="J571" i="1" s="1"/>
  <c r="I571" i="1" a="1"/>
  <c r="I571" i="1" s="1"/>
  <c r="H571" i="1" a="1"/>
  <c r="H571" i="1" s="1"/>
  <c r="F571" i="1" a="1"/>
  <c r="F571" i="1" s="1"/>
  <c r="AA570" i="1"/>
  <c r="AE570" i="1" s="1"/>
  <c r="X570" i="1"/>
  <c r="O570" i="1"/>
  <c r="K570" i="1" a="1"/>
  <c r="K570" i="1" s="1"/>
  <c r="J570" i="1" a="1"/>
  <c r="J570" i="1" s="1"/>
  <c r="I570" i="1"/>
  <c r="I570" i="1" a="1"/>
  <c r="H570" i="1" a="1"/>
  <c r="H570" i="1" s="1"/>
  <c r="F570" i="1" a="1"/>
  <c r="F570" i="1" s="1"/>
  <c r="AA569" i="1"/>
  <c r="AB569" i="1" s="1"/>
  <c r="X569" i="1"/>
  <c r="O569" i="1"/>
  <c r="K569" i="1" a="1"/>
  <c r="K569" i="1" s="1"/>
  <c r="J569" i="1" a="1"/>
  <c r="J569" i="1" s="1"/>
  <c r="I569" i="1" a="1"/>
  <c r="I569" i="1" s="1"/>
  <c r="H569" i="1" a="1"/>
  <c r="H569" i="1" s="1"/>
  <c r="F569" i="1" a="1"/>
  <c r="F569" i="1" s="1"/>
  <c r="AA568" i="1"/>
  <c r="AE568" i="1" s="1"/>
  <c r="X568" i="1"/>
  <c r="O568" i="1"/>
  <c r="K568" i="1" a="1"/>
  <c r="K568" i="1" s="1"/>
  <c r="J568" i="1" a="1"/>
  <c r="J568" i="1" s="1"/>
  <c r="I568" i="1" a="1"/>
  <c r="I568" i="1" s="1"/>
  <c r="H568" i="1" a="1"/>
  <c r="H568" i="1" s="1"/>
  <c r="F568" i="1" a="1"/>
  <c r="F568" i="1" s="1"/>
  <c r="AA567" i="1"/>
  <c r="AB567" i="1" s="1"/>
  <c r="X567" i="1"/>
  <c r="O567" i="1"/>
  <c r="K567" i="1" a="1"/>
  <c r="K567" i="1" s="1"/>
  <c r="J567" i="1" a="1"/>
  <c r="J567" i="1" s="1"/>
  <c r="I567" i="1" a="1"/>
  <c r="I567" i="1" s="1"/>
  <c r="H567" i="1" a="1"/>
  <c r="H567" i="1" s="1"/>
  <c r="F567" i="1" a="1"/>
  <c r="F567" i="1" s="1"/>
  <c r="AA566" i="1"/>
  <c r="X566" i="1"/>
  <c r="O566" i="1"/>
  <c r="K566" i="1" a="1"/>
  <c r="K566" i="1" s="1"/>
  <c r="J566" i="1" a="1"/>
  <c r="J566" i="1" s="1"/>
  <c r="I566" i="1" a="1"/>
  <c r="I566" i="1" s="1"/>
  <c r="H566" i="1"/>
  <c r="H566" i="1" a="1"/>
  <c r="F566" i="1" a="1"/>
  <c r="F566" i="1" s="1"/>
  <c r="AA565" i="1"/>
  <c r="X565" i="1"/>
  <c r="O565" i="1"/>
  <c r="K565" i="1" a="1"/>
  <c r="K565" i="1" s="1"/>
  <c r="J565" i="1" a="1"/>
  <c r="J565" i="1" s="1"/>
  <c r="I565" i="1" a="1"/>
  <c r="I565" i="1" s="1"/>
  <c r="H565" i="1" a="1"/>
  <c r="H565" i="1" s="1"/>
  <c r="F565" i="1" a="1"/>
  <c r="F565" i="1" s="1"/>
  <c r="AE564" i="1"/>
  <c r="AA564" i="1"/>
  <c r="AB564" i="1" s="1"/>
  <c r="X564" i="1"/>
  <c r="O564" i="1"/>
  <c r="K564" i="1" a="1"/>
  <c r="K564" i="1" s="1"/>
  <c r="J564" i="1" a="1"/>
  <c r="J564" i="1" s="1"/>
  <c r="I564" i="1" a="1"/>
  <c r="I564" i="1" s="1"/>
  <c r="H564" i="1"/>
  <c r="H564" i="1" a="1"/>
  <c r="F564" i="1" a="1"/>
  <c r="F564" i="1" s="1"/>
  <c r="AA563" i="1"/>
  <c r="X563" i="1"/>
  <c r="O563" i="1"/>
  <c r="K563" i="1" a="1"/>
  <c r="K563" i="1" s="1"/>
  <c r="J563" i="1" a="1"/>
  <c r="J563" i="1" s="1"/>
  <c r="I563" i="1" a="1"/>
  <c r="I563" i="1" s="1"/>
  <c r="H563" i="1" a="1"/>
  <c r="H563" i="1" s="1"/>
  <c r="F563" i="1" a="1"/>
  <c r="F563" i="1" s="1"/>
  <c r="AA562" i="1"/>
  <c r="AE562" i="1" s="1"/>
  <c r="X562" i="1"/>
  <c r="O562" i="1"/>
  <c r="K562" i="1" a="1"/>
  <c r="K562" i="1" s="1"/>
  <c r="J562" i="1"/>
  <c r="J562" i="1" a="1"/>
  <c r="I562" i="1" a="1"/>
  <c r="I562" i="1" s="1"/>
  <c r="H562" i="1" a="1"/>
  <c r="H562" i="1" s="1"/>
  <c r="F562" i="1" a="1"/>
  <c r="F562" i="1" s="1"/>
  <c r="AA561" i="1"/>
  <c r="AE561" i="1" s="1"/>
  <c r="X561" i="1"/>
  <c r="O561" i="1"/>
  <c r="K561" i="1" a="1"/>
  <c r="K561" i="1" s="1"/>
  <c r="J561" i="1" a="1"/>
  <c r="J561" i="1" s="1"/>
  <c r="I561" i="1" a="1"/>
  <c r="I561" i="1" s="1"/>
  <c r="H561" i="1" a="1"/>
  <c r="H561" i="1" s="1"/>
  <c r="F561" i="1" a="1"/>
  <c r="F561" i="1" s="1"/>
  <c r="AE560" i="1"/>
  <c r="AA560" i="1"/>
  <c r="AB560" i="1" s="1"/>
  <c r="X560" i="1"/>
  <c r="O560" i="1"/>
  <c r="K560" i="1" a="1"/>
  <c r="K560" i="1" s="1"/>
  <c r="J560" i="1" a="1"/>
  <c r="J560" i="1" s="1"/>
  <c r="I560" i="1"/>
  <c r="I560" i="1" a="1"/>
  <c r="H560" i="1" a="1"/>
  <c r="H560" i="1" s="1"/>
  <c r="F560" i="1" a="1"/>
  <c r="F560" i="1" s="1"/>
  <c r="AA559" i="1"/>
  <c r="AE559" i="1" s="1"/>
  <c r="X559" i="1"/>
  <c r="O559" i="1"/>
  <c r="K559" i="1" a="1"/>
  <c r="K559" i="1" s="1"/>
  <c r="J559" i="1"/>
  <c r="J559" i="1" a="1"/>
  <c r="I559" i="1" a="1"/>
  <c r="I559" i="1" s="1"/>
  <c r="H559" i="1" a="1"/>
  <c r="H559" i="1" s="1"/>
  <c r="F559" i="1" a="1"/>
  <c r="F559" i="1" s="1"/>
  <c r="AA558" i="1"/>
  <c r="AE558" i="1" s="1"/>
  <c r="X558" i="1"/>
  <c r="O558" i="1"/>
  <c r="K558" i="1" a="1"/>
  <c r="K558" i="1" s="1"/>
  <c r="J558" i="1" a="1"/>
  <c r="J558" i="1" s="1"/>
  <c r="I558" i="1" a="1"/>
  <c r="I558" i="1" s="1"/>
  <c r="H558" i="1" a="1"/>
  <c r="H558" i="1" s="1"/>
  <c r="F558" i="1" a="1"/>
  <c r="F558" i="1" s="1"/>
  <c r="AA557" i="1"/>
  <c r="AB557" i="1" s="1"/>
  <c r="X557" i="1"/>
  <c r="O557" i="1"/>
  <c r="K557" i="1" a="1"/>
  <c r="K557" i="1" s="1"/>
  <c r="J557" i="1" a="1"/>
  <c r="J557" i="1" s="1"/>
  <c r="I557" i="1"/>
  <c r="I557" i="1" a="1"/>
  <c r="H557" i="1" a="1"/>
  <c r="H557" i="1" s="1"/>
  <c r="F557" i="1" a="1"/>
  <c r="F557" i="1" s="1"/>
  <c r="AA556" i="1"/>
  <c r="X556" i="1"/>
  <c r="O556" i="1"/>
  <c r="K556" i="1" a="1"/>
  <c r="K556" i="1" s="1"/>
  <c r="J556" i="1" a="1"/>
  <c r="J556" i="1" s="1"/>
  <c r="I556" i="1" a="1"/>
  <c r="I556" i="1" s="1"/>
  <c r="H556" i="1" a="1"/>
  <c r="H556" i="1" s="1"/>
  <c r="F556" i="1"/>
  <c r="F556" i="1" a="1"/>
  <c r="AA555" i="1"/>
  <c r="AE555" i="1" s="1"/>
  <c r="X555" i="1"/>
  <c r="O555" i="1"/>
  <c r="K555" i="1" a="1"/>
  <c r="K555" i="1" s="1"/>
  <c r="J555" i="1" a="1"/>
  <c r="J555" i="1" s="1"/>
  <c r="I555" i="1" a="1"/>
  <c r="I555" i="1" s="1"/>
  <c r="H555" i="1" a="1"/>
  <c r="H555" i="1" s="1"/>
  <c r="F555" i="1" a="1"/>
  <c r="F555" i="1" s="1"/>
  <c r="AA554" i="1"/>
  <c r="AE554" i="1" s="1"/>
  <c r="X554" i="1"/>
  <c r="O554" i="1"/>
  <c r="K554" i="1" a="1"/>
  <c r="K554" i="1" s="1"/>
  <c r="J554" i="1" a="1"/>
  <c r="J554" i="1" s="1"/>
  <c r="I554" i="1" a="1"/>
  <c r="I554" i="1" s="1"/>
  <c r="H554" i="1" a="1"/>
  <c r="H554" i="1" s="1"/>
  <c r="F554" i="1" a="1"/>
  <c r="F554" i="1" s="1"/>
  <c r="AB553" i="1"/>
  <c r="AA553" i="1"/>
  <c r="AE553" i="1" s="1"/>
  <c r="X553" i="1"/>
  <c r="O553" i="1"/>
  <c r="K553" i="1"/>
  <c r="K553" i="1" a="1"/>
  <c r="J553" i="1" a="1"/>
  <c r="J553" i="1" s="1"/>
  <c r="I553" i="1" a="1"/>
  <c r="I553" i="1" s="1"/>
  <c r="H553" i="1" a="1"/>
  <c r="H553" i="1" s="1"/>
  <c r="F553" i="1" a="1"/>
  <c r="F553" i="1" s="1"/>
  <c r="AA552" i="1"/>
  <c r="X552" i="1"/>
  <c r="O552" i="1"/>
  <c r="K552" i="1" a="1"/>
  <c r="K552" i="1" s="1"/>
  <c r="J552" i="1" a="1"/>
  <c r="J552" i="1" s="1"/>
  <c r="I552" i="1" a="1"/>
  <c r="I552" i="1" s="1"/>
  <c r="H552" i="1" a="1"/>
  <c r="H552" i="1" s="1"/>
  <c r="F552" i="1" a="1"/>
  <c r="F552" i="1" s="1"/>
  <c r="AA551" i="1"/>
  <c r="AE551" i="1" s="1"/>
  <c r="X551" i="1"/>
  <c r="O551" i="1"/>
  <c r="J551" i="1" a="1"/>
  <c r="J551" i="1" s="1"/>
  <c r="I551" i="1" a="1"/>
  <c r="I551" i="1" s="1"/>
  <c r="H551" i="1" a="1"/>
  <c r="H551" i="1" s="1"/>
  <c r="F551" i="1" a="1"/>
  <c r="F551" i="1" s="1"/>
  <c r="AA550" i="1"/>
  <c r="AE550" i="1" s="1"/>
  <c r="X550" i="1"/>
  <c r="O550" i="1"/>
  <c r="K550" i="1" a="1"/>
  <c r="K550" i="1" s="1"/>
  <c r="I550" i="1" a="1"/>
  <c r="I550" i="1" s="1"/>
  <c r="H550" i="1" a="1"/>
  <c r="H550" i="1" s="1"/>
  <c r="F550" i="1" a="1"/>
  <c r="F550" i="1" s="1"/>
  <c r="AA549" i="1"/>
  <c r="X549" i="1"/>
  <c r="O549" i="1"/>
  <c r="K549" i="1" a="1"/>
  <c r="K549" i="1" s="1"/>
  <c r="I549" i="1" a="1"/>
  <c r="I549" i="1" s="1"/>
  <c r="H549" i="1" a="1"/>
  <c r="H549" i="1" s="1"/>
  <c r="F549" i="1"/>
  <c r="F549" i="1" a="1"/>
  <c r="AA548" i="1"/>
  <c r="X548" i="1"/>
  <c r="O548" i="1"/>
  <c r="K548" i="1" a="1"/>
  <c r="K548" i="1" s="1"/>
  <c r="I548" i="1" a="1"/>
  <c r="I548" i="1" s="1"/>
  <c r="H548" i="1" a="1"/>
  <c r="H548" i="1" s="1"/>
  <c r="F548" i="1" a="1"/>
  <c r="F548" i="1" s="1"/>
  <c r="AA547" i="1"/>
  <c r="AE547" i="1" s="1"/>
  <c r="X547" i="1"/>
  <c r="O547" i="1"/>
  <c r="K547" i="1" a="1"/>
  <c r="K547" i="1" s="1"/>
  <c r="J547" i="1" a="1"/>
  <c r="J547" i="1" s="1"/>
  <c r="I547" i="1" a="1"/>
  <c r="I547" i="1" s="1"/>
  <c r="H547" i="1" a="1"/>
  <c r="H547" i="1" s="1"/>
  <c r="F547" i="1" a="1"/>
  <c r="F547" i="1" s="1"/>
  <c r="AA546" i="1"/>
  <c r="AE546" i="1" s="1"/>
  <c r="X546" i="1"/>
  <c r="O546" i="1"/>
  <c r="K546" i="1" a="1"/>
  <c r="K546" i="1" s="1"/>
  <c r="J546" i="1"/>
  <c r="J546" i="1" a="1"/>
  <c r="I546" i="1" a="1"/>
  <c r="I546" i="1" s="1"/>
  <c r="H546" i="1" a="1"/>
  <c r="H546" i="1" s="1"/>
  <c r="F546" i="1" a="1"/>
  <c r="F546" i="1" s="1"/>
  <c r="AA545" i="1"/>
  <c r="X545" i="1"/>
  <c r="O545" i="1"/>
  <c r="K545" i="1" a="1"/>
  <c r="K545" i="1" s="1"/>
  <c r="J545" i="1" a="1"/>
  <c r="J545" i="1" s="1"/>
  <c r="I545" i="1" a="1"/>
  <c r="I545" i="1" s="1"/>
  <c r="H545" i="1" a="1"/>
  <c r="H545" i="1" s="1"/>
  <c r="F545" i="1"/>
  <c r="F545" i="1" a="1"/>
  <c r="AA544" i="1"/>
  <c r="AE544" i="1" s="1"/>
  <c r="X544" i="1"/>
  <c r="O544" i="1"/>
  <c r="K544" i="1" a="1"/>
  <c r="K544" i="1" s="1"/>
  <c r="J544" i="1" a="1"/>
  <c r="J544" i="1" s="1"/>
  <c r="I544" i="1" a="1"/>
  <c r="I544" i="1" s="1"/>
  <c r="H544" i="1" a="1"/>
  <c r="H544" i="1" s="1"/>
  <c r="F544" i="1" a="1"/>
  <c r="F544" i="1" s="1"/>
  <c r="AA543" i="1"/>
  <c r="AE543" i="1" s="1"/>
  <c r="X543" i="1"/>
  <c r="O543" i="1"/>
  <c r="K543" i="1" a="1"/>
  <c r="K543" i="1" s="1"/>
  <c r="J543" i="1"/>
  <c r="J543" i="1" a="1"/>
  <c r="I543" i="1" a="1"/>
  <c r="I543" i="1" s="1"/>
  <c r="H543" i="1" a="1"/>
  <c r="H543" i="1" s="1"/>
  <c r="F543" i="1" a="1"/>
  <c r="F543" i="1" s="1"/>
  <c r="AA542" i="1"/>
  <c r="AE542" i="1" s="1"/>
  <c r="X542" i="1"/>
  <c r="O542" i="1"/>
  <c r="K542" i="1" a="1"/>
  <c r="K542" i="1" s="1"/>
  <c r="J542" i="1" a="1"/>
  <c r="J542" i="1" s="1"/>
  <c r="I542" i="1" a="1"/>
  <c r="I542" i="1" s="1"/>
  <c r="H542" i="1" a="1"/>
  <c r="H542" i="1" s="1"/>
  <c r="F542" i="1" a="1"/>
  <c r="F542" i="1" s="1"/>
  <c r="AA541" i="1"/>
  <c r="X541" i="1"/>
  <c r="O541" i="1"/>
  <c r="K541" i="1" a="1"/>
  <c r="K541" i="1" s="1"/>
  <c r="J541" i="1" a="1"/>
  <c r="J541" i="1" s="1"/>
  <c r="I541" i="1" a="1"/>
  <c r="I541" i="1" s="1"/>
  <c r="H541" i="1" a="1"/>
  <c r="H541" i="1" s="1"/>
  <c r="F541" i="1" a="1"/>
  <c r="F541" i="1" s="1"/>
  <c r="AA540" i="1"/>
  <c r="AB540" i="1" s="1"/>
  <c r="X540" i="1"/>
  <c r="O540" i="1"/>
  <c r="K540" i="1" a="1"/>
  <c r="K540" i="1" s="1"/>
  <c r="J540" i="1" a="1"/>
  <c r="J540" i="1" s="1"/>
  <c r="I540" i="1"/>
  <c r="I540" i="1" a="1"/>
  <c r="H540" i="1" a="1"/>
  <c r="H540" i="1" s="1"/>
  <c r="F540" i="1" a="1"/>
  <c r="F540" i="1" s="1"/>
  <c r="AA539" i="1"/>
  <c r="AE539" i="1" s="1"/>
  <c r="X539" i="1"/>
  <c r="O539" i="1"/>
  <c r="K539" i="1" a="1"/>
  <c r="K539" i="1" s="1"/>
  <c r="J539" i="1" a="1"/>
  <c r="J539" i="1" s="1"/>
  <c r="I539" i="1" a="1"/>
  <c r="I539" i="1" s="1"/>
  <c r="H539" i="1" a="1"/>
  <c r="H539" i="1" s="1"/>
  <c r="F539" i="1" a="1"/>
  <c r="F539" i="1" s="1"/>
  <c r="AA538" i="1"/>
  <c r="AE538" i="1" s="1"/>
  <c r="X538" i="1"/>
  <c r="O538" i="1"/>
  <c r="K538" i="1" a="1"/>
  <c r="K538" i="1" s="1"/>
  <c r="J538" i="1" a="1"/>
  <c r="J538" i="1" s="1"/>
  <c r="I538" i="1" a="1"/>
  <c r="I538" i="1" s="1"/>
  <c r="H538" i="1" a="1"/>
  <c r="H538" i="1" s="1"/>
  <c r="F538" i="1" a="1"/>
  <c r="F538" i="1" s="1"/>
  <c r="AA537" i="1"/>
  <c r="X537" i="1"/>
  <c r="O537" i="1"/>
  <c r="L537" i="1" a="1"/>
  <c r="L537" i="1" s="1"/>
  <c r="K537" i="1" a="1"/>
  <c r="K537" i="1" s="1"/>
  <c r="J537" i="1" a="1"/>
  <c r="J537" i="1" s="1"/>
  <c r="I537" i="1" a="1"/>
  <c r="I537" i="1" s="1"/>
  <c r="H537" i="1" a="1"/>
  <c r="H537" i="1" s="1"/>
  <c r="F537" i="1" a="1"/>
  <c r="F537" i="1" s="1"/>
  <c r="AA536" i="1"/>
  <c r="AE536" i="1" s="1"/>
  <c r="X536" i="1"/>
  <c r="O536" i="1"/>
  <c r="L536" i="1" a="1"/>
  <c r="L536" i="1" s="1"/>
  <c r="K536" i="1"/>
  <c r="K536" i="1" a="1"/>
  <c r="J536" i="1" a="1"/>
  <c r="J536" i="1" s="1"/>
  <c r="I536" i="1" a="1"/>
  <c r="I536" i="1" s="1"/>
  <c r="H536" i="1" a="1"/>
  <c r="H536" i="1" s="1"/>
  <c r="F536" i="1" a="1"/>
  <c r="F536" i="1" s="1"/>
  <c r="AA535" i="1"/>
  <c r="AE535" i="1" s="1"/>
  <c r="X535" i="1"/>
  <c r="O535" i="1"/>
  <c r="K535" i="1" a="1"/>
  <c r="K535" i="1" s="1"/>
  <c r="J535" i="1"/>
  <c r="J535" i="1" a="1"/>
  <c r="I535" i="1" a="1"/>
  <c r="I535" i="1" s="1"/>
  <c r="H535" i="1" a="1"/>
  <c r="H535" i="1" s="1"/>
  <c r="F535" i="1" a="1"/>
  <c r="F535" i="1" s="1"/>
  <c r="AA534" i="1"/>
  <c r="AE534" i="1" s="1"/>
  <c r="X534" i="1"/>
  <c r="O534" i="1"/>
  <c r="K534" i="1" a="1"/>
  <c r="K534" i="1" s="1"/>
  <c r="J534" i="1"/>
  <c r="J534" i="1" a="1"/>
  <c r="I534" i="1" a="1"/>
  <c r="I534" i="1" s="1"/>
  <c r="H534" i="1"/>
  <c r="H534" i="1" a="1"/>
  <c r="F534" i="1" a="1"/>
  <c r="F534" i="1" s="1"/>
  <c r="AE533" i="1"/>
  <c r="AB533" i="1"/>
  <c r="AA533" i="1"/>
  <c r="X533" i="1"/>
  <c r="O533" i="1"/>
  <c r="K533" i="1"/>
  <c r="K533" i="1" a="1"/>
  <c r="J533" i="1" a="1"/>
  <c r="J533" i="1" s="1"/>
  <c r="I533" i="1" a="1"/>
  <c r="I533" i="1" s="1"/>
  <c r="H533" i="1" a="1"/>
  <c r="H533" i="1" s="1"/>
  <c r="F533" i="1" a="1"/>
  <c r="F533" i="1" s="1"/>
  <c r="AE532" i="1"/>
  <c r="AB532" i="1"/>
  <c r="AA532" i="1"/>
  <c r="X532" i="1"/>
  <c r="O532" i="1"/>
  <c r="K532" i="1"/>
  <c r="K532" i="1" a="1"/>
  <c r="J532" i="1" a="1"/>
  <c r="J532" i="1" s="1"/>
  <c r="I532" i="1" a="1"/>
  <c r="I532" i="1" s="1"/>
  <c r="H532" i="1" a="1"/>
  <c r="H532" i="1" s="1"/>
  <c r="F532" i="1" a="1"/>
  <c r="F532" i="1" s="1"/>
  <c r="AA531" i="1"/>
  <c r="AE531" i="1" s="1"/>
  <c r="X531" i="1"/>
  <c r="O531" i="1"/>
  <c r="K531" i="1" a="1"/>
  <c r="K531" i="1" s="1"/>
  <c r="J531" i="1"/>
  <c r="J531" i="1" a="1"/>
  <c r="I531" i="1" a="1"/>
  <c r="I531" i="1" s="1"/>
  <c r="H531" i="1" a="1"/>
  <c r="H531" i="1" s="1"/>
  <c r="F531" i="1" a="1"/>
  <c r="F531" i="1" s="1"/>
  <c r="AA530" i="1"/>
  <c r="AE530" i="1" s="1"/>
  <c r="X530" i="1"/>
  <c r="O530" i="1"/>
  <c r="K530" i="1" a="1"/>
  <c r="K530" i="1" s="1"/>
  <c r="J530" i="1" a="1"/>
  <c r="J530" i="1" s="1"/>
  <c r="I530" i="1" a="1"/>
  <c r="I530" i="1" s="1"/>
  <c r="H530" i="1" a="1"/>
  <c r="H530" i="1" s="1"/>
  <c r="F530" i="1" a="1"/>
  <c r="F530" i="1" s="1"/>
  <c r="AA529" i="1"/>
  <c r="X529" i="1"/>
  <c r="O529" i="1"/>
  <c r="K529" i="1" a="1"/>
  <c r="K529" i="1" s="1"/>
  <c r="J529" i="1" a="1"/>
  <c r="J529" i="1" s="1"/>
  <c r="I529" i="1"/>
  <c r="I529" i="1" a="1"/>
  <c r="H529" i="1" a="1"/>
  <c r="H529" i="1" s="1"/>
  <c r="F529" i="1" a="1"/>
  <c r="F529" i="1" s="1"/>
  <c r="AB528" i="1"/>
  <c r="AA528" i="1"/>
  <c r="AE528" i="1" s="1"/>
  <c r="X528" i="1"/>
  <c r="O528" i="1"/>
  <c r="K528" i="1"/>
  <c r="K528" i="1" a="1"/>
  <c r="J528" i="1" a="1"/>
  <c r="J528" i="1" s="1"/>
  <c r="I528" i="1" a="1"/>
  <c r="I528" i="1" s="1"/>
  <c r="H528" i="1" a="1"/>
  <c r="H528" i="1" s="1"/>
  <c r="F528" i="1" a="1"/>
  <c r="F528" i="1" s="1"/>
  <c r="AA527" i="1"/>
  <c r="AE527" i="1" s="1"/>
  <c r="X527" i="1"/>
  <c r="O527" i="1"/>
  <c r="K527" i="1" a="1"/>
  <c r="K527" i="1" s="1"/>
  <c r="J527" i="1"/>
  <c r="J527" i="1" a="1"/>
  <c r="I527" i="1" a="1"/>
  <c r="I527" i="1" s="1"/>
  <c r="H527" i="1" a="1"/>
  <c r="H527" i="1" s="1"/>
  <c r="F527" i="1" a="1"/>
  <c r="F527" i="1" s="1"/>
  <c r="AA526" i="1"/>
  <c r="AE526" i="1" s="1"/>
  <c r="X526" i="1"/>
  <c r="O526" i="1"/>
  <c r="K526" i="1" a="1"/>
  <c r="K526" i="1" s="1"/>
  <c r="J526" i="1" a="1"/>
  <c r="J526" i="1" s="1"/>
  <c r="I526" i="1" a="1"/>
  <c r="I526" i="1" s="1"/>
  <c r="H526" i="1"/>
  <c r="H526" i="1" a="1"/>
  <c r="F526" i="1" a="1"/>
  <c r="F526" i="1" s="1"/>
  <c r="AE525" i="1"/>
  <c r="AB525" i="1"/>
  <c r="AA525" i="1"/>
  <c r="X525" i="1"/>
  <c r="O525" i="1"/>
  <c r="K525" i="1"/>
  <c r="K525" i="1" a="1"/>
  <c r="J525" i="1" a="1"/>
  <c r="J525" i="1" s="1"/>
  <c r="I525" i="1" a="1"/>
  <c r="I525" i="1" s="1"/>
  <c r="H525" i="1" a="1"/>
  <c r="H525" i="1" s="1"/>
  <c r="F525" i="1" a="1"/>
  <c r="F525" i="1" s="1"/>
  <c r="AE524" i="1"/>
  <c r="AB524" i="1"/>
  <c r="AA524" i="1"/>
  <c r="X524" i="1"/>
  <c r="O524" i="1"/>
  <c r="K524" i="1"/>
  <c r="K524" i="1" a="1"/>
  <c r="J524" i="1" a="1"/>
  <c r="J524" i="1" s="1"/>
  <c r="I524" i="1" a="1"/>
  <c r="I524" i="1" s="1"/>
  <c r="H524" i="1" a="1"/>
  <c r="H524" i="1" s="1"/>
  <c r="F524" i="1" a="1"/>
  <c r="F524" i="1" s="1"/>
  <c r="AA523" i="1"/>
  <c r="AE523" i="1" s="1"/>
  <c r="X523" i="1"/>
  <c r="O523" i="1"/>
  <c r="L523" i="1" a="1"/>
  <c r="L523" i="1" s="1"/>
  <c r="K523" i="1"/>
  <c r="K523" i="1" a="1"/>
  <c r="J523" i="1" a="1"/>
  <c r="J523" i="1" s="1"/>
  <c r="I523" i="1" a="1"/>
  <c r="I523" i="1" s="1"/>
  <c r="H523" i="1" a="1"/>
  <c r="H523" i="1" s="1"/>
  <c r="F523" i="1" a="1"/>
  <c r="F523" i="1" s="1"/>
  <c r="AA522" i="1"/>
  <c r="X522" i="1"/>
  <c r="O522" i="1"/>
  <c r="K522" i="1" a="1"/>
  <c r="K522" i="1" s="1"/>
  <c r="J522" i="1" a="1"/>
  <c r="J522" i="1" s="1"/>
  <c r="I522" i="1" a="1"/>
  <c r="I522" i="1" s="1"/>
  <c r="H522" i="1" a="1"/>
  <c r="H522" i="1" s="1"/>
  <c r="F522" i="1"/>
  <c r="F522" i="1" a="1"/>
  <c r="AA521" i="1"/>
  <c r="AE521" i="1" s="1"/>
  <c r="X521" i="1"/>
  <c r="O521" i="1"/>
  <c r="K521" i="1" a="1"/>
  <c r="K521" i="1" s="1"/>
  <c r="J521" i="1" a="1"/>
  <c r="J521" i="1" s="1"/>
  <c r="I521" i="1" a="1"/>
  <c r="I521" i="1" s="1"/>
  <c r="H521" i="1"/>
  <c r="H521" i="1" a="1"/>
  <c r="F521" i="1" a="1"/>
  <c r="F521" i="1" s="1"/>
  <c r="AA520" i="1"/>
  <c r="AE520" i="1" s="1"/>
  <c r="X520" i="1"/>
  <c r="O520" i="1"/>
  <c r="K520" i="1" a="1"/>
  <c r="K520" i="1" s="1"/>
  <c r="J520" i="1" a="1"/>
  <c r="J520" i="1" s="1"/>
  <c r="I520" i="1" a="1"/>
  <c r="I520" i="1" s="1"/>
  <c r="H520" i="1" a="1"/>
  <c r="H520" i="1" s="1"/>
  <c r="F520" i="1" a="1"/>
  <c r="F520" i="1" s="1"/>
  <c r="AA519" i="1"/>
  <c r="AE519" i="1" s="1"/>
  <c r="X519" i="1"/>
  <c r="O519" i="1"/>
  <c r="K519" i="1" a="1"/>
  <c r="K519" i="1" s="1"/>
  <c r="J519" i="1" a="1"/>
  <c r="J519" i="1" s="1"/>
  <c r="I519" i="1" a="1"/>
  <c r="I519" i="1" s="1"/>
  <c r="H519" i="1" a="1"/>
  <c r="H519" i="1" s="1"/>
  <c r="F519" i="1" a="1"/>
  <c r="F519" i="1" s="1"/>
  <c r="AE518" i="1"/>
  <c r="AA518" i="1"/>
  <c r="AB518" i="1" s="1"/>
  <c r="X518" i="1"/>
  <c r="O518" i="1"/>
  <c r="K518" i="1" a="1"/>
  <c r="K518" i="1" s="1"/>
  <c r="J518" i="1" a="1"/>
  <c r="J518" i="1" s="1"/>
  <c r="I518" i="1"/>
  <c r="I518" i="1" a="1"/>
  <c r="H518" i="1" a="1"/>
  <c r="H518" i="1" s="1"/>
  <c r="F518" i="1" a="1"/>
  <c r="F518" i="1" s="1"/>
  <c r="AA517" i="1"/>
  <c r="AE517" i="1" s="1"/>
  <c r="X517" i="1"/>
  <c r="O517" i="1"/>
  <c r="K517" i="1" a="1"/>
  <c r="K517" i="1" s="1"/>
  <c r="J517" i="1"/>
  <c r="J517" i="1" a="1"/>
  <c r="I517" i="1" a="1"/>
  <c r="I517" i="1" s="1"/>
  <c r="H517" i="1" a="1"/>
  <c r="H517" i="1" s="1"/>
  <c r="F517" i="1" a="1"/>
  <c r="F517" i="1" s="1"/>
  <c r="AA516" i="1"/>
  <c r="AE516" i="1" s="1"/>
  <c r="X516" i="1"/>
  <c r="O516" i="1"/>
  <c r="J516" i="1" a="1"/>
  <c r="J516" i="1" s="1"/>
  <c r="I516" i="1" a="1"/>
  <c r="I516" i="1" s="1"/>
  <c r="H516" i="1" a="1"/>
  <c r="H516" i="1" s="1"/>
  <c r="F516" i="1" a="1"/>
  <c r="F516" i="1" s="1"/>
  <c r="AA515" i="1"/>
  <c r="X515" i="1"/>
  <c r="O515" i="1"/>
  <c r="K515" i="1" a="1"/>
  <c r="K515" i="1" s="1"/>
  <c r="I515" i="1" a="1"/>
  <c r="I515" i="1" s="1"/>
  <c r="H515" i="1" a="1"/>
  <c r="H515" i="1" s="1"/>
  <c r="F515" i="1" a="1"/>
  <c r="F515" i="1" s="1"/>
  <c r="AA514" i="1"/>
  <c r="AE514" i="1" s="1"/>
  <c r="X514" i="1"/>
  <c r="O514" i="1"/>
  <c r="K514" i="1" a="1"/>
  <c r="K514" i="1" s="1"/>
  <c r="I514" i="1" a="1"/>
  <c r="I514" i="1" s="1"/>
  <c r="H514" i="1" a="1"/>
  <c r="H514" i="1" s="1"/>
  <c r="F514" i="1" a="1"/>
  <c r="F514" i="1" s="1"/>
  <c r="AA513" i="1"/>
  <c r="AE513" i="1" s="1"/>
  <c r="X513" i="1"/>
  <c r="O513" i="1"/>
  <c r="K513" i="1" a="1"/>
  <c r="K513" i="1" s="1"/>
  <c r="I513" i="1" a="1"/>
  <c r="I513" i="1" s="1"/>
  <c r="H513" i="1" a="1"/>
  <c r="H513" i="1" s="1"/>
  <c r="F513" i="1" a="1"/>
  <c r="F513" i="1" s="1"/>
  <c r="AA512" i="1"/>
  <c r="AE512" i="1" s="1"/>
  <c r="X512" i="1"/>
  <c r="O512" i="1"/>
  <c r="K512" i="1" a="1"/>
  <c r="K512" i="1" s="1"/>
  <c r="J512" i="1"/>
  <c r="J512" i="1" a="1"/>
  <c r="I512" i="1" a="1"/>
  <c r="I512" i="1" s="1"/>
  <c r="H512" i="1" a="1"/>
  <c r="H512" i="1" s="1"/>
  <c r="F512" i="1" a="1"/>
  <c r="F512" i="1" s="1"/>
  <c r="AA511" i="1"/>
  <c r="X511" i="1"/>
  <c r="O511" i="1"/>
  <c r="K511" i="1" a="1"/>
  <c r="K511" i="1" s="1"/>
  <c r="J511" i="1" a="1"/>
  <c r="J511" i="1" s="1"/>
  <c r="I511" i="1" a="1"/>
  <c r="I511" i="1" s="1"/>
  <c r="H511" i="1" a="1"/>
  <c r="H511" i="1" s="1"/>
  <c r="F511" i="1" a="1"/>
  <c r="F511" i="1" s="1"/>
  <c r="AA510" i="1"/>
  <c r="X510" i="1"/>
  <c r="O510" i="1"/>
  <c r="K510" i="1" a="1"/>
  <c r="K510" i="1" s="1"/>
  <c r="I510" i="1" a="1"/>
  <c r="I510" i="1" s="1"/>
  <c r="H510" i="1" a="1"/>
  <c r="H510" i="1" s="1"/>
  <c r="F510" i="1"/>
  <c r="F510" i="1" a="1"/>
  <c r="AA509" i="1"/>
  <c r="AE509" i="1" s="1"/>
  <c r="X509" i="1"/>
  <c r="O509" i="1"/>
  <c r="K509" i="1" a="1"/>
  <c r="K509" i="1" s="1"/>
  <c r="I509" i="1" a="1"/>
  <c r="I509" i="1" s="1"/>
  <c r="H509" i="1" a="1"/>
  <c r="H509" i="1" s="1"/>
  <c r="F509" i="1" a="1"/>
  <c r="F509" i="1" s="1"/>
  <c r="AA508" i="1"/>
  <c r="AE508" i="1" s="1"/>
  <c r="X508" i="1"/>
  <c r="O508" i="1"/>
  <c r="K508" i="1" a="1"/>
  <c r="K508" i="1" s="1"/>
  <c r="I508" i="1" a="1"/>
  <c r="I508" i="1" s="1"/>
  <c r="H508" i="1" a="1"/>
  <c r="H508" i="1" s="1"/>
  <c r="F508" i="1" a="1"/>
  <c r="F508" i="1" s="1"/>
  <c r="AA507" i="1"/>
  <c r="AE507" i="1" s="1"/>
  <c r="X507" i="1"/>
  <c r="O507" i="1"/>
  <c r="K507" i="1" a="1"/>
  <c r="K507" i="1" s="1"/>
  <c r="J507" i="1" a="1"/>
  <c r="J507" i="1" s="1"/>
  <c r="I507" i="1" a="1"/>
  <c r="I507" i="1" s="1"/>
  <c r="H507" i="1" a="1"/>
  <c r="H507" i="1" s="1"/>
  <c r="F507" i="1" a="1"/>
  <c r="F507" i="1" s="1"/>
  <c r="AA506" i="1"/>
  <c r="AE506" i="1" s="1"/>
  <c r="X506" i="1"/>
  <c r="O506" i="1"/>
  <c r="K506" i="1" a="1"/>
  <c r="K506" i="1" s="1"/>
  <c r="J506" i="1" a="1"/>
  <c r="J506" i="1" s="1"/>
  <c r="I506" i="1" a="1"/>
  <c r="I506" i="1" s="1"/>
  <c r="H506" i="1" a="1"/>
  <c r="H506" i="1" s="1"/>
  <c r="F506" i="1" a="1"/>
  <c r="F506" i="1" s="1"/>
  <c r="AA505" i="1"/>
  <c r="AE505" i="1" s="1"/>
  <c r="X505" i="1"/>
  <c r="O505" i="1"/>
  <c r="K505" i="1" a="1"/>
  <c r="K505" i="1" s="1"/>
  <c r="J505" i="1" a="1"/>
  <c r="J505" i="1" s="1"/>
  <c r="I505" i="1" a="1"/>
  <c r="I505" i="1" s="1"/>
  <c r="H505" i="1" a="1"/>
  <c r="H505" i="1" s="1"/>
  <c r="F505" i="1" a="1"/>
  <c r="F505" i="1" s="1"/>
  <c r="AA504" i="1"/>
  <c r="AE504" i="1" s="1"/>
  <c r="X504" i="1"/>
  <c r="O504" i="1"/>
  <c r="K504" i="1" a="1"/>
  <c r="K504" i="1" s="1"/>
  <c r="J504" i="1" a="1"/>
  <c r="J504" i="1" s="1"/>
  <c r="I504" i="1" a="1"/>
  <c r="I504" i="1" s="1"/>
  <c r="H504" i="1"/>
  <c r="H504" i="1" a="1"/>
  <c r="F504" i="1" a="1"/>
  <c r="F504" i="1" s="1"/>
  <c r="AE503" i="1"/>
  <c r="AB503" i="1"/>
  <c r="AA503" i="1"/>
  <c r="X503" i="1"/>
  <c r="O503" i="1"/>
  <c r="K503" i="1"/>
  <c r="K503" i="1" a="1"/>
  <c r="J503" i="1" a="1"/>
  <c r="J503" i="1" s="1"/>
  <c r="I503" i="1" a="1"/>
  <c r="I503" i="1" s="1"/>
  <c r="H503" i="1" a="1"/>
  <c r="H503" i="1" s="1"/>
  <c r="F503" i="1" a="1"/>
  <c r="F503" i="1" s="1"/>
  <c r="AA502" i="1"/>
  <c r="X502" i="1"/>
  <c r="O502" i="1"/>
  <c r="K502" i="1" a="1"/>
  <c r="K502" i="1" s="1"/>
  <c r="J502" i="1" a="1"/>
  <c r="J502" i="1" s="1"/>
  <c r="I502" i="1" a="1"/>
  <c r="I502" i="1" s="1"/>
  <c r="H502" i="1" a="1"/>
  <c r="H502" i="1" s="1"/>
  <c r="F502" i="1"/>
  <c r="F502" i="1" a="1"/>
  <c r="AA501" i="1"/>
  <c r="AE501" i="1" s="1"/>
  <c r="X501" i="1"/>
  <c r="O501" i="1"/>
  <c r="K501" i="1" a="1"/>
  <c r="K501" i="1" s="1"/>
  <c r="J501" i="1" a="1"/>
  <c r="J501" i="1" s="1"/>
  <c r="I501" i="1" a="1"/>
  <c r="I501" i="1" s="1"/>
  <c r="H501" i="1"/>
  <c r="H501" i="1" a="1"/>
  <c r="F501" i="1" a="1"/>
  <c r="F501" i="1" s="1"/>
  <c r="AA500" i="1"/>
  <c r="AE500" i="1" s="1"/>
  <c r="X500" i="1"/>
  <c r="O500" i="1"/>
  <c r="K500" i="1" a="1"/>
  <c r="K500" i="1" s="1"/>
  <c r="J500" i="1" a="1"/>
  <c r="J500" i="1" s="1"/>
  <c r="I500" i="1" a="1"/>
  <c r="I500" i="1" s="1"/>
  <c r="H500" i="1" a="1"/>
  <c r="H500" i="1" s="1"/>
  <c r="F500" i="1" a="1"/>
  <c r="F500" i="1" s="1"/>
  <c r="AA499" i="1"/>
  <c r="AE499" i="1" s="1"/>
  <c r="X499" i="1"/>
  <c r="O499" i="1"/>
  <c r="K499" i="1" a="1"/>
  <c r="K499" i="1" s="1"/>
  <c r="J499" i="1" a="1"/>
  <c r="J499" i="1" s="1"/>
  <c r="I499" i="1" a="1"/>
  <c r="I499" i="1" s="1"/>
  <c r="H499" i="1" a="1"/>
  <c r="H499" i="1" s="1"/>
  <c r="F499" i="1" a="1"/>
  <c r="F499" i="1" s="1"/>
  <c r="AA498" i="1"/>
  <c r="AE498" i="1" s="1"/>
  <c r="X498" i="1"/>
  <c r="O498" i="1"/>
  <c r="K498" i="1" a="1"/>
  <c r="K498" i="1" s="1"/>
  <c r="J498" i="1" a="1"/>
  <c r="J498" i="1" s="1"/>
  <c r="I498" i="1" a="1"/>
  <c r="I498" i="1" s="1"/>
  <c r="H498" i="1" a="1"/>
  <c r="H498" i="1" s="1"/>
  <c r="F498" i="1" a="1"/>
  <c r="F498" i="1" s="1"/>
  <c r="AA497" i="1"/>
  <c r="X497" i="1"/>
  <c r="O497" i="1"/>
  <c r="K497" i="1" a="1"/>
  <c r="K497" i="1" s="1"/>
  <c r="J497" i="1"/>
  <c r="J497" i="1" a="1"/>
  <c r="I497" i="1" a="1"/>
  <c r="I497" i="1" s="1"/>
  <c r="H497" i="1" a="1"/>
  <c r="H497" i="1" s="1"/>
  <c r="F497" i="1" a="1"/>
  <c r="F497" i="1" s="1"/>
  <c r="AA496" i="1"/>
  <c r="AE496" i="1" s="1"/>
  <c r="X496" i="1"/>
  <c r="O496" i="1"/>
  <c r="K496" i="1" a="1"/>
  <c r="K496" i="1" s="1"/>
  <c r="J496" i="1" a="1"/>
  <c r="J496" i="1" s="1"/>
  <c r="I496" i="1" a="1"/>
  <c r="I496" i="1" s="1"/>
  <c r="H496" i="1" a="1"/>
  <c r="H496" i="1" s="1"/>
  <c r="F496" i="1" a="1"/>
  <c r="F496" i="1" s="1"/>
  <c r="AA495" i="1"/>
  <c r="AB495" i="1" s="1"/>
  <c r="X495" i="1"/>
  <c r="O495" i="1"/>
  <c r="K495" i="1" a="1"/>
  <c r="K495" i="1" s="1"/>
  <c r="J495" i="1" a="1"/>
  <c r="J495" i="1" s="1"/>
  <c r="I495" i="1"/>
  <c r="I495" i="1" a="1"/>
  <c r="H495" i="1" a="1"/>
  <c r="H495" i="1" s="1"/>
  <c r="F495" i="1" a="1"/>
  <c r="F495" i="1" s="1"/>
  <c r="AA494" i="1"/>
  <c r="X494" i="1"/>
  <c r="O494" i="1"/>
  <c r="K494" i="1" a="1"/>
  <c r="K494" i="1" s="1"/>
  <c r="J494" i="1" a="1"/>
  <c r="J494" i="1" s="1"/>
  <c r="I494" i="1" a="1"/>
  <c r="I494" i="1" s="1"/>
  <c r="H494" i="1" a="1"/>
  <c r="H494" i="1" s="1"/>
  <c r="F494" i="1"/>
  <c r="F494" i="1" a="1"/>
  <c r="AA493" i="1"/>
  <c r="X493" i="1"/>
  <c r="O493" i="1"/>
  <c r="K493" i="1" a="1"/>
  <c r="K493" i="1" s="1"/>
  <c r="J493" i="1" a="1"/>
  <c r="J493" i="1" s="1"/>
  <c r="I493" i="1" a="1"/>
  <c r="I493" i="1" s="1"/>
  <c r="H493" i="1"/>
  <c r="H493" i="1" a="1"/>
  <c r="F493" i="1" a="1"/>
  <c r="F493" i="1" s="1"/>
  <c r="AA492" i="1"/>
  <c r="AE492" i="1" s="1"/>
  <c r="X492" i="1"/>
  <c r="O492" i="1"/>
  <c r="K492" i="1" a="1"/>
  <c r="K492" i="1" s="1"/>
  <c r="J492" i="1"/>
  <c r="J492" i="1" a="1"/>
  <c r="I492" i="1" a="1"/>
  <c r="I492" i="1" s="1"/>
  <c r="H492" i="1" a="1"/>
  <c r="H492" i="1" s="1"/>
  <c r="F492" i="1" a="1"/>
  <c r="F492" i="1" s="1"/>
  <c r="AA491" i="1"/>
  <c r="AE491" i="1" s="1"/>
  <c r="X491" i="1"/>
  <c r="O491" i="1"/>
  <c r="K491" i="1" a="1"/>
  <c r="K491" i="1" s="1"/>
  <c r="J491" i="1" a="1"/>
  <c r="J491" i="1" s="1"/>
  <c r="I491" i="1" a="1"/>
  <c r="I491" i="1" s="1"/>
  <c r="H491" i="1" a="1"/>
  <c r="H491" i="1" s="1"/>
  <c r="F491" i="1" a="1"/>
  <c r="F491" i="1" s="1"/>
  <c r="AA490" i="1"/>
  <c r="X490" i="1"/>
  <c r="O490" i="1"/>
  <c r="K490" i="1" a="1"/>
  <c r="K490" i="1" s="1"/>
  <c r="J490" i="1" a="1"/>
  <c r="J490" i="1" s="1"/>
  <c r="I490" i="1" a="1"/>
  <c r="I490" i="1" s="1"/>
  <c r="H490" i="1" a="1"/>
  <c r="H490" i="1" s="1"/>
  <c r="F490" i="1" a="1"/>
  <c r="F490" i="1" s="1"/>
  <c r="AA489" i="1"/>
  <c r="X489" i="1"/>
  <c r="O489" i="1"/>
  <c r="K489" i="1" a="1"/>
  <c r="K489" i="1" s="1"/>
  <c r="J489" i="1" a="1"/>
  <c r="J489" i="1" s="1"/>
  <c r="I489" i="1" a="1"/>
  <c r="I489" i="1" s="1"/>
  <c r="H489" i="1"/>
  <c r="H489" i="1" a="1"/>
  <c r="F489" i="1" a="1"/>
  <c r="F489" i="1" s="1"/>
  <c r="AA488" i="1"/>
  <c r="AE488" i="1" s="1"/>
  <c r="X488" i="1"/>
  <c r="O488" i="1"/>
  <c r="K488" i="1" a="1"/>
  <c r="K488" i="1" s="1"/>
  <c r="J488" i="1" a="1"/>
  <c r="J488" i="1" s="1"/>
  <c r="I488" i="1" a="1"/>
  <c r="I488" i="1" s="1"/>
  <c r="H488" i="1" a="1"/>
  <c r="H488" i="1" s="1"/>
  <c r="F488" i="1" a="1"/>
  <c r="F488" i="1" s="1"/>
  <c r="AA487" i="1"/>
  <c r="X487" i="1"/>
  <c r="O487" i="1"/>
  <c r="K487" i="1" a="1"/>
  <c r="K487" i="1" s="1"/>
  <c r="J487" i="1" a="1"/>
  <c r="J487" i="1" s="1"/>
  <c r="I487" i="1" a="1"/>
  <c r="I487" i="1" s="1"/>
  <c r="H487" i="1" a="1"/>
  <c r="H487" i="1" s="1"/>
  <c r="F487" i="1"/>
  <c r="F487" i="1" a="1"/>
  <c r="AA486" i="1"/>
  <c r="X486" i="1"/>
  <c r="O486" i="1"/>
  <c r="K486" i="1" a="1"/>
  <c r="K486" i="1" s="1"/>
  <c r="J486" i="1" a="1"/>
  <c r="J486" i="1" s="1"/>
  <c r="I486" i="1" a="1"/>
  <c r="I486" i="1" s="1"/>
  <c r="H486" i="1" a="1"/>
  <c r="H486" i="1" s="1"/>
  <c r="F486" i="1" a="1"/>
  <c r="F486" i="1" s="1"/>
  <c r="AA485" i="1"/>
  <c r="X485" i="1"/>
  <c r="O485" i="1"/>
  <c r="K485" i="1" a="1"/>
  <c r="K485" i="1" s="1"/>
  <c r="J485" i="1" a="1"/>
  <c r="J485" i="1" s="1"/>
  <c r="I485" i="1" a="1"/>
  <c r="I485" i="1" s="1"/>
  <c r="H485" i="1" a="1"/>
  <c r="H485" i="1" s="1"/>
  <c r="F485" i="1" a="1"/>
  <c r="F485" i="1" s="1"/>
  <c r="AA484" i="1"/>
  <c r="AE484" i="1" s="1"/>
  <c r="X484" i="1"/>
  <c r="O484" i="1"/>
  <c r="K484" i="1" a="1"/>
  <c r="K484" i="1" s="1"/>
  <c r="J484" i="1" a="1"/>
  <c r="J484" i="1" s="1"/>
  <c r="I484" i="1" a="1"/>
  <c r="I484" i="1" s="1"/>
  <c r="H484" i="1" a="1"/>
  <c r="H484" i="1" s="1"/>
  <c r="F484" i="1" a="1"/>
  <c r="F484" i="1" s="1"/>
  <c r="AA483" i="1"/>
  <c r="X483" i="1"/>
  <c r="O483" i="1"/>
  <c r="K483" i="1" a="1"/>
  <c r="K483" i="1" s="1"/>
  <c r="J483" i="1" a="1"/>
  <c r="J483" i="1" s="1"/>
  <c r="I483" i="1" a="1"/>
  <c r="I483" i="1" s="1"/>
  <c r="H483" i="1" a="1"/>
  <c r="H483" i="1" s="1"/>
  <c r="F483" i="1" a="1"/>
  <c r="F483" i="1" s="1"/>
  <c r="AA482" i="1"/>
  <c r="AE482" i="1" s="1"/>
  <c r="X482" i="1"/>
  <c r="O482" i="1"/>
  <c r="K482" i="1" a="1"/>
  <c r="K482" i="1" s="1"/>
  <c r="J482" i="1" a="1"/>
  <c r="J482" i="1" s="1"/>
  <c r="I482" i="1" a="1"/>
  <c r="I482" i="1" s="1"/>
  <c r="H482" i="1" a="1"/>
  <c r="H482" i="1" s="1"/>
  <c r="F482" i="1" a="1"/>
  <c r="F482" i="1" s="1"/>
  <c r="AA481" i="1"/>
  <c r="X481" i="1"/>
  <c r="O481" i="1"/>
  <c r="L481" i="1" a="1"/>
  <c r="L481" i="1" s="1"/>
  <c r="K481" i="1"/>
  <c r="K481" i="1" a="1"/>
  <c r="J481" i="1" a="1"/>
  <c r="J481" i="1" s="1"/>
  <c r="I481" i="1"/>
  <c r="I481" i="1" a="1"/>
  <c r="H481" i="1" a="1"/>
  <c r="H481" i="1" s="1"/>
  <c r="F481" i="1" a="1"/>
  <c r="F481" i="1" s="1"/>
  <c r="AE480" i="1"/>
  <c r="AA480" i="1"/>
  <c r="AB480" i="1" s="1"/>
  <c r="X480" i="1"/>
  <c r="O480" i="1"/>
  <c r="L480" i="1" a="1"/>
  <c r="L480" i="1" s="1"/>
  <c r="K480" i="1" a="1"/>
  <c r="K480" i="1" s="1"/>
  <c r="J480" i="1" a="1"/>
  <c r="J480" i="1" s="1"/>
  <c r="I480" i="1" a="1"/>
  <c r="I480" i="1" s="1"/>
  <c r="H480" i="1" a="1"/>
  <c r="H480" i="1" s="1"/>
  <c r="F480" i="1" a="1"/>
  <c r="F480" i="1" s="1"/>
  <c r="AA479" i="1"/>
  <c r="X479" i="1"/>
  <c r="O479" i="1"/>
  <c r="K479" i="1" a="1"/>
  <c r="K479" i="1" s="1"/>
  <c r="J479" i="1" a="1"/>
  <c r="J479" i="1" s="1"/>
  <c r="I479" i="1" a="1"/>
  <c r="I479" i="1" s="1"/>
  <c r="H479" i="1" a="1"/>
  <c r="H479" i="1" s="1"/>
  <c r="F479" i="1" a="1"/>
  <c r="F479" i="1" s="1"/>
  <c r="AE478" i="1"/>
  <c r="AA478" i="1"/>
  <c r="AB478" i="1" s="1"/>
  <c r="X478" i="1"/>
  <c r="O478" i="1"/>
  <c r="K478" i="1" a="1"/>
  <c r="K478" i="1" s="1"/>
  <c r="J478" i="1" a="1"/>
  <c r="J478" i="1" s="1"/>
  <c r="I478" i="1"/>
  <c r="I478" i="1" a="1"/>
  <c r="H478" i="1" a="1"/>
  <c r="H478" i="1" s="1"/>
  <c r="F478" i="1" a="1"/>
  <c r="F478" i="1" s="1"/>
  <c r="AA477" i="1"/>
  <c r="X477" i="1"/>
  <c r="O477" i="1"/>
  <c r="K477" i="1" a="1"/>
  <c r="K477" i="1" s="1"/>
  <c r="J477" i="1"/>
  <c r="J477" i="1" a="1"/>
  <c r="I477" i="1" a="1"/>
  <c r="I477" i="1" s="1"/>
  <c r="H477" i="1" a="1"/>
  <c r="H477" i="1" s="1"/>
  <c r="F477" i="1" a="1"/>
  <c r="F477" i="1" s="1"/>
  <c r="AA476" i="1"/>
  <c r="AE476" i="1" s="1"/>
  <c r="X476" i="1"/>
  <c r="O476" i="1"/>
  <c r="K476" i="1" a="1"/>
  <c r="K476" i="1" s="1"/>
  <c r="J476" i="1" a="1"/>
  <c r="J476" i="1" s="1"/>
  <c r="I476" i="1" a="1"/>
  <c r="I476" i="1" s="1"/>
  <c r="H476" i="1" a="1"/>
  <c r="H476" i="1" s="1"/>
  <c r="F476" i="1" a="1"/>
  <c r="F476" i="1" s="1"/>
  <c r="AA475" i="1"/>
  <c r="AB475" i="1" s="1"/>
  <c r="X475" i="1"/>
  <c r="O475" i="1"/>
  <c r="K475" i="1" a="1"/>
  <c r="K475" i="1" s="1"/>
  <c r="J475" i="1" a="1"/>
  <c r="J475" i="1" s="1"/>
  <c r="I475" i="1" a="1"/>
  <c r="I475" i="1" s="1"/>
  <c r="H475" i="1" a="1"/>
  <c r="H475" i="1" s="1"/>
  <c r="F475" i="1" a="1"/>
  <c r="F475" i="1" s="1"/>
  <c r="AB474" i="1"/>
  <c r="AA474" i="1"/>
  <c r="AE474" i="1" s="1"/>
  <c r="X474" i="1"/>
  <c r="O474" i="1"/>
  <c r="K474" i="1"/>
  <c r="K474" i="1" a="1"/>
  <c r="J474" i="1" a="1"/>
  <c r="J474" i="1" s="1"/>
  <c r="I474" i="1" a="1"/>
  <c r="I474" i="1" s="1"/>
  <c r="H474" i="1" a="1"/>
  <c r="H474" i="1" s="1"/>
  <c r="F474" i="1" a="1"/>
  <c r="F474" i="1" s="1"/>
  <c r="AA473" i="1"/>
  <c r="X473" i="1"/>
  <c r="O473" i="1"/>
  <c r="K473" i="1" a="1"/>
  <c r="K473" i="1" s="1"/>
  <c r="J473" i="1" a="1"/>
  <c r="J473" i="1" s="1"/>
  <c r="I473" i="1" a="1"/>
  <c r="I473" i="1" s="1"/>
  <c r="H473" i="1"/>
  <c r="H473" i="1" a="1"/>
  <c r="F473" i="1" a="1"/>
  <c r="F473" i="1" s="1"/>
  <c r="AA472" i="1"/>
  <c r="AE472" i="1" s="1"/>
  <c r="X472" i="1"/>
  <c r="O472" i="1"/>
  <c r="K472" i="1" a="1"/>
  <c r="K472" i="1" s="1"/>
  <c r="J472" i="1" a="1"/>
  <c r="J472" i="1" s="1"/>
  <c r="I472" i="1" a="1"/>
  <c r="I472" i="1" s="1"/>
  <c r="H472" i="1" a="1"/>
  <c r="H472" i="1" s="1"/>
  <c r="F472" i="1" a="1"/>
  <c r="F472" i="1" s="1"/>
  <c r="AE471" i="1"/>
  <c r="AA471" i="1"/>
  <c r="AB471" i="1" s="1"/>
  <c r="X471" i="1"/>
  <c r="O471" i="1"/>
  <c r="K471" i="1" a="1"/>
  <c r="K471" i="1" s="1"/>
  <c r="J471" i="1" a="1"/>
  <c r="J471" i="1" s="1"/>
  <c r="I471" i="1" a="1"/>
  <c r="I471" i="1" s="1"/>
  <c r="H471" i="1" a="1"/>
  <c r="H471" i="1" s="1"/>
  <c r="F471" i="1" a="1"/>
  <c r="F471" i="1" s="1"/>
  <c r="AE470" i="1"/>
  <c r="AA470" i="1"/>
  <c r="AB470" i="1" s="1"/>
  <c r="X470" i="1"/>
  <c r="O470" i="1"/>
  <c r="J470" i="1" a="1"/>
  <c r="J470" i="1" s="1"/>
  <c r="I470" i="1" a="1"/>
  <c r="I470" i="1" s="1"/>
  <c r="H470" i="1" a="1"/>
  <c r="H470" i="1" s="1"/>
  <c r="F470" i="1" a="1"/>
  <c r="F470" i="1" s="1"/>
  <c r="AA469" i="1"/>
  <c r="X469" i="1"/>
  <c r="O469" i="1"/>
  <c r="K469" i="1" a="1"/>
  <c r="K469" i="1" s="1"/>
  <c r="I469" i="1" a="1"/>
  <c r="I469" i="1" s="1"/>
  <c r="H469" i="1" a="1"/>
  <c r="H469" i="1" s="1"/>
  <c r="F469" i="1" a="1"/>
  <c r="F469" i="1" s="1"/>
  <c r="AA468" i="1"/>
  <c r="AE468" i="1" s="1"/>
  <c r="X468" i="1"/>
  <c r="O468" i="1"/>
  <c r="K468" i="1" a="1"/>
  <c r="K468" i="1" s="1"/>
  <c r="I468" i="1" a="1"/>
  <c r="I468" i="1" s="1"/>
  <c r="H468" i="1" a="1"/>
  <c r="H468" i="1" s="1"/>
  <c r="F468" i="1" a="1"/>
  <c r="F468" i="1" s="1"/>
  <c r="AA467" i="1"/>
  <c r="X467" i="1"/>
  <c r="O467" i="1"/>
  <c r="K467" i="1" a="1"/>
  <c r="K467" i="1" s="1"/>
  <c r="I467" i="1"/>
  <c r="I467" i="1" a="1"/>
  <c r="H467" i="1" a="1"/>
  <c r="H467" i="1" s="1"/>
  <c r="F467" i="1" a="1"/>
  <c r="F467" i="1" s="1"/>
  <c r="AE466" i="1"/>
  <c r="AB466" i="1"/>
  <c r="AA466" i="1"/>
  <c r="X466" i="1"/>
  <c r="O466" i="1"/>
  <c r="K466" i="1"/>
  <c r="K466" i="1" a="1"/>
  <c r="J466" i="1" a="1"/>
  <c r="J466" i="1" s="1"/>
  <c r="I466" i="1" a="1"/>
  <c r="I466" i="1" s="1"/>
  <c r="H466" i="1" a="1"/>
  <c r="H466" i="1" s="1"/>
  <c r="F466" i="1" a="1"/>
  <c r="F466" i="1" s="1"/>
  <c r="AA465" i="1"/>
  <c r="X465" i="1"/>
  <c r="O465" i="1"/>
  <c r="K465" i="1" a="1"/>
  <c r="K465" i="1" s="1"/>
  <c r="J465" i="1"/>
  <c r="J465" i="1" a="1"/>
  <c r="I465" i="1" a="1"/>
  <c r="I465" i="1" s="1"/>
  <c r="H465" i="1" a="1"/>
  <c r="H465" i="1" s="1"/>
  <c r="F465" i="1" a="1"/>
  <c r="F465" i="1" s="1"/>
  <c r="AA464" i="1"/>
  <c r="AE464" i="1" s="1"/>
  <c r="X464" i="1"/>
  <c r="O464" i="1"/>
  <c r="K464" i="1" a="1"/>
  <c r="K464" i="1" s="1"/>
  <c r="J464" i="1" a="1"/>
  <c r="J464" i="1" s="1"/>
  <c r="I464" i="1" a="1"/>
  <c r="I464" i="1" s="1"/>
  <c r="H464" i="1" a="1"/>
  <c r="H464" i="1" s="1"/>
  <c r="F464" i="1" a="1"/>
  <c r="F464" i="1" s="1"/>
  <c r="AA463" i="1"/>
  <c r="X463" i="1"/>
  <c r="O463" i="1"/>
  <c r="K463" i="1" a="1"/>
  <c r="K463" i="1" s="1"/>
  <c r="I463" i="1" a="1"/>
  <c r="I463" i="1" s="1"/>
  <c r="H463" i="1" a="1"/>
  <c r="H463" i="1" s="1"/>
  <c r="F463" i="1"/>
  <c r="F463" i="1" a="1"/>
  <c r="AE462" i="1"/>
  <c r="AA462" i="1"/>
  <c r="AB462" i="1" s="1"/>
  <c r="X462" i="1"/>
  <c r="O462" i="1"/>
  <c r="K462" i="1" a="1"/>
  <c r="K462" i="1" s="1"/>
  <c r="I462" i="1" a="1"/>
  <c r="I462" i="1" s="1"/>
  <c r="H462" i="1" a="1"/>
  <c r="H462" i="1" s="1"/>
  <c r="F462" i="1" a="1"/>
  <c r="F462" i="1" s="1"/>
  <c r="AA461" i="1"/>
  <c r="X461" i="1"/>
  <c r="O461" i="1"/>
  <c r="K461" i="1" a="1"/>
  <c r="K461" i="1" s="1"/>
  <c r="J461" i="1"/>
  <c r="J461" i="1" a="1"/>
  <c r="I461" i="1" a="1"/>
  <c r="I461" i="1" s="1"/>
  <c r="H461" i="1" a="1"/>
  <c r="H461" i="1" s="1"/>
  <c r="F461" i="1" a="1"/>
  <c r="F461" i="1" s="1"/>
  <c r="AA460" i="1"/>
  <c r="AE460" i="1" s="1"/>
  <c r="X460" i="1"/>
  <c r="O460" i="1"/>
  <c r="K460" i="1" a="1"/>
  <c r="K460" i="1" s="1"/>
  <c r="J460" i="1" a="1"/>
  <c r="J460" i="1" s="1"/>
  <c r="I460" i="1" a="1"/>
  <c r="I460" i="1" s="1"/>
  <c r="H460" i="1" a="1"/>
  <c r="H460" i="1" s="1"/>
  <c r="F460" i="1" a="1"/>
  <c r="F460" i="1" s="1"/>
  <c r="AA459" i="1"/>
  <c r="X459" i="1"/>
  <c r="O459" i="1"/>
  <c r="K459" i="1" a="1"/>
  <c r="K459" i="1" s="1"/>
  <c r="J459" i="1" a="1"/>
  <c r="J459" i="1" s="1"/>
  <c r="I459" i="1"/>
  <c r="I459" i="1" a="1"/>
  <c r="H459" i="1" a="1"/>
  <c r="H459" i="1" s="1"/>
  <c r="F459" i="1" a="1"/>
  <c r="F459" i="1" s="1"/>
  <c r="AB458" i="1"/>
  <c r="AA458" i="1"/>
  <c r="AE458" i="1" s="1"/>
  <c r="X458" i="1"/>
  <c r="O458" i="1"/>
  <c r="K458" i="1"/>
  <c r="K458" i="1" a="1"/>
  <c r="J458" i="1" a="1"/>
  <c r="J458" i="1" s="1"/>
  <c r="I458" i="1" a="1"/>
  <c r="I458" i="1" s="1"/>
  <c r="H458" i="1" a="1"/>
  <c r="H458" i="1" s="1"/>
  <c r="F458" i="1" a="1"/>
  <c r="F458" i="1" s="1"/>
  <c r="AA457" i="1"/>
  <c r="AE457" i="1" s="1"/>
  <c r="X457" i="1"/>
  <c r="O457" i="1"/>
  <c r="K457" i="1" a="1"/>
  <c r="K457" i="1" s="1"/>
  <c r="J457" i="1"/>
  <c r="J457" i="1" a="1"/>
  <c r="I457" i="1" a="1"/>
  <c r="I457" i="1" s="1"/>
  <c r="H457" i="1" a="1"/>
  <c r="H457" i="1" s="1"/>
  <c r="F457" i="1" a="1"/>
  <c r="F457" i="1" s="1"/>
  <c r="AA456" i="1"/>
  <c r="X456" i="1"/>
  <c r="O456" i="1"/>
  <c r="K456" i="1" a="1"/>
  <c r="K456" i="1" s="1"/>
  <c r="J456" i="1"/>
  <c r="J456" i="1" a="1"/>
  <c r="I456" i="1" a="1"/>
  <c r="I456" i="1" s="1"/>
  <c r="H456" i="1" a="1"/>
  <c r="H456" i="1" s="1"/>
  <c r="F456" i="1" a="1"/>
  <c r="F456" i="1" s="1"/>
  <c r="AA455" i="1"/>
  <c r="X455" i="1"/>
  <c r="O455" i="1"/>
  <c r="K455" i="1" a="1"/>
  <c r="K455" i="1" s="1"/>
  <c r="J455" i="1" a="1"/>
  <c r="J455" i="1" s="1"/>
  <c r="I455" i="1" a="1"/>
  <c r="I455" i="1" s="1"/>
  <c r="H455" i="1" a="1"/>
  <c r="H455" i="1" s="1"/>
  <c r="F455" i="1" a="1"/>
  <c r="F455" i="1" s="1"/>
  <c r="AA454" i="1"/>
  <c r="AE454" i="1" s="1"/>
  <c r="X454" i="1"/>
  <c r="O454" i="1"/>
  <c r="K454" i="1" a="1"/>
  <c r="K454" i="1" s="1"/>
  <c r="J454" i="1" a="1"/>
  <c r="J454" i="1" s="1"/>
  <c r="I454" i="1" a="1"/>
  <c r="I454" i="1" s="1"/>
  <c r="H454" i="1" a="1"/>
  <c r="H454" i="1" s="1"/>
  <c r="F454" i="1"/>
  <c r="F454" i="1" a="1"/>
  <c r="AA453" i="1"/>
  <c r="AE453" i="1" s="1"/>
  <c r="X453" i="1"/>
  <c r="O453" i="1"/>
  <c r="K453" i="1" a="1"/>
  <c r="K453" i="1" s="1"/>
  <c r="J453" i="1" a="1"/>
  <c r="J453" i="1" s="1"/>
  <c r="I453" i="1" a="1"/>
  <c r="I453" i="1" s="1"/>
  <c r="H453" i="1" a="1"/>
  <c r="H453" i="1" s="1"/>
  <c r="F453" i="1" a="1"/>
  <c r="F453" i="1" s="1"/>
  <c r="AA452" i="1"/>
  <c r="X452" i="1"/>
  <c r="O452" i="1"/>
  <c r="K452" i="1" a="1"/>
  <c r="K452" i="1" s="1"/>
  <c r="J452" i="1"/>
  <c r="J452" i="1" a="1"/>
  <c r="I452" i="1" a="1"/>
  <c r="I452" i="1" s="1"/>
  <c r="H452" i="1" a="1"/>
  <c r="H452" i="1" s="1"/>
  <c r="F452" i="1" a="1"/>
  <c r="F452" i="1" s="1"/>
  <c r="AE451" i="1"/>
  <c r="AA451" i="1"/>
  <c r="AB451" i="1" s="1"/>
  <c r="X451" i="1"/>
  <c r="O451" i="1"/>
  <c r="K451" i="1" a="1"/>
  <c r="K451" i="1" s="1"/>
  <c r="J451" i="1" a="1"/>
  <c r="J451" i="1" s="1"/>
  <c r="I451" i="1" a="1"/>
  <c r="I451" i="1" s="1"/>
  <c r="H451" i="1" a="1"/>
  <c r="H451" i="1" s="1"/>
  <c r="F451" i="1" a="1"/>
  <c r="F451" i="1" s="1"/>
  <c r="AA450" i="1"/>
  <c r="X450" i="1"/>
  <c r="O450" i="1"/>
  <c r="K450" i="1" a="1"/>
  <c r="K450" i="1" s="1"/>
  <c r="J450" i="1" a="1"/>
  <c r="J450" i="1" s="1"/>
  <c r="I450" i="1" a="1"/>
  <c r="I450" i="1" s="1"/>
  <c r="H450" i="1" a="1"/>
  <c r="H450" i="1" s="1"/>
  <c r="F450" i="1" a="1"/>
  <c r="F450" i="1" s="1"/>
  <c r="AA449" i="1"/>
  <c r="AE449" i="1" s="1"/>
  <c r="X449" i="1"/>
  <c r="O449" i="1"/>
  <c r="K449" i="1" a="1"/>
  <c r="K449" i="1" s="1"/>
  <c r="J449" i="1"/>
  <c r="J449" i="1" a="1"/>
  <c r="I449" i="1" a="1"/>
  <c r="I449" i="1" s="1"/>
  <c r="H449" i="1" a="1"/>
  <c r="H449" i="1" s="1"/>
  <c r="F449" i="1" a="1"/>
  <c r="F449" i="1" s="1"/>
  <c r="AA448" i="1"/>
  <c r="X448" i="1"/>
  <c r="O448" i="1"/>
  <c r="K448" i="1" a="1"/>
  <c r="K448" i="1" s="1"/>
  <c r="J448" i="1" a="1"/>
  <c r="J448" i="1" s="1"/>
  <c r="I448" i="1" a="1"/>
  <c r="I448" i="1" s="1"/>
  <c r="H448" i="1" a="1"/>
  <c r="H448" i="1" s="1"/>
  <c r="F448" i="1" a="1"/>
  <c r="F448" i="1" s="1"/>
  <c r="AA447" i="1"/>
  <c r="X447" i="1"/>
  <c r="O447" i="1"/>
  <c r="K447" i="1" a="1"/>
  <c r="K447" i="1" s="1"/>
  <c r="J447" i="1" a="1"/>
  <c r="J447" i="1" s="1"/>
  <c r="I447" i="1"/>
  <c r="I447" i="1" a="1"/>
  <c r="H447" i="1" a="1"/>
  <c r="H447" i="1" s="1"/>
  <c r="F447" i="1" a="1"/>
  <c r="F447" i="1" s="1"/>
  <c r="AE446" i="1"/>
  <c r="AB446" i="1"/>
  <c r="AA446" i="1"/>
  <c r="X446" i="1"/>
  <c r="O446" i="1"/>
  <c r="K446" i="1"/>
  <c r="K446" i="1" a="1"/>
  <c r="J446" i="1" a="1"/>
  <c r="J446" i="1" s="1"/>
  <c r="I446" i="1" a="1"/>
  <c r="I446" i="1" s="1"/>
  <c r="H446" i="1" a="1"/>
  <c r="H446" i="1" s="1"/>
  <c r="F446" i="1" a="1"/>
  <c r="F446" i="1" s="1"/>
  <c r="AA445" i="1"/>
  <c r="AE445" i="1" s="1"/>
  <c r="X445" i="1"/>
  <c r="O445" i="1"/>
  <c r="K445" i="1" a="1"/>
  <c r="K445" i="1" s="1"/>
  <c r="J445" i="1"/>
  <c r="J445" i="1" a="1"/>
  <c r="I445" i="1" a="1"/>
  <c r="I445" i="1" s="1"/>
  <c r="H445" i="1" a="1"/>
  <c r="H445" i="1" s="1"/>
  <c r="F445" i="1" a="1"/>
  <c r="F445" i="1" s="1"/>
  <c r="AA444" i="1"/>
  <c r="X444" i="1"/>
  <c r="O444" i="1"/>
  <c r="K444" i="1" a="1"/>
  <c r="K444" i="1" s="1"/>
  <c r="J444" i="1"/>
  <c r="J444" i="1" a="1"/>
  <c r="I444" i="1" a="1"/>
  <c r="I444" i="1" s="1"/>
  <c r="H444" i="1" a="1"/>
  <c r="H444" i="1" s="1"/>
  <c r="F444" i="1" a="1"/>
  <c r="F444" i="1" s="1"/>
  <c r="AA443" i="1"/>
  <c r="X443" i="1"/>
  <c r="O443" i="1"/>
  <c r="K443" i="1" a="1"/>
  <c r="K443" i="1" s="1"/>
  <c r="J443" i="1" a="1"/>
  <c r="J443" i="1" s="1"/>
  <c r="I443" i="1"/>
  <c r="I443" i="1" a="1"/>
  <c r="H443" i="1" a="1"/>
  <c r="H443" i="1" s="1"/>
  <c r="F443" i="1" a="1"/>
  <c r="F443" i="1" s="1"/>
  <c r="AB442" i="1"/>
  <c r="AA442" i="1"/>
  <c r="AE442" i="1" s="1"/>
  <c r="X442" i="1"/>
  <c r="O442" i="1"/>
  <c r="L442" i="1"/>
  <c r="L442" i="1" a="1"/>
  <c r="K442" i="1" a="1"/>
  <c r="K442" i="1" s="1"/>
  <c r="J442" i="1" a="1"/>
  <c r="J442" i="1" s="1"/>
  <c r="I442" i="1" a="1"/>
  <c r="I442" i="1" s="1"/>
  <c r="H442" i="1"/>
  <c r="H442" i="1" a="1"/>
  <c r="F442" i="1" a="1"/>
  <c r="F442" i="1" s="1"/>
  <c r="AE441" i="1"/>
  <c r="AB441" i="1"/>
  <c r="AA441" i="1"/>
  <c r="X441" i="1"/>
  <c r="O441" i="1"/>
  <c r="L441" i="1"/>
  <c r="L441" i="1" a="1"/>
  <c r="K441" i="1" a="1"/>
  <c r="K441" i="1" s="1"/>
  <c r="J441" i="1" a="1"/>
  <c r="J441" i="1" s="1"/>
  <c r="I441" i="1" a="1"/>
  <c r="I441" i="1" s="1"/>
  <c r="H441" i="1" a="1"/>
  <c r="H441" i="1" s="1"/>
  <c r="F441" i="1" a="1"/>
  <c r="F441" i="1" s="1"/>
  <c r="AA440" i="1"/>
  <c r="X440" i="1"/>
  <c r="O440" i="1"/>
  <c r="K440" i="1" a="1"/>
  <c r="K440" i="1" s="1"/>
  <c r="J440" i="1" a="1"/>
  <c r="J440" i="1" s="1"/>
  <c r="I440" i="1" a="1"/>
  <c r="I440" i="1" s="1"/>
  <c r="H440" i="1" a="1"/>
  <c r="H440" i="1" s="1"/>
  <c r="F440" i="1" a="1"/>
  <c r="F440" i="1" s="1"/>
  <c r="AE439" i="1"/>
  <c r="AB439" i="1"/>
  <c r="X439" i="1"/>
  <c r="O439" i="1"/>
  <c r="K439" i="1" a="1"/>
  <c r="K439" i="1" s="1"/>
  <c r="J439" i="1" a="1"/>
  <c r="J439" i="1" s="1"/>
  <c r="I439" i="1"/>
  <c r="I439" i="1" a="1"/>
  <c r="H439" i="1" a="1"/>
  <c r="H439" i="1" s="1"/>
  <c r="F439" i="1" a="1"/>
  <c r="F439" i="1" s="1"/>
  <c r="AA438" i="1"/>
  <c r="AE438" i="1" s="1"/>
  <c r="X438" i="1"/>
  <c r="O438" i="1"/>
  <c r="K438" i="1" a="1"/>
  <c r="K438" i="1" s="1"/>
  <c r="J438" i="1" a="1"/>
  <c r="J438" i="1" s="1"/>
  <c r="I438" i="1" a="1"/>
  <c r="I438" i="1" s="1"/>
  <c r="H438" i="1" a="1"/>
  <c r="H438" i="1" s="1"/>
  <c r="F438" i="1" a="1"/>
  <c r="F438" i="1" s="1"/>
  <c r="AA437" i="1"/>
  <c r="X437" i="1"/>
  <c r="O437" i="1"/>
  <c r="K437" i="1" a="1"/>
  <c r="K437" i="1" s="1"/>
  <c r="J437" i="1" a="1"/>
  <c r="J437" i="1" s="1"/>
  <c r="I437" i="1" a="1"/>
  <c r="I437" i="1" s="1"/>
  <c r="H437" i="1"/>
  <c r="H437" i="1" a="1"/>
  <c r="F437" i="1" a="1"/>
  <c r="F437" i="1" s="1"/>
  <c r="AE436" i="1"/>
  <c r="AB436" i="1"/>
  <c r="X436" i="1"/>
  <c r="O436" i="1"/>
  <c r="K436" i="1" a="1"/>
  <c r="K436" i="1" s="1"/>
  <c r="J436" i="1" a="1"/>
  <c r="J436" i="1" s="1"/>
  <c r="I436" i="1"/>
  <c r="I436" i="1" a="1"/>
  <c r="H436" i="1" a="1"/>
  <c r="H436" i="1" s="1"/>
  <c r="F436" i="1" a="1"/>
  <c r="F436" i="1" s="1"/>
  <c r="AA435" i="1"/>
  <c r="AE435" i="1" s="1"/>
  <c r="X435" i="1"/>
  <c r="O435" i="1"/>
  <c r="K435" i="1" a="1"/>
  <c r="K435" i="1" s="1"/>
  <c r="J435" i="1" a="1"/>
  <c r="J435" i="1" s="1"/>
  <c r="I435" i="1" a="1"/>
  <c r="I435" i="1" s="1"/>
  <c r="H435" i="1" a="1"/>
  <c r="H435" i="1" s="1"/>
  <c r="F435" i="1" a="1"/>
  <c r="F435" i="1" s="1"/>
  <c r="AA434" i="1"/>
  <c r="X434" i="1"/>
  <c r="O434" i="1"/>
  <c r="K434" i="1" a="1"/>
  <c r="K434" i="1" s="1"/>
  <c r="J434" i="1" a="1"/>
  <c r="J434" i="1" s="1"/>
  <c r="I434" i="1" a="1"/>
  <c r="I434" i="1" s="1"/>
  <c r="H434" i="1"/>
  <c r="H434" i="1" a="1"/>
  <c r="F434" i="1" a="1"/>
  <c r="F434" i="1" s="1"/>
  <c r="AA433" i="1"/>
  <c r="AE433" i="1" s="1"/>
  <c r="X433" i="1"/>
  <c r="O433" i="1"/>
  <c r="K433" i="1" a="1"/>
  <c r="K433" i="1" s="1"/>
  <c r="J433" i="1" a="1"/>
  <c r="J433" i="1" s="1"/>
  <c r="I433" i="1" a="1"/>
  <c r="I433" i="1" s="1"/>
  <c r="H433" i="1" a="1"/>
  <c r="H433" i="1" s="1"/>
  <c r="F433" i="1"/>
  <c r="F433" i="1" a="1"/>
  <c r="AA432" i="1"/>
  <c r="X432" i="1"/>
  <c r="O432" i="1"/>
  <c r="K432" i="1" a="1"/>
  <c r="K432" i="1" s="1"/>
  <c r="J432" i="1" a="1"/>
  <c r="J432" i="1" s="1"/>
  <c r="I432" i="1"/>
  <c r="I432" i="1" a="1"/>
  <c r="H432" i="1" a="1"/>
  <c r="H432" i="1" s="1"/>
  <c r="F432" i="1" a="1"/>
  <c r="F432" i="1" s="1"/>
  <c r="AA431" i="1"/>
  <c r="AE431" i="1" s="1"/>
  <c r="X431" i="1"/>
  <c r="O431" i="1"/>
  <c r="K431" i="1" a="1"/>
  <c r="K431" i="1" s="1"/>
  <c r="J431" i="1" a="1"/>
  <c r="J431" i="1" s="1"/>
  <c r="I431" i="1" a="1"/>
  <c r="I431" i="1" s="1"/>
  <c r="H431" i="1" a="1"/>
  <c r="H431" i="1" s="1"/>
  <c r="F431" i="1" a="1"/>
  <c r="F431" i="1" s="1"/>
  <c r="AA430" i="1"/>
  <c r="X430" i="1"/>
  <c r="O430" i="1"/>
  <c r="K430" i="1" a="1"/>
  <c r="K430" i="1" s="1"/>
  <c r="J430" i="1" a="1"/>
  <c r="J430" i="1" s="1"/>
  <c r="I430" i="1" a="1"/>
  <c r="I430" i="1" s="1"/>
  <c r="H430" i="1"/>
  <c r="H430" i="1" a="1"/>
  <c r="F430" i="1" a="1"/>
  <c r="F430" i="1" s="1"/>
  <c r="AA429" i="1"/>
  <c r="X429" i="1"/>
  <c r="O429" i="1"/>
  <c r="K429" i="1" a="1"/>
  <c r="K429" i="1" s="1"/>
  <c r="J429" i="1" a="1"/>
  <c r="J429" i="1" s="1"/>
  <c r="I429" i="1" a="1"/>
  <c r="I429" i="1" s="1"/>
  <c r="H429" i="1" a="1"/>
  <c r="H429" i="1" s="1"/>
  <c r="F429" i="1" a="1"/>
  <c r="F429" i="1" s="1"/>
  <c r="AA428" i="1"/>
  <c r="X428" i="1"/>
  <c r="O428" i="1"/>
  <c r="J428" i="1" a="1"/>
  <c r="J428" i="1" s="1"/>
  <c r="I428" i="1"/>
  <c r="I428" i="1" a="1"/>
  <c r="H428" i="1" a="1"/>
  <c r="H428" i="1" s="1"/>
  <c r="F428" i="1" a="1"/>
  <c r="F428" i="1" s="1"/>
  <c r="AA427" i="1"/>
  <c r="AE427" i="1" s="1"/>
  <c r="X427" i="1"/>
  <c r="O427" i="1"/>
  <c r="J427" i="1"/>
  <c r="J427" i="1" a="1"/>
  <c r="I427" i="1" a="1"/>
  <c r="I427" i="1" s="1"/>
  <c r="H427" i="1" a="1"/>
  <c r="H427" i="1" s="1"/>
  <c r="F427" i="1" a="1"/>
  <c r="F427" i="1" s="1"/>
  <c r="AA426" i="1"/>
  <c r="X426" i="1"/>
  <c r="O426" i="1"/>
  <c r="K426" i="1" a="1"/>
  <c r="K426" i="1" s="1"/>
  <c r="I426" i="1" a="1"/>
  <c r="I426" i="1" s="1"/>
  <c r="H426" i="1" a="1"/>
  <c r="H426" i="1" s="1"/>
  <c r="F426" i="1" a="1"/>
  <c r="F426" i="1" s="1"/>
  <c r="AA425" i="1"/>
  <c r="X425" i="1"/>
  <c r="O425" i="1"/>
  <c r="K425" i="1" a="1"/>
  <c r="K425" i="1" s="1"/>
  <c r="I425" i="1" a="1"/>
  <c r="I425" i="1" s="1"/>
  <c r="H425" i="1" a="1"/>
  <c r="H425" i="1" s="1"/>
  <c r="F425" i="1" a="1"/>
  <c r="F425" i="1" s="1"/>
  <c r="AE424" i="1"/>
  <c r="AB424" i="1"/>
  <c r="AA424" i="1"/>
  <c r="X424" i="1"/>
  <c r="O424" i="1"/>
  <c r="K424" i="1"/>
  <c r="K424" i="1" a="1"/>
  <c r="I424" i="1" a="1"/>
  <c r="I424" i="1" s="1"/>
  <c r="H424" i="1" a="1"/>
  <c r="H424" i="1" s="1"/>
  <c r="F424" i="1" a="1"/>
  <c r="F424" i="1" s="1"/>
  <c r="AA423" i="1"/>
  <c r="AE423" i="1" s="1"/>
  <c r="X423" i="1"/>
  <c r="O423" i="1"/>
  <c r="K423" i="1" a="1"/>
  <c r="K423" i="1" s="1"/>
  <c r="J423" i="1" a="1"/>
  <c r="J423" i="1" s="1"/>
  <c r="I423" i="1" a="1"/>
  <c r="I423" i="1" s="1"/>
  <c r="H423" i="1"/>
  <c r="H423" i="1" a="1"/>
  <c r="F423" i="1" a="1"/>
  <c r="F423" i="1" s="1"/>
  <c r="AA422" i="1"/>
  <c r="X422" i="1"/>
  <c r="O422" i="1"/>
  <c r="K422" i="1" a="1"/>
  <c r="K422" i="1" s="1"/>
  <c r="J422" i="1" a="1"/>
  <c r="J422" i="1" s="1"/>
  <c r="I422" i="1" a="1"/>
  <c r="I422" i="1" s="1"/>
  <c r="H422" i="1"/>
  <c r="H422" i="1" a="1"/>
  <c r="F422" i="1" a="1"/>
  <c r="F422" i="1" s="1"/>
  <c r="AE421" i="1"/>
  <c r="AB421" i="1"/>
  <c r="AA421" i="1"/>
  <c r="X421" i="1"/>
  <c r="O421" i="1"/>
  <c r="K421" i="1"/>
  <c r="K421" i="1" a="1"/>
  <c r="I421" i="1" a="1"/>
  <c r="I421" i="1" s="1"/>
  <c r="H421" i="1"/>
  <c r="H421" i="1" a="1"/>
  <c r="F421" i="1" a="1"/>
  <c r="F421" i="1" s="1"/>
  <c r="AE420" i="1"/>
  <c r="AA420" i="1"/>
  <c r="AB420" i="1" s="1"/>
  <c r="X420" i="1"/>
  <c r="O420" i="1"/>
  <c r="K420" i="1" a="1"/>
  <c r="K420" i="1" s="1"/>
  <c r="I420" i="1" a="1"/>
  <c r="I420" i="1" s="1"/>
  <c r="H420" i="1" a="1"/>
  <c r="H420" i="1" s="1"/>
  <c r="F420" i="1" a="1"/>
  <c r="F420" i="1" s="1"/>
  <c r="AA419" i="1"/>
  <c r="AE419" i="1" s="1"/>
  <c r="X419" i="1"/>
  <c r="O419" i="1"/>
  <c r="K419" i="1" a="1"/>
  <c r="K419" i="1" s="1"/>
  <c r="J419" i="1" a="1"/>
  <c r="J419" i="1" s="1"/>
  <c r="I419" i="1" a="1"/>
  <c r="I419" i="1" s="1"/>
  <c r="H419" i="1" a="1"/>
  <c r="H419" i="1" s="1"/>
  <c r="F419" i="1" a="1"/>
  <c r="F419" i="1" s="1"/>
  <c r="AA418" i="1"/>
  <c r="AB418" i="1" s="1"/>
  <c r="X418" i="1"/>
  <c r="O418" i="1"/>
  <c r="K418" i="1" a="1"/>
  <c r="K418" i="1" s="1"/>
  <c r="J418" i="1" a="1"/>
  <c r="J418" i="1" s="1"/>
  <c r="I418" i="1" a="1"/>
  <c r="I418" i="1" s="1"/>
  <c r="H418" i="1" a="1"/>
  <c r="H418" i="1" s="1"/>
  <c r="F418" i="1" a="1"/>
  <c r="F418" i="1" s="1"/>
  <c r="AA417" i="1"/>
  <c r="X417" i="1"/>
  <c r="O417" i="1"/>
  <c r="K417" i="1" a="1"/>
  <c r="K417" i="1" s="1"/>
  <c r="J417" i="1" a="1"/>
  <c r="J417" i="1" s="1"/>
  <c r="I417" i="1"/>
  <c r="I417" i="1" a="1"/>
  <c r="H417" i="1" a="1"/>
  <c r="H417" i="1" s="1"/>
  <c r="F417" i="1" a="1"/>
  <c r="F417" i="1" s="1"/>
  <c r="AA416" i="1"/>
  <c r="AE416" i="1" s="1"/>
  <c r="X416" i="1"/>
  <c r="O416" i="1"/>
  <c r="K416" i="1" a="1"/>
  <c r="K416" i="1" s="1"/>
  <c r="J416" i="1" a="1"/>
  <c r="J416" i="1" s="1"/>
  <c r="I416" i="1" a="1"/>
  <c r="I416" i="1" s="1"/>
  <c r="H416" i="1" a="1"/>
  <c r="H416" i="1" s="1"/>
  <c r="F416" i="1"/>
  <c r="F416" i="1" a="1"/>
  <c r="AB415" i="1"/>
  <c r="AA415" i="1"/>
  <c r="AE415" i="1" s="1"/>
  <c r="X415" i="1"/>
  <c r="O415" i="1"/>
  <c r="K415" i="1" a="1"/>
  <c r="K415" i="1" s="1"/>
  <c r="J415" i="1" a="1"/>
  <c r="J415" i="1" s="1"/>
  <c r="I415" i="1" a="1"/>
  <c r="I415" i="1" s="1"/>
  <c r="H415" i="1"/>
  <c r="H415" i="1" a="1"/>
  <c r="F415" i="1" a="1"/>
  <c r="F415" i="1" s="1"/>
  <c r="AA414" i="1"/>
  <c r="X414" i="1"/>
  <c r="O414" i="1"/>
  <c r="K414" i="1" a="1"/>
  <c r="K414" i="1" s="1"/>
  <c r="J414" i="1" a="1"/>
  <c r="J414" i="1" s="1"/>
  <c r="I414" i="1" a="1"/>
  <c r="I414" i="1" s="1"/>
  <c r="H414" i="1"/>
  <c r="H414" i="1" a="1"/>
  <c r="F414" i="1" a="1"/>
  <c r="F414" i="1" s="1"/>
  <c r="AB413" i="1"/>
  <c r="AA413" i="1"/>
  <c r="AE413" i="1" s="1"/>
  <c r="X413" i="1"/>
  <c r="O413" i="1"/>
  <c r="K413" i="1"/>
  <c r="K413" i="1" a="1"/>
  <c r="J413" i="1" a="1"/>
  <c r="J413" i="1" s="1"/>
  <c r="I413" i="1" a="1"/>
  <c r="I413" i="1" s="1"/>
  <c r="H413" i="1" a="1"/>
  <c r="H413" i="1" s="1"/>
  <c r="F413" i="1"/>
  <c r="F413" i="1" a="1"/>
  <c r="AA412" i="1"/>
  <c r="AE412" i="1" s="1"/>
  <c r="X412" i="1"/>
  <c r="O412" i="1"/>
  <c r="L412" i="1" a="1"/>
  <c r="L412" i="1" s="1"/>
  <c r="K412" i="1" a="1"/>
  <c r="K412" i="1" s="1"/>
  <c r="J412" i="1" a="1"/>
  <c r="J412" i="1" s="1"/>
  <c r="I412" i="1" a="1"/>
  <c r="I412" i="1" s="1"/>
  <c r="H412" i="1" a="1"/>
  <c r="H412" i="1" s="1"/>
  <c r="F412" i="1" a="1"/>
  <c r="F412" i="1" s="1"/>
  <c r="AE411" i="1"/>
  <c r="AB411" i="1"/>
  <c r="AA411" i="1"/>
  <c r="X411" i="1"/>
  <c r="O411" i="1"/>
  <c r="L411" i="1"/>
  <c r="L411" i="1" a="1"/>
  <c r="K411" i="1" a="1"/>
  <c r="K411" i="1" s="1"/>
  <c r="J411" i="1" a="1"/>
  <c r="J411" i="1" s="1"/>
  <c r="I411" i="1" a="1"/>
  <c r="I411" i="1" s="1"/>
  <c r="H411" i="1" a="1"/>
  <c r="H411" i="1" s="1"/>
  <c r="F411" i="1" a="1"/>
  <c r="F411" i="1" s="1"/>
  <c r="AA410" i="1"/>
  <c r="AB410" i="1" s="1"/>
  <c r="X410" i="1"/>
  <c r="O410" i="1"/>
  <c r="L410" i="1" a="1"/>
  <c r="L410" i="1" s="1"/>
  <c r="K410" i="1" a="1"/>
  <c r="K410" i="1" s="1"/>
  <c r="J410" i="1" a="1"/>
  <c r="J410" i="1" s="1"/>
  <c r="I410" i="1" a="1"/>
  <c r="I410" i="1" s="1"/>
  <c r="H410" i="1" a="1"/>
  <c r="H410" i="1" s="1"/>
  <c r="F410" i="1" a="1"/>
  <c r="F410" i="1" s="1"/>
  <c r="AA409" i="1"/>
  <c r="AE409" i="1" s="1"/>
  <c r="X409" i="1"/>
  <c r="O409" i="1"/>
  <c r="L409" i="1" a="1"/>
  <c r="L409" i="1" s="1"/>
  <c r="K409" i="1" a="1"/>
  <c r="K409" i="1" s="1"/>
  <c r="J409" i="1" a="1"/>
  <c r="J409" i="1" s="1"/>
  <c r="I409" i="1"/>
  <c r="I409" i="1" a="1"/>
  <c r="H409" i="1" a="1"/>
  <c r="H409" i="1" s="1"/>
  <c r="F409" i="1" a="1"/>
  <c r="F409" i="1" s="1"/>
  <c r="AA408" i="1"/>
  <c r="AE408" i="1" s="1"/>
  <c r="X408" i="1"/>
  <c r="O408" i="1"/>
  <c r="L408" i="1" a="1"/>
  <c r="L408" i="1" s="1"/>
  <c r="K408" i="1" a="1"/>
  <c r="K408" i="1" s="1"/>
  <c r="J408" i="1" a="1"/>
  <c r="J408" i="1" s="1"/>
  <c r="I408" i="1" a="1"/>
  <c r="I408" i="1" s="1"/>
  <c r="H408" i="1" a="1"/>
  <c r="H408" i="1" s="1"/>
  <c r="F408" i="1" a="1"/>
  <c r="F408" i="1" s="1"/>
  <c r="AE407" i="1"/>
  <c r="AA407" i="1"/>
  <c r="AB407" i="1" s="1"/>
  <c r="X407" i="1"/>
  <c r="O407" i="1"/>
  <c r="L407" i="1" a="1"/>
  <c r="L407" i="1" s="1"/>
  <c r="K407" i="1" a="1"/>
  <c r="K407" i="1" s="1"/>
  <c r="J407" i="1"/>
  <c r="J407" i="1" a="1"/>
  <c r="I407" i="1" a="1"/>
  <c r="I407" i="1" s="1"/>
  <c r="H407" i="1" a="1"/>
  <c r="H407" i="1" s="1"/>
  <c r="F407" i="1" a="1"/>
  <c r="F407" i="1" s="1"/>
  <c r="AA406" i="1"/>
  <c r="AB406" i="1" s="1"/>
  <c r="X406" i="1"/>
  <c r="O406" i="1"/>
  <c r="L406" i="1" a="1"/>
  <c r="L406" i="1" s="1"/>
  <c r="K406" i="1" a="1"/>
  <c r="K406" i="1" s="1"/>
  <c r="J406" i="1" a="1"/>
  <c r="J406" i="1" s="1"/>
  <c r="I406" i="1" a="1"/>
  <c r="I406" i="1" s="1"/>
  <c r="H406" i="1" a="1"/>
  <c r="H406" i="1" s="1"/>
  <c r="F406" i="1"/>
  <c r="F406" i="1" a="1"/>
  <c r="AA405" i="1"/>
  <c r="AE405" i="1" s="1"/>
  <c r="X405" i="1"/>
  <c r="O405" i="1"/>
  <c r="L405" i="1" a="1"/>
  <c r="L405" i="1" s="1"/>
  <c r="K405" i="1" a="1"/>
  <c r="K405" i="1" s="1"/>
  <c r="J405" i="1" a="1"/>
  <c r="J405" i="1" s="1"/>
  <c r="I405" i="1" a="1"/>
  <c r="I405" i="1" s="1"/>
  <c r="H405" i="1" a="1"/>
  <c r="H405" i="1" s="1"/>
  <c r="F405" i="1" a="1"/>
  <c r="F405" i="1" s="1"/>
  <c r="AA404" i="1"/>
  <c r="AE404" i="1" s="1"/>
  <c r="X404" i="1"/>
  <c r="O404" i="1"/>
  <c r="L404" i="1" a="1"/>
  <c r="L404" i="1" s="1"/>
  <c r="K404" i="1" a="1"/>
  <c r="K404" i="1" s="1"/>
  <c r="J404" i="1" a="1"/>
  <c r="J404" i="1" s="1"/>
  <c r="I404" i="1" a="1"/>
  <c r="I404" i="1" s="1"/>
  <c r="H404" i="1" a="1"/>
  <c r="H404" i="1" s="1"/>
  <c r="F404" i="1" a="1"/>
  <c r="F404" i="1" s="1"/>
  <c r="AA403" i="1"/>
  <c r="X403" i="1"/>
  <c r="O403" i="1"/>
  <c r="L403" i="1" a="1"/>
  <c r="L403" i="1" s="1"/>
  <c r="K403" i="1" a="1"/>
  <c r="K403" i="1" s="1"/>
  <c r="J403" i="1" a="1"/>
  <c r="J403" i="1" s="1"/>
  <c r="I403" i="1" a="1"/>
  <c r="I403" i="1" s="1"/>
  <c r="H403" i="1"/>
  <c r="H403" i="1" a="1"/>
  <c r="F403" i="1" a="1"/>
  <c r="F403" i="1" s="1"/>
  <c r="AA402" i="1"/>
  <c r="AB402" i="1" s="1"/>
  <c r="X402" i="1"/>
  <c r="O402" i="1"/>
  <c r="L402" i="1" a="1"/>
  <c r="L402" i="1" s="1"/>
  <c r="K402" i="1" a="1"/>
  <c r="K402" i="1" s="1"/>
  <c r="J402" i="1" a="1"/>
  <c r="J402" i="1" s="1"/>
  <c r="I402" i="1" a="1"/>
  <c r="I402" i="1" s="1"/>
  <c r="H402" i="1" a="1"/>
  <c r="H402" i="1" s="1"/>
  <c r="F402" i="1" a="1"/>
  <c r="F402" i="1" s="1"/>
  <c r="AA401" i="1"/>
  <c r="AE401" i="1" s="1"/>
  <c r="X401" i="1"/>
  <c r="O401" i="1"/>
  <c r="L401" i="1" a="1"/>
  <c r="L401" i="1" s="1"/>
  <c r="K401" i="1" a="1"/>
  <c r="K401" i="1" s="1"/>
  <c r="J401" i="1" a="1"/>
  <c r="J401" i="1" s="1"/>
  <c r="I401" i="1"/>
  <c r="I401" i="1" a="1"/>
  <c r="H401" i="1" a="1"/>
  <c r="H401" i="1" s="1"/>
  <c r="F401" i="1" a="1"/>
  <c r="F401" i="1" s="1"/>
  <c r="AA400" i="1"/>
  <c r="AE400" i="1" s="1"/>
  <c r="X400" i="1"/>
  <c r="O400" i="1"/>
  <c r="L400" i="1" a="1"/>
  <c r="L400" i="1" s="1"/>
  <c r="K400" i="1" a="1"/>
  <c r="K400" i="1" s="1"/>
  <c r="J400" i="1" a="1"/>
  <c r="J400" i="1" s="1"/>
  <c r="I400" i="1" a="1"/>
  <c r="I400" i="1" s="1"/>
  <c r="H400" i="1" a="1"/>
  <c r="H400" i="1" s="1"/>
  <c r="F400" i="1" a="1"/>
  <c r="F400" i="1" s="1"/>
  <c r="AA399" i="1"/>
  <c r="X399" i="1"/>
  <c r="O399" i="1"/>
  <c r="L399" i="1" a="1"/>
  <c r="L399" i="1" s="1"/>
  <c r="K399" i="1" a="1"/>
  <c r="K399" i="1" s="1"/>
  <c r="J399" i="1"/>
  <c r="J399" i="1" a="1"/>
  <c r="I399" i="1" a="1"/>
  <c r="I399" i="1" s="1"/>
  <c r="H399" i="1" a="1"/>
  <c r="H399" i="1" s="1"/>
  <c r="F399" i="1" a="1"/>
  <c r="F399" i="1" s="1"/>
  <c r="AA398" i="1"/>
  <c r="AB398" i="1" s="1"/>
  <c r="X398" i="1"/>
  <c r="O398" i="1"/>
  <c r="L398" i="1" a="1"/>
  <c r="L398" i="1" s="1"/>
  <c r="K398" i="1" a="1"/>
  <c r="K398" i="1" s="1"/>
  <c r="J398" i="1" a="1"/>
  <c r="J398" i="1" s="1"/>
  <c r="I398" i="1" a="1"/>
  <c r="I398" i="1" s="1"/>
  <c r="H398" i="1" a="1"/>
  <c r="H398" i="1" s="1"/>
  <c r="F398" i="1"/>
  <c r="F398" i="1" a="1"/>
  <c r="AA397" i="1"/>
  <c r="AE397" i="1" s="1"/>
  <c r="X397" i="1"/>
  <c r="O397" i="1"/>
  <c r="L397" i="1" a="1"/>
  <c r="L397" i="1" s="1"/>
  <c r="K397" i="1" a="1"/>
  <c r="K397" i="1" s="1"/>
  <c r="J397" i="1" a="1"/>
  <c r="J397" i="1" s="1"/>
  <c r="I397" i="1" a="1"/>
  <c r="I397" i="1" s="1"/>
  <c r="H397" i="1" a="1"/>
  <c r="H397" i="1" s="1"/>
  <c r="F397" i="1"/>
  <c r="F397" i="1" a="1"/>
  <c r="AA396" i="1"/>
  <c r="AE396" i="1" s="1"/>
  <c r="X396" i="1"/>
  <c r="O396" i="1"/>
  <c r="L396" i="1" a="1"/>
  <c r="L396" i="1" s="1"/>
  <c r="K396" i="1" a="1"/>
  <c r="K396" i="1" s="1"/>
  <c r="J396" i="1" a="1"/>
  <c r="J396" i="1" s="1"/>
  <c r="I396" i="1" a="1"/>
  <c r="I396" i="1" s="1"/>
  <c r="H396" i="1" a="1"/>
  <c r="H396" i="1" s="1"/>
  <c r="F396" i="1" a="1"/>
  <c r="F396" i="1" s="1"/>
  <c r="AA395" i="1"/>
  <c r="AE395" i="1" s="1"/>
  <c r="X395" i="1"/>
  <c r="O395" i="1"/>
  <c r="L395" i="1" a="1"/>
  <c r="L395" i="1" s="1"/>
  <c r="K395" i="1" a="1"/>
  <c r="K395" i="1" s="1"/>
  <c r="J395" i="1" a="1"/>
  <c r="J395" i="1" s="1"/>
  <c r="I395" i="1" a="1"/>
  <c r="I395" i="1" s="1"/>
  <c r="H395" i="1"/>
  <c r="H395" i="1" a="1"/>
  <c r="F395" i="1" a="1"/>
  <c r="F395" i="1" s="1"/>
  <c r="AA394" i="1"/>
  <c r="AB394" i="1" s="1"/>
  <c r="X394" i="1"/>
  <c r="O394" i="1"/>
  <c r="L394" i="1" a="1"/>
  <c r="L394" i="1" s="1"/>
  <c r="K394" i="1" a="1"/>
  <c r="K394" i="1" s="1"/>
  <c r="J394" i="1" a="1"/>
  <c r="J394" i="1" s="1"/>
  <c r="I394" i="1" a="1"/>
  <c r="I394" i="1" s="1"/>
  <c r="H394" i="1" a="1"/>
  <c r="H394" i="1" s="1"/>
  <c r="F394" i="1" a="1"/>
  <c r="F394" i="1" s="1"/>
  <c r="AA393" i="1"/>
  <c r="AE393" i="1" s="1"/>
  <c r="X393" i="1"/>
  <c r="O393" i="1"/>
  <c r="L393" i="1" a="1"/>
  <c r="L393" i="1" s="1"/>
  <c r="K393" i="1" a="1"/>
  <c r="K393" i="1" s="1"/>
  <c r="J393" i="1" a="1"/>
  <c r="J393" i="1" s="1"/>
  <c r="I393" i="1" a="1"/>
  <c r="I393" i="1" s="1"/>
  <c r="H393" i="1" a="1"/>
  <c r="H393" i="1" s="1"/>
  <c r="F393" i="1" a="1"/>
  <c r="F393" i="1" s="1"/>
  <c r="AA392" i="1"/>
  <c r="AE392" i="1" s="1"/>
  <c r="X392" i="1"/>
  <c r="O392" i="1"/>
  <c r="L392" i="1" a="1"/>
  <c r="L392" i="1" s="1"/>
  <c r="K392" i="1" a="1"/>
  <c r="K392" i="1" s="1"/>
  <c r="J392" i="1" a="1"/>
  <c r="J392" i="1" s="1"/>
  <c r="I392" i="1" a="1"/>
  <c r="I392" i="1" s="1"/>
  <c r="H392" i="1" a="1"/>
  <c r="H392" i="1" s="1"/>
  <c r="F392" i="1" a="1"/>
  <c r="F392" i="1" s="1"/>
  <c r="AA391" i="1"/>
  <c r="AB391" i="1" s="1"/>
  <c r="X391" i="1"/>
  <c r="O391" i="1"/>
  <c r="L391" i="1" a="1"/>
  <c r="L391" i="1" s="1"/>
  <c r="K391" i="1" a="1"/>
  <c r="K391" i="1" s="1"/>
  <c r="J391" i="1"/>
  <c r="J391" i="1" a="1"/>
  <c r="I391" i="1" a="1"/>
  <c r="I391" i="1" s="1"/>
  <c r="H391" i="1" a="1"/>
  <c r="H391" i="1" s="1"/>
  <c r="F391" i="1" a="1"/>
  <c r="F391" i="1" s="1"/>
  <c r="AA390" i="1"/>
  <c r="AB390" i="1" s="1"/>
  <c r="X390" i="1"/>
  <c r="O390" i="1"/>
  <c r="L390" i="1" a="1"/>
  <c r="L390" i="1" s="1"/>
  <c r="K390" i="1" a="1"/>
  <c r="K390" i="1" s="1"/>
  <c r="J390" i="1" a="1"/>
  <c r="J390" i="1" s="1"/>
  <c r="I390" i="1" a="1"/>
  <c r="I390" i="1" s="1"/>
  <c r="H390" i="1" a="1"/>
  <c r="H390" i="1" s="1"/>
  <c r="F390" i="1" a="1"/>
  <c r="F390" i="1" s="1"/>
  <c r="AA389" i="1"/>
  <c r="AE389" i="1" s="1"/>
  <c r="X389" i="1"/>
  <c r="O389" i="1"/>
  <c r="L389" i="1" a="1"/>
  <c r="L389" i="1" s="1"/>
  <c r="K389" i="1"/>
  <c r="K389" i="1" a="1"/>
  <c r="J389" i="1" a="1"/>
  <c r="J389" i="1" s="1"/>
  <c r="I389" i="1" a="1"/>
  <c r="I389" i="1" s="1"/>
  <c r="H389" i="1" a="1"/>
  <c r="H389" i="1" s="1"/>
  <c r="F389" i="1"/>
  <c r="F389" i="1" a="1"/>
  <c r="AA388" i="1"/>
  <c r="AE388" i="1" s="1"/>
  <c r="X388" i="1"/>
  <c r="O388" i="1"/>
  <c r="L388" i="1" a="1"/>
  <c r="L388" i="1" s="1"/>
  <c r="K388" i="1" a="1"/>
  <c r="K388" i="1" s="1"/>
  <c r="J388" i="1" a="1"/>
  <c r="J388" i="1" s="1"/>
  <c r="I388" i="1" a="1"/>
  <c r="I388" i="1" s="1"/>
  <c r="H388" i="1" a="1"/>
  <c r="H388" i="1" s="1"/>
  <c r="F388" i="1" a="1"/>
  <c r="F388" i="1" s="1"/>
  <c r="AB387" i="1"/>
  <c r="AA387" i="1"/>
  <c r="AE387" i="1" s="1"/>
  <c r="X387" i="1"/>
  <c r="O387" i="1"/>
  <c r="L387" i="1"/>
  <c r="L387" i="1" a="1"/>
  <c r="K387" i="1" a="1"/>
  <c r="K387" i="1" s="1"/>
  <c r="J387" i="1" a="1"/>
  <c r="J387" i="1" s="1"/>
  <c r="I387" i="1" a="1"/>
  <c r="I387" i="1" s="1"/>
  <c r="H387" i="1"/>
  <c r="H387" i="1" a="1"/>
  <c r="F387" i="1" a="1"/>
  <c r="F387" i="1" s="1"/>
  <c r="AA386" i="1"/>
  <c r="AB386" i="1" s="1"/>
  <c r="X386" i="1"/>
  <c r="O386" i="1"/>
  <c r="K386" i="1" a="1"/>
  <c r="K386" i="1" s="1"/>
  <c r="J386" i="1" a="1"/>
  <c r="J386" i="1" s="1"/>
  <c r="I386" i="1" a="1"/>
  <c r="I386" i="1" s="1"/>
  <c r="H386" i="1" a="1"/>
  <c r="H386" i="1" s="1"/>
  <c r="F386" i="1" a="1"/>
  <c r="F386" i="1" s="1"/>
  <c r="AE385" i="1"/>
  <c r="AA385" i="1"/>
  <c r="AB385" i="1" s="1"/>
  <c r="X385" i="1"/>
  <c r="O385" i="1"/>
  <c r="K385" i="1" a="1"/>
  <c r="K385" i="1" s="1"/>
  <c r="J385" i="1" a="1"/>
  <c r="J385" i="1" s="1"/>
  <c r="I385" i="1" a="1"/>
  <c r="I385" i="1" s="1"/>
  <c r="H385" i="1" a="1"/>
  <c r="H385" i="1" s="1"/>
  <c r="F385" i="1" a="1"/>
  <c r="F385" i="1" s="1"/>
  <c r="AE384" i="1"/>
  <c r="AA384" i="1"/>
  <c r="AB384" i="1" s="1"/>
  <c r="X384" i="1"/>
  <c r="O384" i="1"/>
  <c r="K384" i="1" a="1"/>
  <c r="K384" i="1" s="1"/>
  <c r="J384" i="1" a="1"/>
  <c r="J384" i="1" s="1"/>
  <c r="I384" i="1" a="1"/>
  <c r="I384" i="1" s="1"/>
  <c r="H384" i="1" a="1"/>
  <c r="H384" i="1" s="1"/>
  <c r="F384" i="1" a="1"/>
  <c r="F384" i="1" s="1"/>
  <c r="AA383" i="1"/>
  <c r="X383" i="1"/>
  <c r="O383" i="1"/>
  <c r="K383" i="1" a="1"/>
  <c r="K383" i="1" s="1"/>
  <c r="J383" i="1" a="1"/>
  <c r="J383" i="1" s="1"/>
  <c r="I383" i="1" a="1"/>
  <c r="I383" i="1" s="1"/>
  <c r="H383" i="1" a="1"/>
  <c r="H383" i="1" s="1"/>
  <c r="F383" i="1" a="1"/>
  <c r="F383" i="1" s="1"/>
  <c r="AA382" i="1"/>
  <c r="AB382" i="1" s="1"/>
  <c r="X382" i="1"/>
  <c r="O382" i="1"/>
  <c r="K382" i="1" a="1"/>
  <c r="K382" i="1" s="1"/>
  <c r="J382" i="1" a="1"/>
  <c r="J382" i="1" s="1"/>
  <c r="I382" i="1" a="1"/>
  <c r="I382" i="1" s="1"/>
  <c r="H382" i="1" a="1"/>
  <c r="H382" i="1" s="1"/>
  <c r="F382" i="1" a="1"/>
  <c r="F382" i="1" s="1"/>
  <c r="AA381" i="1"/>
  <c r="X381" i="1"/>
  <c r="O381" i="1"/>
  <c r="K381" i="1" a="1"/>
  <c r="K381" i="1" s="1"/>
  <c r="J381" i="1"/>
  <c r="J381" i="1" a="1"/>
  <c r="I381" i="1" a="1"/>
  <c r="I381" i="1" s="1"/>
  <c r="H381" i="1" a="1"/>
  <c r="H381" i="1" s="1"/>
  <c r="F381" i="1" a="1"/>
  <c r="F381" i="1" s="1"/>
  <c r="AA380" i="1"/>
  <c r="AB380" i="1" s="1"/>
  <c r="X380" i="1"/>
  <c r="O380" i="1"/>
  <c r="J380" i="1" a="1"/>
  <c r="J380" i="1" s="1"/>
  <c r="I380" i="1" a="1"/>
  <c r="I380" i="1" s="1"/>
  <c r="H380" i="1" a="1"/>
  <c r="H380" i="1" s="1"/>
  <c r="F380" i="1" a="1"/>
  <c r="F380" i="1" s="1"/>
  <c r="AA379" i="1"/>
  <c r="AE379" i="1" s="1"/>
  <c r="X379" i="1"/>
  <c r="O379" i="1"/>
  <c r="K379" i="1" a="1"/>
  <c r="K379" i="1" s="1"/>
  <c r="J379" i="1" a="1"/>
  <c r="J379" i="1" s="1"/>
  <c r="I379" i="1" a="1"/>
  <c r="I379" i="1" s="1"/>
  <c r="H379" i="1" a="1"/>
  <c r="H379" i="1" s="1"/>
  <c r="F379" i="1" a="1"/>
  <c r="F379" i="1" s="1"/>
  <c r="AA378" i="1"/>
  <c r="AE378" i="1" s="1"/>
  <c r="X378" i="1"/>
  <c r="O378" i="1"/>
  <c r="K378" i="1" a="1"/>
  <c r="K378" i="1" s="1"/>
  <c r="J378" i="1" a="1"/>
  <c r="J378" i="1" s="1"/>
  <c r="I378" i="1" a="1"/>
  <c r="I378" i="1" s="1"/>
  <c r="H378" i="1" a="1"/>
  <c r="H378" i="1" s="1"/>
  <c r="F378" i="1"/>
  <c r="F378" i="1" a="1"/>
  <c r="AA377" i="1"/>
  <c r="AE377" i="1" s="1"/>
  <c r="X377" i="1"/>
  <c r="O377" i="1"/>
  <c r="K377" i="1" a="1"/>
  <c r="K377" i="1" s="1"/>
  <c r="J377" i="1" a="1"/>
  <c r="J377" i="1" s="1"/>
  <c r="I377" i="1" a="1"/>
  <c r="I377" i="1" s="1"/>
  <c r="H377" i="1" a="1"/>
  <c r="H377" i="1" s="1"/>
  <c r="F377" i="1" a="1"/>
  <c r="F377" i="1" s="1"/>
  <c r="AA376" i="1"/>
  <c r="AE376" i="1" s="1"/>
  <c r="X376" i="1"/>
  <c r="O376" i="1"/>
  <c r="K376" i="1" a="1"/>
  <c r="K376" i="1" s="1"/>
  <c r="I376" i="1" a="1"/>
  <c r="I376" i="1" s="1"/>
  <c r="H376" i="1" a="1"/>
  <c r="H376" i="1" s="1"/>
  <c r="F376" i="1" a="1"/>
  <c r="F376" i="1" s="1"/>
  <c r="AA375" i="1"/>
  <c r="AB375" i="1" s="1"/>
  <c r="X375" i="1"/>
  <c r="O375" i="1"/>
  <c r="K375" i="1" a="1"/>
  <c r="K375" i="1" s="1"/>
  <c r="I375" i="1" a="1"/>
  <c r="I375" i="1" s="1"/>
  <c r="H375" i="1" a="1"/>
  <c r="H375" i="1" s="1"/>
  <c r="F375" i="1" a="1"/>
  <c r="F375" i="1" s="1"/>
  <c r="AA374" i="1"/>
  <c r="X374" i="1"/>
  <c r="O374" i="1"/>
  <c r="K374" i="1" a="1"/>
  <c r="K374" i="1" s="1"/>
  <c r="I374" i="1" a="1"/>
  <c r="I374" i="1" s="1"/>
  <c r="H374" i="1" a="1"/>
  <c r="H374" i="1" s="1"/>
  <c r="F374" i="1" a="1"/>
  <c r="F374" i="1" s="1"/>
  <c r="AA373" i="1"/>
  <c r="AE373" i="1" s="1"/>
  <c r="X373" i="1"/>
  <c r="O373" i="1"/>
  <c r="K373" i="1" a="1"/>
  <c r="K373" i="1" s="1"/>
  <c r="J373" i="1" a="1"/>
  <c r="J373" i="1" s="1"/>
  <c r="I373" i="1" a="1"/>
  <c r="I373" i="1" s="1"/>
  <c r="H373" i="1" a="1"/>
  <c r="H373" i="1" s="1"/>
  <c r="F373" i="1" a="1"/>
  <c r="F373" i="1" s="1"/>
  <c r="AA372" i="1"/>
  <c r="AE372" i="1" s="1"/>
  <c r="X372" i="1"/>
  <c r="O372" i="1"/>
  <c r="K372" i="1" a="1"/>
  <c r="K372" i="1" s="1"/>
  <c r="J372" i="1"/>
  <c r="J372" i="1" a="1"/>
  <c r="I372" i="1" a="1"/>
  <c r="I372" i="1" s="1"/>
  <c r="H372" i="1" a="1"/>
  <c r="H372" i="1" s="1"/>
  <c r="F372" i="1" a="1"/>
  <c r="F372" i="1" s="1"/>
  <c r="AA371" i="1"/>
  <c r="AB371" i="1" s="1"/>
  <c r="X371" i="1"/>
  <c r="O371" i="1"/>
  <c r="K371" i="1" a="1"/>
  <c r="K371" i="1" s="1"/>
  <c r="J371" i="1" a="1"/>
  <c r="J371" i="1" s="1"/>
  <c r="I371" i="1" a="1"/>
  <c r="I371" i="1" s="1"/>
  <c r="H371" i="1" a="1"/>
  <c r="H371" i="1" s="1"/>
  <c r="F371" i="1" a="1"/>
  <c r="F371" i="1" s="1"/>
  <c r="AA370" i="1"/>
  <c r="AE370" i="1" s="1"/>
  <c r="X370" i="1"/>
  <c r="O370" i="1"/>
  <c r="K370" i="1" a="1"/>
  <c r="K370" i="1" s="1"/>
  <c r="J370" i="1" a="1"/>
  <c r="J370" i="1" s="1"/>
  <c r="I370" i="1" a="1"/>
  <c r="I370" i="1" s="1"/>
  <c r="H370" i="1" a="1"/>
  <c r="H370" i="1" s="1"/>
  <c r="F370" i="1" a="1"/>
  <c r="F370" i="1" s="1"/>
  <c r="AA369" i="1"/>
  <c r="AE369" i="1" s="1"/>
  <c r="X369" i="1"/>
  <c r="O369" i="1"/>
  <c r="K369" i="1" a="1"/>
  <c r="K369" i="1" s="1"/>
  <c r="J369" i="1" a="1"/>
  <c r="J369" i="1" s="1"/>
  <c r="I369" i="1" a="1"/>
  <c r="I369" i="1" s="1"/>
  <c r="H369" i="1" a="1"/>
  <c r="H369" i="1" s="1"/>
  <c r="F369" i="1" a="1"/>
  <c r="F369" i="1" s="1"/>
  <c r="AA368" i="1"/>
  <c r="AE368" i="1" s="1"/>
  <c r="X368" i="1"/>
  <c r="O368" i="1"/>
  <c r="K368" i="1" a="1"/>
  <c r="K368" i="1" s="1"/>
  <c r="J368" i="1" a="1"/>
  <c r="J368" i="1" s="1"/>
  <c r="I368" i="1" a="1"/>
  <c r="I368" i="1" s="1"/>
  <c r="H368" i="1" a="1"/>
  <c r="H368" i="1" s="1"/>
  <c r="F368" i="1" a="1"/>
  <c r="F368" i="1" s="1"/>
  <c r="AE367" i="1"/>
  <c r="AA367" i="1"/>
  <c r="AB367" i="1" s="1"/>
  <c r="X367" i="1"/>
  <c r="O367" i="1"/>
  <c r="L367" i="1" a="1"/>
  <c r="L367" i="1" s="1"/>
  <c r="K367" i="1" a="1"/>
  <c r="K367" i="1" s="1"/>
  <c r="J367" i="1" a="1"/>
  <c r="J367" i="1" s="1"/>
  <c r="I367" i="1" a="1"/>
  <c r="I367" i="1" s="1"/>
  <c r="H367" i="1" a="1"/>
  <c r="H367" i="1" s="1"/>
  <c r="F367" i="1" a="1"/>
  <c r="F367" i="1" s="1"/>
  <c r="AA366" i="1"/>
  <c r="AE366" i="1" s="1"/>
  <c r="X366" i="1"/>
  <c r="O366" i="1"/>
  <c r="K366" i="1" a="1"/>
  <c r="K366" i="1" s="1"/>
  <c r="J366" i="1" a="1"/>
  <c r="J366" i="1" s="1"/>
  <c r="I366" i="1" a="1"/>
  <c r="I366" i="1" s="1"/>
  <c r="H366" i="1" a="1"/>
  <c r="H366" i="1" s="1"/>
  <c r="F366" i="1" a="1"/>
  <c r="F366" i="1" s="1"/>
  <c r="AA365" i="1"/>
  <c r="AB365" i="1" s="1"/>
  <c r="X365" i="1"/>
  <c r="O365" i="1"/>
  <c r="K365" i="1" a="1"/>
  <c r="K365" i="1" s="1"/>
  <c r="J365" i="1" a="1"/>
  <c r="J365" i="1" s="1"/>
  <c r="I365" i="1" a="1"/>
  <c r="I365" i="1" s="1"/>
  <c r="H365" i="1" a="1"/>
  <c r="H365" i="1" s="1"/>
  <c r="F365" i="1" a="1"/>
  <c r="F365" i="1" s="1"/>
  <c r="AA364" i="1"/>
  <c r="AE364" i="1" s="1"/>
  <c r="X364" i="1"/>
  <c r="O364" i="1"/>
  <c r="K364" i="1" a="1"/>
  <c r="K364" i="1" s="1"/>
  <c r="J364" i="1" a="1"/>
  <c r="J364" i="1" s="1"/>
  <c r="I364" i="1" a="1"/>
  <c r="I364" i="1" s="1"/>
  <c r="H364" i="1" a="1"/>
  <c r="H364" i="1" s="1"/>
  <c r="F364" i="1" a="1"/>
  <c r="F364" i="1" s="1"/>
  <c r="AA363" i="1"/>
  <c r="AE363" i="1" s="1"/>
  <c r="X363" i="1"/>
  <c r="O363" i="1"/>
  <c r="K363" i="1" a="1"/>
  <c r="K363" i="1" s="1"/>
  <c r="J363" i="1" a="1"/>
  <c r="J363" i="1" s="1"/>
  <c r="I363" i="1" a="1"/>
  <c r="I363" i="1" s="1"/>
  <c r="H363" i="1" a="1"/>
  <c r="H363" i="1" s="1"/>
  <c r="F363" i="1" a="1"/>
  <c r="F363" i="1" s="1"/>
  <c r="AA362" i="1"/>
  <c r="AE362" i="1" s="1"/>
  <c r="X362" i="1"/>
  <c r="O362" i="1"/>
  <c r="K362" i="1" a="1"/>
  <c r="K362" i="1" s="1"/>
  <c r="J362" i="1" a="1"/>
  <c r="J362" i="1" s="1"/>
  <c r="I362" i="1" a="1"/>
  <c r="I362" i="1" s="1"/>
  <c r="H362" i="1" a="1"/>
  <c r="H362" i="1" s="1"/>
  <c r="F362" i="1" a="1"/>
  <c r="F362" i="1" s="1"/>
  <c r="AE361" i="1"/>
  <c r="AA361" i="1"/>
  <c r="AB361" i="1" s="1"/>
  <c r="X361" i="1"/>
  <c r="O361" i="1"/>
  <c r="K361" i="1" a="1"/>
  <c r="K361" i="1" s="1"/>
  <c r="J361" i="1" a="1"/>
  <c r="J361" i="1" s="1"/>
  <c r="I361" i="1" a="1"/>
  <c r="I361" i="1" s="1"/>
  <c r="H361" i="1" a="1"/>
  <c r="H361" i="1" s="1"/>
  <c r="F361" i="1" a="1"/>
  <c r="F361" i="1" s="1"/>
  <c r="AA360" i="1"/>
  <c r="AE360" i="1" s="1"/>
  <c r="X360" i="1"/>
  <c r="O360" i="1"/>
  <c r="K360" i="1" a="1"/>
  <c r="K360" i="1" s="1"/>
  <c r="J360" i="1" a="1"/>
  <c r="J360" i="1" s="1"/>
  <c r="I360" i="1" a="1"/>
  <c r="I360" i="1" s="1"/>
  <c r="H360" i="1" a="1"/>
  <c r="H360" i="1" s="1"/>
  <c r="F360" i="1"/>
  <c r="F360" i="1" a="1"/>
  <c r="AA359" i="1"/>
  <c r="AE359" i="1" s="1"/>
  <c r="X359" i="1"/>
  <c r="O359" i="1"/>
  <c r="K359" i="1" a="1"/>
  <c r="K359" i="1" s="1"/>
  <c r="J359" i="1" a="1"/>
  <c r="J359" i="1" s="1"/>
  <c r="I359" i="1" a="1"/>
  <c r="I359" i="1" s="1"/>
  <c r="H359" i="1" a="1"/>
  <c r="H359" i="1" s="1"/>
  <c r="F359" i="1" a="1"/>
  <c r="F359" i="1" s="1"/>
  <c r="AA358" i="1"/>
  <c r="AE358" i="1" s="1"/>
  <c r="X358" i="1"/>
  <c r="O358" i="1"/>
  <c r="K358" i="1" a="1"/>
  <c r="K358" i="1" s="1"/>
  <c r="J358" i="1" a="1"/>
  <c r="J358" i="1" s="1"/>
  <c r="I358" i="1" a="1"/>
  <c r="I358" i="1" s="1"/>
  <c r="H358" i="1"/>
  <c r="H358" i="1" a="1"/>
  <c r="F358" i="1" a="1"/>
  <c r="F358" i="1" s="1"/>
  <c r="AE357" i="1"/>
  <c r="AA357" i="1"/>
  <c r="AB357" i="1" s="1"/>
  <c r="X357" i="1"/>
  <c r="O357" i="1"/>
  <c r="L357" i="1" a="1"/>
  <c r="L357" i="1" s="1"/>
  <c r="K357" i="1" a="1"/>
  <c r="K357" i="1" s="1"/>
  <c r="J357" i="1" a="1"/>
  <c r="J357" i="1" s="1"/>
  <c r="I357" i="1" a="1"/>
  <c r="I357" i="1" s="1"/>
  <c r="H357" i="1" a="1"/>
  <c r="H357" i="1" s="1"/>
  <c r="F357" i="1" a="1"/>
  <c r="F357" i="1" s="1"/>
  <c r="AA356" i="1"/>
  <c r="AE356" i="1" s="1"/>
  <c r="X356" i="1"/>
  <c r="O356" i="1"/>
  <c r="K356" i="1" a="1"/>
  <c r="K356" i="1" s="1"/>
  <c r="J356" i="1" a="1"/>
  <c r="J356" i="1" s="1"/>
  <c r="I356" i="1" a="1"/>
  <c r="I356" i="1" s="1"/>
  <c r="H356" i="1"/>
  <c r="H356" i="1" a="1"/>
  <c r="F356" i="1" a="1"/>
  <c r="F356" i="1" s="1"/>
  <c r="AA355" i="1"/>
  <c r="AB355" i="1" s="1"/>
  <c r="X355" i="1"/>
  <c r="O355" i="1"/>
  <c r="K355" i="1" a="1"/>
  <c r="K355" i="1" s="1"/>
  <c r="J355" i="1" a="1"/>
  <c r="J355" i="1" s="1"/>
  <c r="I355" i="1" a="1"/>
  <c r="I355" i="1" s="1"/>
  <c r="H355" i="1" a="1"/>
  <c r="H355" i="1" s="1"/>
  <c r="F355" i="1" a="1"/>
  <c r="F355" i="1" s="1"/>
  <c r="AA354" i="1"/>
  <c r="AE354" i="1" s="1"/>
  <c r="X354" i="1"/>
  <c r="O354" i="1"/>
  <c r="K354" i="1" a="1"/>
  <c r="K354" i="1" s="1"/>
  <c r="J354" i="1" a="1"/>
  <c r="J354" i="1" s="1"/>
  <c r="I354" i="1"/>
  <c r="I354" i="1" a="1"/>
  <c r="H354" i="1" a="1"/>
  <c r="H354" i="1" s="1"/>
  <c r="F354" i="1"/>
  <c r="F354" i="1" a="1"/>
  <c r="AA353" i="1"/>
  <c r="AE353" i="1" s="1"/>
  <c r="X353" i="1"/>
  <c r="O353" i="1"/>
  <c r="K353" i="1" a="1"/>
  <c r="K353" i="1" s="1"/>
  <c r="J353" i="1" a="1"/>
  <c r="J353" i="1" s="1"/>
  <c r="I353" i="1" a="1"/>
  <c r="I353" i="1" s="1"/>
  <c r="H353" i="1" a="1"/>
  <c r="H353" i="1" s="1"/>
  <c r="F353" i="1" a="1"/>
  <c r="F353" i="1" s="1"/>
  <c r="AA352" i="1"/>
  <c r="AE352" i="1" s="1"/>
  <c r="X352" i="1"/>
  <c r="O352" i="1"/>
  <c r="K352" i="1" a="1"/>
  <c r="K352" i="1" s="1"/>
  <c r="J352" i="1" a="1"/>
  <c r="J352" i="1" s="1"/>
  <c r="I352" i="1" a="1"/>
  <c r="I352" i="1" s="1"/>
  <c r="H352" i="1"/>
  <c r="H352" i="1" a="1"/>
  <c r="F352" i="1" a="1"/>
  <c r="F352" i="1" s="1"/>
  <c r="AA351" i="1"/>
  <c r="AB351" i="1" s="1"/>
  <c r="X351" i="1"/>
  <c r="O351" i="1"/>
  <c r="K351" i="1" a="1"/>
  <c r="K351" i="1" s="1"/>
  <c r="J351" i="1" a="1"/>
  <c r="J351" i="1" s="1"/>
  <c r="I351" i="1" a="1"/>
  <c r="I351" i="1" s="1"/>
  <c r="H351" i="1" a="1"/>
  <c r="H351" i="1" s="1"/>
  <c r="F351" i="1" a="1"/>
  <c r="F351" i="1" s="1"/>
  <c r="AA350" i="1"/>
  <c r="AE350" i="1" s="1"/>
  <c r="X350" i="1"/>
  <c r="O350" i="1"/>
  <c r="K350" i="1" a="1"/>
  <c r="K350" i="1" s="1"/>
  <c r="J350" i="1" a="1"/>
  <c r="J350" i="1" s="1"/>
  <c r="I350" i="1"/>
  <c r="I350" i="1" a="1"/>
  <c r="H350" i="1" a="1"/>
  <c r="H350" i="1" s="1"/>
  <c r="F350" i="1"/>
  <c r="F350" i="1" a="1"/>
  <c r="AA349" i="1"/>
  <c r="AE349" i="1" s="1"/>
  <c r="X349" i="1"/>
  <c r="O349" i="1"/>
  <c r="K349" i="1" a="1"/>
  <c r="K349" i="1" s="1"/>
  <c r="J349" i="1" a="1"/>
  <c r="J349" i="1" s="1"/>
  <c r="I349" i="1" a="1"/>
  <c r="I349" i="1" s="1"/>
  <c r="H349" i="1" a="1"/>
  <c r="H349" i="1" s="1"/>
  <c r="F349" i="1" a="1"/>
  <c r="F349" i="1" s="1"/>
  <c r="AA348" i="1"/>
  <c r="AE348" i="1" s="1"/>
  <c r="X348" i="1"/>
  <c r="O348" i="1"/>
  <c r="K348" i="1" a="1"/>
  <c r="K348" i="1" s="1"/>
  <c r="J348" i="1" a="1"/>
  <c r="J348" i="1" s="1"/>
  <c r="I348" i="1" a="1"/>
  <c r="I348" i="1" s="1"/>
  <c r="H348" i="1"/>
  <c r="H348" i="1" a="1"/>
  <c r="F348" i="1" a="1"/>
  <c r="F348" i="1" s="1"/>
  <c r="AA347" i="1"/>
  <c r="AB347" i="1" s="1"/>
  <c r="X347" i="1"/>
  <c r="O347" i="1"/>
  <c r="K347" i="1" a="1"/>
  <c r="K347" i="1" s="1"/>
  <c r="J347" i="1" a="1"/>
  <c r="J347" i="1" s="1"/>
  <c r="I347" i="1" a="1"/>
  <c r="I347" i="1" s="1"/>
  <c r="H347" i="1" a="1"/>
  <c r="H347" i="1" s="1"/>
  <c r="F347" i="1" a="1"/>
  <c r="F347" i="1" s="1"/>
  <c r="AA346" i="1"/>
  <c r="AE346" i="1" s="1"/>
  <c r="X346" i="1"/>
  <c r="O346" i="1"/>
  <c r="K346" i="1" a="1"/>
  <c r="K346" i="1" s="1"/>
  <c r="J346" i="1" a="1"/>
  <c r="J346" i="1" s="1"/>
  <c r="I346" i="1"/>
  <c r="I346" i="1" a="1"/>
  <c r="H346" i="1" a="1"/>
  <c r="H346" i="1" s="1"/>
  <c r="F346" i="1"/>
  <c r="F346" i="1" a="1"/>
  <c r="AA345" i="1"/>
  <c r="AE345" i="1" s="1"/>
  <c r="X345" i="1"/>
  <c r="O345" i="1"/>
  <c r="K345" i="1" a="1"/>
  <c r="K345" i="1" s="1"/>
  <c r="J345" i="1" a="1"/>
  <c r="J345" i="1" s="1"/>
  <c r="I345" i="1" a="1"/>
  <c r="I345" i="1" s="1"/>
  <c r="H345" i="1" a="1"/>
  <c r="H345" i="1" s="1"/>
  <c r="F345" i="1" a="1"/>
  <c r="F345" i="1" s="1"/>
  <c r="AA344" i="1"/>
  <c r="AE344" i="1" s="1"/>
  <c r="X344" i="1"/>
  <c r="O344" i="1"/>
  <c r="K344" i="1" a="1"/>
  <c r="K344" i="1" s="1"/>
  <c r="J344" i="1" a="1"/>
  <c r="J344" i="1" s="1"/>
  <c r="I344" i="1" a="1"/>
  <c r="I344" i="1" s="1"/>
  <c r="H344" i="1"/>
  <c r="H344" i="1" a="1"/>
  <c r="F344" i="1" a="1"/>
  <c r="F344" i="1" s="1"/>
  <c r="AA343" i="1"/>
  <c r="AB343" i="1" s="1"/>
  <c r="X343" i="1"/>
  <c r="O343" i="1"/>
  <c r="L343" i="1" a="1"/>
  <c r="L343" i="1" s="1"/>
  <c r="K343" i="1" a="1"/>
  <c r="K343" i="1" s="1"/>
  <c r="J343" i="1" a="1"/>
  <c r="J343" i="1" s="1"/>
  <c r="I343" i="1" a="1"/>
  <c r="I343" i="1" s="1"/>
  <c r="H343" i="1" a="1"/>
  <c r="H343" i="1" s="1"/>
  <c r="F343" i="1" a="1"/>
  <c r="F343" i="1" s="1"/>
  <c r="AA342" i="1"/>
  <c r="AE342" i="1" s="1"/>
  <c r="X342" i="1"/>
  <c r="O342" i="1"/>
  <c r="K342" i="1" a="1"/>
  <c r="K342" i="1" s="1"/>
  <c r="J342" i="1" a="1"/>
  <c r="J342" i="1" s="1"/>
  <c r="I342" i="1" a="1"/>
  <c r="I342" i="1" s="1"/>
  <c r="H342" i="1" a="1"/>
  <c r="H342" i="1" s="1"/>
  <c r="F342" i="1" a="1"/>
  <c r="F342" i="1" s="1"/>
  <c r="AA341" i="1"/>
  <c r="AB341" i="1" s="1"/>
  <c r="X341" i="1"/>
  <c r="O341" i="1"/>
  <c r="K341" i="1" a="1"/>
  <c r="K341" i="1" s="1"/>
  <c r="J341" i="1" a="1"/>
  <c r="J341" i="1" s="1"/>
  <c r="I341" i="1" a="1"/>
  <c r="I341" i="1" s="1"/>
  <c r="H341" i="1" a="1"/>
  <c r="H341" i="1" s="1"/>
  <c r="F341" i="1" a="1"/>
  <c r="F341" i="1" s="1"/>
  <c r="AA340" i="1"/>
  <c r="AE340" i="1" s="1"/>
  <c r="X340" i="1"/>
  <c r="O340" i="1"/>
  <c r="K340" i="1" a="1"/>
  <c r="K340" i="1" s="1"/>
  <c r="J340" i="1" a="1"/>
  <c r="J340" i="1" s="1"/>
  <c r="I340" i="1"/>
  <c r="I340" i="1" a="1"/>
  <c r="H340" i="1" a="1"/>
  <c r="H340" i="1" s="1"/>
  <c r="F340" i="1" a="1"/>
  <c r="F340" i="1" s="1"/>
  <c r="AA339" i="1"/>
  <c r="AE339" i="1" s="1"/>
  <c r="X339" i="1"/>
  <c r="O339" i="1"/>
  <c r="K339" i="1" a="1"/>
  <c r="K339" i="1" s="1"/>
  <c r="J339" i="1" a="1"/>
  <c r="J339" i="1" s="1"/>
  <c r="I339" i="1" a="1"/>
  <c r="I339" i="1" s="1"/>
  <c r="H339" i="1" a="1"/>
  <c r="H339" i="1" s="1"/>
  <c r="F339" i="1" a="1"/>
  <c r="F339" i="1" s="1"/>
  <c r="AA338" i="1"/>
  <c r="AE338" i="1" s="1"/>
  <c r="X338" i="1"/>
  <c r="O338" i="1"/>
  <c r="J338" i="1"/>
  <c r="J338" i="1" a="1"/>
  <c r="I338" i="1" a="1"/>
  <c r="I338" i="1" s="1"/>
  <c r="H338" i="1" a="1"/>
  <c r="H338" i="1" s="1"/>
  <c r="F338" i="1" a="1"/>
  <c r="F338" i="1" s="1"/>
  <c r="AA337" i="1"/>
  <c r="X337" i="1"/>
  <c r="O337" i="1"/>
  <c r="K337" i="1" a="1"/>
  <c r="K337" i="1" s="1"/>
  <c r="I337" i="1" a="1"/>
  <c r="I337" i="1" s="1"/>
  <c r="H337" i="1" a="1"/>
  <c r="H337" i="1" s="1"/>
  <c r="F337" i="1" a="1"/>
  <c r="F337" i="1" s="1"/>
  <c r="AE336" i="1"/>
  <c r="AA336" i="1"/>
  <c r="AB336" i="1" s="1"/>
  <c r="X336" i="1"/>
  <c r="O336" i="1"/>
  <c r="K336" i="1" a="1"/>
  <c r="K336" i="1" s="1"/>
  <c r="I336" i="1" a="1"/>
  <c r="I336" i="1" s="1"/>
  <c r="H336" i="1" a="1"/>
  <c r="H336" i="1" s="1"/>
  <c r="F336" i="1" a="1"/>
  <c r="F336" i="1" s="1"/>
  <c r="AA335" i="1"/>
  <c r="AE335" i="1" s="1"/>
  <c r="X335" i="1"/>
  <c r="O335" i="1"/>
  <c r="K335" i="1" a="1"/>
  <c r="K335" i="1" s="1"/>
  <c r="I335" i="1" a="1"/>
  <c r="I335" i="1" s="1"/>
  <c r="H335" i="1" a="1"/>
  <c r="H335" i="1" s="1"/>
  <c r="F335" i="1" a="1"/>
  <c r="F335" i="1" s="1"/>
  <c r="AA334" i="1"/>
  <c r="AE334" i="1" s="1"/>
  <c r="X334" i="1"/>
  <c r="O334" i="1"/>
  <c r="K334" i="1" a="1"/>
  <c r="K334" i="1" s="1"/>
  <c r="J334" i="1" a="1"/>
  <c r="J334" i="1" s="1"/>
  <c r="I334" i="1" a="1"/>
  <c r="I334" i="1" s="1"/>
  <c r="H334" i="1"/>
  <c r="H334" i="1" a="1"/>
  <c r="F334" i="1" a="1"/>
  <c r="F334" i="1" s="1"/>
  <c r="AE333" i="1"/>
  <c r="AA333" i="1"/>
  <c r="AB333" i="1" s="1"/>
  <c r="X333" i="1"/>
  <c r="O333" i="1"/>
  <c r="K333" i="1" a="1"/>
  <c r="K333" i="1" s="1"/>
  <c r="J333" i="1" a="1"/>
  <c r="J333" i="1" s="1"/>
  <c r="I333" i="1" a="1"/>
  <c r="I333" i="1" s="1"/>
  <c r="H333" i="1" a="1"/>
  <c r="H333" i="1" s="1"/>
  <c r="F333" i="1" a="1"/>
  <c r="F333" i="1" s="1"/>
  <c r="AA332" i="1"/>
  <c r="AE332" i="1" s="1"/>
  <c r="X332" i="1"/>
  <c r="O332" i="1"/>
  <c r="K332" i="1" a="1"/>
  <c r="K332" i="1" s="1"/>
  <c r="I332" i="1"/>
  <c r="I332" i="1" a="1"/>
  <c r="H332" i="1" a="1"/>
  <c r="H332" i="1" s="1"/>
  <c r="F332" i="1" a="1"/>
  <c r="F332" i="1" s="1"/>
  <c r="AA331" i="1"/>
  <c r="AE331" i="1" s="1"/>
  <c r="X331" i="1"/>
  <c r="O331" i="1"/>
  <c r="K331" i="1" a="1"/>
  <c r="K331" i="1" s="1"/>
  <c r="I331" i="1" a="1"/>
  <c r="I331" i="1" s="1"/>
  <c r="H331" i="1" a="1"/>
  <c r="H331" i="1" s="1"/>
  <c r="F331" i="1" a="1"/>
  <c r="F331" i="1" s="1"/>
  <c r="AA330" i="1"/>
  <c r="AE330" i="1" s="1"/>
  <c r="X330" i="1"/>
  <c r="O330" i="1"/>
  <c r="K330" i="1" a="1"/>
  <c r="K330" i="1" s="1"/>
  <c r="J330" i="1"/>
  <c r="J330" i="1" a="1"/>
  <c r="I330" i="1" a="1"/>
  <c r="I330" i="1" s="1"/>
  <c r="H330" i="1" a="1"/>
  <c r="H330" i="1" s="1"/>
  <c r="F330" i="1" a="1"/>
  <c r="F330" i="1" s="1"/>
  <c r="AA329" i="1"/>
  <c r="AB329" i="1" s="1"/>
  <c r="X329" i="1"/>
  <c r="O329" i="1"/>
  <c r="K329" i="1" a="1"/>
  <c r="K329" i="1" s="1"/>
  <c r="J329" i="1" a="1"/>
  <c r="J329" i="1" s="1"/>
  <c r="I329" i="1" a="1"/>
  <c r="I329" i="1" s="1"/>
  <c r="H329" i="1" a="1"/>
  <c r="H329" i="1" s="1"/>
  <c r="F329" i="1" a="1"/>
  <c r="F329" i="1" s="1"/>
  <c r="AA328" i="1"/>
  <c r="AE328" i="1" s="1"/>
  <c r="X328" i="1"/>
  <c r="O328" i="1"/>
  <c r="K328" i="1" a="1"/>
  <c r="K328" i="1" s="1"/>
  <c r="J328" i="1" a="1"/>
  <c r="J328" i="1" s="1"/>
  <c r="I328" i="1" a="1"/>
  <c r="I328" i="1" s="1"/>
  <c r="H328" i="1" a="1"/>
  <c r="H328" i="1" s="1"/>
  <c r="F328" i="1" a="1"/>
  <c r="F328" i="1" s="1"/>
  <c r="AA327" i="1"/>
  <c r="AE327" i="1" s="1"/>
  <c r="X327" i="1"/>
  <c r="O327" i="1"/>
  <c r="K327" i="1" a="1"/>
  <c r="K327" i="1" s="1"/>
  <c r="J327" i="1" a="1"/>
  <c r="J327" i="1" s="1"/>
  <c r="I327" i="1" a="1"/>
  <c r="I327" i="1" s="1"/>
  <c r="H327" i="1" a="1"/>
  <c r="H327" i="1" s="1"/>
  <c r="F327" i="1" a="1"/>
  <c r="F327" i="1" s="1"/>
  <c r="AA326" i="1"/>
  <c r="AE326" i="1" s="1"/>
  <c r="X326" i="1"/>
  <c r="O326" i="1"/>
  <c r="K326" i="1" a="1"/>
  <c r="K326" i="1" s="1"/>
  <c r="J326" i="1"/>
  <c r="J326" i="1" a="1"/>
  <c r="I326" i="1" a="1"/>
  <c r="I326" i="1" s="1"/>
  <c r="H326" i="1" a="1"/>
  <c r="H326" i="1" s="1"/>
  <c r="F326" i="1" a="1"/>
  <c r="F326" i="1" s="1"/>
  <c r="AA325" i="1"/>
  <c r="AB325" i="1" s="1"/>
  <c r="X325" i="1"/>
  <c r="O325" i="1"/>
  <c r="K325" i="1" a="1"/>
  <c r="K325" i="1" s="1"/>
  <c r="J325" i="1" a="1"/>
  <c r="J325" i="1" s="1"/>
  <c r="I325" i="1" a="1"/>
  <c r="I325" i="1" s="1"/>
  <c r="H325" i="1" a="1"/>
  <c r="H325" i="1" s="1"/>
  <c r="F325" i="1" a="1"/>
  <c r="F325" i="1" s="1"/>
  <c r="AA324" i="1"/>
  <c r="AE324" i="1" s="1"/>
  <c r="X324" i="1"/>
  <c r="O324" i="1"/>
  <c r="K324" i="1" a="1"/>
  <c r="K324" i="1" s="1"/>
  <c r="J324" i="1" a="1"/>
  <c r="J324" i="1" s="1"/>
  <c r="I324" i="1" a="1"/>
  <c r="I324" i="1" s="1"/>
  <c r="H324" i="1" a="1"/>
  <c r="H324" i="1" s="1"/>
  <c r="F324" i="1" a="1"/>
  <c r="F324" i="1" s="1"/>
  <c r="AA323" i="1"/>
  <c r="AE323" i="1" s="1"/>
  <c r="X323" i="1"/>
  <c r="O323" i="1"/>
  <c r="K323" i="1" a="1"/>
  <c r="K323" i="1" s="1"/>
  <c r="J323" i="1" a="1"/>
  <c r="J323" i="1" s="1"/>
  <c r="I323" i="1" a="1"/>
  <c r="I323" i="1" s="1"/>
  <c r="H323" i="1" a="1"/>
  <c r="H323" i="1" s="1"/>
  <c r="F323" i="1" a="1"/>
  <c r="F323" i="1" s="1"/>
  <c r="AA322" i="1"/>
  <c r="AE322" i="1" s="1"/>
  <c r="X322" i="1"/>
  <c r="O322" i="1"/>
  <c r="K322" i="1" a="1"/>
  <c r="K322" i="1" s="1"/>
  <c r="J322" i="1"/>
  <c r="J322" i="1" a="1"/>
  <c r="I322" i="1" a="1"/>
  <c r="I322" i="1" s="1"/>
  <c r="H322" i="1" a="1"/>
  <c r="H322" i="1" s="1"/>
  <c r="F322" i="1" a="1"/>
  <c r="F322" i="1" s="1"/>
  <c r="AA321" i="1"/>
  <c r="AB321" i="1" s="1"/>
  <c r="X321" i="1"/>
  <c r="O321" i="1"/>
  <c r="K321" i="1" a="1"/>
  <c r="K321" i="1" s="1"/>
  <c r="J321" i="1" a="1"/>
  <c r="J321" i="1" s="1"/>
  <c r="I321" i="1" a="1"/>
  <c r="I321" i="1" s="1"/>
  <c r="H321" i="1" a="1"/>
  <c r="H321" i="1" s="1"/>
  <c r="F321" i="1" a="1"/>
  <c r="F321" i="1" s="1"/>
  <c r="AA320" i="1"/>
  <c r="AE320" i="1" s="1"/>
  <c r="X320" i="1"/>
  <c r="O320" i="1"/>
  <c r="K320" i="1" a="1"/>
  <c r="K320" i="1" s="1"/>
  <c r="J320" i="1" a="1"/>
  <c r="J320" i="1" s="1"/>
  <c r="I320" i="1" a="1"/>
  <c r="I320" i="1" s="1"/>
  <c r="H320" i="1" a="1"/>
  <c r="H320" i="1" s="1"/>
  <c r="F320" i="1" a="1"/>
  <c r="F320" i="1" s="1"/>
  <c r="AA319" i="1"/>
  <c r="AE319" i="1" s="1"/>
  <c r="X319" i="1"/>
  <c r="O319" i="1"/>
  <c r="L319" i="1" a="1"/>
  <c r="L319" i="1" s="1"/>
  <c r="K319" i="1" a="1"/>
  <c r="K319" i="1" s="1"/>
  <c r="J319" i="1" a="1"/>
  <c r="J319" i="1" s="1"/>
  <c r="I319" i="1" a="1"/>
  <c r="I319" i="1" s="1"/>
  <c r="H319" i="1" a="1"/>
  <c r="H319" i="1" s="1"/>
  <c r="F319" i="1" a="1"/>
  <c r="F319" i="1" s="1"/>
  <c r="AA318" i="1"/>
  <c r="AE318" i="1" s="1"/>
  <c r="X318" i="1"/>
  <c r="O318" i="1"/>
  <c r="L318" i="1" a="1"/>
  <c r="L318" i="1" s="1"/>
  <c r="K318" i="1" a="1"/>
  <c r="K318" i="1" s="1"/>
  <c r="J318" i="1" a="1"/>
  <c r="J318" i="1" s="1"/>
  <c r="I318" i="1" a="1"/>
  <c r="I318" i="1" s="1"/>
  <c r="H318" i="1"/>
  <c r="H318" i="1" a="1"/>
  <c r="F318" i="1" a="1"/>
  <c r="F318" i="1" s="1"/>
  <c r="AA317" i="1"/>
  <c r="X317" i="1"/>
  <c r="O317" i="1"/>
  <c r="K317" i="1" a="1"/>
  <c r="K317" i="1" s="1"/>
  <c r="J317" i="1" a="1"/>
  <c r="J317" i="1" s="1"/>
  <c r="I317" i="1" a="1"/>
  <c r="I317" i="1" s="1"/>
  <c r="H317" i="1" a="1"/>
  <c r="H317" i="1" s="1"/>
  <c r="F317" i="1" a="1"/>
  <c r="F317" i="1" s="1"/>
  <c r="AE316" i="1"/>
  <c r="AB316" i="1"/>
  <c r="AA316" i="1"/>
  <c r="X316" i="1"/>
  <c r="O316" i="1"/>
  <c r="L316" i="1"/>
  <c r="L316" i="1" a="1"/>
  <c r="K316" i="1" a="1"/>
  <c r="K316" i="1" s="1"/>
  <c r="J316" i="1"/>
  <c r="J316" i="1" a="1"/>
  <c r="I316" i="1" a="1"/>
  <c r="I316" i="1" s="1"/>
  <c r="H316" i="1" a="1"/>
  <c r="H316" i="1" s="1"/>
  <c r="F316" i="1" a="1"/>
  <c r="F316" i="1" s="1"/>
  <c r="AA315" i="1"/>
  <c r="AB315" i="1" s="1"/>
  <c r="X315" i="1"/>
  <c r="O315" i="1"/>
  <c r="L315" i="1" a="1"/>
  <c r="L315" i="1" s="1"/>
  <c r="K315" i="1" a="1"/>
  <c r="K315" i="1" s="1"/>
  <c r="J315" i="1" a="1"/>
  <c r="J315" i="1" s="1"/>
  <c r="I315" i="1" a="1"/>
  <c r="I315" i="1" s="1"/>
  <c r="H315" i="1" a="1"/>
  <c r="H315" i="1" s="1"/>
  <c r="F315" i="1" a="1"/>
  <c r="F315" i="1" s="1"/>
  <c r="AA314" i="1"/>
  <c r="AE314" i="1" s="1"/>
  <c r="X314" i="1"/>
  <c r="O314" i="1"/>
  <c r="K314" i="1" a="1"/>
  <c r="K314" i="1" s="1"/>
  <c r="J314" i="1" a="1"/>
  <c r="J314" i="1" s="1"/>
  <c r="I314" i="1" a="1"/>
  <c r="I314" i="1" s="1"/>
  <c r="H314" i="1" a="1"/>
  <c r="H314" i="1" s="1"/>
  <c r="F314" i="1" a="1"/>
  <c r="F314" i="1" s="1"/>
  <c r="AA313" i="1"/>
  <c r="AB313" i="1" s="1"/>
  <c r="X313" i="1"/>
  <c r="O313" i="1"/>
  <c r="K313" i="1" a="1"/>
  <c r="K313" i="1" s="1"/>
  <c r="J313" i="1" a="1"/>
  <c r="J313" i="1" s="1"/>
  <c r="I313" i="1" a="1"/>
  <c r="I313" i="1" s="1"/>
  <c r="H313" i="1" a="1"/>
  <c r="H313" i="1" s="1"/>
  <c r="F313" i="1" a="1"/>
  <c r="F313" i="1" s="1"/>
  <c r="AE312" i="1"/>
  <c r="AB312" i="1"/>
  <c r="AA312" i="1"/>
  <c r="X312" i="1"/>
  <c r="O312" i="1"/>
  <c r="K312" i="1"/>
  <c r="K312" i="1" a="1"/>
  <c r="J312" i="1" a="1"/>
  <c r="J312" i="1" s="1"/>
  <c r="I312" i="1" a="1"/>
  <c r="I312" i="1" s="1"/>
  <c r="H312" i="1" a="1"/>
  <c r="H312" i="1" s="1"/>
  <c r="F312" i="1" a="1"/>
  <c r="F312" i="1" s="1"/>
  <c r="AA311" i="1"/>
  <c r="AE311" i="1" s="1"/>
  <c r="X311" i="1"/>
  <c r="O311" i="1"/>
  <c r="K311" i="1" a="1"/>
  <c r="K311" i="1" s="1"/>
  <c r="J311" i="1" a="1"/>
  <c r="J311" i="1" s="1"/>
  <c r="I311" i="1" a="1"/>
  <c r="I311" i="1" s="1"/>
  <c r="H311" i="1" a="1"/>
  <c r="H311" i="1" s="1"/>
  <c r="F311" i="1" a="1"/>
  <c r="F311" i="1" s="1"/>
  <c r="AA310" i="1"/>
  <c r="AE310" i="1" s="1"/>
  <c r="X310" i="1"/>
  <c r="O310" i="1"/>
  <c r="K310" i="1" a="1"/>
  <c r="K310" i="1" s="1"/>
  <c r="J310" i="1" a="1"/>
  <c r="J310" i="1" s="1"/>
  <c r="I310" i="1" a="1"/>
  <c r="I310" i="1" s="1"/>
  <c r="H310" i="1" a="1"/>
  <c r="H310" i="1" s="1"/>
  <c r="F310" i="1" a="1"/>
  <c r="F310" i="1" s="1"/>
  <c r="AA309" i="1"/>
  <c r="AB309" i="1" s="1"/>
  <c r="X309" i="1"/>
  <c r="O309" i="1"/>
  <c r="K309" i="1" a="1"/>
  <c r="K309" i="1" s="1"/>
  <c r="J309" i="1" a="1"/>
  <c r="J309" i="1" s="1"/>
  <c r="I309" i="1" a="1"/>
  <c r="I309" i="1" s="1"/>
  <c r="H309" i="1" a="1"/>
  <c r="H309" i="1" s="1"/>
  <c r="F309" i="1" a="1"/>
  <c r="F309" i="1" s="1"/>
  <c r="AE308" i="1"/>
  <c r="AB308" i="1"/>
  <c r="AA308" i="1"/>
  <c r="X308" i="1"/>
  <c r="O308" i="1"/>
  <c r="K308" i="1"/>
  <c r="K308" i="1" a="1"/>
  <c r="J308" i="1" a="1"/>
  <c r="J308" i="1" s="1"/>
  <c r="I308" i="1" a="1"/>
  <c r="I308" i="1" s="1"/>
  <c r="H308" i="1" a="1"/>
  <c r="H308" i="1" s="1"/>
  <c r="F308" i="1" a="1"/>
  <c r="F308" i="1" s="1"/>
  <c r="AA307" i="1"/>
  <c r="AE307" i="1" s="1"/>
  <c r="X307" i="1"/>
  <c r="O307" i="1"/>
  <c r="K307" i="1" a="1"/>
  <c r="K307" i="1" s="1"/>
  <c r="J307" i="1" a="1"/>
  <c r="J307" i="1" s="1"/>
  <c r="I307" i="1" a="1"/>
  <c r="I307" i="1" s="1"/>
  <c r="H307" i="1" a="1"/>
  <c r="H307" i="1" s="1"/>
  <c r="F307" i="1" a="1"/>
  <c r="F307" i="1" s="1"/>
  <c r="AA306" i="1"/>
  <c r="AE306" i="1" s="1"/>
  <c r="X306" i="1"/>
  <c r="O306" i="1"/>
  <c r="K306" i="1" a="1"/>
  <c r="K306" i="1" s="1"/>
  <c r="J306" i="1" a="1"/>
  <c r="J306" i="1" s="1"/>
  <c r="I306" i="1" a="1"/>
  <c r="I306" i="1" s="1"/>
  <c r="H306" i="1" a="1"/>
  <c r="H306" i="1" s="1"/>
  <c r="F306" i="1" a="1"/>
  <c r="F306" i="1" s="1"/>
  <c r="AA305" i="1"/>
  <c r="AB305" i="1" s="1"/>
  <c r="X305" i="1"/>
  <c r="O305" i="1"/>
  <c r="K305" i="1" a="1"/>
  <c r="K305" i="1" s="1"/>
  <c r="J305" i="1" a="1"/>
  <c r="J305" i="1" s="1"/>
  <c r="I305" i="1" a="1"/>
  <c r="I305" i="1" s="1"/>
  <c r="H305" i="1" a="1"/>
  <c r="H305" i="1" s="1"/>
  <c r="F305" i="1" a="1"/>
  <c r="F305" i="1" s="1"/>
  <c r="AA304" i="1"/>
  <c r="AE304" i="1" s="1"/>
  <c r="X304" i="1"/>
  <c r="O304" i="1"/>
  <c r="K304" i="1" a="1"/>
  <c r="K304" i="1" s="1"/>
  <c r="J304" i="1" a="1"/>
  <c r="J304" i="1" s="1"/>
  <c r="I304" i="1" a="1"/>
  <c r="I304" i="1" s="1"/>
  <c r="H304" i="1" a="1"/>
  <c r="H304" i="1" s="1"/>
  <c r="F304" i="1" a="1"/>
  <c r="F304" i="1" s="1"/>
  <c r="AA303" i="1"/>
  <c r="AE303" i="1" s="1"/>
  <c r="X303" i="1"/>
  <c r="O303" i="1"/>
  <c r="K303" i="1" a="1"/>
  <c r="K303" i="1" s="1"/>
  <c r="J303" i="1" a="1"/>
  <c r="J303" i="1" s="1"/>
  <c r="I303" i="1" a="1"/>
  <c r="I303" i="1" s="1"/>
  <c r="H303" i="1" a="1"/>
  <c r="H303" i="1" s="1"/>
  <c r="F303" i="1" a="1"/>
  <c r="F303" i="1" s="1"/>
  <c r="AA302" i="1"/>
  <c r="AE302" i="1" s="1"/>
  <c r="X302" i="1"/>
  <c r="O302" i="1"/>
  <c r="K302" i="1" a="1"/>
  <c r="K302" i="1" s="1"/>
  <c r="J302" i="1"/>
  <c r="J302" i="1" a="1"/>
  <c r="I302" i="1" a="1"/>
  <c r="I302" i="1" s="1"/>
  <c r="H302" i="1" a="1"/>
  <c r="H302" i="1" s="1"/>
  <c r="F302" i="1" a="1"/>
  <c r="F302" i="1" s="1"/>
  <c r="AA301" i="1"/>
  <c r="AB301" i="1" s="1"/>
  <c r="X301" i="1"/>
  <c r="O301" i="1"/>
  <c r="K301" i="1" a="1"/>
  <c r="K301" i="1" s="1"/>
  <c r="J301" i="1" a="1"/>
  <c r="J301" i="1" s="1"/>
  <c r="I301" i="1" a="1"/>
  <c r="I301" i="1" s="1"/>
  <c r="H301" i="1" a="1"/>
  <c r="H301" i="1" s="1"/>
  <c r="F301" i="1" a="1"/>
  <c r="F301" i="1" s="1"/>
  <c r="AA300" i="1"/>
  <c r="AE300" i="1" s="1"/>
  <c r="X300" i="1"/>
  <c r="O300" i="1"/>
  <c r="K300" i="1" a="1"/>
  <c r="K300" i="1" s="1"/>
  <c r="J300" i="1" a="1"/>
  <c r="J300" i="1" s="1"/>
  <c r="I300" i="1" a="1"/>
  <c r="I300" i="1" s="1"/>
  <c r="H300" i="1" a="1"/>
  <c r="H300" i="1" s="1"/>
  <c r="F300" i="1" a="1"/>
  <c r="F300" i="1" s="1"/>
  <c r="AA299" i="1"/>
  <c r="AE299" i="1" s="1"/>
  <c r="X299" i="1"/>
  <c r="O299" i="1"/>
  <c r="K299" i="1" a="1"/>
  <c r="K299" i="1" s="1"/>
  <c r="J299" i="1" a="1"/>
  <c r="J299" i="1" s="1"/>
  <c r="I299" i="1" a="1"/>
  <c r="I299" i="1" s="1"/>
  <c r="H299" i="1" a="1"/>
  <c r="H299" i="1" s="1"/>
  <c r="F299" i="1" a="1"/>
  <c r="F299" i="1" s="1"/>
  <c r="AA298" i="1"/>
  <c r="AE298" i="1" s="1"/>
  <c r="X298" i="1"/>
  <c r="O298" i="1"/>
  <c r="K298" i="1" a="1"/>
  <c r="K298" i="1" s="1"/>
  <c r="J298" i="1"/>
  <c r="J298" i="1" a="1"/>
  <c r="I298" i="1" a="1"/>
  <c r="I298" i="1" s="1"/>
  <c r="H298" i="1" a="1"/>
  <c r="H298" i="1" s="1"/>
  <c r="F298" i="1" a="1"/>
  <c r="F298" i="1" s="1"/>
  <c r="AA297" i="1"/>
  <c r="AB297" i="1" s="1"/>
  <c r="X297" i="1"/>
  <c r="O297" i="1"/>
  <c r="K297" i="1" a="1"/>
  <c r="K297" i="1" s="1"/>
  <c r="J297" i="1" a="1"/>
  <c r="J297" i="1" s="1"/>
  <c r="I297" i="1" a="1"/>
  <c r="I297" i="1" s="1"/>
  <c r="H297" i="1" a="1"/>
  <c r="H297" i="1" s="1"/>
  <c r="F297" i="1" a="1"/>
  <c r="F297" i="1" s="1"/>
  <c r="AB296" i="1"/>
  <c r="AA296" i="1"/>
  <c r="AE296" i="1" s="1"/>
  <c r="X296" i="1"/>
  <c r="O296" i="1"/>
  <c r="K296" i="1"/>
  <c r="K296" i="1" a="1"/>
  <c r="J296" i="1" a="1"/>
  <c r="J296" i="1" s="1"/>
  <c r="I296" i="1" a="1"/>
  <c r="I296" i="1" s="1"/>
  <c r="H296" i="1" a="1"/>
  <c r="H296" i="1" s="1"/>
  <c r="F296" i="1" a="1"/>
  <c r="F296" i="1" s="1"/>
  <c r="AA295" i="1"/>
  <c r="AE295" i="1" s="1"/>
  <c r="X295" i="1"/>
  <c r="O295" i="1"/>
  <c r="K295" i="1" a="1"/>
  <c r="K295" i="1" s="1"/>
  <c r="J295" i="1" a="1"/>
  <c r="J295" i="1" s="1"/>
  <c r="I295" i="1" a="1"/>
  <c r="I295" i="1" s="1"/>
  <c r="H295" i="1" a="1"/>
  <c r="H295" i="1" s="1"/>
  <c r="F295" i="1" a="1"/>
  <c r="F295" i="1" s="1"/>
  <c r="AA294" i="1"/>
  <c r="AE294" i="1" s="1"/>
  <c r="X294" i="1"/>
  <c r="O294" i="1"/>
  <c r="K294" i="1" a="1"/>
  <c r="K294" i="1" s="1"/>
  <c r="J294" i="1" a="1"/>
  <c r="J294" i="1" s="1"/>
  <c r="I294" i="1" a="1"/>
  <c r="I294" i="1" s="1"/>
  <c r="H294" i="1" a="1"/>
  <c r="H294" i="1" s="1"/>
  <c r="F294" i="1" a="1"/>
  <c r="F294" i="1" s="1"/>
  <c r="AA293" i="1"/>
  <c r="AB293" i="1" s="1"/>
  <c r="X293" i="1"/>
  <c r="O293" i="1"/>
  <c r="K293" i="1" a="1"/>
  <c r="K293" i="1" s="1"/>
  <c r="J293" i="1" a="1"/>
  <c r="J293" i="1" s="1"/>
  <c r="I293" i="1" a="1"/>
  <c r="I293" i="1" s="1"/>
  <c r="H293" i="1" a="1"/>
  <c r="H293" i="1" s="1"/>
  <c r="F293" i="1" a="1"/>
  <c r="F293" i="1" s="1"/>
  <c r="AB292" i="1"/>
  <c r="AA292" i="1"/>
  <c r="AE292" i="1" s="1"/>
  <c r="X292" i="1"/>
  <c r="O292" i="1"/>
  <c r="J292" i="1" a="1"/>
  <c r="J292" i="1" s="1"/>
  <c r="I292" i="1"/>
  <c r="I292" i="1" a="1"/>
  <c r="H292" i="1" a="1"/>
  <c r="H292" i="1" s="1"/>
  <c r="F292" i="1"/>
  <c r="F292" i="1" a="1"/>
  <c r="AA291" i="1"/>
  <c r="AE291" i="1" s="1"/>
  <c r="X291" i="1"/>
  <c r="O291" i="1"/>
  <c r="J291" i="1" a="1"/>
  <c r="J291" i="1" s="1"/>
  <c r="I291" i="1" a="1"/>
  <c r="I291" i="1" s="1"/>
  <c r="H291" i="1" a="1"/>
  <c r="H291" i="1" s="1"/>
  <c r="F291" i="1" a="1"/>
  <c r="F291" i="1" s="1"/>
  <c r="AA290" i="1"/>
  <c r="AE290" i="1" s="1"/>
  <c r="X290" i="1"/>
  <c r="O290" i="1"/>
  <c r="K290" i="1" a="1"/>
  <c r="K290" i="1" s="1"/>
  <c r="I290" i="1" a="1"/>
  <c r="I290" i="1" s="1"/>
  <c r="H290" i="1" a="1"/>
  <c r="H290" i="1" s="1"/>
  <c r="F290" i="1" a="1"/>
  <c r="F290" i="1" s="1"/>
  <c r="AE289" i="1"/>
  <c r="AA289" i="1"/>
  <c r="AB289" i="1" s="1"/>
  <c r="X289" i="1"/>
  <c r="O289" i="1"/>
  <c r="K289" i="1" a="1"/>
  <c r="K289" i="1" s="1"/>
  <c r="I289" i="1" a="1"/>
  <c r="I289" i="1" s="1"/>
  <c r="H289" i="1" a="1"/>
  <c r="H289" i="1" s="1"/>
  <c r="F289" i="1" a="1"/>
  <c r="F289" i="1" s="1"/>
  <c r="AE288" i="1"/>
  <c r="AA288" i="1"/>
  <c r="AB288" i="1" s="1"/>
  <c r="X288" i="1"/>
  <c r="O288" i="1"/>
  <c r="K288" i="1" a="1"/>
  <c r="K288" i="1" s="1"/>
  <c r="I288" i="1"/>
  <c r="I288" i="1" a="1"/>
  <c r="H288" i="1" a="1"/>
  <c r="H288" i="1" s="1"/>
  <c r="F288" i="1" a="1"/>
  <c r="F288" i="1" s="1"/>
  <c r="AA287" i="1"/>
  <c r="AE287" i="1" s="1"/>
  <c r="X287" i="1"/>
  <c r="O287" i="1"/>
  <c r="K287" i="1" a="1"/>
  <c r="K287" i="1" s="1"/>
  <c r="J287" i="1" a="1"/>
  <c r="J287" i="1" s="1"/>
  <c r="I287" i="1" a="1"/>
  <c r="I287" i="1" s="1"/>
  <c r="H287" i="1" a="1"/>
  <c r="H287" i="1" s="1"/>
  <c r="F287" i="1" a="1"/>
  <c r="F287" i="1" s="1"/>
  <c r="AA286" i="1"/>
  <c r="AE286" i="1" s="1"/>
  <c r="X286" i="1"/>
  <c r="O286" i="1"/>
  <c r="K286" i="1" a="1"/>
  <c r="K286" i="1" s="1"/>
  <c r="J286" i="1"/>
  <c r="J286" i="1" a="1"/>
  <c r="I286" i="1" a="1"/>
  <c r="I286" i="1" s="1"/>
  <c r="H286" i="1"/>
  <c r="H286" i="1" a="1"/>
  <c r="F286" i="1" a="1"/>
  <c r="F286" i="1" s="1"/>
  <c r="AA285" i="1"/>
  <c r="X285" i="1"/>
  <c r="O285" i="1"/>
  <c r="K285" i="1" a="1"/>
  <c r="K285" i="1" s="1"/>
  <c r="J285" i="1" a="1"/>
  <c r="J285" i="1" s="1"/>
  <c r="I285" i="1" a="1"/>
  <c r="I285" i="1" s="1"/>
  <c r="H285" i="1" a="1"/>
  <c r="H285" i="1" s="1"/>
  <c r="F285" i="1" a="1"/>
  <c r="F285" i="1" s="1"/>
  <c r="AE284" i="1"/>
  <c r="AB284" i="1"/>
  <c r="AA284" i="1"/>
  <c r="X284" i="1"/>
  <c r="O284" i="1"/>
  <c r="K284" i="1"/>
  <c r="K284" i="1" a="1"/>
  <c r="I284" i="1" a="1"/>
  <c r="I284" i="1" s="1"/>
  <c r="H284" i="1" a="1"/>
  <c r="H284" i="1" s="1"/>
  <c r="F284" i="1" a="1"/>
  <c r="F284" i="1" s="1"/>
  <c r="AA283" i="1"/>
  <c r="AE283" i="1" s="1"/>
  <c r="X283" i="1"/>
  <c r="O283" i="1"/>
  <c r="K283" i="1" a="1"/>
  <c r="K283" i="1" s="1"/>
  <c r="I283" i="1" a="1"/>
  <c r="I283" i="1" s="1"/>
  <c r="H283" i="1" a="1"/>
  <c r="H283" i="1" s="1"/>
  <c r="F283" i="1" a="1"/>
  <c r="F283" i="1" s="1"/>
  <c r="AA282" i="1"/>
  <c r="AE282" i="1" s="1"/>
  <c r="X282" i="1"/>
  <c r="O282" i="1"/>
  <c r="K282" i="1" a="1"/>
  <c r="K282" i="1" s="1"/>
  <c r="J282" i="1" a="1"/>
  <c r="J282" i="1" s="1"/>
  <c r="I282" i="1" a="1"/>
  <c r="I282" i="1" s="1"/>
  <c r="H282" i="1" a="1"/>
  <c r="H282" i="1" s="1"/>
  <c r="F282" i="1" a="1"/>
  <c r="F282" i="1" s="1"/>
  <c r="AE281" i="1"/>
  <c r="AA281" i="1"/>
  <c r="AB281" i="1" s="1"/>
  <c r="X281" i="1"/>
  <c r="O281" i="1"/>
  <c r="K281" i="1" a="1"/>
  <c r="K281" i="1" s="1"/>
  <c r="J281" i="1" a="1"/>
  <c r="J281" i="1" s="1"/>
  <c r="I281" i="1" a="1"/>
  <c r="I281" i="1" s="1"/>
  <c r="H281" i="1" a="1"/>
  <c r="H281" i="1" s="1"/>
  <c r="F281" i="1" a="1"/>
  <c r="F281" i="1" s="1"/>
  <c r="AA280" i="1"/>
  <c r="X280" i="1"/>
  <c r="O280" i="1"/>
  <c r="K280" i="1" a="1"/>
  <c r="K280" i="1" s="1"/>
  <c r="J280" i="1" a="1"/>
  <c r="J280" i="1" s="1"/>
  <c r="I280" i="1" a="1"/>
  <c r="I280" i="1" s="1"/>
  <c r="H280" i="1" a="1"/>
  <c r="H280" i="1" s="1"/>
  <c r="F280" i="1"/>
  <c r="F280" i="1" a="1"/>
  <c r="AA279" i="1"/>
  <c r="AE279" i="1" s="1"/>
  <c r="X279" i="1"/>
  <c r="O279" i="1"/>
  <c r="K279" i="1" a="1"/>
  <c r="K279" i="1" s="1"/>
  <c r="J279" i="1" a="1"/>
  <c r="J279" i="1" s="1"/>
  <c r="I279" i="1" a="1"/>
  <c r="I279" i="1" s="1"/>
  <c r="H279" i="1" a="1"/>
  <c r="H279" i="1" s="1"/>
  <c r="F279" i="1" a="1"/>
  <c r="F279" i="1" s="1"/>
  <c r="AA278" i="1"/>
  <c r="AE278" i="1" s="1"/>
  <c r="X278" i="1"/>
  <c r="O278" i="1"/>
  <c r="K278" i="1" a="1"/>
  <c r="K278" i="1" s="1"/>
  <c r="J278" i="1" a="1"/>
  <c r="J278" i="1" s="1"/>
  <c r="I278" i="1" a="1"/>
  <c r="I278" i="1" s="1"/>
  <c r="H278" i="1" a="1"/>
  <c r="H278" i="1" s="1"/>
  <c r="F278" i="1" a="1"/>
  <c r="F278" i="1" s="1"/>
  <c r="AA277" i="1"/>
  <c r="AB277" i="1" s="1"/>
  <c r="X277" i="1"/>
  <c r="O277" i="1"/>
  <c r="K277" i="1" a="1"/>
  <c r="K277" i="1" s="1"/>
  <c r="J277" i="1" a="1"/>
  <c r="J277" i="1" s="1"/>
  <c r="I277" i="1" a="1"/>
  <c r="I277" i="1" s="1"/>
  <c r="H277" i="1" a="1"/>
  <c r="H277" i="1" s="1"/>
  <c r="F277" i="1" a="1"/>
  <c r="F277" i="1" s="1"/>
  <c r="AA276" i="1"/>
  <c r="X276" i="1"/>
  <c r="O276" i="1"/>
  <c r="K276" i="1" a="1"/>
  <c r="K276" i="1" s="1"/>
  <c r="J276" i="1" a="1"/>
  <c r="J276" i="1" s="1"/>
  <c r="I276" i="1" a="1"/>
  <c r="I276" i="1" s="1"/>
  <c r="H276" i="1" a="1"/>
  <c r="H276" i="1" s="1"/>
  <c r="F276" i="1" a="1"/>
  <c r="F276" i="1" s="1"/>
  <c r="AA275" i="1"/>
  <c r="AE275" i="1" s="1"/>
  <c r="X275" i="1"/>
  <c r="O275" i="1"/>
  <c r="L275" i="1" a="1"/>
  <c r="L275" i="1" s="1"/>
  <c r="K275" i="1" a="1"/>
  <c r="K275" i="1" s="1"/>
  <c r="J275" i="1" a="1"/>
  <c r="J275" i="1" s="1"/>
  <c r="I275" i="1" a="1"/>
  <c r="I275" i="1" s="1"/>
  <c r="H275" i="1" a="1"/>
  <c r="H275" i="1" s="1"/>
  <c r="F275" i="1" a="1"/>
  <c r="F275" i="1" s="1"/>
  <c r="AA274" i="1"/>
  <c r="AE274" i="1" s="1"/>
  <c r="X274" i="1"/>
  <c r="O274" i="1"/>
  <c r="L274" i="1" a="1"/>
  <c r="L274" i="1" s="1"/>
  <c r="K274" i="1" a="1"/>
  <c r="K274" i="1" s="1"/>
  <c r="J274" i="1"/>
  <c r="J274" i="1" a="1"/>
  <c r="I274" i="1" a="1"/>
  <c r="I274" i="1" s="1"/>
  <c r="H274" i="1" a="1"/>
  <c r="H274" i="1" s="1"/>
  <c r="F274" i="1" a="1"/>
  <c r="F274" i="1" s="1"/>
  <c r="AA273" i="1"/>
  <c r="AB273" i="1" s="1"/>
  <c r="X273" i="1"/>
  <c r="O273" i="1"/>
  <c r="L273" i="1" a="1"/>
  <c r="L273" i="1" s="1"/>
  <c r="K273" i="1" a="1"/>
  <c r="K273" i="1" s="1"/>
  <c r="J273" i="1" a="1"/>
  <c r="J273" i="1" s="1"/>
  <c r="I273" i="1" a="1"/>
  <c r="I273" i="1" s="1"/>
  <c r="H273" i="1" a="1"/>
  <c r="H273" i="1" s="1"/>
  <c r="F273" i="1" a="1"/>
  <c r="F273" i="1" s="1"/>
  <c r="AA272" i="1"/>
  <c r="AE272" i="1" s="1"/>
  <c r="X272" i="1"/>
  <c r="O272" i="1"/>
  <c r="L272" i="1" a="1"/>
  <c r="L272" i="1" s="1"/>
  <c r="K272" i="1" a="1"/>
  <c r="K272" i="1" s="1"/>
  <c r="J272" i="1" a="1"/>
  <c r="J272" i="1" s="1"/>
  <c r="I272" i="1" a="1"/>
  <c r="I272" i="1" s="1"/>
  <c r="H272" i="1" a="1"/>
  <c r="H272" i="1" s="1"/>
  <c r="F272" i="1" a="1"/>
  <c r="F272" i="1" s="1"/>
  <c r="AA271" i="1"/>
  <c r="AE271" i="1" s="1"/>
  <c r="X271" i="1"/>
  <c r="O271" i="1"/>
  <c r="L271" i="1" a="1"/>
  <c r="L271" i="1" s="1"/>
  <c r="K271" i="1" a="1"/>
  <c r="K271" i="1" s="1"/>
  <c r="J271" i="1" a="1"/>
  <c r="J271" i="1" s="1"/>
  <c r="I271" i="1" a="1"/>
  <c r="I271" i="1" s="1"/>
  <c r="H271" i="1" a="1"/>
  <c r="H271" i="1" s="1"/>
  <c r="F271" i="1" a="1"/>
  <c r="F271" i="1" s="1"/>
  <c r="AA270" i="1"/>
  <c r="AB270" i="1" s="1"/>
  <c r="X270" i="1"/>
  <c r="O270" i="1"/>
  <c r="L270" i="1" a="1"/>
  <c r="L270" i="1" s="1"/>
  <c r="K270" i="1" a="1"/>
  <c r="K270" i="1" s="1"/>
  <c r="J270" i="1"/>
  <c r="J270" i="1" a="1"/>
  <c r="I270" i="1" a="1"/>
  <c r="I270" i="1" s="1"/>
  <c r="H270" i="1" a="1"/>
  <c r="H270" i="1" s="1"/>
  <c r="F270" i="1" a="1"/>
  <c r="F270" i="1" s="1"/>
  <c r="AA269" i="1"/>
  <c r="X269" i="1"/>
  <c r="O269" i="1"/>
  <c r="L269" i="1" a="1"/>
  <c r="L269" i="1" s="1"/>
  <c r="K269" i="1" a="1"/>
  <c r="K269" i="1" s="1"/>
  <c r="J269" i="1" a="1"/>
  <c r="J269" i="1" s="1"/>
  <c r="I269" i="1" a="1"/>
  <c r="I269" i="1" s="1"/>
  <c r="H269" i="1" a="1"/>
  <c r="H269" i="1" s="1"/>
  <c r="F269" i="1" a="1"/>
  <c r="F269" i="1" s="1"/>
  <c r="AA268" i="1"/>
  <c r="AE268" i="1" s="1"/>
  <c r="X268" i="1"/>
  <c r="O268" i="1"/>
  <c r="L268" i="1" a="1"/>
  <c r="L268" i="1" s="1"/>
  <c r="K268" i="1" a="1"/>
  <c r="K268" i="1" s="1"/>
  <c r="J268" i="1" a="1"/>
  <c r="J268" i="1" s="1"/>
  <c r="I268" i="1" a="1"/>
  <c r="I268" i="1" s="1"/>
  <c r="H268" i="1" a="1"/>
  <c r="H268" i="1" s="1"/>
  <c r="F268" i="1" a="1"/>
  <c r="F268" i="1" s="1"/>
  <c r="AA267" i="1"/>
  <c r="X267" i="1"/>
  <c r="O267" i="1"/>
  <c r="L267" i="1" a="1"/>
  <c r="L267" i="1" s="1"/>
  <c r="K267" i="1" a="1"/>
  <c r="K267" i="1" s="1"/>
  <c r="J267" i="1" a="1"/>
  <c r="J267" i="1" s="1"/>
  <c r="I267" i="1" a="1"/>
  <c r="I267" i="1" s="1"/>
  <c r="H267" i="1" a="1"/>
  <c r="H267" i="1" s="1"/>
  <c r="F267" i="1" a="1"/>
  <c r="F267" i="1" s="1"/>
  <c r="AA266" i="1"/>
  <c r="X266" i="1"/>
  <c r="O266" i="1"/>
  <c r="L266" i="1" a="1"/>
  <c r="L266" i="1" s="1"/>
  <c r="K266" i="1" a="1"/>
  <c r="K266" i="1" s="1"/>
  <c r="J266" i="1" a="1"/>
  <c r="J266" i="1" s="1"/>
  <c r="I266" i="1" a="1"/>
  <c r="I266" i="1" s="1"/>
  <c r="H266" i="1" a="1"/>
  <c r="H266" i="1" s="1"/>
  <c r="F266" i="1" a="1"/>
  <c r="F266" i="1" s="1"/>
  <c r="AA265" i="1"/>
  <c r="AE265" i="1" s="1"/>
  <c r="X265" i="1"/>
  <c r="O265" i="1"/>
  <c r="L265" i="1" a="1"/>
  <c r="L265" i="1" s="1"/>
  <c r="K265" i="1" a="1"/>
  <c r="K265" i="1" s="1"/>
  <c r="J265" i="1"/>
  <c r="J265" i="1" a="1"/>
  <c r="I265" i="1" a="1"/>
  <c r="I265" i="1" s="1"/>
  <c r="H265" i="1" a="1"/>
  <c r="H265" i="1" s="1"/>
  <c r="F265" i="1" a="1"/>
  <c r="F265" i="1" s="1"/>
  <c r="AA264" i="1"/>
  <c r="AE264" i="1" s="1"/>
  <c r="X264" i="1"/>
  <c r="O264" i="1"/>
  <c r="L264" i="1" a="1"/>
  <c r="L264" i="1" s="1"/>
  <c r="K264" i="1" a="1"/>
  <c r="K264" i="1" s="1"/>
  <c r="J264" i="1" a="1"/>
  <c r="J264" i="1" s="1"/>
  <c r="I264" i="1"/>
  <c r="I264" i="1" a="1"/>
  <c r="H264" i="1" a="1"/>
  <c r="H264" i="1" s="1"/>
  <c r="F264" i="1" a="1"/>
  <c r="F264" i="1" s="1"/>
  <c r="AA263" i="1"/>
  <c r="X263" i="1"/>
  <c r="O263" i="1"/>
  <c r="L263" i="1" a="1"/>
  <c r="L263" i="1" s="1"/>
  <c r="K263" i="1" a="1"/>
  <c r="K263" i="1" s="1"/>
  <c r="J263" i="1" a="1"/>
  <c r="J263" i="1" s="1"/>
  <c r="I263" i="1" a="1"/>
  <c r="I263" i="1" s="1"/>
  <c r="H263" i="1" a="1"/>
  <c r="H263" i="1" s="1"/>
  <c r="F263" i="1" a="1"/>
  <c r="F263" i="1" s="1"/>
  <c r="AA262" i="1"/>
  <c r="X262" i="1"/>
  <c r="O262" i="1"/>
  <c r="L262" i="1" a="1"/>
  <c r="L262" i="1" s="1"/>
  <c r="K262" i="1" a="1"/>
  <c r="K262" i="1" s="1"/>
  <c r="J262" i="1" a="1"/>
  <c r="J262" i="1" s="1"/>
  <c r="I262" i="1" a="1"/>
  <c r="I262" i="1" s="1"/>
  <c r="H262" i="1" a="1"/>
  <c r="H262" i="1" s="1"/>
  <c r="F262" i="1" a="1"/>
  <c r="F262" i="1" s="1"/>
  <c r="AA261" i="1"/>
  <c r="AE261" i="1" s="1"/>
  <c r="X261" i="1"/>
  <c r="O261" i="1"/>
  <c r="L261" i="1" a="1"/>
  <c r="L261" i="1" s="1"/>
  <c r="K261" i="1" a="1"/>
  <c r="K261" i="1" s="1"/>
  <c r="J261" i="1" a="1"/>
  <c r="J261" i="1" s="1"/>
  <c r="I261" i="1" a="1"/>
  <c r="I261" i="1" s="1"/>
  <c r="H261" i="1" a="1"/>
  <c r="H261" i="1" s="1"/>
  <c r="F261" i="1" a="1"/>
  <c r="F261" i="1" s="1"/>
  <c r="AA260" i="1"/>
  <c r="AE260" i="1" s="1"/>
  <c r="X260" i="1"/>
  <c r="O260" i="1"/>
  <c r="L260" i="1" a="1"/>
  <c r="L260" i="1" s="1"/>
  <c r="K260" i="1" a="1"/>
  <c r="K260" i="1" s="1"/>
  <c r="J260" i="1" a="1"/>
  <c r="J260" i="1" s="1"/>
  <c r="I260" i="1"/>
  <c r="I260" i="1" a="1"/>
  <c r="H260" i="1" a="1"/>
  <c r="H260" i="1" s="1"/>
  <c r="F260" i="1"/>
  <c r="F260" i="1" a="1"/>
  <c r="AA259" i="1"/>
  <c r="X259" i="1"/>
  <c r="O259" i="1"/>
  <c r="L259" i="1" a="1"/>
  <c r="L259" i="1" s="1"/>
  <c r="K259" i="1" a="1"/>
  <c r="K259" i="1" s="1"/>
  <c r="J259" i="1" a="1"/>
  <c r="J259" i="1" s="1"/>
  <c r="I259" i="1"/>
  <c r="I259" i="1" a="1"/>
  <c r="H259" i="1" a="1"/>
  <c r="H259" i="1" s="1"/>
  <c r="F259" i="1" a="1"/>
  <c r="F259" i="1" s="1"/>
  <c r="AA258" i="1"/>
  <c r="X258" i="1"/>
  <c r="O258" i="1"/>
  <c r="L258" i="1" a="1"/>
  <c r="L258" i="1" s="1"/>
  <c r="K258" i="1" a="1"/>
  <c r="K258" i="1" s="1"/>
  <c r="J258" i="1" a="1"/>
  <c r="J258" i="1" s="1"/>
  <c r="I258" i="1" a="1"/>
  <c r="I258" i="1" s="1"/>
  <c r="H258" i="1"/>
  <c r="H258" i="1" a="1"/>
  <c r="F258" i="1" a="1"/>
  <c r="F258" i="1" s="1"/>
  <c r="AE257" i="1"/>
  <c r="AB257" i="1"/>
  <c r="AA257" i="1"/>
  <c r="X257" i="1"/>
  <c r="O257" i="1"/>
  <c r="L257" i="1"/>
  <c r="L257" i="1" a="1"/>
  <c r="K257" i="1" a="1"/>
  <c r="K257" i="1" s="1"/>
  <c r="J257" i="1" a="1"/>
  <c r="J257" i="1" s="1"/>
  <c r="I257" i="1" a="1"/>
  <c r="I257" i="1" s="1"/>
  <c r="H257" i="1" a="1"/>
  <c r="H257" i="1" s="1"/>
  <c r="F257" i="1" a="1"/>
  <c r="F257" i="1" s="1"/>
  <c r="AA256" i="1"/>
  <c r="AE256" i="1" s="1"/>
  <c r="X256" i="1"/>
  <c r="O256" i="1"/>
  <c r="L256" i="1" a="1"/>
  <c r="L256" i="1" s="1"/>
  <c r="K256" i="1" a="1"/>
  <c r="K256" i="1" s="1"/>
  <c r="J256" i="1" a="1"/>
  <c r="J256" i="1" s="1"/>
  <c r="I256" i="1" a="1"/>
  <c r="I256" i="1" s="1"/>
  <c r="H256" i="1" a="1"/>
  <c r="H256" i="1" s="1"/>
  <c r="F256" i="1"/>
  <c r="F256" i="1" a="1"/>
  <c r="AA255" i="1"/>
  <c r="X255" i="1"/>
  <c r="O255" i="1"/>
  <c r="K255" i="1" a="1"/>
  <c r="K255" i="1" s="1"/>
  <c r="J255" i="1" a="1"/>
  <c r="J255" i="1" s="1"/>
  <c r="I255" i="1" a="1"/>
  <c r="I255" i="1" s="1"/>
  <c r="H255" i="1"/>
  <c r="H255" i="1" a="1"/>
  <c r="F255" i="1" a="1"/>
  <c r="F255" i="1" s="1"/>
  <c r="AA254" i="1"/>
  <c r="AE254" i="1" s="1"/>
  <c r="X254" i="1"/>
  <c r="O254" i="1"/>
  <c r="K254" i="1" a="1"/>
  <c r="K254" i="1" s="1"/>
  <c r="J254" i="1"/>
  <c r="J254" i="1" a="1"/>
  <c r="I254" i="1" a="1"/>
  <c r="I254" i="1" s="1"/>
  <c r="H254" i="1" a="1"/>
  <c r="H254" i="1" s="1"/>
  <c r="F254" i="1" a="1"/>
  <c r="F254" i="1" s="1"/>
  <c r="AA253" i="1"/>
  <c r="X253" i="1"/>
  <c r="O253" i="1"/>
  <c r="K253" i="1" a="1"/>
  <c r="K253" i="1" s="1"/>
  <c r="J253" i="1" a="1"/>
  <c r="J253" i="1" s="1"/>
  <c r="I253" i="1" a="1"/>
  <c r="I253" i="1" s="1"/>
  <c r="H253" i="1" a="1"/>
  <c r="H253" i="1" s="1"/>
  <c r="F253" i="1"/>
  <c r="F253" i="1" a="1"/>
  <c r="AA252" i="1"/>
  <c r="AE252" i="1" s="1"/>
  <c r="X252" i="1"/>
  <c r="O252" i="1"/>
  <c r="K252" i="1" a="1"/>
  <c r="K252" i="1" s="1"/>
  <c r="J252" i="1" a="1"/>
  <c r="J252" i="1" s="1"/>
  <c r="I252" i="1" a="1"/>
  <c r="I252" i="1" s="1"/>
  <c r="H252" i="1" a="1"/>
  <c r="H252" i="1" s="1"/>
  <c r="F252" i="1" a="1"/>
  <c r="F252" i="1" s="1"/>
  <c r="AA251" i="1"/>
  <c r="X251" i="1"/>
  <c r="O251" i="1"/>
  <c r="F251" i="1" a="1"/>
  <c r="F251" i="1" s="1"/>
  <c r="AA250" i="1"/>
  <c r="AE250" i="1" s="1"/>
  <c r="X250" i="1"/>
  <c r="O250" i="1"/>
  <c r="AA249" i="1"/>
  <c r="X249" i="1"/>
  <c r="O249" i="1"/>
  <c r="F249" i="1" a="1"/>
  <c r="F249" i="1" s="1"/>
  <c r="AA248" i="1"/>
  <c r="AE248" i="1" s="1"/>
  <c r="X248" i="1"/>
  <c r="O248" i="1"/>
  <c r="AA247" i="1"/>
  <c r="X247" i="1"/>
  <c r="O247" i="1"/>
  <c r="J247" i="1"/>
  <c r="J247" i="1" a="1"/>
  <c r="I247" i="1" a="1"/>
  <c r="I247" i="1" s="1"/>
  <c r="H247" i="1"/>
  <c r="H247" i="1" a="1"/>
  <c r="F247" i="1" a="1"/>
  <c r="F247" i="1" s="1"/>
  <c r="AA246" i="1"/>
  <c r="AE246" i="1" s="1"/>
  <c r="X246" i="1"/>
  <c r="O246" i="1"/>
  <c r="K246" i="1" a="1"/>
  <c r="K246" i="1" s="1"/>
  <c r="I246" i="1" a="1"/>
  <c r="I246" i="1" s="1"/>
  <c r="H246" i="1"/>
  <c r="H246" i="1" a="1"/>
  <c r="F246" i="1" a="1"/>
  <c r="F246" i="1" s="1"/>
  <c r="AA245" i="1"/>
  <c r="AE245" i="1" s="1"/>
  <c r="X245" i="1"/>
  <c r="O245" i="1"/>
  <c r="K245" i="1" a="1"/>
  <c r="K245" i="1" s="1"/>
  <c r="I245" i="1" a="1"/>
  <c r="I245" i="1" s="1"/>
  <c r="H245" i="1" a="1"/>
  <c r="H245" i="1" s="1"/>
  <c r="F245" i="1" a="1"/>
  <c r="F245" i="1" s="1"/>
  <c r="AA244" i="1"/>
  <c r="AE244" i="1" s="1"/>
  <c r="X244" i="1"/>
  <c r="O244" i="1"/>
  <c r="K244" i="1" a="1"/>
  <c r="K244" i="1" s="1"/>
  <c r="I244" i="1" a="1"/>
  <c r="I244" i="1" s="1"/>
  <c r="H244" i="1" a="1"/>
  <c r="H244" i="1" s="1"/>
  <c r="F244" i="1" a="1"/>
  <c r="F244" i="1" s="1"/>
  <c r="AA243" i="1"/>
  <c r="AE243" i="1" s="1"/>
  <c r="X243" i="1"/>
  <c r="O243" i="1"/>
  <c r="K243" i="1" a="1"/>
  <c r="K243" i="1" s="1"/>
  <c r="J243" i="1" a="1"/>
  <c r="J243" i="1" s="1"/>
  <c r="I243" i="1" a="1"/>
  <c r="I243" i="1" s="1"/>
  <c r="H243" i="1" a="1"/>
  <c r="H243" i="1" s="1"/>
  <c r="F243" i="1" a="1"/>
  <c r="F243" i="1" s="1"/>
  <c r="AA242" i="1"/>
  <c r="AB242" i="1" s="1"/>
  <c r="X242" i="1"/>
  <c r="O242" i="1"/>
  <c r="K242" i="1" a="1"/>
  <c r="K242" i="1" s="1"/>
  <c r="J242" i="1" a="1"/>
  <c r="J242" i="1" s="1"/>
  <c r="I242" i="1" a="1"/>
  <c r="I242" i="1" s="1"/>
  <c r="H242" i="1" a="1"/>
  <c r="H242" i="1" s="1"/>
  <c r="F242" i="1" a="1"/>
  <c r="F242" i="1" s="1"/>
  <c r="AA241" i="1"/>
  <c r="X241" i="1"/>
  <c r="O241" i="1"/>
  <c r="K241" i="1" a="1"/>
  <c r="K241" i="1" s="1"/>
  <c r="J241" i="1" a="1"/>
  <c r="J241" i="1" s="1"/>
  <c r="I241" i="1" a="1"/>
  <c r="I241" i="1" s="1"/>
  <c r="H241" i="1" a="1"/>
  <c r="H241" i="1" s="1"/>
  <c r="F241" i="1" a="1"/>
  <c r="F241" i="1" s="1"/>
  <c r="AB240" i="1"/>
  <c r="AA240" i="1"/>
  <c r="AE240" i="1" s="1"/>
  <c r="X240" i="1"/>
  <c r="O240" i="1"/>
  <c r="K240" i="1"/>
  <c r="K240" i="1" a="1"/>
  <c r="I240" i="1" a="1"/>
  <c r="I240" i="1" s="1"/>
  <c r="H240" i="1" a="1"/>
  <c r="H240" i="1" s="1"/>
  <c r="F240" i="1"/>
  <c r="F240" i="1" a="1"/>
  <c r="AA239" i="1"/>
  <c r="AE239" i="1" s="1"/>
  <c r="X239" i="1"/>
  <c r="O239" i="1"/>
  <c r="K239" i="1" a="1"/>
  <c r="K239" i="1" s="1"/>
  <c r="I239" i="1" a="1"/>
  <c r="I239" i="1" s="1"/>
  <c r="H239" i="1"/>
  <c r="H239" i="1" a="1"/>
  <c r="F239" i="1" a="1"/>
  <c r="F239" i="1" s="1"/>
  <c r="AA238" i="1"/>
  <c r="AB238" i="1" s="1"/>
  <c r="X238" i="1"/>
  <c r="O238" i="1"/>
  <c r="K238" i="1" a="1"/>
  <c r="K238" i="1" s="1"/>
  <c r="I238" i="1" a="1"/>
  <c r="I238" i="1" s="1"/>
  <c r="H238" i="1" a="1"/>
  <c r="H238" i="1" s="1"/>
  <c r="F238" i="1" a="1"/>
  <c r="F238" i="1" s="1"/>
  <c r="AA237" i="1"/>
  <c r="AE237" i="1" s="1"/>
  <c r="X237" i="1"/>
  <c r="O237" i="1"/>
  <c r="K237" i="1" a="1"/>
  <c r="K237" i="1" s="1"/>
  <c r="J237" i="1" a="1"/>
  <c r="J237" i="1" s="1"/>
  <c r="I237" i="1" a="1"/>
  <c r="I237" i="1" s="1"/>
  <c r="H237" i="1" a="1"/>
  <c r="H237" i="1" s="1"/>
  <c r="F237" i="1" a="1"/>
  <c r="F237" i="1" s="1"/>
  <c r="AE236" i="1"/>
  <c r="AB236" i="1"/>
  <c r="AA236" i="1"/>
  <c r="X236" i="1"/>
  <c r="O236" i="1"/>
  <c r="K236" i="1"/>
  <c r="K236" i="1" a="1"/>
  <c r="J236" i="1" a="1"/>
  <c r="J236" i="1" s="1"/>
  <c r="I236" i="1" a="1"/>
  <c r="I236" i="1" s="1"/>
  <c r="H236" i="1" a="1"/>
  <c r="H236" i="1" s="1"/>
  <c r="F236" i="1" a="1"/>
  <c r="F236" i="1" s="1"/>
  <c r="AA235" i="1"/>
  <c r="AE235" i="1" s="1"/>
  <c r="X235" i="1"/>
  <c r="O235" i="1"/>
  <c r="K235" i="1" a="1"/>
  <c r="K235" i="1" s="1"/>
  <c r="J235" i="1" a="1"/>
  <c r="J235" i="1" s="1"/>
  <c r="I235" i="1" a="1"/>
  <c r="I235" i="1" s="1"/>
  <c r="H235" i="1" a="1"/>
  <c r="H235" i="1" s="1"/>
  <c r="F235" i="1"/>
  <c r="F235" i="1" a="1"/>
  <c r="AA234" i="1"/>
  <c r="AB234" i="1" s="1"/>
  <c r="X234" i="1"/>
  <c r="O234" i="1"/>
  <c r="K234" i="1" a="1"/>
  <c r="K234" i="1" s="1"/>
  <c r="J234" i="1" a="1"/>
  <c r="J234" i="1" s="1"/>
  <c r="I234" i="1" a="1"/>
  <c r="I234" i="1" s="1"/>
  <c r="H234" i="1"/>
  <c r="H234" i="1" a="1"/>
  <c r="F234" i="1" a="1"/>
  <c r="F234" i="1" s="1"/>
  <c r="AE233" i="1"/>
  <c r="AB233" i="1"/>
  <c r="AA233" i="1"/>
  <c r="X233" i="1"/>
  <c r="O233" i="1"/>
  <c r="K233" i="1"/>
  <c r="K233" i="1" a="1"/>
  <c r="J233" i="1" a="1"/>
  <c r="J233" i="1" s="1"/>
  <c r="I233" i="1"/>
  <c r="I233" i="1" a="1"/>
  <c r="H233" i="1" a="1"/>
  <c r="H233" i="1" s="1"/>
  <c r="F233" i="1" a="1"/>
  <c r="F233" i="1" s="1"/>
  <c r="AB232" i="1"/>
  <c r="AA232" i="1"/>
  <c r="AE232" i="1" s="1"/>
  <c r="X232" i="1"/>
  <c r="O232" i="1"/>
  <c r="K232" i="1"/>
  <c r="K232" i="1" a="1"/>
  <c r="J232" i="1" a="1"/>
  <c r="J232" i="1" s="1"/>
  <c r="I232" i="1" a="1"/>
  <c r="I232" i="1" s="1"/>
  <c r="H232" i="1" a="1"/>
  <c r="H232" i="1" s="1"/>
  <c r="F232" i="1" a="1"/>
  <c r="F232" i="1" s="1"/>
  <c r="AA231" i="1"/>
  <c r="X231" i="1"/>
  <c r="O231" i="1"/>
  <c r="K231" i="1" a="1"/>
  <c r="K231" i="1" s="1"/>
  <c r="J231" i="1" a="1"/>
  <c r="J231" i="1" s="1"/>
  <c r="I231" i="1" a="1"/>
  <c r="I231" i="1" s="1"/>
  <c r="H231" i="1" a="1"/>
  <c r="H231" i="1" s="1"/>
  <c r="F231" i="1" a="1"/>
  <c r="F231" i="1" s="1"/>
  <c r="AA230" i="1"/>
  <c r="AB230" i="1" s="1"/>
  <c r="X230" i="1"/>
  <c r="O230" i="1"/>
  <c r="K230" i="1" a="1"/>
  <c r="K230" i="1" s="1"/>
  <c r="J230" i="1" a="1"/>
  <c r="J230" i="1" s="1"/>
  <c r="I230" i="1" a="1"/>
  <c r="I230" i="1" s="1"/>
  <c r="H230" i="1" a="1"/>
  <c r="H230" i="1" s="1"/>
  <c r="F230" i="1" a="1"/>
  <c r="F230" i="1" s="1"/>
  <c r="AA229" i="1"/>
  <c r="AE229" i="1" s="1"/>
  <c r="X229" i="1"/>
  <c r="O229" i="1"/>
  <c r="K229" i="1" a="1"/>
  <c r="K229" i="1" s="1"/>
  <c r="J229" i="1" a="1"/>
  <c r="J229" i="1" s="1"/>
  <c r="I229" i="1" a="1"/>
  <c r="I229" i="1" s="1"/>
  <c r="H229" i="1" a="1"/>
  <c r="H229" i="1" s="1"/>
  <c r="F229" i="1" a="1"/>
  <c r="F229" i="1" s="1"/>
  <c r="AB228" i="1"/>
  <c r="AA228" i="1"/>
  <c r="AE228" i="1" s="1"/>
  <c r="X228" i="1"/>
  <c r="O228" i="1"/>
  <c r="L228" i="1"/>
  <c r="L228" i="1" a="1"/>
  <c r="K228" i="1" a="1"/>
  <c r="K228" i="1" s="1"/>
  <c r="J228" i="1" a="1"/>
  <c r="J228" i="1" s="1"/>
  <c r="I228" i="1" a="1"/>
  <c r="I228" i="1" s="1"/>
  <c r="H228" i="1" a="1"/>
  <c r="H228" i="1" s="1"/>
  <c r="F228" i="1" a="1"/>
  <c r="F228" i="1" s="1"/>
  <c r="AA227" i="1"/>
  <c r="AE227" i="1" s="1"/>
  <c r="X227" i="1"/>
  <c r="O227" i="1"/>
  <c r="L227" i="1" a="1"/>
  <c r="L227" i="1" s="1"/>
  <c r="K227" i="1" a="1"/>
  <c r="K227" i="1" s="1"/>
  <c r="J227" i="1" a="1"/>
  <c r="J227" i="1" s="1"/>
  <c r="I227" i="1" a="1"/>
  <c r="I227" i="1" s="1"/>
  <c r="H227" i="1" a="1"/>
  <c r="H227" i="1" s="1"/>
  <c r="F227" i="1" a="1"/>
  <c r="F227" i="1" s="1"/>
  <c r="AA226" i="1"/>
  <c r="AE226" i="1" s="1"/>
  <c r="X226" i="1"/>
  <c r="O226" i="1"/>
  <c r="K226" i="1" a="1"/>
  <c r="K226" i="1" s="1"/>
  <c r="J226" i="1" a="1"/>
  <c r="J226" i="1" s="1"/>
  <c r="I226" i="1"/>
  <c r="I226" i="1" a="1"/>
  <c r="H226" i="1" a="1"/>
  <c r="H226" i="1" s="1"/>
  <c r="F226" i="1"/>
  <c r="F226" i="1" a="1"/>
  <c r="AA225" i="1"/>
  <c r="AE225" i="1" s="1"/>
  <c r="X225" i="1"/>
  <c r="O225" i="1"/>
  <c r="K225" i="1" a="1"/>
  <c r="K225" i="1" s="1"/>
  <c r="J225" i="1" a="1"/>
  <c r="J225" i="1" s="1"/>
  <c r="I225" i="1" a="1"/>
  <c r="I225" i="1" s="1"/>
  <c r="H225" i="1" a="1"/>
  <c r="H225" i="1" s="1"/>
  <c r="F225" i="1" a="1"/>
  <c r="F225" i="1" s="1"/>
  <c r="AA224" i="1"/>
  <c r="AE224" i="1" s="1"/>
  <c r="X224" i="1"/>
  <c r="O224" i="1"/>
  <c r="K224" i="1" a="1"/>
  <c r="K224" i="1" s="1"/>
  <c r="J224" i="1" a="1"/>
  <c r="J224" i="1" s="1"/>
  <c r="I224" i="1"/>
  <c r="I224" i="1" a="1"/>
  <c r="H224" i="1" a="1"/>
  <c r="H224" i="1" s="1"/>
  <c r="F224" i="1"/>
  <c r="F224" i="1" a="1"/>
  <c r="AA223" i="1"/>
  <c r="AB223" i="1" s="1"/>
  <c r="X223" i="1"/>
  <c r="O223" i="1"/>
  <c r="K223" i="1" a="1"/>
  <c r="K223" i="1" s="1"/>
  <c r="J223" i="1" a="1"/>
  <c r="J223" i="1" s="1"/>
  <c r="I223" i="1" a="1"/>
  <c r="I223" i="1" s="1"/>
  <c r="H223" i="1" a="1"/>
  <c r="H223" i="1" s="1"/>
  <c r="F223" i="1" a="1"/>
  <c r="F223" i="1" s="1"/>
  <c r="AA222" i="1"/>
  <c r="X222" i="1"/>
  <c r="O222" i="1"/>
  <c r="K222" i="1" a="1"/>
  <c r="K222" i="1" s="1"/>
  <c r="J222" i="1" a="1"/>
  <c r="J222" i="1" s="1"/>
  <c r="I222" i="1" a="1"/>
  <c r="I222" i="1" s="1"/>
  <c r="H222" i="1"/>
  <c r="H222" i="1" a="1"/>
  <c r="F222" i="1" a="1"/>
  <c r="F222" i="1" s="1"/>
  <c r="AA221" i="1"/>
  <c r="AE221" i="1" s="1"/>
  <c r="X221" i="1"/>
  <c r="O221" i="1"/>
  <c r="K221" i="1" a="1"/>
  <c r="K221" i="1" s="1"/>
  <c r="J221" i="1" a="1"/>
  <c r="J221" i="1" s="1"/>
  <c r="I221" i="1" a="1"/>
  <c r="I221" i="1" s="1"/>
  <c r="H221" i="1" a="1"/>
  <c r="H221" i="1" s="1"/>
  <c r="F221" i="1" a="1"/>
  <c r="F221" i="1" s="1"/>
  <c r="AE220" i="1"/>
  <c r="AA220" i="1"/>
  <c r="AB220" i="1" s="1"/>
  <c r="X220" i="1"/>
  <c r="O220" i="1"/>
  <c r="K220" i="1" a="1"/>
  <c r="K220" i="1" s="1"/>
  <c r="J220" i="1"/>
  <c r="J220" i="1" a="1"/>
  <c r="I220" i="1" a="1"/>
  <c r="I220" i="1" s="1"/>
  <c r="H220" i="1"/>
  <c r="H220" i="1" a="1"/>
  <c r="F220" i="1" a="1"/>
  <c r="F220" i="1" s="1"/>
  <c r="AA219" i="1"/>
  <c r="AB219" i="1" s="1"/>
  <c r="X219" i="1"/>
  <c r="O219" i="1"/>
  <c r="L219" i="1" a="1"/>
  <c r="L219" i="1" s="1"/>
  <c r="K219" i="1" a="1"/>
  <c r="K219" i="1" s="1"/>
  <c r="J219" i="1" a="1"/>
  <c r="J219" i="1" s="1"/>
  <c r="I219" i="1" a="1"/>
  <c r="I219" i="1" s="1"/>
  <c r="H219" i="1" a="1"/>
  <c r="H219" i="1" s="1"/>
  <c r="F219" i="1" a="1"/>
  <c r="F219" i="1" s="1"/>
  <c r="AA218" i="1"/>
  <c r="X218" i="1"/>
  <c r="O218" i="1"/>
  <c r="L218" i="1" a="1"/>
  <c r="L218" i="1" s="1"/>
  <c r="K218" i="1"/>
  <c r="K218" i="1" a="1"/>
  <c r="J218" i="1" a="1"/>
  <c r="J218" i="1" s="1"/>
  <c r="I218" i="1"/>
  <c r="I218" i="1" a="1"/>
  <c r="H218" i="1" a="1"/>
  <c r="H218" i="1" s="1"/>
  <c r="F218" i="1" a="1"/>
  <c r="F218" i="1" s="1"/>
  <c r="AA217" i="1"/>
  <c r="AE217" i="1" s="1"/>
  <c r="X217" i="1"/>
  <c r="O217" i="1"/>
  <c r="K217" i="1" a="1"/>
  <c r="K217" i="1" s="1"/>
  <c r="J217" i="1" a="1"/>
  <c r="J217" i="1" s="1"/>
  <c r="I217" i="1" a="1"/>
  <c r="I217" i="1" s="1"/>
  <c r="H217" i="1" a="1"/>
  <c r="H217" i="1" s="1"/>
  <c r="F217" i="1" a="1"/>
  <c r="F217" i="1" s="1"/>
  <c r="AB216" i="1"/>
  <c r="AA216" i="1"/>
  <c r="AE216" i="1" s="1"/>
  <c r="X216" i="1"/>
  <c r="O216" i="1"/>
  <c r="K216" i="1"/>
  <c r="K216" i="1" a="1"/>
  <c r="J216" i="1" a="1"/>
  <c r="J216" i="1" s="1"/>
  <c r="I216" i="1"/>
  <c r="I216" i="1" a="1"/>
  <c r="H216" i="1" a="1"/>
  <c r="H216" i="1" s="1"/>
  <c r="F216" i="1" a="1"/>
  <c r="F216" i="1" s="1"/>
  <c r="AA215" i="1"/>
  <c r="AB215" i="1" s="1"/>
  <c r="X215" i="1"/>
  <c r="O215" i="1"/>
  <c r="K215" i="1" a="1"/>
  <c r="K215" i="1" s="1"/>
  <c r="J215" i="1" a="1"/>
  <c r="J215" i="1" s="1"/>
  <c r="I215" i="1" a="1"/>
  <c r="I215" i="1" s="1"/>
  <c r="H215" i="1" a="1"/>
  <c r="H215" i="1" s="1"/>
  <c r="F215" i="1" a="1"/>
  <c r="F215" i="1" s="1"/>
  <c r="AA214" i="1"/>
  <c r="X214" i="1"/>
  <c r="O214" i="1"/>
  <c r="K214" i="1" a="1"/>
  <c r="K214" i="1" s="1"/>
  <c r="J214" i="1"/>
  <c r="J214" i="1" a="1"/>
  <c r="I214" i="1" a="1"/>
  <c r="I214" i="1" s="1"/>
  <c r="H214" i="1"/>
  <c r="H214" i="1" a="1"/>
  <c r="F214" i="1" a="1"/>
  <c r="F214" i="1" s="1"/>
  <c r="AA213" i="1"/>
  <c r="AE213" i="1" s="1"/>
  <c r="X213" i="1"/>
  <c r="O213" i="1"/>
  <c r="K213" i="1" a="1"/>
  <c r="K213" i="1" s="1"/>
  <c r="J213" i="1" a="1"/>
  <c r="J213" i="1" s="1"/>
  <c r="I213" i="1" a="1"/>
  <c r="I213" i="1" s="1"/>
  <c r="H213" i="1" a="1"/>
  <c r="H213" i="1" s="1"/>
  <c r="F213" i="1" a="1"/>
  <c r="F213" i="1" s="1"/>
  <c r="AA212" i="1"/>
  <c r="AB212" i="1" s="1"/>
  <c r="X212" i="1"/>
  <c r="O212" i="1"/>
  <c r="K212" i="1" a="1"/>
  <c r="K212" i="1" s="1"/>
  <c r="J212" i="1"/>
  <c r="J212" i="1" a="1"/>
  <c r="I212" i="1" a="1"/>
  <c r="I212" i="1" s="1"/>
  <c r="H212" i="1" a="1"/>
  <c r="H212" i="1" s="1"/>
  <c r="F212" i="1" a="1"/>
  <c r="F212" i="1" s="1"/>
  <c r="AA211" i="1"/>
  <c r="AB211" i="1" s="1"/>
  <c r="X211" i="1"/>
  <c r="O211" i="1"/>
  <c r="K211" i="1" a="1"/>
  <c r="K211" i="1" s="1"/>
  <c r="J211" i="1" a="1"/>
  <c r="J211" i="1" s="1"/>
  <c r="I211" i="1" a="1"/>
  <c r="I211" i="1" s="1"/>
  <c r="H211" i="1" a="1"/>
  <c r="H211" i="1" s="1"/>
  <c r="F211" i="1" a="1"/>
  <c r="F211" i="1" s="1"/>
  <c r="AA210" i="1"/>
  <c r="AE210" i="1" s="1"/>
  <c r="X210" i="1"/>
  <c r="O210" i="1"/>
  <c r="K210" i="1" a="1"/>
  <c r="K210" i="1" s="1"/>
  <c r="J210" i="1" a="1"/>
  <c r="J210" i="1" s="1"/>
  <c r="I210" i="1" a="1"/>
  <c r="I210" i="1" s="1"/>
  <c r="H210" i="1" a="1"/>
  <c r="H210" i="1" s="1"/>
  <c r="F210" i="1"/>
  <c r="F210" i="1" a="1"/>
  <c r="AA209" i="1"/>
  <c r="AE209" i="1" s="1"/>
  <c r="X209" i="1"/>
  <c r="O209" i="1"/>
  <c r="K209" i="1" a="1"/>
  <c r="K209" i="1" s="1"/>
  <c r="J209" i="1" a="1"/>
  <c r="J209" i="1" s="1"/>
  <c r="I209" i="1" a="1"/>
  <c r="I209" i="1" s="1"/>
  <c r="H209" i="1" a="1"/>
  <c r="H209" i="1" s="1"/>
  <c r="F209" i="1" a="1"/>
  <c r="F209" i="1" s="1"/>
  <c r="AA208" i="1"/>
  <c r="AE208" i="1" s="1"/>
  <c r="X208" i="1"/>
  <c r="O208" i="1"/>
  <c r="K208" i="1" a="1"/>
  <c r="K208" i="1" s="1"/>
  <c r="J208" i="1" a="1"/>
  <c r="J208" i="1" s="1"/>
  <c r="I208" i="1" a="1"/>
  <c r="I208" i="1" s="1"/>
  <c r="H208" i="1" a="1"/>
  <c r="H208" i="1" s="1"/>
  <c r="F208" i="1"/>
  <c r="F208" i="1" a="1"/>
  <c r="AA207" i="1"/>
  <c r="AB207" i="1" s="1"/>
  <c r="X207" i="1"/>
  <c r="O207" i="1"/>
  <c r="K207" i="1" a="1"/>
  <c r="K207" i="1" s="1"/>
  <c r="J207" i="1" a="1"/>
  <c r="J207" i="1" s="1"/>
  <c r="I207" i="1" a="1"/>
  <c r="I207" i="1" s="1"/>
  <c r="H207" i="1" a="1"/>
  <c r="H207" i="1" s="1"/>
  <c r="F207" i="1" a="1"/>
  <c r="F207" i="1" s="1"/>
  <c r="AA206" i="1"/>
  <c r="X206" i="1"/>
  <c r="O206" i="1"/>
  <c r="K206" i="1" a="1"/>
  <c r="K206" i="1" s="1"/>
  <c r="J206" i="1" a="1"/>
  <c r="J206" i="1" s="1"/>
  <c r="I206" i="1" a="1"/>
  <c r="I206" i="1" s="1"/>
  <c r="H206" i="1" a="1"/>
  <c r="H206" i="1" s="1"/>
  <c r="F206" i="1" a="1"/>
  <c r="F206" i="1" s="1"/>
  <c r="AA205" i="1"/>
  <c r="AE205" i="1" s="1"/>
  <c r="X205" i="1"/>
  <c r="O205" i="1"/>
  <c r="K205" i="1" a="1"/>
  <c r="K205" i="1" s="1"/>
  <c r="J205" i="1" a="1"/>
  <c r="J205" i="1" s="1"/>
  <c r="I205" i="1" a="1"/>
  <c r="I205" i="1" s="1"/>
  <c r="H205" i="1" a="1"/>
  <c r="H205" i="1" s="1"/>
  <c r="F205" i="1" a="1"/>
  <c r="F205" i="1" s="1"/>
  <c r="AE204" i="1"/>
  <c r="AA204" i="1"/>
  <c r="AB204" i="1" s="1"/>
  <c r="X204" i="1"/>
  <c r="O204" i="1"/>
  <c r="J204" i="1" a="1"/>
  <c r="J204" i="1" s="1"/>
  <c r="I204" i="1" a="1"/>
  <c r="I204" i="1" s="1"/>
  <c r="H204" i="1" a="1"/>
  <c r="H204" i="1" s="1"/>
  <c r="F204" i="1"/>
  <c r="F204" i="1" a="1"/>
  <c r="AA203" i="1"/>
  <c r="AB203" i="1" s="1"/>
  <c r="X203" i="1"/>
  <c r="O203" i="1"/>
  <c r="J203" i="1" a="1"/>
  <c r="J203" i="1" s="1"/>
  <c r="I203" i="1" a="1"/>
  <c r="I203" i="1" s="1"/>
  <c r="H203" i="1" a="1"/>
  <c r="H203" i="1" s="1"/>
  <c r="F203" i="1" a="1"/>
  <c r="F203" i="1" s="1"/>
  <c r="AA202" i="1"/>
  <c r="AE202" i="1" s="1"/>
  <c r="X202" i="1"/>
  <c r="O202" i="1"/>
  <c r="K202" i="1" a="1"/>
  <c r="K202" i="1" s="1"/>
  <c r="I202" i="1" a="1"/>
  <c r="I202" i="1" s="1"/>
  <c r="H202" i="1" a="1"/>
  <c r="H202" i="1" s="1"/>
  <c r="F202" i="1" a="1"/>
  <c r="F202" i="1" s="1"/>
  <c r="AA201" i="1"/>
  <c r="AE201" i="1" s="1"/>
  <c r="X201" i="1"/>
  <c r="O201" i="1"/>
  <c r="K201" i="1" a="1"/>
  <c r="K201" i="1" s="1"/>
  <c r="I201" i="1" a="1"/>
  <c r="I201" i="1" s="1"/>
  <c r="H201" i="1" a="1"/>
  <c r="H201" i="1" s="1"/>
  <c r="F201" i="1" a="1"/>
  <c r="F201" i="1" s="1"/>
  <c r="AE200" i="1"/>
  <c r="AA200" i="1"/>
  <c r="AB200" i="1" s="1"/>
  <c r="X200" i="1"/>
  <c r="O200" i="1"/>
  <c r="K200" i="1" a="1"/>
  <c r="K200" i="1" s="1"/>
  <c r="I200" i="1" a="1"/>
  <c r="I200" i="1" s="1"/>
  <c r="H200" i="1" a="1"/>
  <c r="H200" i="1" s="1"/>
  <c r="F200" i="1" a="1"/>
  <c r="F200" i="1" s="1"/>
  <c r="AA199" i="1"/>
  <c r="AB199" i="1" s="1"/>
  <c r="X199" i="1"/>
  <c r="O199" i="1"/>
  <c r="K199" i="1" a="1"/>
  <c r="K199" i="1" s="1"/>
  <c r="I199" i="1" a="1"/>
  <c r="I199" i="1" s="1"/>
  <c r="H199" i="1" a="1"/>
  <c r="H199" i="1" s="1"/>
  <c r="F199" i="1" a="1"/>
  <c r="F199" i="1" s="1"/>
  <c r="AA198" i="1"/>
  <c r="AE198" i="1" s="1"/>
  <c r="X198" i="1"/>
  <c r="O198" i="1"/>
  <c r="K198" i="1" a="1"/>
  <c r="K198" i="1" s="1"/>
  <c r="I198" i="1" a="1"/>
  <c r="I198" i="1" s="1"/>
  <c r="H198" i="1" a="1"/>
  <c r="H198" i="1" s="1"/>
  <c r="F198" i="1" a="1"/>
  <c r="F198" i="1" s="1"/>
  <c r="AA197" i="1"/>
  <c r="AE197" i="1" s="1"/>
  <c r="X197" i="1"/>
  <c r="O197" i="1"/>
  <c r="K197" i="1" a="1"/>
  <c r="K197" i="1" s="1"/>
  <c r="J197" i="1" a="1"/>
  <c r="J197" i="1" s="1"/>
  <c r="I197" i="1" a="1"/>
  <c r="I197" i="1" s="1"/>
  <c r="H197" i="1" a="1"/>
  <c r="H197" i="1" s="1"/>
  <c r="F197" i="1" a="1"/>
  <c r="F197" i="1" s="1"/>
  <c r="AA196" i="1"/>
  <c r="X196" i="1"/>
  <c r="O196" i="1"/>
  <c r="K196" i="1" a="1"/>
  <c r="K196" i="1" s="1"/>
  <c r="J196" i="1" a="1"/>
  <c r="J196" i="1" s="1"/>
  <c r="I196" i="1" a="1"/>
  <c r="I196" i="1" s="1"/>
  <c r="H196" i="1"/>
  <c r="H196" i="1" a="1"/>
  <c r="F196" i="1" a="1"/>
  <c r="F196" i="1" s="1"/>
  <c r="AE195" i="1"/>
  <c r="AA195" i="1"/>
  <c r="AB195" i="1" s="1"/>
  <c r="X195" i="1"/>
  <c r="O195" i="1"/>
  <c r="K195" i="1" a="1"/>
  <c r="K195" i="1" s="1"/>
  <c r="J195" i="1" a="1"/>
  <c r="J195" i="1" s="1"/>
  <c r="I195" i="1" a="1"/>
  <c r="I195" i="1" s="1"/>
  <c r="H195" i="1" a="1"/>
  <c r="H195" i="1" s="1"/>
  <c r="F195" i="1" a="1"/>
  <c r="F195" i="1" s="1"/>
  <c r="AA194" i="1"/>
  <c r="AE194" i="1" s="1"/>
  <c r="X194" i="1"/>
  <c r="O194" i="1"/>
  <c r="K194" i="1" a="1"/>
  <c r="K194" i="1" s="1"/>
  <c r="I194" i="1" a="1"/>
  <c r="I194" i="1" s="1"/>
  <c r="H194" i="1" a="1"/>
  <c r="H194" i="1" s="1"/>
  <c r="F194" i="1" a="1"/>
  <c r="F194" i="1" s="1"/>
  <c r="AA193" i="1"/>
  <c r="AE193" i="1" s="1"/>
  <c r="X193" i="1"/>
  <c r="O193" i="1"/>
  <c r="K193" i="1" a="1"/>
  <c r="K193" i="1" s="1"/>
  <c r="I193" i="1" a="1"/>
  <c r="I193" i="1" s="1"/>
  <c r="H193" i="1" a="1"/>
  <c r="H193" i="1" s="1"/>
  <c r="F193" i="1" a="1"/>
  <c r="F193" i="1" s="1"/>
  <c r="AA192" i="1"/>
  <c r="AB192" i="1" s="1"/>
  <c r="X192" i="1"/>
  <c r="O192" i="1"/>
  <c r="K192" i="1" a="1"/>
  <c r="K192" i="1" s="1"/>
  <c r="J192" i="1"/>
  <c r="J192" i="1" a="1"/>
  <c r="I192" i="1" a="1"/>
  <c r="I192" i="1" s="1"/>
  <c r="H192" i="1" a="1"/>
  <c r="H192" i="1" s="1"/>
  <c r="F192" i="1" a="1"/>
  <c r="F192" i="1" s="1"/>
  <c r="AA191" i="1"/>
  <c r="AB191" i="1" s="1"/>
  <c r="X191" i="1"/>
  <c r="O191" i="1"/>
  <c r="K191" i="1" a="1"/>
  <c r="K191" i="1" s="1"/>
  <c r="J191" i="1" a="1"/>
  <c r="J191" i="1" s="1"/>
  <c r="I191" i="1" a="1"/>
  <c r="I191" i="1" s="1"/>
  <c r="H191" i="1" a="1"/>
  <c r="H191" i="1" s="1"/>
  <c r="F191" i="1" a="1"/>
  <c r="F191" i="1" s="1"/>
  <c r="AB190" i="1"/>
  <c r="AA190" i="1"/>
  <c r="AE190" i="1" s="1"/>
  <c r="X190" i="1"/>
  <c r="O190" i="1"/>
  <c r="K190" i="1"/>
  <c r="K190" i="1" a="1"/>
  <c r="J190" i="1" a="1"/>
  <c r="J190" i="1" s="1"/>
  <c r="I190" i="1"/>
  <c r="I190" i="1" a="1"/>
  <c r="H190" i="1" a="1"/>
  <c r="H190" i="1" s="1"/>
  <c r="F190" i="1" a="1"/>
  <c r="F190" i="1" s="1"/>
  <c r="AA189" i="1"/>
  <c r="AE189" i="1" s="1"/>
  <c r="X189" i="1"/>
  <c r="O189" i="1"/>
  <c r="K189" i="1" a="1"/>
  <c r="K189" i="1" s="1"/>
  <c r="J189" i="1" a="1"/>
  <c r="J189" i="1" s="1"/>
  <c r="I189" i="1" a="1"/>
  <c r="I189" i="1" s="1"/>
  <c r="H189" i="1" a="1"/>
  <c r="H189" i="1" s="1"/>
  <c r="F189" i="1" a="1"/>
  <c r="F189" i="1" s="1"/>
  <c r="AA188" i="1"/>
  <c r="AE188" i="1" s="1"/>
  <c r="X188" i="1"/>
  <c r="O188" i="1"/>
  <c r="K188" i="1" a="1"/>
  <c r="K188" i="1" s="1"/>
  <c r="J188" i="1" a="1"/>
  <c r="J188" i="1" s="1"/>
  <c r="I188" i="1" a="1"/>
  <c r="I188" i="1" s="1"/>
  <c r="H188" i="1" a="1"/>
  <c r="H188" i="1" s="1"/>
  <c r="F188" i="1"/>
  <c r="F188" i="1" a="1"/>
  <c r="AA187" i="1"/>
  <c r="AB187" i="1" s="1"/>
  <c r="X187" i="1"/>
  <c r="O187" i="1"/>
  <c r="K187" i="1" a="1"/>
  <c r="K187" i="1" s="1"/>
  <c r="J187" i="1" a="1"/>
  <c r="J187" i="1" s="1"/>
  <c r="I187" i="1" a="1"/>
  <c r="I187" i="1" s="1"/>
  <c r="H187" i="1" a="1"/>
  <c r="H187" i="1" s="1"/>
  <c r="F187" i="1" a="1"/>
  <c r="F187" i="1" s="1"/>
  <c r="AA186" i="1"/>
  <c r="X186" i="1"/>
  <c r="O186" i="1"/>
  <c r="K186" i="1" a="1"/>
  <c r="K186" i="1" s="1"/>
  <c r="J186" i="1" a="1"/>
  <c r="J186" i="1" s="1"/>
  <c r="I186" i="1" a="1"/>
  <c r="I186" i="1" s="1"/>
  <c r="H186" i="1"/>
  <c r="H186" i="1" a="1"/>
  <c r="F186" i="1" a="1"/>
  <c r="F186" i="1" s="1"/>
  <c r="AA185" i="1"/>
  <c r="AE185" i="1" s="1"/>
  <c r="X185" i="1"/>
  <c r="O185" i="1"/>
  <c r="K185" i="1" a="1"/>
  <c r="K185" i="1" s="1"/>
  <c r="J185" i="1" a="1"/>
  <c r="J185" i="1" s="1"/>
  <c r="I185" i="1" a="1"/>
  <c r="I185" i="1" s="1"/>
  <c r="H185" i="1" a="1"/>
  <c r="H185" i="1" s="1"/>
  <c r="F185" i="1" a="1"/>
  <c r="F185" i="1" s="1"/>
  <c r="AE184" i="1"/>
  <c r="AA184" i="1"/>
  <c r="AB184" i="1" s="1"/>
  <c r="X184" i="1"/>
  <c r="O184" i="1"/>
  <c r="K184" i="1" a="1"/>
  <c r="K184" i="1" s="1"/>
  <c r="J184" i="1" a="1"/>
  <c r="J184" i="1" s="1"/>
  <c r="I184" i="1" a="1"/>
  <c r="I184" i="1" s="1"/>
  <c r="H184" i="1" a="1"/>
  <c r="H184" i="1" s="1"/>
  <c r="F184" i="1" a="1"/>
  <c r="F184" i="1" s="1"/>
  <c r="AA183" i="1"/>
  <c r="AB183" i="1" s="1"/>
  <c r="X183" i="1"/>
  <c r="O183" i="1"/>
  <c r="K183" i="1" a="1"/>
  <c r="K183" i="1" s="1"/>
  <c r="J183" i="1" a="1"/>
  <c r="J183" i="1" s="1"/>
  <c r="I183" i="1" a="1"/>
  <c r="I183" i="1" s="1"/>
  <c r="H183" i="1" a="1"/>
  <c r="H183" i="1" s="1"/>
  <c r="F183" i="1" a="1"/>
  <c r="F183" i="1" s="1"/>
  <c r="AA182" i="1"/>
  <c r="AE182" i="1" s="1"/>
  <c r="X182" i="1"/>
  <c r="O182" i="1"/>
  <c r="K182" i="1" a="1"/>
  <c r="K182" i="1" s="1"/>
  <c r="J182" i="1" a="1"/>
  <c r="J182" i="1" s="1"/>
  <c r="I182" i="1" a="1"/>
  <c r="I182" i="1" s="1"/>
  <c r="H182" i="1" a="1"/>
  <c r="H182" i="1" s="1"/>
  <c r="F182" i="1" a="1"/>
  <c r="F182" i="1" s="1"/>
  <c r="AA181" i="1"/>
  <c r="AE181" i="1" s="1"/>
  <c r="X181" i="1"/>
  <c r="O181" i="1"/>
  <c r="K181" i="1" a="1"/>
  <c r="K181" i="1" s="1"/>
  <c r="J181" i="1" a="1"/>
  <c r="J181" i="1" s="1"/>
  <c r="I181" i="1" a="1"/>
  <c r="I181" i="1" s="1"/>
  <c r="H181" i="1" a="1"/>
  <c r="H181" i="1" s="1"/>
  <c r="F181" i="1" a="1"/>
  <c r="F181" i="1" s="1"/>
  <c r="AA180" i="1"/>
  <c r="AE180" i="1" s="1"/>
  <c r="X180" i="1"/>
  <c r="O180" i="1"/>
  <c r="K180" i="1" a="1"/>
  <c r="K180" i="1" s="1"/>
  <c r="J180" i="1" a="1"/>
  <c r="J180" i="1" s="1"/>
  <c r="I180" i="1" a="1"/>
  <c r="I180" i="1" s="1"/>
  <c r="H180" i="1" a="1"/>
  <c r="H180" i="1" s="1"/>
  <c r="F180" i="1" a="1"/>
  <c r="F180" i="1" s="1"/>
  <c r="AA179" i="1"/>
  <c r="X179" i="1"/>
  <c r="O179" i="1"/>
  <c r="K179" i="1" a="1"/>
  <c r="K179" i="1" s="1"/>
  <c r="J179" i="1" a="1"/>
  <c r="J179" i="1" s="1"/>
  <c r="I179" i="1" a="1"/>
  <c r="I179" i="1" s="1"/>
  <c r="H179" i="1" a="1"/>
  <c r="H179" i="1" s="1"/>
  <c r="F179" i="1" a="1"/>
  <c r="F179" i="1" s="1"/>
  <c r="AA178" i="1"/>
  <c r="AE178" i="1" s="1"/>
  <c r="X178" i="1"/>
  <c r="O178" i="1"/>
  <c r="K178" i="1" a="1"/>
  <c r="K178" i="1" s="1"/>
  <c r="J178" i="1"/>
  <c r="J178" i="1" a="1"/>
  <c r="I178" i="1" a="1"/>
  <c r="I178" i="1" s="1"/>
  <c r="H178" i="1"/>
  <c r="H178" i="1" a="1"/>
  <c r="F178" i="1" a="1"/>
  <c r="F178" i="1" s="1"/>
  <c r="AA177" i="1"/>
  <c r="AE177" i="1" s="1"/>
  <c r="X177" i="1"/>
  <c r="O177" i="1"/>
  <c r="K177" i="1" a="1"/>
  <c r="K177" i="1" s="1"/>
  <c r="J177" i="1" a="1"/>
  <c r="J177" i="1" s="1"/>
  <c r="I177" i="1" a="1"/>
  <c r="I177" i="1" s="1"/>
  <c r="H177" i="1" a="1"/>
  <c r="H177" i="1" s="1"/>
  <c r="F177" i="1" a="1"/>
  <c r="F177" i="1" s="1"/>
  <c r="AA176" i="1"/>
  <c r="AB176" i="1" s="1"/>
  <c r="X176" i="1"/>
  <c r="O176" i="1"/>
  <c r="K176" i="1" a="1"/>
  <c r="K176" i="1" s="1"/>
  <c r="J176" i="1"/>
  <c r="J176" i="1" a="1"/>
  <c r="I176" i="1" a="1"/>
  <c r="I176" i="1" s="1"/>
  <c r="H176" i="1" a="1"/>
  <c r="H176" i="1" s="1"/>
  <c r="F176" i="1" a="1"/>
  <c r="F176" i="1" s="1"/>
  <c r="AA175" i="1"/>
  <c r="AB175" i="1" s="1"/>
  <c r="X175" i="1"/>
  <c r="O175" i="1"/>
  <c r="K175" i="1" a="1"/>
  <c r="K175" i="1" s="1"/>
  <c r="J175" i="1" a="1"/>
  <c r="J175" i="1" s="1"/>
  <c r="I175" i="1" a="1"/>
  <c r="I175" i="1" s="1"/>
  <c r="H175" i="1" a="1"/>
  <c r="H175" i="1" s="1"/>
  <c r="F175" i="1" a="1"/>
  <c r="F175" i="1" s="1"/>
  <c r="AB174" i="1"/>
  <c r="AA174" i="1"/>
  <c r="AE174" i="1" s="1"/>
  <c r="X174" i="1"/>
  <c r="O174" i="1"/>
  <c r="K174" i="1" a="1"/>
  <c r="K174" i="1" s="1"/>
  <c r="J174" i="1" a="1"/>
  <c r="J174" i="1" s="1"/>
  <c r="I174" i="1" a="1"/>
  <c r="I174" i="1" s="1"/>
  <c r="H174" i="1" a="1"/>
  <c r="H174" i="1" s="1"/>
  <c r="F174" i="1" a="1"/>
  <c r="F174" i="1" s="1"/>
  <c r="AA173" i="1"/>
  <c r="AE173" i="1" s="1"/>
  <c r="X173" i="1"/>
  <c r="O173" i="1"/>
  <c r="K173" i="1" a="1"/>
  <c r="K173" i="1" s="1"/>
  <c r="J173" i="1" a="1"/>
  <c r="J173" i="1" s="1"/>
  <c r="I173" i="1" a="1"/>
  <c r="I173" i="1" s="1"/>
  <c r="H173" i="1" a="1"/>
  <c r="H173" i="1" s="1"/>
  <c r="F173" i="1" a="1"/>
  <c r="F173" i="1" s="1"/>
  <c r="AA172" i="1"/>
  <c r="AE172" i="1" s="1"/>
  <c r="X172" i="1"/>
  <c r="O172" i="1"/>
  <c r="K172" i="1" a="1"/>
  <c r="K172" i="1" s="1"/>
  <c r="J172" i="1" a="1"/>
  <c r="J172" i="1" s="1"/>
  <c r="I172" i="1"/>
  <c r="I172" i="1" a="1"/>
  <c r="H172" i="1" a="1"/>
  <c r="H172" i="1" s="1"/>
  <c r="F172" i="1" a="1"/>
  <c r="F172" i="1" s="1"/>
  <c r="AA171" i="1"/>
  <c r="X171" i="1"/>
  <c r="O171" i="1"/>
  <c r="L171" i="1" a="1"/>
  <c r="L171" i="1" s="1"/>
  <c r="K171" i="1" a="1"/>
  <c r="K171" i="1" s="1"/>
  <c r="J171" i="1" a="1"/>
  <c r="J171" i="1" s="1"/>
  <c r="I171" i="1" a="1"/>
  <c r="I171" i="1" s="1"/>
  <c r="H171" i="1" a="1"/>
  <c r="H171" i="1" s="1"/>
  <c r="F171" i="1" a="1"/>
  <c r="F171" i="1" s="1"/>
  <c r="AA170" i="1"/>
  <c r="AE170" i="1" s="1"/>
  <c r="X170" i="1"/>
  <c r="O170" i="1"/>
  <c r="L170" i="1" a="1"/>
  <c r="L170" i="1" s="1"/>
  <c r="K170" i="1" a="1"/>
  <c r="K170" i="1" s="1"/>
  <c r="J170" i="1" a="1"/>
  <c r="J170" i="1" s="1"/>
  <c r="I170" i="1" a="1"/>
  <c r="I170" i="1" s="1"/>
  <c r="H170" i="1" a="1"/>
  <c r="H170" i="1" s="1"/>
  <c r="F170" i="1" a="1"/>
  <c r="F170" i="1" s="1"/>
  <c r="AA169" i="1"/>
  <c r="AE169" i="1" s="1"/>
  <c r="X169" i="1"/>
  <c r="O169" i="1"/>
  <c r="L169" i="1" a="1"/>
  <c r="L169" i="1" s="1"/>
  <c r="K169" i="1" a="1"/>
  <c r="K169" i="1" s="1"/>
  <c r="J169" i="1" a="1"/>
  <c r="J169" i="1" s="1"/>
  <c r="I169" i="1" a="1"/>
  <c r="I169" i="1" s="1"/>
  <c r="H169" i="1" a="1"/>
  <c r="H169" i="1" s="1"/>
  <c r="F169" i="1" a="1"/>
  <c r="F169" i="1" s="1"/>
  <c r="AA168" i="1"/>
  <c r="X168" i="1"/>
  <c r="O168" i="1"/>
  <c r="K168" i="1" a="1"/>
  <c r="K168" i="1" s="1"/>
  <c r="J168" i="1" a="1"/>
  <c r="J168" i="1" s="1"/>
  <c r="I168" i="1" a="1"/>
  <c r="I168" i="1" s="1"/>
  <c r="H168" i="1" a="1"/>
  <c r="H168" i="1" s="1"/>
  <c r="F168" i="1" a="1"/>
  <c r="F168" i="1" s="1"/>
  <c r="AA167" i="1"/>
  <c r="AE167" i="1" s="1"/>
  <c r="X167" i="1"/>
  <c r="O167" i="1"/>
  <c r="K167" i="1" a="1"/>
  <c r="K167" i="1" s="1"/>
  <c r="J167" i="1" a="1"/>
  <c r="J167" i="1" s="1"/>
  <c r="I167" i="1" a="1"/>
  <c r="I167" i="1" s="1"/>
  <c r="H167" i="1" a="1"/>
  <c r="H167" i="1" s="1"/>
  <c r="F167" i="1" a="1"/>
  <c r="F167" i="1" s="1"/>
  <c r="AA166" i="1"/>
  <c r="AE166" i="1" s="1"/>
  <c r="X166" i="1"/>
  <c r="O166" i="1"/>
  <c r="K166" i="1" a="1"/>
  <c r="K166" i="1" s="1"/>
  <c r="J166" i="1" a="1"/>
  <c r="J166" i="1" s="1"/>
  <c r="I166" i="1" a="1"/>
  <c r="I166" i="1" s="1"/>
  <c r="H166" i="1" a="1"/>
  <c r="H166" i="1" s="1"/>
  <c r="F166" i="1" a="1"/>
  <c r="F166" i="1" s="1"/>
  <c r="AA165" i="1"/>
  <c r="AB165" i="1" s="1"/>
  <c r="X165" i="1"/>
  <c r="O165" i="1"/>
  <c r="L165" i="1" a="1"/>
  <c r="L165" i="1" s="1"/>
  <c r="K165" i="1" a="1"/>
  <c r="K165" i="1" s="1"/>
  <c r="J165" i="1" a="1"/>
  <c r="J165" i="1" s="1"/>
  <c r="I165" i="1" a="1"/>
  <c r="I165" i="1" s="1"/>
  <c r="H165" i="1" a="1"/>
  <c r="H165" i="1" s="1"/>
  <c r="F165" i="1" a="1"/>
  <c r="F165" i="1" s="1"/>
  <c r="AE164" i="1"/>
  <c r="AA164" i="1"/>
  <c r="AB164" i="1" s="1"/>
  <c r="X164" i="1"/>
  <c r="O164" i="1"/>
  <c r="K164" i="1" a="1"/>
  <c r="K164" i="1" s="1"/>
  <c r="J164" i="1" a="1"/>
  <c r="J164" i="1" s="1"/>
  <c r="I164" i="1" a="1"/>
  <c r="I164" i="1" s="1"/>
  <c r="H164" i="1" a="1"/>
  <c r="H164" i="1" s="1"/>
  <c r="F164" i="1" a="1"/>
  <c r="F164" i="1" s="1"/>
  <c r="AA163" i="1"/>
  <c r="AB163" i="1" s="1"/>
  <c r="X163" i="1"/>
  <c r="O163" i="1"/>
  <c r="K163" i="1" a="1"/>
  <c r="K163" i="1" s="1"/>
  <c r="J163" i="1" a="1"/>
  <c r="J163" i="1" s="1"/>
  <c r="I163" i="1" a="1"/>
  <c r="I163" i="1" s="1"/>
  <c r="H163" i="1" a="1"/>
  <c r="H163" i="1" s="1"/>
  <c r="F163" i="1" a="1"/>
  <c r="F163" i="1" s="1"/>
  <c r="AA162" i="1"/>
  <c r="AE162" i="1" s="1"/>
  <c r="X162" i="1"/>
  <c r="O162" i="1"/>
  <c r="K162" i="1" a="1"/>
  <c r="K162" i="1" s="1"/>
  <c r="J162" i="1" a="1"/>
  <c r="J162" i="1" s="1"/>
  <c r="I162" i="1"/>
  <c r="I162" i="1" a="1"/>
  <c r="H162" i="1" a="1"/>
  <c r="H162" i="1" s="1"/>
  <c r="F162" i="1" a="1"/>
  <c r="F162" i="1" s="1"/>
  <c r="AA161" i="1"/>
  <c r="AE161" i="1" s="1"/>
  <c r="X161" i="1"/>
  <c r="O161" i="1"/>
  <c r="K161" i="1" a="1"/>
  <c r="K161" i="1" s="1"/>
  <c r="J161" i="1" a="1"/>
  <c r="J161" i="1" s="1"/>
  <c r="I161" i="1" a="1"/>
  <c r="I161" i="1" s="1"/>
  <c r="H161" i="1" a="1"/>
  <c r="H161" i="1" s="1"/>
  <c r="F161" i="1" a="1"/>
  <c r="F161" i="1" s="1"/>
  <c r="AA160" i="1"/>
  <c r="AE160" i="1" s="1"/>
  <c r="X160" i="1"/>
  <c r="O160" i="1"/>
  <c r="K160" i="1" a="1"/>
  <c r="K160" i="1" s="1"/>
  <c r="J160" i="1" a="1"/>
  <c r="J160" i="1" s="1"/>
  <c r="I160" i="1" a="1"/>
  <c r="I160" i="1" s="1"/>
  <c r="H160" i="1" a="1"/>
  <c r="H160" i="1" s="1"/>
  <c r="F160" i="1" a="1"/>
  <c r="F160" i="1" s="1"/>
  <c r="AA159" i="1"/>
  <c r="AB159" i="1" s="1"/>
  <c r="X159" i="1"/>
  <c r="O159" i="1"/>
  <c r="K159" i="1" a="1"/>
  <c r="K159" i="1" s="1"/>
  <c r="J159" i="1" a="1"/>
  <c r="J159" i="1" s="1"/>
  <c r="I159" i="1" a="1"/>
  <c r="I159" i="1" s="1"/>
  <c r="H159" i="1" a="1"/>
  <c r="H159" i="1" s="1"/>
  <c r="F159" i="1" a="1"/>
  <c r="F159" i="1" s="1"/>
  <c r="AA158" i="1"/>
  <c r="AE158" i="1" s="1"/>
  <c r="X158" i="1"/>
  <c r="O158" i="1"/>
  <c r="K158" i="1" a="1"/>
  <c r="K158" i="1" s="1"/>
  <c r="J158" i="1" a="1"/>
  <c r="J158" i="1" s="1"/>
  <c r="I158" i="1" a="1"/>
  <c r="I158" i="1" s="1"/>
  <c r="H158" i="1"/>
  <c r="H158" i="1" a="1"/>
  <c r="F158" i="1" a="1"/>
  <c r="F158" i="1" s="1"/>
  <c r="AE157" i="1"/>
  <c r="AB157" i="1"/>
  <c r="X157" i="1"/>
  <c r="O157" i="1"/>
  <c r="L157" i="1" a="1"/>
  <c r="L157" i="1" s="1"/>
  <c r="K157" i="1" a="1"/>
  <c r="K157" i="1" s="1"/>
  <c r="J157" i="1" a="1"/>
  <c r="J157" i="1" s="1"/>
  <c r="I157" i="1" a="1"/>
  <c r="I157" i="1" s="1"/>
  <c r="H157" i="1" a="1"/>
  <c r="H157" i="1" s="1"/>
  <c r="F157" i="1" a="1"/>
  <c r="F157" i="1" s="1"/>
  <c r="AA156" i="1"/>
  <c r="AE156" i="1" s="1"/>
  <c r="X156" i="1"/>
  <c r="O156" i="1"/>
  <c r="K156" i="1" a="1"/>
  <c r="K156" i="1" s="1"/>
  <c r="J156" i="1" a="1"/>
  <c r="J156" i="1" s="1"/>
  <c r="I156" i="1" a="1"/>
  <c r="I156" i="1" s="1"/>
  <c r="H156" i="1" a="1"/>
  <c r="H156" i="1" s="1"/>
  <c r="F156" i="1" a="1"/>
  <c r="F156" i="1" s="1"/>
  <c r="AE155" i="1"/>
  <c r="AA155" i="1"/>
  <c r="AB155" i="1" s="1"/>
  <c r="X155" i="1"/>
  <c r="O155" i="1"/>
  <c r="K155" i="1" a="1"/>
  <c r="K155" i="1" s="1"/>
  <c r="J155" i="1" a="1"/>
  <c r="J155" i="1" s="1"/>
  <c r="I155" i="1" a="1"/>
  <c r="I155" i="1" s="1"/>
  <c r="H155" i="1" a="1"/>
  <c r="H155" i="1" s="1"/>
  <c r="F155" i="1" a="1"/>
  <c r="F155" i="1" s="1"/>
  <c r="AA154" i="1"/>
  <c r="AE154" i="1" s="1"/>
  <c r="X154" i="1"/>
  <c r="O154" i="1"/>
  <c r="K154" i="1" a="1"/>
  <c r="K154" i="1" s="1"/>
  <c r="J154" i="1" a="1"/>
  <c r="J154" i="1" s="1"/>
  <c r="I154" i="1" a="1"/>
  <c r="I154" i="1" s="1"/>
  <c r="H154" i="1" a="1"/>
  <c r="H154" i="1" s="1"/>
  <c r="F154" i="1" a="1"/>
  <c r="F154" i="1" s="1"/>
  <c r="AA153" i="1"/>
  <c r="AE153" i="1" s="1"/>
  <c r="X153" i="1"/>
  <c r="O153" i="1"/>
  <c r="K153" i="1" a="1"/>
  <c r="K153" i="1" s="1"/>
  <c r="J153" i="1" a="1"/>
  <c r="J153" i="1" s="1"/>
  <c r="I153" i="1" a="1"/>
  <c r="I153" i="1" s="1"/>
  <c r="H153" i="1" a="1"/>
  <c r="H153" i="1" s="1"/>
  <c r="F153" i="1" a="1"/>
  <c r="F153" i="1" s="1"/>
  <c r="AA152" i="1"/>
  <c r="AE152" i="1" s="1"/>
  <c r="X152" i="1"/>
  <c r="O152" i="1"/>
  <c r="K152" i="1" a="1"/>
  <c r="K152" i="1" s="1"/>
  <c r="J152" i="1" a="1"/>
  <c r="J152" i="1" s="1"/>
  <c r="I152" i="1" a="1"/>
  <c r="I152" i="1" s="1"/>
  <c r="H152" i="1" a="1"/>
  <c r="H152" i="1" s="1"/>
  <c r="F152" i="1" a="1"/>
  <c r="F152" i="1" s="1"/>
  <c r="AA151" i="1"/>
  <c r="AE151" i="1" s="1"/>
  <c r="X151" i="1"/>
  <c r="O151" i="1"/>
  <c r="K151" i="1" a="1"/>
  <c r="K151" i="1" s="1"/>
  <c r="J151" i="1"/>
  <c r="J151" i="1" a="1"/>
  <c r="I151" i="1" a="1"/>
  <c r="I151" i="1" s="1"/>
  <c r="H151" i="1" a="1"/>
  <c r="H151" i="1" s="1"/>
  <c r="F151" i="1" a="1"/>
  <c r="F151" i="1" s="1"/>
  <c r="AE150" i="1"/>
  <c r="AA150" i="1"/>
  <c r="AB150" i="1" s="1"/>
  <c r="X150" i="1"/>
  <c r="O150" i="1"/>
  <c r="K150" i="1" a="1"/>
  <c r="K150" i="1" s="1"/>
  <c r="K203" i="1" s="1" a="1"/>
  <c r="K203" i="1" s="1"/>
  <c r="F150" i="1" a="1"/>
  <c r="F150" i="1" s="1"/>
  <c r="AE149" i="1"/>
  <c r="AA149" i="1"/>
  <c r="AB149" i="1" s="1"/>
  <c r="X149" i="1"/>
  <c r="O149" i="1"/>
  <c r="K149" i="1" a="1"/>
  <c r="K149" i="1" s="1"/>
  <c r="I149" i="1" a="1"/>
  <c r="I149" i="1" s="1"/>
  <c r="H149" i="1" a="1"/>
  <c r="H149" i="1" s="1"/>
  <c r="F149" i="1" a="1"/>
  <c r="F149" i="1" s="1"/>
  <c r="AA148" i="1"/>
  <c r="AE148" i="1" s="1"/>
  <c r="X148" i="1"/>
  <c r="O148" i="1"/>
  <c r="K148" i="1" a="1"/>
  <c r="K148" i="1" s="1"/>
  <c r="I148" i="1"/>
  <c r="I148" i="1" a="1"/>
  <c r="H148" i="1" a="1"/>
  <c r="H148" i="1" s="1"/>
  <c r="F148" i="1" a="1"/>
  <c r="F148" i="1" s="1"/>
  <c r="AA147" i="1"/>
  <c r="AE147" i="1" s="1"/>
  <c r="X147" i="1"/>
  <c r="O147" i="1"/>
  <c r="K147" i="1" a="1"/>
  <c r="K147" i="1" s="1"/>
  <c r="I147" i="1" a="1"/>
  <c r="I147" i="1" s="1"/>
  <c r="H147" i="1" a="1"/>
  <c r="H147" i="1" s="1"/>
  <c r="F147" i="1" a="1"/>
  <c r="F147" i="1" s="1"/>
  <c r="AA146" i="1"/>
  <c r="AE146" i="1" s="1"/>
  <c r="X146" i="1"/>
  <c r="O146" i="1"/>
  <c r="K146" i="1" a="1"/>
  <c r="K146" i="1" s="1"/>
  <c r="I146" i="1" a="1"/>
  <c r="I146" i="1" s="1"/>
  <c r="H146" i="1" a="1"/>
  <c r="H146" i="1" s="1"/>
  <c r="F146" i="1" a="1"/>
  <c r="F146" i="1" s="1"/>
  <c r="AA145" i="1"/>
  <c r="AE145" i="1" s="1"/>
  <c r="X145" i="1"/>
  <c r="O145" i="1"/>
  <c r="K145" i="1" a="1"/>
  <c r="K145" i="1" s="1"/>
  <c r="I145" i="1"/>
  <c r="I145" i="1" a="1"/>
  <c r="H145" i="1" a="1"/>
  <c r="H145" i="1" s="1"/>
  <c r="F145" i="1" a="1"/>
  <c r="F145" i="1" s="1"/>
  <c r="AA144" i="1"/>
  <c r="AE144" i="1" s="1"/>
  <c r="X144" i="1"/>
  <c r="O144" i="1"/>
  <c r="K144" i="1" a="1"/>
  <c r="K144" i="1" s="1"/>
  <c r="J144" i="1" a="1"/>
  <c r="J144" i="1" s="1"/>
  <c r="I144" i="1" a="1"/>
  <c r="I144" i="1" s="1"/>
  <c r="H144" i="1" a="1"/>
  <c r="H144" i="1" s="1"/>
  <c r="F144" i="1" a="1"/>
  <c r="F144" i="1" s="1"/>
  <c r="AA143" i="1"/>
  <c r="AE143" i="1" s="1"/>
  <c r="X143" i="1"/>
  <c r="O143" i="1"/>
  <c r="K143" i="1" a="1"/>
  <c r="K143" i="1" s="1"/>
  <c r="J143" i="1" a="1"/>
  <c r="J143" i="1" s="1"/>
  <c r="I143" i="1" a="1"/>
  <c r="I143" i="1" s="1"/>
  <c r="H143" i="1" a="1"/>
  <c r="H143" i="1" s="1"/>
  <c r="F143" i="1" a="1"/>
  <c r="F143" i="1" s="1"/>
  <c r="AA142" i="1"/>
  <c r="AE142" i="1" s="1"/>
  <c r="X142" i="1"/>
  <c r="O142" i="1"/>
  <c r="K142" i="1" a="1"/>
  <c r="K142" i="1" s="1"/>
  <c r="I142" i="1" a="1"/>
  <c r="I142" i="1" s="1"/>
  <c r="H142" i="1" a="1"/>
  <c r="H142" i="1" s="1"/>
  <c r="F142" i="1" a="1"/>
  <c r="F142" i="1" s="1"/>
  <c r="AA141" i="1"/>
  <c r="AE141" i="1" s="1"/>
  <c r="X141" i="1"/>
  <c r="O141" i="1"/>
  <c r="K141" i="1" a="1"/>
  <c r="K141" i="1" s="1"/>
  <c r="I141" i="1"/>
  <c r="I141" i="1" a="1"/>
  <c r="H141" i="1" a="1"/>
  <c r="H141" i="1" s="1"/>
  <c r="F141" i="1" a="1"/>
  <c r="F141" i="1" s="1"/>
  <c r="AA140" i="1"/>
  <c r="AE140" i="1" s="1"/>
  <c r="X140" i="1"/>
  <c r="O140" i="1"/>
  <c r="K140" i="1" a="1"/>
  <c r="K140" i="1" s="1"/>
  <c r="J140" i="1" a="1"/>
  <c r="J140" i="1" s="1"/>
  <c r="I140" i="1" a="1"/>
  <c r="I140" i="1" s="1"/>
  <c r="H140" i="1" a="1"/>
  <c r="H140" i="1" s="1"/>
  <c r="F140" i="1" a="1"/>
  <c r="F140" i="1" s="1"/>
  <c r="AA139" i="1"/>
  <c r="AE139" i="1" s="1"/>
  <c r="X139" i="1"/>
  <c r="O139" i="1"/>
  <c r="K139" i="1" a="1"/>
  <c r="K139" i="1" s="1"/>
  <c r="J139" i="1" a="1"/>
  <c r="J139" i="1" s="1"/>
  <c r="I139" i="1" a="1"/>
  <c r="I139" i="1" s="1"/>
  <c r="H139" i="1" a="1"/>
  <c r="H139" i="1" s="1"/>
  <c r="F139" i="1" a="1"/>
  <c r="F139" i="1" s="1"/>
  <c r="AA138" i="1"/>
  <c r="AE138" i="1" s="1"/>
  <c r="X138" i="1"/>
  <c r="O138" i="1"/>
  <c r="K138" i="1" a="1"/>
  <c r="K138" i="1" s="1"/>
  <c r="J138" i="1" a="1"/>
  <c r="J138" i="1" s="1"/>
  <c r="I138" i="1" a="1"/>
  <c r="I138" i="1" s="1"/>
  <c r="H138" i="1" a="1"/>
  <c r="H138" i="1" s="1"/>
  <c r="F138" i="1" a="1"/>
  <c r="F138" i="1" s="1"/>
  <c r="AE137" i="1"/>
  <c r="AA137" i="1"/>
  <c r="AB137" i="1" s="1"/>
  <c r="X137" i="1"/>
  <c r="O137" i="1"/>
  <c r="K137" i="1" a="1"/>
  <c r="K137" i="1" s="1"/>
  <c r="J137" i="1" a="1"/>
  <c r="J137" i="1" s="1"/>
  <c r="I137" i="1"/>
  <c r="I137" i="1" a="1"/>
  <c r="H137" i="1" a="1"/>
  <c r="H137" i="1" s="1"/>
  <c r="F137" i="1" a="1"/>
  <c r="F137" i="1" s="1"/>
  <c r="AA136" i="1"/>
  <c r="AE136" i="1" s="1"/>
  <c r="X136" i="1"/>
  <c r="O136" i="1"/>
  <c r="K136" i="1" a="1"/>
  <c r="K136" i="1" s="1"/>
  <c r="J136" i="1" a="1"/>
  <c r="J136" i="1" s="1"/>
  <c r="I136" i="1" a="1"/>
  <c r="I136" i="1" s="1"/>
  <c r="H136" i="1" a="1"/>
  <c r="H136" i="1" s="1"/>
  <c r="F136" i="1" a="1"/>
  <c r="F136" i="1" s="1"/>
  <c r="AA135" i="1"/>
  <c r="AE135" i="1" s="1"/>
  <c r="X135" i="1"/>
  <c r="O135" i="1"/>
  <c r="K135" i="1" a="1"/>
  <c r="K135" i="1" s="1"/>
  <c r="J135" i="1" a="1"/>
  <c r="J135" i="1" s="1"/>
  <c r="I135" i="1" a="1"/>
  <c r="I135" i="1" s="1"/>
  <c r="H135" i="1" a="1"/>
  <c r="H135" i="1" s="1"/>
  <c r="F135" i="1" a="1"/>
  <c r="F135" i="1" s="1"/>
  <c r="AA134" i="1"/>
  <c r="AE134" i="1" s="1"/>
  <c r="X134" i="1"/>
  <c r="O134" i="1"/>
  <c r="K134" i="1" a="1"/>
  <c r="K134" i="1" s="1"/>
  <c r="J134" i="1" a="1"/>
  <c r="J134" i="1" s="1"/>
  <c r="I134" i="1" a="1"/>
  <c r="I134" i="1" s="1"/>
  <c r="H134" i="1" a="1"/>
  <c r="H134" i="1" s="1"/>
  <c r="F134" i="1" a="1"/>
  <c r="F134" i="1" s="1"/>
  <c r="AA133" i="1"/>
  <c r="AE133" i="1" s="1"/>
  <c r="X133" i="1"/>
  <c r="O133" i="1"/>
  <c r="L133" i="1" a="1"/>
  <c r="L133" i="1" s="1"/>
  <c r="K133" i="1" a="1"/>
  <c r="K133" i="1" s="1"/>
  <c r="J133" i="1"/>
  <c r="J133" i="1" a="1"/>
  <c r="I133" i="1" a="1"/>
  <c r="I133" i="1" s="1"/>
  <c r="H133" i="1" a="1"/>
  <c r="H133" i="1" s="1"/>
  <c r="F133" i="1" a="1"/>
  <c r="F133" i="1" s="1"/>
  <c r="AA132" i="1"/>
  <c r="AE132" i="1" s="1"/>
  <c r="X132" i="1"/>
  <c r="O132" i="1"/>
  <c r="L132" i="1" a="1"/>
  <c r="L132" i="1" s="1"/>
  <c r="K132" i="1" a="1"/>
  <c r="K132" i="1" s="1"/>
  <c r="J132" i="1" a="1"/>
  <c r="J132" i="1" s="1"/>
  <c r="I132" i="1" a="1"/>
  <c r="I132" i="1" s="1"/>
  <c r="H132" i="1" a="1"/>
  <c r="H132" i="1" s="1"/>
  <c r="F132" i="1" a="1"/>
  <c r="F132" i="1" s="1"/>
  <c r="AA131" i="1"/>
  <c r="AE131" i="1" s="1"/>
  <c r="X131" i="1"/>
  <c r="O131" i="1"/>
  <c r="L131" i="1" a="1"/>
  <c r="L131" i="1" s="1"/>
  <c r="K131" i="1" a="1"/>
  <c r="K131" i="1" s="1"/>
  <c r="J131" i="1" a="1"/>
  <c r="J131" i="1" s="1"/>
  <c r="I131" i="1" a="1"/>
  <c r="I131" i="1" s="1"/>
  <c r="H131" i="1" a="1"/>
  <c r="H131" i="1" s="1"/>
  <c r="F131" i="1" a="1"/>
  <c r="F131" i="1" s="1"/>
  <c r="AA130" i="1"/>
  <c r="AE130" i="1" s="1"/>
  <c r="X130" i="1"/>
  <c r="O130" i="1"/>
  <c r="L130" i="1" a="1"/>
  <c r="L130" i="1" s="1"/>
  <c r="K130" i="1" a="1"/>
  <c r="K130" i="1" s="1"/>
  <c r="J130" i="1" a="1"/>
  <c r="J130" i="1" s="1"/>
  <c r="I130" i="1" a="1"/>
  <c r="I130" i="1" s="1"/>
  <c r="H130" i="1" a="1"/>
  <c r="H130" i="1" s="1"/>
  <c r="F130" i="1" a="1"/>
  <c r="F130" i="1" s="1"/>
  <c r="AE129" i="1"/>
  <c r="AA129" i="1"/>
  <c r="AB129" i="1" s="1"/>
  <c r="X129" i="1"/>
  <c r="O129" i="1"/>
  <c r="L129" i="1" a="1"/>
  <c r="L129" i="1" s="1"/>
  <c r="K129" i="1" a="1"/>
  <c r="K129" i="1" s="1"/>
  <c r="J129" i="1" a="1"/>
  <c r="J129" i="1" s="1"/>
  <c r="I129" i="1" a="1"/>
  <c r="I129" i="1" s="1"/>
  <c r="H129" i="1" a="1"/>
  <c r="H129" i="1" s="1"/>
  <c r="F129" i="1" a="1"/>
  <c r="F129" i="1" s="1"/>
  <c r="AA128" i="1"/>
  <c r="AE128" i="1" s="1"/>
  <c r="X128" i="1"/>
  <c r="O128" i="1"/>
  <c r="L128" i="1" a="1"/>
  <c r="L128" i="1" s="1"/>
  <c r="K128" i="1"/>
  <c r="K128" i="1" a="1"/>
  <c r="J128" i="1" a="1"/>
  <c r="J128" i="1" s="1"/>
  <c r="I128" i="1" a="1"/>
  <c r="I128" i="1" s="1"/>
  <c r="H128" i="1" a="1"/>
  <c r="H128" i="1" s="1"/>
  <c r="F128" i="1" a="1"/>
  <c r="F128" i="1" s="1"/>
  <c r="AB127" i="1"/>
  <c r="AA127" i="1"/>
  <c r="AE127" i="1" s="1"/>
  <c r="X127" i="1"/>
  <c r="O127" i="1"/>
  <c r="L127" i="1"/>
  <c r="L127" i="1" a="1"/>
  <c r="K127" i="1" a="1"/>
  <c r="K127" i="1" s="1"/>
  <c r="J127" i="1" a="1"/>
  <c r="J127" i="1" s="1"/>
  <c r="I127" i="1" a="1"/>
  <c r="I127" i="1" s="1"/>
  <c r="H127" i="1" a="1"/>
  <c r="H127" i="1" s="1"/>
  <c r="F127" i="1" a="1"/>
  <c r="F127" i="1" s="1"/>
  <c r="AE126" i="1"/>
  <c r="AA126" i="1"/>
  <c r="AB126" i="1" s="1"/>
  <c r="X126" i="1"/>
  <c r="O126" i="1"/>
  <c r="L126" i="1" a="1"/>
  <c r="L126" i="1" s="1"/>
  <c r="K126" i="1" a="1"/>
  <c r="K126" i="1" s="1"/>
  <c r="J126" i="1" a="1"/>
  <c r="J126" i="1" s="1"/>
  <c r="I126" i="1" a="1"/>
  <c r="I126" i="1" s="1"/>
  <c r="H126" i="1" a="1"/>
  <c r="H126" i="1" s="1"/>
  <c r="F126" i="1" a="1"/>
  <c r="F126" i="1" s="1"/>
  <c r="AA125" i="1"/>
  <c r="AE125" i="1" s="1"/>
  <c r="X125" i="1"/>
  <c r="O125" i="1"/>
  <c r="L125" i="1" a="1"/>
  <c r="L125" i="1" s="1"/>
  <c r="K125" i="1"/>
  <c r="K125" i="1" a="1"/>
  <c r="J125" i="1" a="1"/>
  <c r="J125" i="1" s="1"/>
  <c r="I125" i="1" a="1"/>
  <c r="I125" i="1" s="1"/>
  <c r="H125" i="1" a="1"/>
  <c r="H125" i="1" s="1"/>
  <c r="F125" i="1" a="1"/>
  <c r="F125" i="1" s="1"/>
  <c r="AA124" i="1"/>
  <c r="AE124" i="1" s="1"/>
  <c r="X124" i="1"/>
  <c r="O124" i="1"/>
  <c r="L124" i="1" a="1"/>
  <c r="L124" i="1" s="1"/>
  <c r="K124" i="1" a="1"/>
  <c r="K124" i="1" s="1"/>
  <c r="J124" i="1" a="1"/>
  <c r="J124" i="1" s="1"/>
  <c r="I124" i="1" a="1"/>
  <c r="I124" i="1" s="1"/>
  <c r="H124" i="1" a="1"/>
  <c r="H124" i="1" s="1"/>
  <c r="F124" i="1" a="1"/>
  <c r="F124" i="1" s="1"/>
  <c r="AA123" i="1"/>
  <c r="AE123" i="1" s="1"/>
  <c r="X123" i="1"/>
  <c r="O123" i="1"/>
  <c r="L123" i="1" a="1"/>
  <c r="L123" i="1" s="1"/>
  <c r="K123" i="1" a="1"/>
  <c r="K123" i="1" s="1"/>
  <c r="J123" i="1" a="1"/>
  <c r="J123" i="1" s="1"/>
  <c r="I123" i="1" a="1"/>
  <c r="I123" i="1" s="1"/>
  <c r="H123" i="1" a="1"/>
  <c r="H123" i="1" s="1"/>
  <c r="F123" i="1" a="1"/>
  <c r="F123" i="1" s="1"/>
  <c r="AE122" i="1"/>
  <c r="AA122" i="1"/>
  <c r="AB122" i="1" s="1"/>
  <c r="X122" i="1"/>
  <c r="O122" i="1"/>
  <c r="L122" i="1" a="1"/>
  <c r="L122" i="1" s="1"/>
  <c r="K122" i="1" a="1"/>
  <c r="K122" i="1" s="1"/>
  <c r="J122" i="1"/>
  <c r="J122" i="1" a="1"/>
  <c r="I122" i="1" a="1"/>
  <c r="I122" i="1" s="1"/>
  <c r="H122" i="1" a="1"/>
  <c r="H122" i="1" s="1"/>
  <c r="F122" i="1" a="1"/>
  <c r="F122" i="1" s="1"/>
  <c r="AA121" i="1"/>
  <c r="AE121" i="1" s="1"/>
  <c r="X121" i="1"/>
  <c r="O121" i="1"/>
  <c r="L121" i="1" a="1"/>
  <c r="L121" i="1" s="1"/>
  <c r="K121" i="1" a="1"/>
  <c r="K121" i="1" s="1"/>
  <c r="J121" i="1" a="1"/>
  <c r="J121" i="1" s="1"/>
  <c r="I121" i="1" a="1"/>
  <c r="I121" i="1" s="1"/>
  <c r="H121" i="1" a="1"/>
  <c r="H121" i="1" s="1"/>
  <c r="F121" i="1" a="1"/>
  <c r="F121" i="1" s="1"/>
  <c r="AA120" i="1"/>
  <c r="AE120" i="1" s="1"/>
  <c r="X120" i="1"/>
  <c r="O120" i="1"/>
  <c r="L120" i="1" a="1"/>
  <c r="L120" i="1" s="1"/>
  <c r="K120" i="1" a="1"/>
  <c r="K120" i="1" s="1"/>
  <c r="J120" i="1" a="1"/>
  <c r="J120" i="1" s="1"/>
  <c r="I120" i="1" a="1"/>
  <c r="I120" i="1" s="1"/>
  <c r="H120" i="1" a="1"/>
  <c r="H120" i="1" s="1"/>
  <c r="F120" i="1"/>
  <c r="F120" i="1" a="1"/>
  <c r="AE119" i="1"/>
  <c r="AB119" i="1"/>
  <c r="X119" i="1"/>
  <c r="O119" i="1"/>
  <c r="L119" i="1" a="1"/>
  <c r="L119" i="1" s="1"/>
  <c r="K119" i="1" a="1"/>
  <c r="K119" i="1" s="1"/>
  <c r="J119" i="1" a="1"/>
  <c r="J119" i="1" s="1"/>
  <c r="I119" i="1" a="1"/>
  <c r="I119" i="1" s="1"/>
  <c r="H119" i="1" a="1"/>
  <c r="H119" i="1" s="1"/>
  <c r="F119" i="1" a="1"/>
  <c r="F119" i="1" s="1"/>
  <c r="AB118" i="1"/>
  <c r="AA118" i="1"/>
  <c r="AE118" i="1" s="1"/>
  <c r="X118" i="1"/>
  <c r="O118" i="1"/>
  <c r="L118" i="1"/>
  <c r="L118" i="1" a="1"/>
  <c r="K118" i="1" a="1"/>
  <c r="K118" i="1" s="1"/>
  <c r="J118" i="1" a="1"/>
  <c r="J118" i="1" s="1"/>
  <c r="I118" i="1" a="1"/>
  <c r="I118" i="1" s="1"/>
  <c r="H118" i="1"/>
  <c r="H118" i="1" a="1"/>
  <c r="F118" i="1" a="1"/>
  <c r="F118" i="1" s="1"/>
  <c r="AA117" i="1"/>
  <c r="AB117" i="1" s="1"/>
  <c r="X117" i="1"/>
  <c r="O117" i="1"/>
  <c r="L117" i="1" a="1"/>
  <c r="L117" i="1" s="1"/>
  <c r="K117" i="1" a="1"/>
  <c r="K117" i="1" s="1"/>
  <c r="J117" i="1" a="1"/>
  <c r="J117" i="1" s="1"/>
  <c r="I117" i="1" a="1"/>
  <c r="I117" i="1" s="1"/>
  <c r="H117" i="1" a="1"/>
  <c r="H117" i="1" s="1"/>
  <c r="F117" i="1" a="1"/>
  <c r="F117" i="1" s="1"/>
  <c r="AA116" i="1"/>
  <c r="AE116" i="1" s="1"/>
  <c r="X116" i="1"/>
  <c r="O116" i="1"/>
  <c r="L116" i="1" a="1"/>
  <c r="L116" i="1" s="1"/>
  <c r="K116" i="1" a="1"/>
  <c r="K116" i="1" s="1"/>
  <c r="J116" i="1" a="1"/>
  <c r="J116" i="1" s="1"/>
  <c r="I116" i="1" a="1"/>
  <c r="I116" i="1" s="1"/>
  <c r="H116" i="1" a="1"/>
  <c r="H116" i="1" s="1"/>
  <c r="F116" i="1" a="1"/>
  <c r="F116" i="1" s="1"/>
  <c r="AA115" i="1"/>
  <c r="AE115" i="1" s="1"/>
  <c r="X115" i="1"/>
  <c r="O115" i="1"/>
  <c r="L115" i="1" a="1"/>
  <c r="L115" i="1" s="1"/>
  <c r="K115" i="1" a="1"/>
  <c r="K115" i="1" s="1"/>
  <c r="J115" i="1" a="1"/>
  <c r="J115" i="1" s="1"/>
  <c r="I115" i="1" a="1"/>
  <c r="I115" i="1" s="1"/>
  <c r="H115" i="1" a="1"/>
  <c r="H115" i="1" s="1"/>
  <c r="F115" i="1" a="1"/>
  <c r="F115" i="1" s="1"/>
  <c r="AA114" i="1"/>
  <c r="AE114" i="1" s="1"/>
  <c r="X114" i="1"/>
  <c r="O114" i="1"/>
  <c r="L114" i="1" a="1"/>
  <c r="L114" i="1" s="1"/>
  <c r="K114" i="1" a="1"/>
  <c r="K114" i="1" s="1"/>
  <c r="J114" i="1"/>
  <c r="J114" i="1" a="1"/>
  <c r="I114" i="1" a="1"/>
  <c r="I114" i="1" s="1"/>
  <c r="H114" i="1" a="1"/>
  <c r="H114" i="1" s="1"/>
  <c r="F114" i="1" a="1"/>
  <c r="F114" i="1" s="1"/>
  <c r="AE113" i="1"/>
  <c r="AA113" i="1"/>
  <c r="AB113" i="1" s="1"/>
  <c r="X113" i="1"/>
  <c r="O113" i="1"/>
  <c r="L113" i="1" a="1"/>
  <c r="L113" i="1" s="1"/>
  <c r="K113" i="1" a="1"/>
  <c r="K113" i="1" s="1"/>
  <c r="J113" i="1" a="1"/>
  <c r="J113" i="1" s="1"/>
  <c r="I113" i="1" a="1"/>
  <c r="I113" i="1" s="1"/>
  <c r="H113" i="1" a="1"/>
  <c r="H113" i="1" s="1"/>
  <c r="F113" i="1" a="1"/>
  <c r="F113" i="1" s="1"/>
  <c r="AA112" i="1"/>
  <c r="AE112" i="1" s="1"/>
  <c r="X112" i="1"/>
  <c r="O112" i="1"/>
  <c r="L112" i="1" a="1"/>
  <c r="L112" i="1" s="1"/>
  <c r="K112" i="1" a="1"/>
  <c r="K112" i="1" s="1"/>
  <c r="J112" i="1" a="1"/>
  <c r="J112" i="1" s="1"/>
  <c r="I112" i="1" a="1"/>
  <c r="I112" i="1" s="1"/>
  <c r="H112" i="1" a="1"/>
  <c r="H112" i="1" s="1"/>
  <c r="F112" i="1" a="1"/>
  <c r="F112" i="1" s="1"/>
  <c r="AA111" i="1"/>
  <c r="AE111" i="1" s="1"/>
  <c r="X111" i="1"/>
  <c r="O111" i="1"/>
  <c r="L111" i="1" a="1"/>
  <c r="L111" i="1" s="1"/>
  <c r="K111" i="1" a="1"/>
  <c r="K111" i="1" s="1"/>
  <c r="J111" i="1" a="1"/>
  <c r="J111" i="1" s="1"/>
  <c r="I111" i="1" a="1"/>
  <c r="I111" i="1" s="1"/>
  <c r="H111" i="1" a="1"/>
  <c r="H111" i="1" s="1"/>
  <c r="F111" i="1" a="1"/>
  <c r="F111" i="1" s="1"/>
  <c r="AB110" i="1"/>
  <c r="AA110" i="1"/>
  <c r="AE110" i="1" s="1"/>
  <c r="X110" i="1"/>
  <c r="O110" i="1"/>
  <c r="K110" i="1"/>
  <c r="K110" i="1" a="1"/>
  <c r="J110" i="1" a="1"/>
  <c r="J110" i="1" s="1"/>
  <c r="I110" i="1" a="1"/>
  <c r="I110" i="1" s="1"/>
  <c r="H110" i="1" a="1"/>
  <c r="H110" i="1" s="1"/>
  <c r="F110" i="1"/>
  <c r="F110" i="1" a="1"/>
  <c r="AA109" i="1"/>
  <c r="AE109" i="1" s="1"/>
  <c r="X109" i="1"/>
  <c r="O109" i="1"/>
  <c r="K109" i="1" a="1"/>
  <c r="K109" i="1" s="1"/>
  <c r="J109" i="1" a="1"/>
  <c r="J109" i="1" s="1"/>
  <c r="I109" i="1" a="1"/>
  <c r="I109" i="1" s="1"/>
  <c r="H109" i="1" a="1"/>
  <c r="H109" i="1" s="1"/>
  <c r="F109" i="1" a="1"/>
  <c r="F109" i="1" s="1"/>
  <c r="AA108" i="1"/>
  <c r="AE108" i="1" s="1"/>
  <c r="X108" i="1"/>
  <c r="O108" i="1"/>
  <c r="K108" i="1" a="1"/>
  <c r="K108" i="1" s="1"/>
  <c r="J108" i="1" a="1"/>
  <c r="J108" i="1" s="1"/>
  <c r="I108" i="1" a="1"/>
  <c r="I108" i="1" s="1"/>
  <c r="H108" i="1" a="1"/>
  <c r="H108" i="1" s="1"/>
  <c r="F108" i="1" a="1"/>
  <c r="F108" i="1" s="1"/>
  <c r="AA107" i="1"/>
  <c r="AB107" i="1" s="1"/>
  <c r="X107" i="1"/>
  <c r="O107" i="1"/>
  <c r="K107" i="1" a="1"/>
  <c r="K107" i="1" s="1"/>
  <c r="I107" i="1" a="1"/>
  <c r="I107" i="1" s="1"/>
  <c r="H107" i="1" a="1"/>
  <c r="H107" i="1" s="1"/>
  <c r="F107" i="1" a="1"/>
  <c r="F107" i="1" s="1"/>
  <c r="AA106" i="1"/>
  <c r="AE106" i="1" s="1"/>
  <c r="X106" i="1"/>
  <c r="O106" i="1"/>
  <c r="K106" i="1" a="1"/>
  <c r="K106" i="1" s="1"/>
  <c r="I106" i="1" a="1"/>
  <c r="I106" i="1" s="1"/>
  <c r="H106" i="1" a="1"/>
  <c r="H106" i="1" s="1"/>
  <c r="F106" i="1" a="1"/>
  <c r="F106" i="1" s="1"/>
  <c r="AA105" i="1"/>
  <c r="AE105" i="1" s="1"/>
  <c r="X105" i="1"/>
  <c r="O105" i="1"/>
  <c r="K105" i="1" a="1"/>
  <c r="K105" i="1" s="1"/>
  <c r="I105" i="1" a="1"/>
  <c r="I105" i="1" s="1"/>
  <c r="H105" i="1" a="1"/>
  <c r="H105" i="1" s="1"/>
  <c r="F105" i="1" a="1"/>
  <c r="F105" i="1" s="1"/>
  <c r="AA104" i="1"/>
  <c r="AB104" i="1" s="1"/>
  <c r="X104" i="1"/>
  <c r="O104" i="1"/>
  <c r="K104" i="1" a="1"/>
  <c r="K104" i="1" s="1"/>
  <c r="J104" i="1" a="1"/>
  <c r="J104" i="1" s="1"/>
  <c r="I104" i="1" a="1"/>
  <c r="I104" i="1" s="1"/>
  <c r="H104" i="1" a="1"/>
  <c r="H104" i="1" s="1"/>
  <c r="F104" i="1" a="1"/>
  <c r="F104" i="1" s="1"/>
  <c r="AA103" i="1"/>
  <c r="AB103" i="1" s="1"/>
  <c r="X103" i="1"/>
  <c r="O103" i="1"/>
  <c r="K103" i="1" a="1"/>
  <c r="K103" i="1" s="1"/>
  <c r="J103" i="1" a="1"/>
  <c r="J103" i="1" s="1"/>
  <c r="I103" i="1" a="1"/>
  <c r="I103" i="1" s="1"/>
  <c r="H103" i="1" a="1"/>
  <c r="H103" i="1" s="1"/>
  <c r="F103" i="1" a="1"/>
  <c r="F103" i="1" s="1"/>
  <c r="AB102" i="1"/>
  <c r="AA102" i="1"/>
  <c r="AE102" i="1" s="1"/>
  <c r="X102" i="1"/>
  <c r="O102" i="1"/>
  <c r="K102" i="1"/>
  <c r="K102" i="1" a="1"/>
  <c r="I102" i="1" a="1"/>
  <c r="I102" i="1" s="1"/>
  <c r="H102" i="1" a="1"/>
  <c r="H102" i="1" s="1"/>
  <c r="F102" i="1" a="1"/>
  <c r="F102" i="1" s="1"/>
  <c r="AA101" i="1"/>
  <c r="AE101" i="1" s="1"/>
  <c r="X101" i="1"/>
  <c r="O101" i="1"/>
  <c r="K101" i="1" a="1"/>
  <c r="K101" i="1" s="1"/>
  <c r="I101" i="1" a="1"/>
  <c r="I101" i="1" s="1"/>
  <c r="H101" i="1" a="1"/>
  <c r="H101" i="1" s="1"/>
  <c r="F101" i="1" a="1"/>
  <c r="F101" i="1" s="1"/>
  <c r="AE100" i="1"/>
  <c r="AB100" i="1"/>
  <c r="AA100" i="1"/>
  <c r="X100" i="1"/>
  <c r="O100" i="1"/>
  <c r="K100" i="1"/>
  <c r="K100" i="1" a="1"/>
  <c r="J100" i="1" a="1"/>
  <c r="J100" i="1" s="1"/>
  <c r="I100" i="1" a="1"/>
  <c r="I100" i="1" s="1"/>
  <c r="H100" i="1" a="1"/>
  <c r="H100" i="1" s="1"/>
  <c r="F100" i="1"/>
  <c r="F100" i="1" a="1"/>
  <c r="AA99" i="1"/>
  <c r="AB99" i="1" s="1"/>
  <c r="X99" i="1"/>
  <c r="O99" i="1"/>
  <c r="K99" i="1" a="1"/>
  <c r="K99" i="1" s="1"/>
  <c r="J99" i="1" a="1"/>
  <c r="J99" i="1" s="1"/>
  <c r="I99" i="1" a="1"/>
  <c r="I99" i="1" s="1"/>
  <c r="H99" i="1" a="1"/>
  <c r="H99" i="1" s="1"/>
  <c r="F99" i="1" a="1"/>
  <c r="F99" i="1" s="1"/>
  <c r="AA98" i="1"/>
  <c r="AE98" i="1" s="1"/>
  <c r="X98" i="1"/>
  <c r="O98" i="1"/>
  <c r="K98" i="1" a="1"/>
  <c r="K98" i="1" s="1"/>
  <c r="J98" i="1" a="1"/>
  <c r="J98" i="1" s="1"/>
  <c r="I98" i="1" a="1"/>
  <c r="I98" i="1" s="1"/>
  <c r="H98" i="1" a="1"/>
  <c r="H98" i="1" s="1"/>
  <c r="F98" i="1" a="1"/>
  <c r="F98" i="1" s="1"/>
  <c r="AA97" i="1"/>
  <c r="AE97" i="1" s="1"/>
  <c r="X97" i="1"/>
  <c r="O97" i="1"/>
  <c r="K97" i="1" a="1"/>
  <c r="K97" i="1" s="1"/>
  <c r="J97" i="1" a="1"/>
  <c r="J97" i="1" s="1"/>
  <c r="I97" i="1" a="1"/>
  <c r="I97" i="1" s="1"/>
  <c r="H97" i="1" a="1"/>
  <c r="H97" i="1" s="1"/>
  <c r="F97" i="1" a="1"/>
  <c r="F97" i="1" s="1"/>
  <c r="AA96" i="1"/>
  <c r="AE96" i="1" s="1"/>
  <c r="X96" i="1"/>
  <c r="O96" i="1"/>
  <c r="K96" i="1" a="1"/>
  <c r="K96" i="1" s="1"/>
  <c r="J96" i="1"/>
  <c r="J96" i="1" a="1"/>
  <c r="I96" i="1" a="1"/>
  <c r="I96" i="1" s="1"/>
  <c r="H96" i="1" a="1"/>
  <c r="H96" i="1" s="1"/>
  <c r="F96" i="1" a="1"/>
  <c r="F96" i="1" s="1"/>
  <c r="AE95" i="1"/>
  <c r="AA95" i="1"/>
  <c r="AB95" i="1" s="1"/>
  <c r="X95" i="1"/>
  <c r="O95" i="1"/>
  <c r="K95" i="1" a="1"/>
  <c r="K95" i="1" s="1"/>
  <c r="J95" i="1" a="1"/>
  <c r="J95" i="1" s="1"/>
  <c r="I95" i="1" a="1"/>
  <c r="I95" i="1" s="1"/>
  <c r="H95" i="1" a="1"/>
  <c r="H95" i="1" s="1"/>
  <c r="F95" i="1" a="1"/>
  <c r="F95" i="1" s="1"/>
  <c r="AA94" i="1"/>
  <c r="AE94" i="1" s="1"/>
  <c r="X94" i="1"/>
  <c r="O94" i="1"/>
  <c r="K94" i="1" a="1"/>
  <c r="K94" i="1" s="1"/>
  <c r="J94" i="1" a="1"/>
  <c r="J94" i="1" s="1"/>
  <c r="I94" i="1" a="1"/>
  <c r="I94" i="1" s="1"/>
  <c r="H94" i="1" a="1"/>
  <c r="H94" i="1" s="1"/>
  <c r="F94" i="1" a="1"/>
  <c r="F94" i="1" s="1"/>
  <c r="AA93" i="1"/>
  <c r="AE93" i="1" s="1"/>
  <c r="X93" i="1"/>
  <c r="O93" i="1"/>
  <c r="K93" i="1" a="1"/>
  <c r="K93" i="1" s="1"/>
  <c r="J93" i="1" a="1"/>
  <c r="J93" i="1" s="1"/>
  <c r="I93" i="1" a="1"/>
  <c r="I93" i="1" s="1"/>
  <c r="H93" i="1" a="1"/>
  <c r="H93" i="1" s="1"/>
  <c r="F93" i="1" a="1"/>
  <c r="F93" i="1" s="1"/>
  <c r="AE92" i="1"/>
  <c r="AB92" i="1"/>
  <c r="AA92" i="1"/>
  <c r="X92" i="1"/>
  <c r="O92" i="1"/>
  <c r="L92" i="1"/>
  <c r="L92" i="1" a="1"/>
  <c r="K92" i="1" a="1"/>
  <c r="K92" i="1" s="1"/>
  <c r="J92" i="1" a="1"/>
  <c r="J92" i="1" s="1"/>
  <c r="I92" i="1" a="1"/>
  <c r="I92" i="1" s="1"/>
  <c r="H92" i="1"/>
  <c r="H92" i="1" a="1"/>
  <c r="F92" i="1" a="1"/>
  <c r="F92" i="1" s="1"/>
  <c r="AA91" i="1"/>
  <c r="AE91" i="1" s="1"/>
  <c r="X91" i="1"/>
  <c r="O91" i="1"/>
  <c r="L91" i="1" a="1"/>
  <c r="L91" i="1" s="1"/>
  <c r="K91" i="1" a="1"/>
  <c r="K91" i="1" s="1"/>
  <c r="J91" i="1" a="1"/>
  <c r="J91" i="1" s="1"/>
  <c r="I91" i="1" a="1"/>
  <c r="I91" i="1" s="1"/>
  <c r="H91" i="1" a="1"/>
  <c r="H91" i="1" s="1"/>
  <c r="F91" i="1" a="1"/>
  <c r="F91" i="1" s="1"/>
  <c r="AA90" i="1"/>
  <c r="AE90" i="1" s="1"/>
  <c r="X90" i="1"/>
  <c r="O90" i="1"/>
  <c r="L90" i="1" a="1"/>
  <c r="L90" i="1" s="1"/>
  <c r="K90" i="1" a="1"/>
  <c r="K90" i="1" s="1"/>
  <c r="J90" i="1" a="1"/>
  <c r="J90" i="1" s="1"/>
  <c r="I90" i="1" a="1"/>
  <c r="I90" i="1" s="1"/>
  <c r="H90" i="1" a="1"/>
  <c r="H90" i="1" s="1"/>
  <c r="F90" i="1" a="1"/>
  <c r="F90" i="1" s="1"/>
  <c r="AA89" i="1"/>
  <c r="AB89" i="1" s="1"/>
  <c r="X89" i="1"/>
  <c r="O89" i="1"/>
  <c r="L89" i="1" a="1"/>
  <c r="L89" i="1" s="1"/>
  <c r="K89" i="1" a="1"/>
  <c r="K89" i="1" s="1"/>
  <c r="J89" i="1" a="1"/>
  <c r="J89" i="1" s="1"/>
  <c r="I89" i="1" a="1"/>
  <c r="I89" i="1" s="1"/>
  <c r="H89" i="1" a="1"/>
  <c r="H89" i="1" s="1"/>
  <c r="F89" i="1" a="1"/>
  <c r="F89" i="1" s="1"/>
  <c r="AA88" i="1"/>
  <c r="AE88" i="1" s="1"/>
  <c r="X88" i="1"/>
  <c r="O88" i="1"/>
  <c r="L88" i="1" a="1"/>
  <c r="L88" i="1" s="1"/>
  <c r="K88" i="1" a="1"/>
  <c r="K88" i="1" s="1"/>
  <c r="J88" i="1" a="1"/>
  <c r="J88" i="1" s="1"/>
  <c r="I88" i="1" a="1"/>
  <c r="I88" i="1" s="1"/>
  <c r="H88" i="1" a="1"/>
  <c r="H88" i="1" s="1"/>
  <c r="F88" i="1" a="1"/>
  <c r="F88" i="1" s="1"/>
  <c r="AA87" i="1"/>
  <c r="AE87" i="1" s="1"/>
  <c r="X87" i="1"/>
  <c r="O87" i="1"/>
  <c r="L87" i="1" a="1"/>
  <c r="L87" i="1" s="1"/>
  <c r="K87" i="1" a="1"/>
  <c r="K87" i="1" s="1"/>
  <c r="J87" i="1" a="1"/>
  <c r="J87" i="1" s="1"/>
  <c r="I87" i="1" a="1"/>
  <c r="I87" i="1" s="1"/>
  <c r="H87" i="1" a="1"/>
  <c r="H87" i="1" s="1"/>
  <c r="F87" i="1" a="1"/>
  <c r="F87" i="1" s="1"/>
  <c r="AB86" i="1"/>
  <c r="AA86" i="1"/>
  <c r="AE86" i="1" s="1"/>
  <c r="X86" i="1"/>
  <c r="O86" i="1"/>
  <c r="L86" i="1"/>
  <c r="L86" i="1" a="1"/>
  <c r="K86" i="1" a="1"/>
  <c r="K86" i="1" s="1"/>
  <c r="J86" i="1" a="1"/>
  <c r="J86" i="1" s="1"/>
  <c r="I86" i="1" a="1"/>
  <c r="I86" i="1" s="1"/>
  <c r="H86" i="1"/>
  <c r="H86" i="1" a="1"/>
  <c r="F86" i="1" a="1"/>
  <c r="F86" i="1" s="1"/>
  <c r="AA85" i="1"/>
  <c r="AB85" i="1" s="1"/>
  <c r="X85" i="1"/>
  <c r="O85" i="1"/>
  <c r="L85" i="1" a="1"/>
  <c r="L85" i="1" s="1"/>
  <c r="K85" i="1" a="1"/>
  <c r="K85" i="1" s="1"/>
  <c r="J85" i="1" a="1"/>
  <c r="J85" i="1" s="1"/>
  <c r="I85" i="1" a="1"/>
  <c r="I85" i="1" s="1"/>
  <c r="H85" i="1" a="1"/>
  <c r="H85" i="1" s="1"/>
  <c r="F85" i="1" a="1"/>
  <c r="F85" i="1" s="1"/>
  <c r="AA84" i="1"/>
  <c r="AE84" i="1" s="1"/>
  <c r="X84" i="1"/>
  <c r="O84" i="1"/>
  <c r="L84" i="1" a="1"/>
  <c r="L84" i="1" s="1"/>
  <c r="K84" i="1"/>
  <c r="K84" i="1" a="1"/>
  <c r="J84" i="1" a="1"/>
  <c r="J84" i="1" s="1"/>
  <c r="I84" i="1" a="1"/>
  <c r="I84" i="1" s="1"/>
  <c r="H84" i="1" a="1"/>
  <c r="H84" i="1" s="1"/>
  <c r="F84" i="1"/>
  <c r="F84" i="1" a="1"/>
  <c r="AA83" i="1"/>
  <c r="AE83" i="1" s="1"/>
  <c r="X83" i="1"/>
  <c r="O83" i="1"/>
  <c r="L83" i="1" a="1"/>
  <c r="L83" i="1" s="1"/>
  <c r="K83" i="1" a="1"/>
  <c r="K83" i="1" s="1"/>
  <c r="J83" i="1" a="1"/>
  <c r="J83" i="1" s="1"/>
  <c r="I83" i="1" a="1"/>
  <c r="I83" i="1" s="1"/>
  <c r="H83" i="1" a="1"/>
  <c r="H83" i="1" s="1"/>
  <c r="F83" i="1" a="1"/>
  <c r="F83" i="1" s="1"/>
  <c r="AA82" i="1"/>
  <c r="AE82" i="1" s="1"/>
  <c r="X82" i="1"/>
  <c r="O82" i="1"/>
  <c r="L82" i="1" a="1"/>
  <c r="L82" i="1" s="1"/>
  <c r="K82" i="1" a="1"/>
  <c r="K82" i="1" s="1"/>
  <c r="J82" i="1" a="1"/>
  <c r="J82" i="1" s="1"/>
  <c r="I82" i="1" a="1"/>
  <c r="I82" i="1" s="1"/>
  <c r="H82" i="1" a="1"/>
  <c r="H82" i="1" s="1"/>
  <c r="F82" i="1" a="1"/>
  <c r="F82" i="1" s="1"/>
  <c r="AA81" i="1"/>
  <c r="AB81" i="1" s="1"/>
  <c r="X81" i="1"/>
  <c r="O81" i="1"/>
  <c r="L81" i="1" a="1"/>
  <c r="L81" i="1" s="1"/>
  <c r="K81" i="1" a="1"/>
  <c r="K81" i="1" s="1"/>
  <c r="J81" i="1" a="1"/>
  <c r="J81" i="1" s="1"/>
  <c r="I81" i="1" a="1"/>
  <c r="I81" i="1" s="1"/>
  <c r="H81" i="1" a="1"/>
  <c r="H81" i="1" s="1"/>
  <c r="F81" i="1" a="1"/>
  <c r="F81" i="1" s="1"/>
  <c r="AA80" i="1"/>
  <c r="AB80" i="1" s="1"/>
  <c r="X80" i="1"/>
  <c r="O80" i="1"/>
  <c r="L80" i="1" a="1"/>
  <c r="L80" i="1" s="1"/>
  <c r="K80" i="1" a="1"/>
  <c r="K80" i="1" s="1"/>
  <c r="J80" i="1" a="1"/>
  <c r="J80" i="1" s="1"/>
  <c r="I80" i="1" a="1"/>
  <c r="I80" i="1" s="1"/>
  <c r="H80" i="1" a="1"/>
  <c r="H80" i="1" s="1"/>
  <c r="F80" i="1" a="1"/>
  <c r="F80" i="1" s="1"/>
  <c r="AA79" i="1"/>
  <c r="AE79" i="1" s="1"/>
  <c r="X79" i="1"/>
  <c r="O79" i="1"/>
  <c r="L79" i="1" a="1"/>
  <c r="L79" i="1" s="1"/>
  <c r="K79" i="1" a="1"/>
  <c r="K79" i="1" s="1"/>
  <c r="J79" i="1" a="1"/>
  <c r="J79" i="1" s="1"/>
  <c r="I79" i="1" a="1"/>
  <c r="I79" i="1" s="1"/>
  <c r="H79" i="1" a="1"/>
  <c r="H79" i="1" s="1"/>
  <c r="F79" i="1" a="1"/>
  <c r="F79" i="1" s="1"/>
  <c r="AA78" i="1"/>
  <c r="AE78" i="1" s="1"/>
  <c r="X78" i="1"/>
  <c r="O78" i="1"/>
  <c r="L78" i="1" a="1"/>
  <c r="L78" i="1" s="1"/>
  <c r="K78" i="1"/>
  <c r="K78" i="1" a="1"/>
  <c r="J78" i="1" a="1"/>
  <c r="J78" i="1" s="1"/>
  <c r="I78" i="1" a="1"/>
  <c r="I78" i="1" s="1"/>
  <c r="H78" i="1" a="1"/>
  <c r="H78" i="1" s="1"/>
  <c r="F78" i="1"/>
  <c r="F78" i="1" a="1"/>
  <c r="AA77" i="1"/>
  <c r="AB77" i="1" s="1"/>
  <c r="X77" i="1"/>
  <c r="O77" i="1"/>
  <c r="L77" i="1" a="1"/>
  <c r="L77" i="1" s="1"/>
  <c r="K77" i="1" a="1"/>
  <c r="K77" i="1" s="1"/>
  <c r="J77" i="1" a="1"/>
  <c r="J77" i="1" s="1"/>
  <c r="I77" i="1" a="1"/>
  <c r="I77" i="1" s="1"/>
  <c r="H77" i="1" a="1"/>
  <c r="H77" i="1" s="1"/>
  <c r="F77" i="1" a="1"/>
  <c r="F77" i="1" s="1"/>
  <c r="AE76" i="1"/>
  <c r="AB76" i="1"/>
  <c r="AA76" i="1"/>
  <c r="X76" i="1"/>
  <c r="O76" i="1"/>
  <c r="L76" i="1"/>
  <c r="L76" i="1" a="1"/>
  <c r="K76" i="1" a="1"/>
  <c r="K76" i="1" s="1"/>
  <c r="J76" i="1" a="1"/>
  <c r="J76" i="1" s="1"/>
  <c r="I76" i="1" a="1"/>
  <c r="I76" i="1" s="1"/>
  <c r="H76" i="1"/>
  <c r="H76" i="1" a="1"/>
  <c r="F76" i="1" a="1"/>
  <c r="F76" i="1" s="1"/>
  <c r="AA75" i="1"/>
  <c r="AE75" i="1" s="1"/>
  <c r="X75" i="1"/>
  <c r="O75" i="1"/>
  <c r="L75" i="1" a="1"/>
  <c r="L75" i="1" s="1"/>
  <c r="K75" i="1" a="1"/>
  <c r="K75" i="1" s="1"/>
  <c r="J75" i="1" a="1"/>
  <c r="J75" i="1" s="1"/>
  <c r="I75" i="1" a="1"/>
  <c r="I75" i="1" s="1"/>
  <c r="H75" i="1" a="1"/>
  <c r="H75" i="1" s="1"/>
  <c r="F75" i="1" a="1"/>
  <c r="F75" i="1" s="1"/>
  <c r="AA74" i="1"/>
  <c r="AE74" i="1" s="1"/>
  <c r="X74" i="1"/>
  <c r="O74" i="1"/>
  <c r="L74" i="1" a="1"/>
  <c r="L74" i="1" s="1"/>
  <c r="K74" i="1" a="1"/>
  <c r="K74" i="1" s="1"/>
  <c r="J74" i="1" a="1"/>
  <c r="J74" i="1" s="1"/>
  <c r="I74" i="1" a="1"/>
  <c r="I74" i="1" s="1"/>
  <c r="H74" i="1" a="1"/>
  <c r="H74" i="1" s="1"/>
  <c r="F74" i="1" a="1"/>
  <c r="F74" i="1" s="1"/>
  <c r="AA73" i="1"/>
  <c r="AB73" i="1" s="1"/>
  <c r="X73" i="1"/>
  <c r="O73" i="1"/>
  <c r="L73" i="1" a="1"/>
  <c r="L73" i="1" s="1"/>
  <c r="K73" i="1" a="1"/>
  <c r="K73" i="1" s="1"/>
  <c r="J73" i="1" a="1"/>
  <c r="J73" i="1" s="1"/>
  <c r="I73" i="1" a="1"/>
  <c r="I73" i="1" s="1"/>
  <c r="H73" i="1" a="1"/>
  <c r="H73" i="1" s="1"/>
  <c r="F73" i="1" a="1"/>
  <c r="F73" i="1" s="1"/>
  <c r="AA72" i="1"/>
  <c r="AE72" i="1" s="1"/>
  <c r="X72" i="1"/>
  <c r="O72" i="1"/>
  <c r="L72" i="1" a="1"/>
  <c r="L72" i="1" s="1"/>
  <c r="K72" i="1" a="1"/>
  <c r="K72" i="1" s="1"/>
  <c r="J72" i="1" a="1"/>
  <c r="J72" i="1" s="1"/>
  <c r="I72" i="1" a="1"/>
  <c r="I72" i="1" s="1"/>
  <c r="H72" i="1" a="1"/>
  <c r="H72" i="1" s="1"/>
  <c r="F72" i="1" a="1"/>
  <c r="F72" i="1" s="1"/>
  <c r="AA71" i="1"/>
  <c r="AE71" i="1" s="1"/>
  <c r="X71" i="1"/>
  <c r="O71" i="1"/>
  <c r="L71" i="1" a="1"/>
  <c r="L71" i="1" s="1"/>
  <c r="K71" i="1" a="1"/>
  <c r="K71" i="1" s="1"/>
  <c r="J71" i="1" a="1"/>
  <c r="J71" i="1" s="1"/>
  <c r="I71" i="1" a="1"/>
  <c r="I71" i="1" s="1"/>
  <c r="H71" i="1" a="1"/>
  <c r="H71" i="1" s="1"/>
  <c r="F71" i="1" a="1"/>
  <c r="F71" i="1" s="1"/>
  <c r="AB70" i="1"/>
  <c r="AA70" i="1"/>
  <c r="AE70" i="1" s="1"/>
  <c r="X70" i="1"/>
  <c r="O70" i="1"/>
  <c r="L70" i="1"/>
  <c r="L70" i="1" a="1"/>
  <c r="K70" i="1" a="1"/>
  <c r="K70" i="1" s="1"/>
  <c r="J70" i="1" a="1"/>
  <c r="J70" i="1" s="1"/>
  <c r="I70" i="1" a="1"/>
  <c r="I70" i="1" s="1"/>
  <c r="H70" i="1"/>
  <c r="H70" i="1" a="1"/>
  <c r="F70" i="1" a="1"/>
  <c r="F70" i="1" s="1"/>
  <c r="AA69" i="1"/>
  <c r="AB69" i="1" s="1"/>
  <c r="X69" i="1"/>
  <c r="O69" i="1"/>
  <c r="K69" i="1" a="1"/>
  <c r="K69" i="1" s="1"/>
  <c r="J69" i="1" a="1"/>
  <c r="J69" i="1" s="1"/>
  <c r="I69" i="1" a="1"/>
  <c r="I69" i="1" s="1"/>
  <c r="H69" i="1" a="1"/>
  <c r="H69" i="1" s="1"/>
  <c r="F69" i="1" a="1"/>
  <c r="F69" i="1" s="1"/>
  <c r="AA68" i="1"/>
  <c r="AE68" i="1" s="1"/>
  <c r="X68" i="1"/>
  <c r="O68" i="1"/>
  <c r="K68" i="1" a="1"/>
  <c r="K68" i="1" s="1"/>
  <c r="J68" i="1" a="1"/>
  <c r="J68" i="1" s="1"/>
  <c r="I68" i="1"/>
  <c r="I68" i="1" a="1"/>
  <c r="H68" i="1" a="1"/>
  <c r="H68" i="1" s="1"/>
  <c r="F68" i="1" a="1"/>
  <c r="F68" i="1" s="1"/>
  <c r="AA67" i="1"/>
  <c r="AE67" i="1" s="1"/>
  <c r="X67" i="1"/>
  <c r="O67" i="1"/>
  <c r="K67" i="1" a="1"/>
  <c r="K67" i="1" s="1"/>
  <c r="I67" i="1" a="1"/>
  <c r="I67" i="1" s="1"/>
  <c r="H67" i="1" a="1"/>
  <c r="H67" i="1" s="1"/>
  <c r="F67" i="1" a="1"/>
  <c r="F67" i="1" s="1"/>
  <c r="AA66" i="1"/>
  <c r="AE66" i="1" s="1"/>
  <c r="X66" i="1"/>
  <c r="O66" i="1"/>
  <c r="K66" i="1" a="1"/>
  <c r="K66" i="1" s="1"/>
  <c r="I66" i="1"/>
  <c r="I66" i="1" a="1"/>
  <c r="H66" i="1" a="1"/>
  <c r="H66" i="1" s="1"/>
  <c r="F66" i="1" a="1"/>
  <c r="F66" i="1" s="1"/>
  <c r="AA65" i="1"/>
  <c r="AB65" i="1" s="1"/>
  <c r="X65" i="1"/>
  <c r="O65" i="1"/>
  <c r="K65" i="1" a="1"/>
  <c r="K65" i="1" s="1"/>
  <c r="I65" i="1" a="1"/>
  <c r="I65" i="1" s="1"/>
  <c r="H65" i="1" a="1"/>
  <c r="H65" i="1" s="1"/>
  <c r="F65" i="1" a="1"/>
  <c r="F65" i="1" s="1"/>
  <c r="AA64" i="1"/>
  <c r="AE64" i="1" s="1"/>
  <c r="X64" i="1"/>
  <c r="O64" i="1"/>
  <c r="K64" i="1" a="1"/>
  <c r="K64" i="1" s="1"/>
  <c r="J64" i="1" a="1"/>
  <c r="J64" i="1" s="1"/>
  <c r="I64" i="1" a="1"/>
  <c r="I64" i="1" s="1"/>
  <c r="H64" i="1" a="1"/>
  <c r="H64" i="1" s="1"/>
  <c r="F64" i="1" a="1"/>
  <c r="F64" i="1" s="1"/>
  <c r="AA63" i="1"/>
  <c r="AE63" i="1" s="1"/>
  <c r="X63" i="1"/>
  <c r="O63" i="1"/>
  <c r="K63" i="1" a="1"/>
  <c r="K63" i="1" s="1"/>
  <c r="J63" i="1" a="1"/>
  <c r="J63" i="1" s="1"/>
  <c r="I63" i="1" a="1"/>
  <c r="I63" i="1" s="1"/>
  <c r="H63" i="1" a="1"/>
  <c r="H63" i="1" s="1"/>
  <c r="F63" i="1" a="1"/>
  <c r="F63" i="1" s="1"/>
  <c r="AA62" i="1"/>
  <c r="AE62" i="1" s="1"/>
  <c r="X62" i="1"/>
  <c r="O62" i="1"/>
  <c r="K62" i="1" a="1"/>
  <c r="K62" i="1" s="1"/>
  <c r="I62" i="1" a="1"/>
  <c r="I62" i="1" s="1"/>
  <c r="H62" i="1"/>
  <c r="H62" i="1" a="1"/>
  <c r="F62" i="1" a="1"/>
  <c r="F62" i="1" s="1"/>
  <c r="AA61" i="1"/>
  <c r="AB61" i="1" s="1"/>
  <c r="X61" i="1"/>
  <c r="O61" i="1"/>
  <c r="K61" i="1" a="1"/>
  <c r="K61" i="1" s="1"/>
  <c r="I61" i="1" a="1"/>
  <c r="I61" i="1" s="1"/>
  <c r="H61" i="1" a="1"/>
  <c r="H61" i="1" s="1"/>
  <c r="F61" i="1" a="1"/>
  <c r="F61" i="1" s="1"/>
  <c r="AA60" i="1"/>
  <c r="AE60" i="1" s="1"/>
  <c r="X60" i="1"/>
  <c r="O60" i="1"/>
  <c r="K60" i="1" a="1"/>
  <c r="K60" i="1" s="1"/>
  <c r="I60" i="1" a="1"/>
  <c r="I60" i="1" s="1"/>
  <c r="H60" i="1" a="1"/>
  <c r="H60" i="1" s="1"/>
  <c r="F60" i="1" a="1"/>
  <c r="F60" i="1" s="1"/>
  <c r="AA59" i="1"/>
  <c r="AE59" i="1" s="1"/>
  <c r="X59" i="1"/>
  <c r="O59" i="1"/>
  <c r="K59" i="1" a="1"/>
  <c r="K59" i="1" s="1"/>
  <c r="J59" i="1" a="1"/>
  <c r="J59" i="1" s="1"/>
  <c r="I59" i="1" a="1"/>
  <c r="I59" i="1" s="1"/>
  <c r="H59" i="1" a="1"/>
  <c r="H59" i="1" s="1"/>
  <c r="F59" i="1" a="1"/>
  <c r="F59" i="1" s="1"/>
  <c r="AE58" i="1"/>
  <c r="AB58" i="1"/>
  <c r="AA58" i="1"/>
  <c r="X58" i="1"/>
  <c r="O58" i="1"/>
  <c r="K58" i="1"/>
  <c r="K58" i="1" a="1"/>
  <c r="J58" i="1" a="1"/>
  <c r="J58" i="1" s="1"/>
  <c r="I58" i="1" a="1"/>
  <c r="I58" i="1" s="1"/>
  <c r="H58" i="1" a="1"/>
  <c r="H58" i="1" s="1"/>
  <c r="F58" i="1"/>
  <c r="F58" i="1" a="1"/>
  <c r="AA57" i="1"/>
  <c r="AB57" i="1" s="1"/>
  <c r="X57" i="1"/>
  <c r="O57" i="1"/>
  <c r="K57" i="1" a="1"/>
  <c r="K57" i="1" s="1"/>
  <c r="J57" i="1" a="1"/>
  <c r="J57" i="1" s="1"/>
  <c r="I57" i="1" a="1"/>
  <c r="I57" i="1" s="1"/>
  <c r="H57" i="1" a="1"/>
  <c r="H57" i="1" s="1"/>
  <c r="F57" i="1" a="1"/>
  <c r="F57" i="1" s="1"/>
  <c r="AA56" i="1"/>
  <c r="AE56" i="1" s="1"/>
  <c r="X56" i="1"/>
  <c r="O56" i="1"/>
  <c r="K56" i="1" a="1"/>
  <c r="K56" i="1" s="1"/>
  <c r="J56" i="1"/>
  <c r="J56" i="1" a="1"/>
  <c r="I56" i="1" a="1"/>
  <c r="I56" i="1" s="1"/>
  <c r="H56" i="1" a="1"/>
  <c r="H56" i="1" s="1"/>
  <c r="F56" i="1" a="1"/>
  <c r="F56" i="1" s="1"/>
  <c r="AA55" i="1"/>
  <c r="AE55" i="1" s="1"/>
  <c r="X55" i="1"/>
  <c r="O55" i="1"/>
  <c r="K55" i="1" a="1"/>
  <c r="K55" i="1" s="1"/>
  <c r="J55" i="1" a="1"/>
  <c r="J55" i="1" s="1"/>
  <c r="I55" i="1" a="1"/>
  <c r="I55" i="1" s="1"/>
  <c r="H55" i="1" a="1"/>
  <c r="H55" i="1" s="1"/>
  <c r="F55" i="1" a="1"/>
  <c r="F55" i="1" s="1"/>
  <c r="AE54" i="1"/>
  <c r="AA54" i="1"/>
  <c r="AB54" i="1" s="1"/>
  <c r="X54" i="1"/>
  <c r="O54" i="1"/>
  <c r="K54" i="1" a="1"/>
  <c r="K54" i="1" s="1"/>
  <c r="J54" i="1" a="1"/>
  <c r="J54" i="1" s="1"/>
  <c r="I54" i="1" a="1"/>
  <c r="I54" i="1" s="1"/>
  <c r="H54" i="1" a="1"/>
  <c r="H54" i="1" s="1"/>
  <c r="F54" i="1" a="1"/>
  <c r="F54" i="1" s="1"/>
  <c r="AA53" i="1"/>
  <c r="AB53" i="1" s="1"/>
  <c r="X53" i="1"/>
  <c r="O53" i="1"/>
  <c r="L53" i="1" a="1"/>
  <c r="L53" i="1" s="1"/>
  <c r="K53" i="1" a="1"/>
  <c r="K53" i="1" s="1"/>
  <c r="J53" i="1" a="1"/>
  <c r="J53" i="1" s="1"/>
  <c r="I53" i="1" a="1"/>
  <c r="I53" i="1" s="1"/>
  <c r="H53" i="1" a="1"/>
  <c r="H53" i="1" s="1"/>
  <c r="F53" i="1" a="1"/>
  <c r="F53" i="1" s="1"/>
  <c r="AE52" i="1"/>
  <c r="AA52" i="1"/>
  <c r="AB52" i="1" s="1"/>
  <c r="X52" i="1"/>
  <c r="O52" i="1"/>
  <c r="M52" i="1" a="1"/>
  <c r="M52" i="1" s="1"/>
  <c r="L52" i="1" a="1"/>
  <c r="L52" i="1" s="1"/>
  <c r="K52" i="1" a="1"/>
  <c r="K52" i="1" s="1"/>
  <c r="J52" i="1" a="1"/>
  <c r="J52" i="1" s="1"/>
  <c r="I52" i="1" a="1"/>
  <c r="I52" i="1" s="1"/>
  <c r="H52" i="1" a="1"/>
  <c r="H52" i="1" s="1"/>
  <c r="F52" i="1" a="1"/>
  <c r="F52" i="1" s="1"/>
  <c r="AE51" i="1"/>
  <c r="AB51" i="1"/>
  <c r="AA51" i="1"/>
  <c r="X51" i="1"/>
  <c r="O51" i="1"/>
  <c r="M51" i="1" a="1"/>
  <c r="M51" i="1" s="1"/>
  <c r="L51" i="1" a="1"/>
  <c r="L51" i="1" s="1"/>
  <c r="K51" i="1" a="1"/>
  <c r="K51" i="1" s="1"/>
  <c r="J51" i="1" a="1"/>
  <c r="J51" i="1" s="1"/>
  <c r="I51" i="1" a="1"/>
  <c r="I51" i="1" s="1"/>
  <c r="H51" i="1" a="1"/>
  <c r="H51" i="1" s="1"/>
  <c r="F51" i="1" a="1"/>
  <c r="F51" i="1" s="1"/>
  <c r="AA50" i="1"/>
  <c r="AE50" i="1" s="1"/>
  <c r="X50" i="1"/>
  <c r="O50" i="1"/>
  <c r="M50" i="1" a="1"/>
  <c r="M50" i="1" s="1"/>
  <c r="L50" i="1" a="1"/>
  <c r="L50" i="1" s="1"/>
  <c r="K50" i="1" a="1"/>
  <c r="K50" i="1" s="1"/>
  <c r="J50" i="1" a="1"/>
  <c r="J50" i="1" s="1"/>
  <c r="I50" i="1" a="1"/>
  <c r="I50" i="1" s="1"/>
  <c r="H50" i="1" a="1"/>
  <c r="H50" i="1" s="1"/>
  <c r="F50" i="1" a="1"/>
  <c r="F50" i="1" s="1"/>
  <c r="AA49" i="1"/>
  <c r="AE49" i="1" s="1"/>
  <c r="X49" i="1"/>
  <c r="O49" i="1"/>
  <c r="M49" i="1" a="1"/>
  <c r="M49" i="1" s="1"/>
  <c r="L49" i="1" a="1"/>
  <c r="L49" i="1" s="1"/>
  <c r="K49" i="1" a="1"/>
  <c r="K49" i="1" s="1"/>
  <c r="J49" i="1" a="1"/>
  <c r="J49" i="1" s="1"/>
  <c r="I49" i="1" a="1"/>
  <c r="I49" i="1" s="1"/>
  <c r="H49" i="1" a="1"/>
  <c r="H49" i="1" s="1"/>
  <c r="F49" i="1" a="1"/>
  <c r="F49" i="1" s="1"/>
  <c r="AE48" i="1"/>
  <c r="AB48" i="1"/>
  <c r="AA48" i="1"/>
  <c r="X48" i="1"/>
  <c r="O48" i="1"/>
  <c r="L48" i="1"/>
  <c r="L48" i="1" a="1"/>
  <c r="K48" i="1" a="1"/>
  <c r="K48" i="1" s="1"/>
  <c r="J48" i="1" a="1"/>
  <c r="J48" i="1" s="1"/>
  <c r="I48" i="1" a="1"/>
  <c r="I48" i="1" s="1"/>
  <c r="H48" i="1"/>
  <c r="H48" i="1" a="1"/>
  <c r="F48" i="1" a="1"/>
  <c r="F48" i="1" s="1"/>
  <c r="AA47" i="1"/>
  <c r="AE47" i="1" s="1"/>
  <c r="X47" i="1"/>
  <c r="O47" i="1"/>
  <c r="L47" i="1" a="1"/>
  <c r="L47" i="1" s="1"/>
  <c r="K47" i="1" a="1"/>
  <c r="K47" i="1" s="1"/>
  <c r="J47" i="1" a="1"/>
  <c r="J47" i="1" s="1"/>
  <c r="I47" i="1" a="1"/>
  <c r="I47" i="1" s="1"/>
  <c r="H47" i="1" a="1"/>
  <c r="H47" i="1" s="1"/>
  <c r="F47" i="1" a="1"/>
  <c r="F47" i="1" s="1"/>
  <c r="AA46" i="1"/>
  <c r="AE46" i="1" s="1"/>
  <c r="X46" i="1"/>
  <c r="O46" i="1"/>
  <c r="M46" i="1" a="1"/>
  <c r="M46" i="1" s="1"/>
  <c r="L46" i="1" a="1"/>
  <c r="L46" i="1" s="1"/>
  <c r="K46" i="1" a="1"/>
  <c r="K46" i="1" s="1"/>
  <c r="J46" i="1" a="1"/>
  <c r="J46" i="1" s="1"/>
  <c r="I46" i="1" a="1"/>
  <c r="I46" i="1" s="1"/>
  <c r="H46" i="1" a="1"/>
  <c r="H46" i="1" s="1"/>
  <c r="F46" i="1" a="1"/>
  <c r="F46" i="1" s="1"/>
  <c r="AA45" i="1"/>
  <c r="AB45" i="1" s="1"/>
  <c r="X45" i="1"/>
  <c r="O45" i="1"/>
  <c r="M45" i="1" a="1"/>
  <c r="M45" i="1" s="1"/>
  <c r="L45" i="1" a="1"/>
  <c r="L45" i="1" s="1"/>
  <c r="K45" i="1" a="1"/>
  <c r="K45" i="1" s="1"/>
  <c r="J45" i="1" a="1"/>
  <c r="J45" i="1" s="1"/>
  <c r="I45" i="1" a="1"/>
  <c r="I45" i="1" s="1"/>
  <c r="H45" i="1" a="1"/>
  <c r="H45" i="1" s="1"/>
  <c r="F45" i="1" a="1"/>
  <c r="F45" i="1" s="1"/>
  <c r="AA44" i="1"/>
  <c r="AE44" i="1" s="1"/>
  <c r="X44" i="1"/>
  <c r="O44" i="1"/>
  <c r="M44" i="1" a="1"/>
  <c r="M44" i="1" s="1"/>
  <c r="L44" i="1" a="1"/>
  <c r="L44" i="1" s="1"/>
  <c r="K44" i="1" a="1"/>
  <c r="K44" i="1" s="1"/>
  <c r="J44" i="1" a="1"/>
  <c r="J44" i="1" s="1"/>
  <c r="I44" i="1" a="1"/>
  <c r="I44" i="1" s="1"/>
  <c r="H44" i="1" a="1"/>
  <c r="H44" i="1" s="1"/>
  <c r="F44" i="1" a="1"/>
  <c r="F44" i="1" s="1"/>
  <c r="AA43" i="1"/>
  <c r="AB43" i="1" s="1"/>
  <c r="X43" i="1"/>
  <c r="O43" i="1"/>
  <c r="M43" i="1" a="1"/>
  <c r="M43" i="1" s="1"/>
  <c r="L43" i="1" a="1"/>
  <c r="L43" i="1" s="1"/>
  <c r="K43" i="1" a="1"/>
  <c r="K43" i="1" s="1"/>
  <c r="J43" i="1" a="1"/>
  <c r="J43" i="1" s="1"/>
  <c r="I43" i="1" a="1"/>
  <c r="I43" i="1" s="1"/>
  <c r="H43" i="1" a="1"/>
  <c r="H43" i="1" s="1"/>
  <c r="F43" i="1" a="1"/>
  <c r="F43" i="1" s="1"/>
  <c r="AA42" i="1"/>
  <c r="AE42" i="1" s="1"/>
  <c r="X42" i="1"/>
  <c r="O42" i="1"/>
  <c r="M42" i="1" a="1"/>
  <c r="M42" i="1" s="1"/>
  <c r="L42" i="1"/>
  <c r="L42" i="1" a="1"/>
  <c r="K42" i="1" a="1"/>
  <c r="K42" i="1" s="1"/>
  <c r="J42" i="1" a="1"/>
  <c r="J42" i="1" s="1"/>
  <c r="I42" i="1" a="1"/>
  <c r="I42" i="1" s="1"/>
  <c r="H42" i="1"/>
  <c r="H42" i="1" a="1"/>
  <c r="F42" i="1" a="1"/>
  <c r="F42" i="1" s="1"/>
  <c r="AA41" i="1"/>
  <c r="AE41" i="1" s="1"/>
  <c r="X41" i="1"/>
  <c r="O41" i="1"/>
  <c r="L41" i="1" a="1"/>
  <c r="L41" i="1" s="1"/>
  <c r="K41" i="1" a="1"/>
  <c r="K41" i="1" s="1"/>
  <c r="J41" i="1" a="1"/>
  <c r="J41" i="1" s="1"/>
  <c r="I41" i="1" a="1"/>
  <c r="I41" i="1" s="1"/>
  <c r="H41" i="1" a="1"/>
  <c r="H41" i="1" s="1"/>
  <c r="F41" i="1" a="1"/>
  <c r="F41" i="1" s="1"/>
  <c r="AA40" i="1"/>
  <c r="AE40" i="1" s="1"/>
  <c r="X40" i="1"/>
  <c r="O40" i="1"/>
  <c r="L40" i="1" a="1"/>
  <c r="L40" i="1" s="1"/>
  <c r="K40" i="1" a="1"/>
  <c r="K40" i="1" s="1"/>
  <c r="J40" i="1" a="1"/>
  <c r="J40" i="1" s="1"/>
  <c r="I40" i="1" a="1"/>
  <c r="I40" i="1" s="1"/>
  <c r="H40" i="1" a="1"/>
  <c r="H40" i="1" s="1"/>
  <c r="F40" i="1" a="1"/>
  <c r="F40" i="1" s="1"/>
  <c r="AA39" i="1"/>
  <c r="AB39" i="1" s="1"/>
  <c r="X39" i="1"/>
  <c r="O39" i="1"/>
  <c r="L39" i="1" a="1"/>
  <c r="L39" i="1" s="1"/>
  <c r="K39" i="1" a="1"/>
  <c r="K39" i="1" s="1"/>
  <c r="J39" i="1" a="1"/>
  <c r="J39" i="1" s="1"/>
  <c r="I39" i="1" a="1"/>
  <c r="I39" i="1" s="1"/>
  <c r="H39" i="1" a="1"/>
  <c r="H39" i="1" s="1"/>
  <c r="F39" i="1" a="1"/>
  <c r="F39" i="1" s="1"/>
  <c r="AA38" i="1"/>
  <c r="AE38" i="1" s="1"/>
  <c r="X38" i="1"/>
  <c r="O38" i="1"/>
  <c r="L38" i="1" a="1"/>
  <c r="L38" i="1" s="1"/>
  <c r="K38" i="1" a="1"/>
  <c r="K38" i="1" s="1"/>
  <c r="J38" i="1" a="1"/>
  <c r="J38" i="1" s="1"/>
  <c r="I38" i="1" a="1"/>
  <c r="I38" i="1" s="1"/>
  <c r="H38" i="1" a="1"/>
  <c r="H38" i="1" s="1"/>
  <c r="F38" i="1" a="1"/>
  <c r="F38" i="1" s="1"/>
  <c r="AA37" i="1"/>
  <c r="AE37" i="1" s="1"/>
  <c r="X37" i="1"/>
  <c r="O37" i="1"/>
  <c r="L37" i="1" a="1"/>
  <c r="L37" i="1" s="1"/>
  <c r="K37" i="1" a="1"/>
  <c r="K37" i="1" s="1"/>
  <c r="J37" i="1" a="1"/>
  <c r="J37" i="1" s="1"/>
  <c r="I37" i="1" a="1"/>
  <c r="I37" i="1" s="1"/>
  <c r="H37" i="1" a="1"/>
  <c r="H37" i="1" s="1"/>
  <c r="F37" i="1" a="1"/>
  <c r="F37" i="1" s="1"/>
  <c r="AB36" i="1"/>
  <c r="AA36" i="1"/>
  <c r="AE36" i="1" s="1"/>
  <c r="X36" i="1"/>
  <c r="O36" i="1"/>
  <c r="L36" i="1"/>
  <c r="L36" i="1" a="1"/>
  <c r="K36" i="1" a="1"/>
  <c r="K36" i="1" s="1"/>
  <c r="J36" i="1" a="1"/>
  <c r="J36" i="1" s="1"/>
  <c r="I36" i="1" a="1"/>
  <c r="I36" i="1" s="1"/>
  <c r="H36" i="1"/>
  <c r="H36" i="1" a="1"/>
  <c r="F36" i="1" a="1"/>
  <c r="F36" i="1" s="1"/>
  <c r="AA35" i="1"/>
  <c r="AB35" i="1" s="1"/>
  <c r="X35" i="1"/>
  <c r="O35" i="1"/>
  <c r="L35" i="1" a="1"/>
  <c r="L35" i="1" s="1"/>
  <c r="K35" i="1" a="1"/>
  <c r="K35" i="1" s="1"/>
  <c r="J35" i="1" a="1"/>
  <c r="J35" i="1" s="1"/>
  <c r="I35" i="1" a="1"/>
  <c r="I35" i="1" s="1"/>
  <c r="H35" i="1" a="1"/>
  <c r="H35" i="1" s="1"/>
  <c r="F35" i="1" a="1"/>
  <c r="F35" i="1" s="1"/>
  <c r="AA34" i="1"/>
  <c r="AE34" i="1" s="1"/>
  <c r="X34" i="1"/>
  <c r="O34" i="1"/>
  <c r="L34" i="1" a="1"/>
  <c r="L34" i="1" s="1"/>
  <c r="K34" i="1"/>
  <c r="K34" i="1" a="1"/>
  <c r="J34" i="1" a="1"/>
  <c r="J34" i="1" s="1"/>
  <c r="I34" i="1" a="1"/>
  <c r="I34" i="1" s="1"/>
  <c r="H34" i="1" a="1"/>
  <c r="H34" i="1" s="1"/>
  <c r="F34" i="1"/>
  <c r="F34" i="1" a="1"/>
  <c r="AA33" i="1"/>
  <c r="AE33" i="1" s="1"/>
  <c r="X33" i="1"/>
  <c r="O33" i="1"/>
  <c r="L33" i="1" a="1"/>
  <c r="L33" i="1" s="1"/>
  <c r="K33" i="1" a="1"/>
  <c r="K33" i="1" s="1"/>
  <c r="J33" i="1" a="1"/>
  <c r="J33" i="1" s="1"/>
  <c r="I33" i="1" a="1"/>
  <c r="I33" i="1" s="1"/>
  <c r="H33" i="1" a="1"/>
  <c r="H33" i="1" s="1"/>
  <c r="F33" i="1" a="1"/>
  <c r="F33" i="1" s="1"/>
  <c r="AA32" i="1"/>
  <c r="AE32" i="1" s="1"/>
  <c r="X32" i="1"/>
  <c r="O32" i="1"/>
  <c r="AE31" i="1"/>
  <c r="AB31" i="1"/>
  <c r="X31" i="1"/>
  <c r="O31" i="1"/>
  <c r="J31" i="1"/>
  <c r="J149" i="1" s="1" a="1"/>
  <c r="J149" i="1" s="1"/>
  <c r="AA30" i="1"/>
  <c r="AB30" i="1" s="1"/>
  <c r="X30" i="1"/>
  <c r="O30" i="1"/>
  <c r="J30" i="1"/>
  <c r="AA29" i="1"/>
  <c r="AE29" i="1" s="1"/>
  <c r="X29" i="1"/>
  <c r="O29" i="1"/>
  <c r="J29" i="1"/>
  <c r="AE28" i="1"/>
  <c r="AA28" i="1"/>
  <c r="AB28" i="1" s="1"/>
  <c r="X28" i="1"/>
  <c r="O28" i="1"/>
  <c r="AA27" i="1"/>
  <c r="AB27" i="1" s="1"/>
  <c r="X27" i="1"/>
  <c r="O27" i="1"/>
  <c r="AA26" i="1"/>
  <c r="AE26" i="1" s="1"/>
  <c r="X26" i="1"/>
  <c r="O26" i="1"/>
  <c r="J26" i="1"/>
  <c r="AE25" i="1"/>
  <c r="AB25" i="1"/>
  <c r="X25" i="1"/>
  <c r="O25" i="1"/>
  <c r="AA24" i="1"/>
  <c r="AB24" i="1" s="1"/>
  <c r="X24" i="1"/>
  <c r="O24" i="1"/>
  <c r="AA23" i="1"/>
  <c r="AB23" i="1" s="1"/>
  <c r="X23" i="1"/>
  <c r="O23" i="1"/>
  <c r="AA22" i="1"/>
  <c r="AE22" i="1" s="1"/>
  <c r="X22" i="1"/>
  <c r="O22" i="1"/>
  <c r="AA21" i="1"/>
  <c r="AB21" i="1" s="1"/>
  <c r="X21" i="1"/>
  <c r="O21" i="1"/>
  <c r="AA20" i="1"/>
  <c r="AE20" i="1" s="1"/>
  <c r="X20" i="1"/>
  <c r="O20" i="1"/>
  <c r="AA19" i="1"/>
  <c r="AB19" i="1" s="1"/>
  <c r="X19" i="1"/>
  <c r="O19" i="1"/>
  <c r="AA18" i="1"/>
  <c r="AE18" i="1" s="1"/>
  <c r="X18" i="1"/>
  <c r="O18" i="1"/>
  <c r="AA17" i="1"/>
  <c r="AB17" i="1" s="1"/>
  <c r="X17" i="1"/>
  <c r="O17" i="1"/>
  <c r="AA16" i="1"/>
  <c r="AE16" i="1" s="1"/>
  <c r="X16" i="1"/>
  <c r="O16" i="1"/>
  <c r="AA15" i="1"/>
  <c r="AB15" i="1" s="1"/>
  <c r="X15" i="1"/>
  <c r="O15" i="1"/>
  <c r="AA14" i="1"/>
  <c r="AE14" i="1" s="1"/>
  <c r="X14" i="1"/>
  <c r="O14" i="1"/>
  <c r="AA13" i="1"/>
  <c r="AB13" i="1" s="1"/>
  <c r="X13" i="1"/>
  <c r="O13" i="1"/>
  <c r="AA12" i="1"/>
  <c r="AE12" i="1" s="1"/>
  <c r="X12" i="1"/>
  <c r="O12" i="1"/>
  <c r="AA11" i="1"/>
  <c r="AB11" i="1" s="1"/>
  <c r="X11" i="1"/>
  <c r="O11" i="1"/>
  <c r="AA10" i="1"/>
  <c r="AE10" i="1" s="1"/>
  <c r="X10" i="1"/>
  <c r="O10" i="1"/>
  <c r="AA9" i="1"/>
  <c r="AB9" i="1" s="1"/>
  <c r="X9" i="1"/>
  <c r="O9" i="1"/>
  <c r="AA8" i="1"/>
  <c r="AB8" i="1" s="1"/>
  <c r="X8" i="1"/>
  <c r="O8" i="1"/>
  <c r="AA7" i="1"/>
  <c r="AB7" i="1" s="1"/>
  <c r="X7" i="1"/>
  <c r="O7" i="1"/>
  <c r="AA6" i="1"/>
  <c r="AE6" i="1" s="1"/>
  <c r="X6" i="1"/>
  <c r="O6" i="1"/>
  <c r="AA5" i="1"/>
  <c r="AE5" i="1" s="1"/>
  <c r="X5" i="1"/>
  <c r="O5" i="1"/>
  <c r="AB463" i="1" l="1"/>
  <c r="AE463" i="1"/>
  <c r="AB487" i="1"/>
  <c r="AE487" i="1"/>
  <c r="AE515" i="1"/>
  <c r="AB515" i="1"/>
  <c r="AB822" i="1"/>
  <c r="AE822" i="1"/>
  <c r="AE878" i="1"/>
  <c r="AB878" i="1"/>
  <c r="AE994" i="1"/>
  <c r="AB994" i="1"/>
  <c r="AE1074" i="1"/>
  <c r="AB1074" i="1"/>
  <c r="AE1089" i="1"/>
  <c r="AB1089" i="1"/>
  <c r="AE19" i="1"/>
  <c r="AB20" i="1"/>
  <c r="AE30" i="1"/>
  <c r="AB62" i="1"/>
  <c r="AB68" i="1"/>
  <c r="AE80" i="1"/>
  <c r="AB114" i="1"/>
  <c r="AE117" i="1"/>
  <c r="AB133" i="1"/>
  <c r="AB166" i="1"/>
  <c r="AB170" i="1"/>
  <c r="AB180" i="1"/>
  <c r="AB182" i="1"/>
  <c r="AE192" i="1"/>
  <c r="AB208" i="1"/>
  <c r="AB210" i="1"/>
  <c r="AE212" i="1"/>
  <c r="AE219" i="1"/>
  <c r="AB235" i="1"/>
  <c r="AB245" i="1"/>
  <c r="AB261" i="1"/>
  <c r="AB304" i="1"/>
  <c r="AE343" i="1"/>
  <c r="AE347" i="1"/>
  <c r="AE351" i="1"/>
  <c r="AE355" i="1"/>
  <c r="AB395" i="1"/>
  <c r="AB433" i="1"/>
  <c r="AB443" i="1"/>
  <c r="AE443" i="1"/>
  <c r="AE450" i="1"/>
  <c r="AB450" i="1"/>
  <c r="AE490" i="1"/>
  <c r="AB490" i="1"/>
  <c r="AB565" i="1"/>
  <c r="AE565" i="1"/>
  <c r="AE579" i="1"/>
  <c r="AB579" i="1"/>
  <c r="AE635" i="1"/>
  <c r="AB635" i="1"/>
  <c r="AB644" i="1"/>
  <c r="AE644" i="1"/>
  <c r="AB648" i="1"/>
  <c r="AE648" i="1"/>
  <c r="AE381" i="1"/>
  <c r="AB381" i="1"/>
  <c r="AB746" i="1"/>
  <c r="AE746" i="1"/>
  <c r="AE1009" i="1"/>
  <c r="AB1009" i="1"/>
  <c r="AB154" i="1"/>
  <c r="AB178" i="1"/>
  <c r="AE183" i="1"/>
  <c r="AE211" i="1"/>
  <c r="AB224" i="1"/>
  <c r="AB226" i="1"/>
  <c r="AB237" i="1"/>
  <c r="AB244" i="1"/>
  <c r="AB252" i="1"/>
  <c r="AB265" i="1"/>
  <c r="AE270" i="1"/>
  <c r="AB274" i="1"/>
  <c r="AE277" i="1"/>
  <c r="AB300" i="1"/>
  <c r="AB320" i="1"/>
  <c r="AB324" i="1"/>
  <c r="AB328" i="1"/>
  <c r="AE341" i="1"/>
  <c r="AE365" i="1"/>
  <c r="AE371" i="1"/>
  <c r="AE380" i="1"/>
  <c r="AE391" i="1"/>
  <c r="AE403" i="1"/>
  <c r="AB403" i="1"/>
  <c r="AB432" i="1"/>
  <c r="AE432" i="1"/>
  <c r="AB454" i="1"/>
  <c r="AE479" i="1"/>
  <c r="AB479" i="1"/>
  <c r="AE510" i="1"/>
  <c r="AB510" i="1"/>
  <c r="AE566" i="1"/>
  <c r="AB566" i="1"/>
  <c r="AE578" i="1"/>
  <c r="AB578" i="1"/>
  <c r="AB691" i="1"/>
  <c r="AE691" i="1"/>
  <c r="AE708" i="1"/>
  <c r="AB708" i="1"/>
  <c r="AE725" i="1"/>
  <c r="AB725" i="1"/>
  <c r="AE429" i="1"/>
  <c r="AB429" i="1"/>
  <c r="AE467" i="1"/>
  <c r="AB467" i="1"/>
  <c r="AE581" i="1"/>
  <c r="AB581" i="1"/>
  <c r="AE617" i="1"/>
  <c r="AB617" i="1"/>
  <c r="AB637" i="1"/>
  <c r="AE637" i="1"/>
  <c r="AB861" i="1"/>
  <c r="AE861" i="1"/>
  <c r="AB1139" i="1"/>
  <c r="AE1139" i="1"/>
  <c r="AE8" i="1"/>
  <c r="AE24" i="1"/>
  <c r="AE27" i="1"/>
  <c r="AE104" i="1"/>
  <c r="AB162" i="1"/>
  <c r="AB417" i="1"/>
  <c r="AE417" i="1"/>
  <c r="AB459" i="1"/>
  <c r="AE459" i="1"/>
  <c r="AE541" i="1"/>
  <c r="AB541" i="1"/>
  <c r="AE552" i="1"/>
  <c r="AB552" i="1"/>
  <c r="AB563" i="1"/>
  <c r="AE563" i="1"/>
  <c r="AE576" i="1"/>
  <c r="AB576" i="1"/>
  <c r="AB699" i="1"/>
  <c r="AE699" i="1"/>
  <c r="AB710" i="1"/>
  <c r="AE710" i="1"/>
  <c r="AB730" i="1"/>
  <c r="AE730" i="1"/>
  <c r="AE868" i="1"/>
  <c r="AB868" i="1"/>
  <c r="AE894" i="1"/>
  <c r="AB894" i="1"/>
  <c r="AB482" i="1"/>
  <c r="AE495" i="1"/>
  <c r="AB498" i="1"/>
  <c r="AB506" i="1"/>
  <c r="AB507" i="1"/>
  <c r="AB514" i="1"/>
  <c r="AE540" i="1"/>
  <c r="AB544" i="1"/>
  <c r="AE557" i="1"/>
  <c r="AB561" i="1"/>
  <c r="AB585" i="1"/>
  <c r="AB591" i="1"/>
  <c r="AE596" i="1"/>
  <c r="AE612" i="1"/>
  <c r="AB631" i="1"/>
  <c r="AE671" i="1"/>
  <c r="AB695" i="1"/>
  <c r="AE695" i="1"/>
  <c r="AE724" i="1"/>
  <c r="AB724" i="1"/>
  <c r="AE732" i="1"/>
  <c r="AB732" i="1"/>
  <c r="AE750" i="1"/>
  <c r="AB750" i="1"/>
  <c r="AE862" i="1"/>
  <c r="AB862" i="1"/>
  <c r="AE870" i="1"/>
  <c r="AB870" i="1"/>
  <c r="AE883" i="1"/>
  <c r="AB883" i="1"/>
  <c r="AE888" i="1"/>
  <c r="AB888" i="1"/>
  <c r="AB904" i="1"/>
  <c r="AE904" i="1"/>
  <c r="AB519" i="1"/>
  <c r="AB568" i="1"/>
  <c r="AB570" i="1"/>
  <c r="AB574" i="1"/>
  <c r="AB603" i="1"/>
  <c r="AB627" i="1"/>
  <c r="AE639" i="1"/>
  <c r="AB645" i="1"/>
  <c r="AE703" i="1"/>
  <c r="AE712" i="1"/>
  <c r="AB712" i="1"/>
  <c r="AE726" i="1"/>
  <c r="AE754" i="1"/>
  <c r="AB754" i="1"/>
  <c r="AE848" i="1"/>
  <c r="AB848" i="1"/>
  <c r="AB901" i="1"/>
  <c r="AE901" i="1"/>
  <c r="AE923" i="1"/>
  <c r="AB923" i="1"/>
  <c r="AE932" i="1"/>
  <c r="AB932" i="1"/>
  <c r="AB737" i="1"/>
  <c r="AB749" i="1"/>
  <c r="AB753" i="1"/>
  <c r="AB762" i="1"/>
  <c r="AE777" i="1"/>
  <c r="AE787" i="1"/>
  <c r="AB789" i="1"/>
  <c r="AB797" i="1"/>
  <c r="AB801" i="1"/>
  <c r="AE820" i="1"/>
  <c r="AE830" i="1"/>
  <c r="AE838" i="1"/>
  <c r="AB852" i="1"/>
  <c r="AB854" i="1"/>
  <c r="AB866" i="1"/>
  <c r="AE869" i="1"/>
  <c r="AE877" i="1"/>
  <c r="AB880" i="1"/>
  <c r="AB886" i="1"/>
  <c r="AE889" i="1"/>
  <c r="AB895" i="1"/>
  <c r="AB897" i="1"/>
  <c r="AE905" i="1"/>
  <c r="AE907" i="1"/>
  <c r="AB907" i="1"/>
  <c r="AB911" i="1"/>
  <c r="AB917" i="1"/>
  <c r="AE941" i="1"/>
  <c r="AB941" i="1"/>
  <c r="AE955" i="1"/>
  <c r="AB955" i="1"/>
  <c r="AE980" i="1"/>
  <c r="AB980" i="1"/>
  <c r="AE984" i="1"/>
  <c r="AB984" i="1"/>
  <c r="AB997" i="1"/>
  <c r="AE997" i="1"/>
  <c r="AE1014" i="1"/>
  <c r="AB1014" i="1"/>
  <c r="AE1041" i="1"/>
  <c r="AB1041" i="1"/>
  <c r="AE1068" i="1"/>
  <c r="AB1068" i="1"/>
  <c r="AE1144" i="1"/>
  <c r="AB1144" i="1"/>
  <c r="AB1093" i="1"/>
  <c r="AB1094" i="1"/>
  <c r="AB1143" i="1"/>
  <c r="AB927" i="1"/>
  <c r="AB931" i="1"/>
  <c r="AB975" i="1"/>
  <c r="AB977" i="1"/>
  <c r="AB981" i="1"/>
  <c r="AE383" i="1"/>
  <c r="AB383" i="1"/>
  <c r="AE556" i="1"/>
  <c r="AB556" i="1"/>
  <c r="AB743" i="1"/>
  <c r="AE743" i="1"/>
  <c r="AE863" i="1"/>
  <c r="AB863" i="1"/>
  <c r="AB873" i="1"/>
  <c r="AE873" i="1"/>
  <c r="AE979" i="1"/>
  <c r="AB979" i="1"/>
  <c r="AB1064" i="1"/>
  <c r="AE1064" i="1"/>
  <c r="AB1102" i="1"/>
  <c r="AE1102" i="1"/>
  <c r="AB16" i="1"/>
  <c r="AB32" i="1"/>
  <c r="AB38" i="1"/>
  <c r="AE45" i="1"/>
  <c r="AB50" i="1"/>
  <c r="AB60" i="1"/>
  <c r="AB72" i="1"/>
  <c r="AB82" i="1"/>
  <c r="AB88" i="1"/>
  <c r="AB98" i="1"/>
  <c r="AE103" i="1"/>
  <c r="AB108" i="1"/>
  <c r="AB112" i="1"/>
  <c r="AB116" i="1"/>
  <c r="AB121" i="1"/>
  <c r="AB130" i="1"/>
  <c r="AB131" i="1"/>
  <c r="AB135" i="1"/>
  <c r="AB136" i="1"/>
  <c r="AB139" i="1"/>
  <c r="AB140" i="1"/>
  <c r="AB143" i="1"/>
  <c r="AB144" i="1"/>
  <c r="AB153" i="1"/>
  <c r="AB160" i="1"/>
  <c r="AE163" i="1"/>
  <c r="AE176" i="1"/>
  <c r="AE186" i="1"/>
  <c r="AB186" i="1"/>
  <c r="AB188" i="1"/>
  <c r="AE206" i="1"/>
  <c r="AB206" i="1"/>
  <c r="AE231" i="1"/>
  <c r="AB231" i="1"/>
  <c r="AE266" i="1"/>
  <c r="AB266" i="1"/>
  <c r="AE276" i="1"/>
  <c r="AB276" i="1"/>
  <c r="AB285" i="1"/>
  <c r="AE285" i="1"/>
  <c r="AE425" i="1"/>
  <c r="AB425" i="1"/>
  <c r="AE502" i="1"/>
  <c r="AB502" i="1"/>
  <c r="AE428" i="1"/>
  <c r="AB428" i="1"/>
  <c r="AE455" i="1"/>
  <c r="AB455" i="1"/>
  <c r="AE483" i="1"/>
  <c r="AB483" i="1"/>
  <c r="AE494" i="1"/>
  <c r="AB494" i="1"/>
  <c r="AE549" i="1"/>
  <c r="AB549" i="1"/>
  <c r="AE587" i="1"/>
  <c r="AB587" i="1"/>
  <c r="AE607" i="1"/>
  <c r="AB607" i="1"/>
  <c r="AE840" i="1"/>
  <c r="AB840" i="1"/>
  <c r="AB885" i="1"/>
  <c r="AE885" i="1"/>
  <c r="AE915" i="1"/>
  <c r="AB915" i="1"/>
  <c r="AE989" i="1"/>
  <c r="AB989" i="1"/>
  <c r="AB1112" i="1"/>
  <c r="AE1112" i="1"/>
  <c r="AB44" i="1"/>
  <c r="AB29" i="1"/>
  <c r="AB34" i="1"/>
  <c r="AB42" i="1"/>
  <c r="AB56" i="1"/>
  <c r="AB66" i="1"/>
  <c r="AB78" i="1"/>
  <c r="AB84" i="1"/>
  <c r="AB96" i="1"/>
  <c r="AE99" i="1"/>
  <c r="AB125" i="1"/>
  <c r="AB141" i="1"/>
  <c r="AB145" i="1"/>
  <c r="AB148" i="1"/>
  <c r="AB151" i="1"/>
  <c r="AB158" i="1"/>
  <c r="AE165" i="1"/>
  <c r="AB171" i="1"/>
  <c r="AE171" i="1"/>
  <c r="AB172" i="1"/>
  <c r="AE175" i="1"/>
  <c r="AE191" i="1"/>
  <c r="AE222" i="1"/>
  <c r="AB222" i="1"/>
  <c r="AB269" i="1"/>
  <c r="AE269" i="1"/>
  <c r="AB337" i="1"/>
  <c r="AE337" i="1"/>
  <c r="AB414" i="1"/>
  <c r="AE414" i="1"/>
  <c r="AE447" i="1"/>
  <c r="AB447" i="1"/>
  <c r="AE196" i="1"/>
  <c r="AB196" i="1"/>
  <c r="AE241" i="1"/>
  <c r="AB241" i="1"/>
  <c r="AE262" i="1"/>
  <c r="AB262" i="1"/>
  <c r="AB317" i="1"/>
  <c r="AE317" i="1"/>
  <c r="AE511" i="1"/>
  <c r="AB511" i="1"/>
  <c r="AE545" i="1"/>
  <c r="AB545" i="1"/>
  <c r="AB592" i="1"/>
  <c r="AE592" i="1"/>
  <c r="AE891" i="1"/>
  <c r="AB891" i="1"/>
  <c r="AE1136" i="1"/>
  <c r="AB1136" i="1"/>
  <c r="AE15" i="1"/>
  <c r="AE11" i="1"/>
  <c r="AB12" i="1"/>
  <c r="AE7" i="1"/>
  <c r="AE23" i="1"/>
  <c r="AB40" i="1"/>
  <c r="AB46" i="1"/>
  <c r="AB64" i="1"/>
  <c r="AB74" i="1"/>
  <c r="AB90" i="1"/>
  <c r="AB94" i="1"/>
  <c r="AB106" i="1"/>
  <c r="AE107" i="1"/>
  <c r="AB123" i="1"/>
  <c r="AB147" i="1"/>
  <c r="AE159" i="1"/>
  <c r="AE168" i="1"/>
  <c r="AB168" i="1"/>
  <c r="AB179" i="1"/>
  <c r="AE179" i="1"/>
  <c r="AE214" i="1"/>
  <c r="AB214" i="1"/>
  <c r="AE218" i="1"/>
  <c r="AB218" i="1"/>
  <c r="AE253" i="1"/>
  <c r="AB253" i="1"/>
  <c r="AE258" i="1"/>
  <c r="AB258" i="1"/>
  <c r="AE280" i="1"/>
  <c r="AB280" i="1"/>
  <c r="AE374" i="1"/>
  <c r="AB374" i="1"/>
  <c r="AE399" i="1"/>
  <c r="AB399" i="1"/>
  <c r="AE486" i="1"/>
  <c r="AB486" i="1"/>
  <c r="AE522" i="1"/>
  <c r="AB522" i="1"/>
  <c r="AB598" i="1"/>
  <c r="AE598" i="1"/>
  <c r="AB604" i="1"/>
  <c r="AE604" i="1"/>
  <c r="AE605" i="1"/>
  <c r="AB605" i="1"/>
  <c r="AE613" i="1"/>
  <c r="AB613" i="1"/>
  <c r="AE643" i="1"/>
  <c r="AB643" i="1"/>
  <c r="AE187" i="1"/>
  <c r="AB194" i="1"/>
  <c r="AB198" i="1"/>
  <c r="AE199" i="1"/>
  <c r="AB202" i="1"/>
  <c r="AE203" i="1"/>
  <c r="AE207" i="1"/>
  <c r="AE215" i="1"/>
  <c r="AE223" i="1"/>
  <c r="AE234" i="1"/>
  <c r="AB239" i="1"/>
  <c r="AE273" i="1"/>
  <c r="AE293" i="1"/>
  <c r="AE297" i="1"/>
  <c r="AE301" i="1"/>
  <c r="AE305" i="1"/>
  <c r="AE309" i="1"/>
  <c r="AE313" i="1"/>
  <c r="AE315" i="1"/>
  <c r="AB318" i="1"/>
  <c r="AE321" i="1"/>
  <c r="AE325" i="1"/>
  <c r="AE329" i="1"/>
  <c r="AB332" i="1"/>
  <c r="AB340" i="1"/>
  <c r="AB346" i="1"/>
  <c r="AB350" i="1"/>
  <c r="AB354" i="1"/>
  <c r="AB360" i="1"/>
  <c r="AB364" i="1"/>
  <c r="AB370" i="1"/>
  <c r="AE375" i="1"/>
  <c r="AB378" i="1"/>
  <c r="AE529" i="1"/>
  <c r="AB529" i="1"/>
  <c r="AE537" i="1"/>
  <c r="AB537" i="1"/>
  <c r="AE572" i="1"/>
  <c r="AB572" i="1"/>
  <c r="AE595" i="1"/>
  <c r="AB595" i="1"/>
  <c r="AB600" i="1"/>
  <c r="AE600" i="1"/>
  <c r="AE601" i="1"/>
  <c r="AB601" i="1"/>
  <c r="AE615" i="1"/>
  <c r="AB615" i="1"/>
  <c r="AB416" i="1"/>
  <c r="AE475" i="1"/>
  <c r="AB491" i="1"/>
  <c r="AB499" i="1"/>
  <c r="AE548" i="1"/>
  <c r="AB548" i="1"/>
  <c r="AE589" i="1"/>
  <c r="AB589" i="1"/>
  <c r="AE621" i="1"/>
  <c r="AB621" i="1"/>
  <c r="AE623" i="1"/>
  <c r="AB623" i="1"/>
  <c r="AB628" i="1"/>
  <c r="AE628" i="1"/>
  <c r="AB632" i="1"/>
  <c r="AE632" i="1"/>
  <c r="AE678" i="1"/>
  <c r="AB678" i="1"/>
  <c r="AE768" i="1"/>
  <c r="AB768" i="1"/>
  <c r="AB778" i="1"/>
  <c r="AE778" i="1"/>
  <c r="AB788" i="1"/>
  <c r="AE788" i="1"/>
  <c r="AE809" i="1"/>
  <c r="AB809" i="1"/>
  <c r="AE814" i="1"/>
  <c r="AB814" i="1"/>
  <c r="AB821" i="1"/>
  <c r="AE821" i="1"/>
  <c r="AE608" i="1"/>
  <c r="AB611" i="1"/>
  <c r="AE616" i="1"/>
  <c r="AB619" i="1"/>
  <c r="AE625" i="1"/>
  <c r="AE629" i="1"/>
  <c r="AE633" i="1"/>
  <c r="AE685" i="1"/>
  <c r="AB685" i="1"/>
  <c r="AE686" i="1"/>
  <c r="AB686" i="1"/>
  <c r="AB718" i="1"/>
  <c r="AE718" i="1"/>
  <c r="AE756" i="1"/>
  <c r="AB756" i="1"/>
  <c r="AB774" i="1"/>
  <c r="AE774" i="1"/>
  <c r="AB784" i="1"/>
  <c r="AE784" i="1"/>
  <c r="AE816" i="1"/>
  <c r="AB816" i="1"/>
  <c r="AE824" i="1"/>
  <c r="AB824" i="1"/>
  <c r="AE826" i="1"/>
  <c r="AB826" i="1"/>
  <c r="AE682" i="1"/>
  <c r="AB682" i="1"/>
  <c r="AE758" i="1"/>
  <c r="AB758" i="1"/>
  <c r="AB770" i="1"/>
  <c r="AE770" i="1"/>
  <c r="AE805" i="1"/>
  <c r="AB805" i="1"/>
  <c r="AE828" i="1"/>
  <c r="AB828" i="1"/>
  <c r="AE832" i="1"/>
  <c r="AB832" i="1"/>
  <c r="AB839" i="1"/>
  <c r="AE839" i="1"/>
  <c r="AE858" i="1"/>
  <c r="AB858" i="1"/>
  <c r="AE890" i="1"/>
  <c r="AB890" i="1"/>
  <c r="AE892" i="1"/>
  <c r="AB892" i="1"/>
  <c r="AE916" i="1"/>
  <c r="AB916" i="1"/>
  <c r="AE921" i="1"/>
  <c r="AB921" i="1"/>
  <c r="AE1010" i="1"/>
  <c r="AB1010" i="1"/>
  <c r="AE1016" i="1"/>
  <c r="AB1016" i="1"/>
  <c r="AE1026" i="1"/>
  <c r="AB1026" i="1"/>
  <c r="AE1032" i="1"/>
  <c r="AB1032" i="1"/>
  <c r="AB1033" i="1"/>
  <c r="AE1033" i="1"/>
  <c r="AB647" i="1"/>
  <c r="AB649" i="1"/>
  <c r="AE652" i="1"/>
  <c r="AE654" i="1"/>
  <c r="AB655" i="1"/>
  <c r="AB659" i="1"/>
  <c r="AB661" i="1"/>
  <c r="AE664" i="1"/>
  <c r="AB665" i="1"/>
  <c r="AB670" i="1"/>
  <c r="AB674" i="1"/>
  <c r="AB689" i="1"/>
  <c r="AB690" i="1"/>
  <c r="AB693" i="1"/>
  <c r="AB694" i="1"/>
  <c r="AB697" i="1"/>
  <c r="AB698" i="1"/>
  <c r="AE842" i="1"/>
  <c r="AB842" i="1"/>
  <c r="AB847" i="1"/>
  <c r="AE847" i="1"/>
  <c r="AE850" i="1"/>
  <c r="AB850" i="1"/>
  <c r="AE864" i="1"/>
  <c r="AB864" i="1"/>
  <c r="AE874" i="1"/>
  <c r="AB874" i="1"/>
  <c r="AE882" i="1"/>
  <c r="AB882" i="1"/>
  <c r="AE957" i="1"/>
  <c r="AB957" i="1"/>
  <c r="AE988" i="1"/>
  <c r="AB988" i="1"/>
  <c r="AE1005" i="1"/>
  <c r="AB1005" i="1"/>
  <c r="AE1012" i="1"/>
  <c r="AB1012" i="1"/>
  <c r="AE636" i="1"/>
  <c r="AE667" i="1"/>
  <c r="AE679" i="1"/>
  <c r="AB720" i="1"/>
  <c r="AB745" i="1"/>
  <c r="AE759" i="1"/>
  <c r="AE802" i="1"/>
  <c r="AE806" i="1"/>
  <c r="AE810" i="1"/>
  <c r="AE817" i="1"/>
  <c r="AB818" i="1"/>
  <c r="AE825" i="1"/>
  <c r="AE829" i="1"/>
  <c r="AE834" i="1"/>
  <c r="AB835" i="1"/>
  <c r="AE835" i="1"/>
  <c r="AE836" i="1"/>
  <c r="AB836" i="1"/>
  <c r="AB857" i="1"/>
  <c r="AE857" i="1"/>
  <c r="AE985" i="1"/>
  <c r="AB985" i="1"/>
  <c r="AE1024" i="1"/>
  <c r="AB1024" i="1"/>
  <c r="AB1029" i="1"/>
  <c r="AE1029" i="1"/>
  <c r="AE1034" i="1"/>
  <c r="AB1034" i="1"/>
  <c r="AE1045" i="1"/>
  <c r="AB1045" i="1"/>
  <c r="AE1066" i="1"/>
  <c r="AB1066" i="1"/>
  <c r="AB1090" i="1"/>
  <c r="AE1090" i="1"/>
  <c r="AE1091" i="1"/>
  <c r="AB1091" i="1"/>
  <c r="AB859" i="1"/>
  <c r="AB860" i="1"/>
  <c r="AB875" i="1"/>
  <c r="AB876" i="1"/>
  <c r="AB909" i="1"/>
  <c r="AB919" i="1"/>
  <c r="AB920" i="1"/>
  <c r="AB929" i="1"/>
  <c r="AB935" i="1"/>
  <c r="AB937" i="1"/>
  <c r="AB943" i="1"/>
  <c r="AB944" i="1"/>
  <c r="AB945" i="1"/>
  <c r="AB951" i="1"/>
  <c r="AB952" i="1"/>
  <c r="AB953" i="1"/>
  <c r="AB992" i="1"/>
  <c r="AE1036" i="1"/>
  <c r="AB1036" i="1"/>
  <c r="AE1053" i="1"/>
  <c r="AB1053" i="1"/>
  <c r="AE1083" i="1"/>
  <c r="AB1083" i="1"/>
  <c r="AB1086" i="1"/>
  <c r="AE1086" i="1"/>
  <c r="AB855" i="1"/>
  <c r="AB871" i="1"/>
  <c r="AB959" i="1"/>
  <c r="AB963" i="1"/>
  <c r="AB967" i="1"/>
  <c r="AB971" i="1"/>
  <c r="AB983" i="1"/>
  <c r="AB1002" i="1"/>
  <c r="AB1004" i="1"/>
  <c r="AB1020" i="1"/>
  <c r="AE1030" i="1"/>
  <c r="AB1030" i="1"/>
  <c r="AE1038" i="1"/>
  <c r="AB1038" i="1"/>
  <c r="AE1040" i="1"/>
  <c r="AB1040" i="1"/>
  <c r="AE1061" i="1"/>
  <c r="AB1061" i="1"/>
  <c r="AE1072" i="1"/>
  <c r="AB1072" i="1"/>
  <c r="AB1042" i="1"/>
  <c r="AB1044" i="1"/>
  <c r="AB1049" i="1"/>
  <c r="AB1054" i="1"/>
  <c r="AE1067" i="1"/>
  <c r="AB1070" i="1"/>
  <c r="AB1076" i="1"/>
  <c r="AB1081" i="1"/>
  <c r="AE1098" i="1"/>
  <c r="AB1101" i="1"/>
  <c r="AB1111" i="1"/>
  <c r="AB1140" i="1"/>
  <c r="AB1046" i="1"/>
  <c r="AB1048" i="1"/>
  <c r="AB1050" i="1"/>
  <c r="AB1052" i="1"/>
  <c r="AB1059" i="1"/>
  <c r="AE1060" i="1"/>
  <c r="AE1071" i="1"/>
  <c r="AE1082" i="1"/>
  <c r="AE1108" i="1"/>
  <c r="AE1116" i="1"/>
  <c r="AB5" i="1"/>
  <c r="AE9" i="1"/>
  <c r="AB10" i="1"/>
  <c r="AE13" i="1"/>
  <c r="AB14" i="1"/>
  <c r="AE17" i="1"/>
  <c r="AB18" i="1"/>
  <c r="AE21" i="1"/>
  <c r="AB22" i="1"/>
  <c r="J1117" i="1" a="1"/>
  <c r="J1117" i="1" s="1"/>
  <c r="J1140" i="1" a="1"/>
  <c r="J1140" i="1" s="1"/>
  <c r="J1089" i="1" a="1"/>
  <c r="J1089" i="1" s="1"/>
  <c r="J1016" i="1" a="1"/>
  <c r="J1016" i="1" s="1"/>
  <c r="J1053" i="1" a="1"/>
  <c r="J1053" i="1" s="1"/>
  <c r="J1017" i="1" a="1"/>
  <c r="J1017" i="1" s="1"/>
  <c r="J976" i="1" a="1"/>
  <c r="J976" i="1" s="1"/>
  <c r="J928" i="1" a="1"/>
  <c r="J928" i="1" s="1"/>
  <c r="J977" i="1" a="1"/>
  <c r="J977" i="1" s="1"/>
  <c r="J929" i="1" a="1"/>
  <c r="J929" i="1" s="1"/>
  <c r="J927" i="1" a="1"/>
  <c r="J927" i="1" s="1"/>
  <c r="J882" i="1" a="1"/>
  <c r="J882" i="1" s="1"/>
  <c r="J840" i="1" a="1"/>
  <c r="J840" i="1" s="1"/>
  <c r="J796" i="1" a="1"/>
  <c r="J796" i="1" s="1"/>
  <c r="J797" i="1" a="1"/>
  <c r="J797" i="1" s="1"/>
  <c r="J753" i="1" a="1"/>
  <c r="J753" i="1" s="1"/>
  <c r="J717" i="1" a="1"/>
  <c r="J717" i="1" s="1"/>
  <c r="J678" i="1" a="1"/>
  <c r="J678" i="1" s="1"/>
  <c r="J718" i="1" a="1"/>
  <c r="J718" i="1" s="1"/>
  <c r="J508" i="1" a="1"/>
  <c r="J508" i="1" s="1"/>
  <c r="J509" i="1" a="1"/>
  <c r="J509" i="1" s="1"/>
  <c r="J510" i="1" a="1"/>
  <c r="J510" i="1" s="1"/>
  <c r="J462" i="1" a="1"/>
  <c r="J462" i="1" s="1"/>
  <c r="J375" i="1" a="1"/>
  <c r="J375" i="1" s="1"/>
  <c r="J421" i="1" a="1"/>
  <c r="J421" i="1" s="1"/>
  <c r="J376" i="1" a="1"/>
  <c r="J376" i="1" s="1"/>
  <c r="J331" i="1" a="1"/>
  <c r="J331" i="1" s="1"/>
  <c r="J283" i="1" a="1"/>
  <c r="J283" i="1" s="1"/>
  <c r="J239" i="1" a="1"/>
  <c r="J239" i="1" s="1"/>
  <c r="J463" i="1" a="1"/>
  <c r="J463" i="1" s="1"/>
  <c r="J420" i="1" a="1"/>
  <c r="J420" i="1" s="1"/>
  <c r="J374" i="1" a="1"/>
  <c r="J374" i="1" s="1"/>
  <c r="J332" i="1" a="1"/>
  <c r="J332" i="1" s="1"/>
  <c r="J284" i="1" a="1"/>
  <c r="J284" i="1" s="1"/>
  <c r="AB26" i="1"/>
  <c r="J1093" i="1" a="1"/>
  <c r="J1093" i="1" s="1"/>
  <c r="J1142" i="1" a="1"/>
  <c r="J1142" i="1" s="1"/>
  <c r="J1119" i="1" a="1"/>
  <c r="J1119" i="1" s="1"/>
  <c r="J1091" i="1" a="1"/>
  <c r="J1091" i="1" s="1"/>
  <c r="J1057" i="1" a="1"/>
  <c r="J1057" i="1" s="1"/>
  <c r="J1092" i="1" a="1"/>
  <c r="J1092" i="1" s="1"/>
  <c r="J1058" i="1" a="1"/>
  <c r="J1058" i="1" s="1"/>
  <c r="J1020" i="1" a="1"/>
  <c r="J1020" i="1" s="1"/>
  <c r="J1021" i="1" a="1"/>
  <c r="J1021" i="1" s="1"/>
  <c r="J1056" i="1" a="1"/>
  <c r="J1056" i="1" s="1"/>
  <c r="J1022" i="1" a="1"/>
  <c r="J1022" i="1" s="1"/>
  <c r="J980" i="1" a="1"/>
  <c r="J980" i="1" s="1"/>
  <c r="J981" i="1" a="1"/>
  <c r="J981" i="1" s="1"/>
  <c r="J933" i="1" a="1"/>
  <c r="J933" i="1" s="1"/>
  <c r="J982" i="1" a="1"/>
  <c r="J982" i="1" s="1"/>
  <c r="J934" i="1" a="1"/>
  <c r="J934" i="1" s="1"/>
  <c r="J935" i="1" a="1"/>
  <c r="J935" i="1" s="1"/>
  <c r="J886" i="1" a="1"/>
  <c r="J886" i="1" s="1"/>
  <c r="J887" i="1" a="1"/>
  <c r="J887" i="1" s="1"/>
  <c r="J888" i="1" a="1"/>
  <c r="J888" i="1" s="1"/>
  <c r="J844" i="1" a="1"/>
  <c r="J844" i="1" s="1"/>
  <c r="J756" i="1" a="1"/>
  <c r="J756" i="1" s="1"/>
  <c r="J845" i="1" a="1"/>
  <c r="J845" i="1" s="1"/>
  <c r="J800" i="1" a="1"/>
  <c r="J800" i="1" s="1"/>
  <c r="J801" i="1" a="1"/>
  <c r="J801" i="1" s="1"/>
  <c r="J843" i="1" a="1"/>
  <c r="J843" i="1" s="1"/>
  <c r="J802" i="1" a="1"/>
  <c r="J802" i="1" s="1"/>
  <c r="J757" i="1" a="1"/>
  <c r="J757" i="1" s="1"/>
  <c r="J723" i="1" a="1"/>
  <c r="J723" i="1" s="1"/>
  <c r="J680" i="1" a="1"/>
  <c r="J680" i="1" s="1"/>
  <c r="J681" i="1" a="1"/>
  <c r="J681" i="1" s="1"/>
  <c r="J758" i="1" a="1"/>
  <c r="J758" i="1" s="1"/>
  <c r="J721" i="1" a="1"/>
  <c r="J721" i="1" s="1"/>
  <c r="J682" i="1" a="1"/>
  <c r="J682" i="1" s="1"/>
  <c r="J722" i="1" a="1"/>
  <c r="J722" i="1" s="1"/>
  <c r="J550" i="1" a="1"/>
  <c r="J550" i="1" s="1"/>
  <c r="J468" i="1" a="1"/>
  <c r="J468" i="1" s="1"/>
  <c r="J426" i="1" a="1"/>
  <c r="J426" i="1" s="1"/>
  <c r="J513" i="1" a="1"/>
  <c r="J513" i="1" s="1"/>
  <c r="J469" i="1" a="1"/>
  <c r="J469" i="1" s="1"/>
  <c r="J548" i="1" a="1"/>
  <c r="J548" i="1" s="1"/>
  <c r="J514" i="1" a="1"/>
  <c r="J514" i="1" s="1"/>
  <c r="J549" i="1" a="1"/>
  <c r="J549" i="1" s="1"/>
  <c r="J515" i="1" a="1"/>
  <c r="J515" i="1" s="1"/>
  <c r="J337" i="1" a="1"/>
  <c r="J337" i="1" s="1"/>
  <c r="J289" i="1" a="1"/>
  <c r="J289" i="1" s="1"/>
  <c r="J467" i="1" a="1"/>
  <c r="J467" i="1" s="1"/>
  <c r="J425" i="1" a="1"/>
  <c r="J425" i="1" s="1"/>
  <c r="J290" i="1" a="1"/>
  <c r="J290" i="1" s="1"/>
  <c r="J246" i="1" a="1"/>
  <c r="J246" i="1" s="1"/>
  <c r="J335" i="1" a="1"/>
  <c r="J335" i="1" s="1"/>
  <c r="J424" i="1" a="1"/>
  <c r="J424" i="1" s="1"/>
  <c r="J336" i="1" a="1"/>
  <c r="J336" i="1" s="1"/>
  <c r="J288" i="1" a="1"/>
  <c r="J288" i="1" s="1"/>
  <c r="AE35" i="1"/>
  <c r="AE39" i="1"/>
  <c r="AE43" i="1"/>
  <c r="AE53" i="1"/>
  <c r="AE57" i="1"/>
  <c r="J61" i="1" a="1"/>
  <c r="J61" i="1" s="1"/>
  <c r="AE61" i="1"/>
  <c r="J65" i="1" a="1"/>
  <c r="J65" i="1" s="1"/>
  <c r="AE65" i="1"/>
  <c r="AE69" i="1"/>
  <c r="AE73" i="1"/>
  <c r="AE77" i="1"/>
  <c r="AE81" i="1"/>
  <c r="AE85" i="1"/>
  <c r="AE89" i="1"/>
  <c r="J107" i="1" a="1"/>
  <c r="J107" i="1" s="1"/>
  <c r="J148" i="1" a="1"/>
  <c r="J148" i="1" s="1"/>
  <c r="J199" i="1" a="1"/>
  <c r="J199" i="1" s="1"/>
  <c r="AE247" i="1"/>
  <c r="AB247" i="1"/>
  <c r="AE255" i="1"/>
  <c r="AB255" i="1"/>
  <c r="AE259" i="1"/>
  <c r="AB259" i="1"/>
  <c r="AE263" i="1"/>
  <c r="AB263" i="1"/>
  <c r="AB6" i="1"/>
  <c r="AB33" i="1"/>
  <c r="AB37" i="1"/>
  <c r="AB41" i="1"/>
  <c r="AB47" i="1"/>
  <c r="AB49" i="1"/>
  <c r="AB55" i="1"/>
  <c r="AB59" i="1"/>
  <c r="J60" i="1" a="1"/>
  <c r="J60" i="1" s="1"/>
  <c r="AB63" i="1"/>
  <c r="AB67" i="1"/>
  <c r="AB71" i="1"/>
  <c r="AB75" i="1"/>
  <c r="AB79" i="1"/>
  <c r="AB83" i="1"/>
  <c r="AB87" i="1"/>
  <c r="AB91" i="1"/>
  <c r="AB93" i="1"/>
  <c r="AB97" i="1"/>
  <c r="AB101" i="1"/>
  <c r="J102" i="1" a="1"/>
  <c r="J102" i="1" s="1"/>
  <c r="AB105" i="1"/>
  <c r="J106" i="1" a="1"/>
  <c r="J106" i="1" s="1"/>
  <c r="AB109" i="1"/>
  <c r="AB111" i="1"/>
  <c r="AB115" i="1"/>
  <c r="AB120" i="1"/>
  <c r="AB124" i="1"/>
  <c r="AB128" i="1"/>
  <c r="AB132" i="1"/>
  <c r="AB134" i="1"/>
  <c r="AB138" i="1"/>
  <c r="AB142" i="1"/>
  <c r="AB146" i="1"/>
  <c r="J147" i="1" a="1"/>
  <c r="J147" i="1" s="1"/>
  <c r="AB152" i="1"/>
  <c r="AB156" i="1"/>
  <c r="AB161" i="1"/>
  <c r="AB167" i="1"/>
  <c r="AB169" i="1"/>
  <c r="AB173" i="1"/>
  <c r="AB177" i="1"/>
  <c r="AB181" i="1"/>
  <c r="AB185" i="1"/>
  <c r="AB189" i="1"/>
  <c r="AB193" i="1"/>
  <c r="J194" i="1" a="1"/>
  <c r="J194" i="1" s="1"/>
  <c r="AB197" i="1"/>
  <c r="J198" i="1" a="1"/>
  <c r="J198" i="1" s="1"/>
  <c r="AB201" i="1"/>
  <c r="J202" i="1" a="1"/>
  <c r="J202" i="1" s="1"/>
  <c r="K204" i="1" a="1"/>
  <c r="K204" i="1" s="1"/>
  <c r="AB205" i="1"/>
  <c r="AB209" i="1"/>
  <c r="AB213" i="1"/>
  <c r="AB217" i="1"/>
  <c r="AB221" i="1"/>
  <c r="AB225" i="1"/>
  <c r="AB227" i="1"/>
  <c r="AB229" i="1"/>
  <c r="AE230" i="1"/>
  <c r="J238" i="1" a="1"/>
  <c r="J238" i="1" s="1"/>
  <c r="AB243" i="1"/>
  <c r="J245" i="1" a="1"/>
  <c r="J245" i="1" s="1"/>
  <c r="K247" i="1" a="1"/>
  <c r="K247" i="1" s="1"/>
  <c r="AE267" i="1"/>
  <c r="AB267" i="1"/>
  <c r="J67" i="1" a="1"/>
  <c r="J67" i="1" s="1"/>
  <c r="J101" i="1" a="1"/>
  <c r="J101" i="1" s="1"/>
  <c r="J105" i="1" a="1"/>
  <c r="J105" i="1" s="1"/>
  <c r="J142" i="1" a="1"/>
  <c r="J142" i="1" s="1"/>
  <c r="J146" i="1" a="1"/>
  <c r="J146" i="1" s="1"/>
  <c r="J193" i="1" a="1"/>
  <c r="J193" i="1" s="1"/>
  <c r="J201" i="1" a="1"/>
  <c r="J201" i="1" s="1"/>
  <c r="J240" i="1" a="1"/>
  <c r="J240" i="1" s="1"/>
  <c r="AE251" i="1"/>
  <c r="AB251" i="1"/>
  <c r="J62" i="1" a="1"/>
  <c r="J62" i="1" s="1"/>
  <c r="J66" i="1" a="1"/>
  <c r="J66" i="1" s="1"/>
  <c r="J141" i="1" a="1"/>
  <c r="J141" i="1" s="1"/>
  <c r="J145" i="1" a="1"/>
  <c r="J145" i="1" s="1"/>
  <c r="K1143" i="1" a="1"/>
  <c r="K1143" i="1" s="1"/>
  <c r="K1120" i="1" a="1"/>
  <c r="K1120" i="1" s="1"/>
  <c r="K1094" i="1" a="1"/>
  <c r="K1094" i="1" s="1"/>
  <c r="K1059" i="1" a="1"/>
  <c r="K1059" i="1" s="1"/>
  <c r="K1060" i="1" a="1"/>
  <c r="K1060" i="1" s="1"/>
  <c r="K1023" i="1" a="1"/>
  <c r="K1023" i="1" s="1"/>
  <c r="K1024" i="1" a="1"/>
  <c r="K1024" i="1" s="1"/>
  <c r="K983" i="1" a="1"/>
  <c r="K983" i="1" s="1"/>
  <c r="K984" i="1" a="1"/>
  <c r="K984" i="1" s="1"/>
  <c r="K936" i="1" a="1"/>
  <c r="K936" i="1" s="1"/>
  <c r="K937" i="1" a="1"/>
  <c r="K937" i="1" s="1"/>
  <c r="K891" i="1" a="1"/>
  <c r="K891" i="1" s="1"/>
  <c r="K889" i="1" a="1"/>
  <c r="K889" i="1" s="1"/>
  <c r="K890" i="1" a="1"/>
  <c r="K890" i="1" s="1"/>
  <c r="K846" i="1" a="1"/>
  <c r="K846" i="1" s="1"/>
  <c r="K805" i="1" a="1"/>
  <c r="K805" i="1" s="1"/>
  <c r="K847" i="1" a="1"/>
  <c r="K847" i="1" s="1"/>
  <c r="K803" i="1" a="1"/>
  <c r="K803" i="1" s="1"/>
  <c r="K804" i="1" a="1"/>
  <c r="K804" i="1" s="1"/>
  <c r="K683" i="1" a="1"/>
  <c r="K683" i="1" s="1"/>
  <c r="K761" i="1" a="1"/>
  <c r="K761" i="1" s="1"/>
  <c r="K760" i="1" a="1"/>
  <c r="K760" i="1" s="1"/>
  <c r="K684" i="1" a="1"/>
  <c r="K684" i="1" s="1"/>
  <c r="K759" i="1" a="1"/>
  <c r="K759" i="1" s="1"/>
  <c r="K615" i="1" a="1"/>
  <c r="K615" i="1" s="1"/>
  <c r="K646" i="1" a="1"/>
  <c r="K646" i="1" s="1"/>
  <c r="K470" i="1" a="1"/>
  <c r="K470" i="1" s="1"/>
  <c r="K428" i="1" a="1"/>
  <c r="K428" i="1" s="1"/>
  <c r="K516" i="1" a="1"/>
  <c r="K516" i="1" s="1"/>
  <c r="K586" i="1" a="1"/>
  <c r="K586" i="1" s="1"/>
  <c r="K551" i="1" a="1"/>
  <c r="K551" i="1" s="1"/>
  <c r="K291" i="1" a="1"/>
  <c r="K291" i="1" s="1"/>
  <c r="K292" i="1" a="1"/>
  <c r="K292" i="1" s="1"/>
  <c r="K380" i="1" a="1"/>
  <c r="K380" i="1" s="1"/>
  <c r="K427" i="1" a="1"/>
  <c r="K427" i="1" s="1"/>
  <c r="K338" i="1" a="1"/>
  <c r="K338" i="1" s="1"/>
  <c r="J200" i="1" a="1"/>
  <c r="J200" i="1" s="1"/>
  <c r="AE238" i="1"/>
  <c r="AE242" i="1"/>
  <c r="J244" i="1" a="1"/>
  <c r="J244" i="1" s="1"/>
  <c r="AE249" i="1"/>
  <c r="AB249" i="1"/>
  <c r="AB271" i="1"/>
  <c r="AB275" i="1"/>
  <c r="AB279" i="1"/>
  <c r="AB283" i="1"/>
  <c r="AB287" i="1"/>
  <c r="AB291" i="1"/>
  <c r="AB295" i="1"/>
  <c r="AB299" i="1"/>
  <c r="AB303" i="1"/>
  <c r="AB307" i="1"/>
  <c r="AB311" i="1"/>
  <c r="AB319" i="1"/>
  <c r="AB323" i="1"/>
  <c r="AB327" i="1"/>
  <c r="AB331" i="1"/>
  <c r="AB335" i="1"/>
  <c r="AB339" i="1"/>
  <c r="AB345" i="1"/>
  <c r="AB349" i="1"/>
  <c r="AB353" i="1"/>
  <c r="AB359" i="1"/>
  <c r="AB363" i="1"/>
  <c r="AB369" i="1"/>
  <c r="AB373" i="1"/>
  <c r="AB377" i="1"/>
  <c r="AB388" i="1"/>
  <c r="AB392" i="1"/>
  <c r="AB396" i="1"/>
  <c r="AB400" i="1"/>
  <c r="AB404" i="1"/>
  <c r="AB408" i="1"/>
  <c r="AB412" i="1"/>
  <c r="AE418" i="1"/>
  <c r="AE422" i="1"/>
  <c r="AB422" i="1"/>
  <c r="AB431" i="1"/>
  <c r="AB435" i="1"/>
  <c r="AB438" i="1"/>
  <c r="AB445" i="1"/>
  <c r="AB449" i="1"/>
  <c r="AB453" i="1"/>
  <c r="AB457" i="1"/>
  <c r="AB246" i="1"/>
  <c r="AB248" i="1"/>
  <c r="AB250" i="1"/>
  <c r="AB254" i="1"/>
  <c r="AB256" i="1"/>
  <c r="AB260" i="1"/>
  <c r="AB264" i="1"/>
  <c r="AB268" i="1"/>
  <c r="AB272" i="1"/>
  <c r="AB278" i="1"/>
  <c r="AB282" i="1"/>
  <c r="AB286" i="1"/>
  <c r="AB290" i="1"/>
  <c r="AB294" i="1"/>
  <c r="AB298" i="1"/>
  <c r="AB302" i="1"/>
  <c r="AB306" i="1"/>
  <c r="AB310" i="1"/>
  <c r="AB314" i="1"/>
  <c r="AB322" i="1"/>
  <c r="AB326" i="1"/>
  <c r="AB330" i="1"/>
  <c r="AB334" i="1"/>
  <c r="AB338" i="1"/>
  <c r="AB342" i="1"/>
  <c r="AB344" i="1"/>
  <c r="AB348" i="1"/>
  <c r="AB352" i="1"/>
  <c r="AB356" i="1"/>
  <c r="AB358" i="1"/>
  <c r="AB362" i="1"/>
  <c r="AB366" i="1"/>
  <c r="AB368" i="1"/>
  <c r="AB372" i="1"/>
  <c r="AB376" i="1"/>
  <c r="AE382" i="1"/>
  <c r="AB389" i="1"/>
  <c r="AB393" i="1"/>
  <c r="AB397" i="1"/>
  <c r="AB401" i="1"/>
  <c r="AB405" i="1"/>
  <c r="AB409" i="1"/>
  <c r="AB427" i="1"/>
  <c r="AE477" i="1"/>
  <c r="AB477" i="1"/>
  <c r="AE481" i="1"/>
  <c r="AB481" i="1"/>
  <c r="AE489" i="1"/>
  <c r="AB489" i="1"/>
  <c r="AE497" i="1"/>
  <c r="AB497" i="1"/>
  <c r="AB379" i="1"/>
  <c r="AE386" i="1"/>
  <c r="AE390" i="1"/>
  <c r="AE394" i="1"/>
  <c r="AE398" i="1"/>
  <c r="AE402" i="1"/>
  <c r="AE406" i="1"/>
  <c r="AE410" i="1"/>
  <c r="AB419" i="1"/>
  <c r="AB423" i="1"/>
  <c r="AE430" i="1"/>
  <c r="AB430" i="1"/>
  <c r="AE434" i="1"/>
  <c r="AB434" i="1"/>
  <c r="AE437" i="1"/>
  <c r="AB437" i="1"/>
  <c r="AE440" i="1"/>
  <c r="AB440" i="1"/>
  <c r="AE444" i="1"/>
  <c r="AB444" i="1"/>
  <c r="AE448" i="1"/>
  <c r="AB448" i="1"/>
  <c r="AE452" i="1"/>
  <c r="AB452" i="1"/>
  <c r="AE456" i="1"/>
  <c r="AB456" i="1"/>
  <c r="AE461" i="1"/>
  <c r="AB461" i="1"/>
  <c r="AE469" i="1"/>
  <c r="AB469" i="1"/>
  <c r="AE426" i="1"/>
  <c r="AB426" i="1"/>
  <c r="AE465" i="1"/>
  <c r="AB465" i="1"/>
  <c r="AE473" i="1"/>
  <c r="AB473" i="1"/>
  <c r="AE485" i="1"/>
  <c r="AB485" i="1"/>
  <c r="AE493" i="1"/>
  <c r="AB493" i="1"/>
  <c r="AE610" i="1"/>
  <c r="AB610" i="1"/>
  <c r="AE642" i="1"/>
  <c r="AB642" i="1"/>
  <c r="AE650" i="1"/>
  <c r="AB650" i="1"/>
  <c r="AE662" i="1"/>
  <c r="AB662" i="1"/>
  <c r="AE681" i="1"/>
  <c r="AB681" i="1"/>
  <c r="AB501" i="1"/>
  <c r="AB505" i="1"/>
  <c r="AB509" i="1"/>
  <c r="AB513" i="1"/>
  <c r="AB517" i="1"/>
  <c r="AB521" i="1"/>
  <c r="AB523" i="1"/>
  <c r="AB527" i="1"/>
  <c r="AB531" i="1"/>
  <c r="AB535" i="1"/>
  <c r="AB539" i="1"/>
  <c r="AB543" i="1"/>
  <c r="AB547" i="1"/>
  <c r="AB551" i="1"/>
  <c r="AB555" i="1"/>
  <c r="AB559" i="1"/>
  <c r="AE571" i="1"/>
  <c r="AE573" i="1"/>
  <c r="AE582" i="1"/>
  <c r="AB582" i="1"/>
  <c r="AE590" i="1"/>
  <c r="AB590" i="1"/>
  <c r="AE614" i="1"/>
  <c r="AB614" i="1"/>
  <c r="AE618" i="1"/>
  <c r="AB618" i="1"/>
  <c r="AE666" i="1"/>
  <c r="AB666" i="1"/>
  <c r="AB460" i="1"/>
  <c r="AB464" i="1"/>
  <c r="AB468" i="1"/>
  <c r="AB472" i="1"/>
  <c r="AB476" i="1"/>
  <c r="AB484" i="1"/>
  <c r="AB488" i="1"/>
  <c r="AB492" i="1"/>
  <c r="AB496" i="1"/>
  <c r="AB500" i="1"/>
  <c r="AB504" i="1"/>
  <c r="AB508" i="1"/>
  <c r="AB512" i="1"/>
  <c r="AB516" i="1"/>
  <c r="AB520" i="1"/>
  <c r="AB526" i="1"/>
  <c r="AB530" i="1"/>
  <c r="AB534" i="1"/>
  <c r="AB536" i="1"/>
  <c r="AB538" i="1"/>
  <c r="AB542" i="1"/>
  <c r="AB546" i="1"/>
  <c r="AB550" i="1"/>
  <c r="AB554" i="1"/>
  <c r="AB558" i="1"/>
  <c r="AB562" i="1"/>
  <c r="AE567" i="1"/>
  <c r="AE569" i="1"/>
  <c r="AE622" i="1"/>
  <c r="AB622" i="1"/>
  <c r="AE626" i="1"/>
  <c r="AB626" i="1"/>
  <c r="AE630" i="1"/>
  <c r="AB630" i="1"/>
  <c r="AE634" i="1"/>
  <c r="AB634" i="1"/>
  <c r="AE638" i="1"/>
  <c r="AB638" i="1"/>
  <c r="AE646" i="1"/>
  <c r="AB646" i="1"/>
  <c r="AE656" i="1"/>
  <c r="AB656" i="1"/>
  <c r="AE658" i="1"/>
  <c r="AB658" i="1"/>
  <c r="AE575" i="1"/>
  <c r="AB575" i="1"/>
  <c r="AE586" i="1"/>
  <c r="AB586" i="1"/>
  <c r="AE594" i="1"/>
  <c r="AB594" i="1"/>
  <c r="AE602" i="1"/>
  <c r="AB602" i="1"/>
  <c r="AE606" i="1"/>
  <c r="AB606" i="1"/>
  <c r="AE668" i="1"/>
  <c r="AB668" i="1"/>
  <c r="AB669" i="1"/>
  <c r="AE673" i="1"/>
  <c r="AB673" i="1"/>
  <c r="AE677" i="1"/>
  <c r="AB677" i="1"/>
  <c r="AE747" i="1"/>
  <c r="AE751" i="1"/>
  <c r="AE755" i="1"/>
  <c r="AE765" i="1"/>
  <c r="AB765" i="1"/>
  <c r="AE772" i="1"/>
  <c r="AB772" i="1"/>
  <c r="AB672" i="1"/>
  <c r="AB676" i="1"/>
  <c r="AB680" i="1"/>
  <c r="AB684" i="1"/>
  <c r="AB688" i="1"/>
  <c r="AB692" i="1"/>
  <c r="AB696" i="1"/>
  <c r="AB700" i="1"/>
  <c r="AB704" i="1"/>
  <c r="AB707" i="1"/>
  <c r="AB711" i="1"/>
  <c r="AB715" i="1"/>
  <c r="AB719" i="1"/>
  <c r="AB723" i="1"/>
  <c r="AB727" i="1"/>
  <c r="AB731" i="1"/>
  <c r="AB735" i="1"/>
  <c r="AB739" i="1"/>
  <c r="AB744" i="1"/>
  <c r="AB748" i="1"/>
  <c r="AB752" i="1"/>
  <c r="AB760" i="1"/>
  <c r="AB761" i="1"/>
  <c r="AB776" i="1"/>
  <c r="AB780" i="1"/>
  <c r="AB782" i="1"/>
  <c r="AB786" i="1"/>
  <c r="AB792" i="1"/>
  <c r="AB796" i="1"/>
  <c r="AB800" i="1"/>
  <c r="AB804" i="1"/>
  <c r="AB808" i="1"/>
  <c r="AB812" i="1"/>
  <c r="AB815" i="1"/>
  <c r="AB819" i="1"/>
  <c r="AB823" i="1"/>
  <c r="AB827" i="1"/>
  <c r="AB831" i="1"/>
  <c r="AB833" i="1"/>
  <c r="AB837" i="1"/>
  <c r="AB841" i="1"/>
  <c r="AB845" i="1"/>
  <c r="AB849" i="1"/>
  <c r="AB851" i="1"/>
  <c r="AB766" i="1"/>
  <c r="AB771" i="1"/>
  <c r="AB775" i="1"/>
  <c r="AB779" i="1"/>
  <c r="AB781" i="1"/>
  <c r="AB785" i="1"/>
  <c r="AB791" i="1"/>
  <c r="AB795" i="1"/>
  <c r="AB799" i="1"/>
  <c r="AB803" i="1"/>
  <c r="AB807" i="1"/>
  <c r="AB811" i="1"/>
  <c r="AE898" i="1"/>
  <c r="AB898" i="1"/>
  <c r="AB899" i="1"/>
  <c r="AB902" i="1"/>
  <c r="AB906" i="1"/>
  <c r="AB910" i="1"/>
  <c r="AB914" i="1"/>
  <c r="AB918" i="1"/>
  <c r="AB922" i="1"/>
  <c r="AB926" i="1"/>
  <c r="AB930" i="1"/>
  <c r="AB934" i="1"/>
  <c r="AB938" i="1"/>
  <c r="AB942" i="1"/>
  <c r="AB946" i="1"/>
  <c r="AB950" i="1"/>
  <c r="AB954" i="1"/>
  <c r="AB958" i="1"/>
  <c r="AB962" i="1"/>
  <c r="AB966" i="1"/>
  <c r="AB970" i="1"/>
  <c r="AB974" i="1"/>
  <c r="AB978" i="1"/>
  <c r="AB982" i="1"/>
  <c r="AB986" i="1"/>
  <c r="AB990" i="1"/>
  <c r="AB991" i="1"/>
  <c r="AE991" i="1"/>
  <c r="AE995" i="1"/>
  <c r="AE999" i="1"/>
  <c r="AE1003" i="1"/>
  <c r="AE1007" i="1"/>
  <c r="AE1011" i="1"/>
  <c r="AE1015" i="1"/>
  <c r="AE1019" i="1"/>
  <c r="AE1023" i="1"/>
  <c r="AE1027" i="1"/>
  <c r="AE1031" i="1"/>
  <c r="AE1035" i="1"/>
  <c r="AE1039" i="1"/>
  <c r="AE1043" i="1"/>
  <c r="AE1047" i="1"/>
  <c r="AE1051" i="1"/>
  <c r="AE1058" i="1"/>
  <c r="AE1062" i="1"/>
  <c r="AB1069" i="1"/>
  <c r="AB1073" i="1"/>
  <c r="AB1077" i="1"/>
  <c r="AB1080" i="1"/>
  <c r="AB1084" i="1"/>
  <c r="AB1088" i="1"/>
  <c r="AB1097" i="1"/>
  <c r="AB1106" i="1"/>
  <c r="AE1113" i="1"/>
  <c r="AB1113" i="1"/>
  <c r="AB1114" i="1"/>
  <c r="AE1138" i="1"/>
  <c r="AB1138" i="1"/>
  <c r="AE1142" i="1"/>
  <c r="AB1142" i="1"/>
  <c r="AE1117" i="1"/>
  <c r="AB1117" i="1"/>
  <c r="AE1121" i="1"/>
  <c r="AB1121" i="1"/>
  <c r="AE1092" i="1"/>
  <c r="AE1096" i="1"/>
  <c r="AB1100" i="1"/>
  <c r="AE1109" i="1"/>
  <c r="AB1109" i="1"/>
  <c r="AB1110" i="1"/>
  <c r="AE1126" i="1"/>
  <c r="AB1126" i="1"/>
  <c r="AE1130" i="1"/>
  <c r="AB1130" i="1"/>
  <c r="AE1134" i="1"/>
  <c r="AB1134" i="1"/>
  <c r="AB1120" i="1"/>
  <c r="AB1129" i="1"/>
  <c r="AB1133" i="1"/>
  <c r="AB1137" i="1"/>
  <c r="AB1141" i="1"/>
  <c r="AB11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u183027</author>
    <author>tc={2A591AFA-8062-4E9D-BC52-F5C0D1A7875E}</author>
    <author>tc={16A71F64-C122-44BF-950D-F204D0826AFC}</author>
    <author>tc={682213F1-4659-4763-8565-20B668593BD1}</author>
    <author>tc={E7A69AE6-63CA-474A-8FAD-DB23C9F7A4F4}</author>
    <author>tc={A7C27FF7-0856-4443-AF6C-78A293B4788F}</author>
    <author>tc={048EFCE7-8376-4E25-A715-D3D0A2728B9E}</author>
    <author>tc={CEF6DBAB-1843-44DC-8E27-8E4ABF23E99E}</author>
    <author>tc={BD6D1C41-2EF6-44B9-AF0A-EFB62A1A352A}</author>
    <author>tc={BBCB3C61-E045-4C7D-9741-57A812EDD524}</author>
    <author>tc={F953CF76-6380-43BE-BACF-94F9996A2682}</author>
    <author>tc={0A5E111C-CED6-4590-B992-7D5014211B48}</author>
  </authors>
  <commentList>
    <comment ref="J26" authorId="0" shapeId="0" xr:uid="{79D7B8BB-51F0-458C-82CA-24F27AE4C0F9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A l'alçada del mapa li sumo l'alçada d'1 pis pq la trampa està a la terrassa del 1r pis. </t>
        </r>
      </text>
    </comment>
    <comment ref="J29" authorId="0" shapeId="0" xr:uid="{BB05FB26-7CE9-4016-8FC5-8ED41064C5DA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el jardí romàntic està al 1r pis del casal</t>
        </r>
      </text>
    </comment>
    <comment ref="J30" authorId="0" shapeId="0" xr:uid="{73E61142-B8B0-425F-8153-45BFFBB86BC8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el jardí romàntic està al 1r pis del casal</t>
        </r>
      </text>
    </comment>
    <comment ref="J31" authorId="0" shapeId="0" xr:uid="{F57DFBF8-B54D-4D6E-A63A-2AACC268C00B}">
      <text>
        <r>
          <rPr>
            <b/>
            <sz val="9"/>
            <color indexed="81"/>
            <rFont val="Tahoma"/>
            <family val="2"/>
          </rPr>
          <t>u183027:</t>
        </r>
        <r>
          <rPr>
            <sz val="9"/>
            <color indexed="81"/>
            <rFont val="Tahoma"/>
            <family val="2"/>
          </rPr>
          <t xml:space="preserve">
la terrassa del casal està en un 1r pis</t>
        </r>
      </text>
    </comment>
    <comment ref="G37" authorId="1" shapeId="0" xr:uid="{2A591AFA-8062-4E9D-BC52-F5C0D1A787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Mostra que no tenia etiqueta - associada a aquesta data que faltava</t>
      </text>
    </comment>
    <comment ref="G147" authorId="2" shapeId="0" xr:uid="{16A71F64-C122-44BF-950D-F204D0826A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Mostra que estava entrada a l'ordinador directament en el A_SP_BCN_4 mateixes dates</t>
      </text>
    </comment>
    <comment ref="F248" authorId="3" shapeId="0" xr:uid="{682213F1-4659-4763-8565-20B668593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modificar amb formula - valors inicials formula</t>
      </text>
    </comment>
    <comment ref="F250" authorId="4" shapeId="0" xr:uid="{E7A69AE6-63CA-474A-8FAD-DB23C9F7A4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modificar amb formula - valors inicials formula</t>
      </text>
    </comment>
    <comment ref="AC340" authorId="5" shapeId="0" xr:uid="{A7C27FF7-0856-4443-AF6C-78A293B478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individuals I am not able to determine the sex</t>
      </text>
    </comment>
    <comment ref="V490" authorId="6" shapeId="0" xr:uid="{048EFCE7-8376-4E25-A715-D3D0A2728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Comenten que hi pot haver hagut algun tall elèctric, però que en ppi ha estat connectada - només 1 culiseta!</t>
      </text>
    </comment>
    <comment ref="AD822" authorId="7" shapeId="0" xr:uid="{CEF6DBAB-1843-44DC-8E27-8E4ABF23E9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Comprovar si és 0 amb les mostres del congelador - no hi havia cap valor apuntat al full de resultats</t>
      </text>
    </comment>
    <comment ref="AD823" authorId="8" shapeId="0" xr:uid="{BD6D1C41-2EF6-44B9-AF0A-EFB62A1A3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Comprovar si és 0 amb les mostres del congelador - no hi havia cap valor apuntat al full de resultats</t>
      </text>
    </comment>
    <comment ref="AC898" authorId="9" shapeId="0" xr:uid="{BBCB3C61-E045-4C7D-9741-57A812EDD5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Completament aixafada.</t>
      </text>
    </comment>
    <comment ref="AD920" authorId="10" shapeId="0" xr:uid="{F953CF76-6380-43BE-BACF-94F9996A26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comprovar a la UAB - no tinc res apuntat a la casella. Tinc apuntat '1 mascle no identificat guardat amb AA'</t>
      </text>
    </comment>
    <comment ref="AC926" authorId="11" shapeId="0" xr:uid="{0A5E111C-CED6-4590-B992-7D5014211B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Abdomen B/N molt contrastat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<sst xmlns="http://schemas.openxmlformats.org/spreadsheetml/2006/main" count="8134" uniqueCount="179">
  <si>
    <t>TO BE COMPLETED BEFORE THE FIELD TRIP - information about the location</t>
  </si>
  <si>
    <t>TO BE COMPLETED IN THE FIELD</t>
  </si>
  <si>
    <t>TO BE COMPLETED IN THE LAB</t>
  </si>
  <si>
    <t>THE FIRST FIELD TRIP - information about the trap</t>
  </si>
  <si>
    <t>EVERY FIELD TRIP - information about the sample</t>
  </si>
  <si>
    <t>#</t>
  </si>
  <si>
    <t>Location Name</t>
  </si>
  <si>
    <t>Country</t>
  </si>
  <si>
    <t>Admin. unit (e.g. District NUTS3)</t>
  </si>
  <si>
    <t>Place (e.g. town, village)</t>
  </si>
  <si>
    <t>postal code</t>
  </si>
  <si>
    <t>trap ID [E (ovitraps) or A (BGS traps) + location name + numbering]</t>
  </si>
  <si>
    <t>Latitude</t>
  </si>
  <si>
    <t>Longitude</t>
  </si>
  <si>
    <t>Altitude</t>
  </si>
  <si>
    <t>Trap type (options= 'Ovitrap', 'BG sentinel + BG lure7' or 'BG sentinel + BG lure7 + CO2')</t>
  </si>
  <si>
    <t>Land use (options= 'Urban habitat', 'Suburban habitat' or 'Other')</t>
  </si>
  <si>
    <t>if Other, specify land use:</t>
  </si>
  <si>
    <t>Comment trap</t>
  </si>
  <si>
    <t>Sample name [trapID + startdatesample (YYMMDD)]</t>
  </si>
  <si>
    <t>Start date</t>
  </si>
  <si>
    <t>Start time</t>
  </si>
  <si>
    <t>Average temperature start date (only for BGS+CO2) [°C]</t>
  </si>
  <si>
    <t>End date</t>
  </si>
  <si>
    <t>End time</t>
  </si>
  <si>
    <t>Average temperature end date (only for BGS+CO2) [°C]</t>
  </si>
  <si>
    <t>trap status (e.g. 'Good', 'Battery out', 'Oviposition support missing', 'Trap broken', 'Trap missing', 'No water in the trap')</t>
  </si>
  <si>
    <t>Comment sample</t>
  </si>
  <si>
    <t>Trapping effort</t>
  </si>
  <si>
    <t>Total number of eggs on tongue depressor</t>
  </si>
  <si>
    <t>Mosquito species</t>
  </si>
  <si>
    <t>Number per species [EGGS: Total no. E x No. specimens hatched-analysed (subsample) / total no. hatched-analysed individuals]</t>
  </si>
  <si>
    <t>Life_Stage identified (options= Adult, Larva or Egg)</t>
  </si>
  <si>
    <t>Number females (optional)</t>
  </si>
  <si>
    <t>number of males (optional)</t>
  </si>
  <si>
    <t>Identification method (options= Morphological, Maldi-TOF or PCR)</t>
  </si>
  <si>
    <t>Data validity (1- Invalidates data; 2 - Reduces data quality; 3 - Add info or interesting observations to interprete results; 4 - no comment)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</si>
  <si>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</si>
  <si>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</si>
  <si>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</si>
  <si>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</si>
  <si>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</si>
  <si>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</si>
  <si>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</si>
  <si>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</si>
  <si>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</si>
  <si>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</si>
  <si>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</si>
  <si>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</si>
  <si>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</si>
  <si>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</si>
  <si>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</si>
  <si>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</si>
  <si>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</si>
  <si>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</si>
  <si>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</si>
  <si>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</si>
  <si>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</si>
  <si>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</si>
  <si>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Comments classification</t>
  </si>
  <si>
    <t>SP_BCN</t>
  </si>
  <si>
    <t>Spain</t>
  </si>
  <si>
    <t>Barcelona</t>
  </si>
  <si>
    <t>A_SP_BCN_1</t>
  </si>
  <si>
    <t>BG sentinel + BG lure7</t>
  </si>
  <si>
    <t>Urban habitat</t>
  </si>
  <si>
    <t>Good</t>
  </si>
  <si>
    <t>A_SP_BCN_2</t>
  </si>
  <si>
    <t>A_SP_BCN_3</t>
  </si>
  <si>
    <t>Aedes albopictus</t>
  </si>
  <si>
    <t>Culex pipiens</t>
  </si>
  <si>
    <t>A_SP_BCN_4</t>
  </si>
  <si>
    <t>A_SP_BCN_5</t>
  </si>
  <si>
    <t>A_SP_BCN_6</t>
  </si>
  <si>
    <t>A_SP_BCN_7</t>
  </si>
  <si>
    <t>A_SP_BCN_8</t>
  </si>
  <si>
    <t>Other</t>
  </si>
  <si>
    <t>Plant nursery</t>
  </si>
  <si>
    <t>A_SP_BCN_9</t>
  </si>
  <si>
    <t>Public garden</t>
  </si>
  <si>
    <t>Culiseta longiareolata</t>
  </si>
  <si>
    <t>A_SP_BCN_10</t>
  </si>
  <si>
    <t>A_SP_BCN_11</t>
  </si>
  <si>
    <t>ants in the sample</t>
  </si>
  <si>
    <t>A_SP_BCN_12</t>
  </si>
  <si>
    <t>A_SP_BCN_13</t>
  </si>
  <si>
    <t>A_SP_BCN_14</t>
  </si>
  <si>
    <t>A_SP_BCN_15</t>
  </si>
  <si>
    <t>A_SP_BCN_16</t>
  </si>
  <si>
    <t>A_SP_BCN_17</t>
  </si>
  <si>
    <t>Fallen trap, funnel open on the floor - no sample (put some rocks on the bottom of the trap to avoid it in the next samplings)</t>
  </si>
  <si>
    <t>No sample</t>
  </si>
  <si>
    <t>A_SP_BCN_18</t>
  </si>
  <si>
    <t>A_SP_BCN_19</t>
  </si>
  <si>
    <t>A_SP_BCN_20</t>
  </si>
  <si>
    <t>Some females with blood</t>
  </si>
  <si>
    <t>A_SP_BCN_21</t>
  </si>
  <si>
    <t>Trap without electricity, probably because of a electricty fall on 18/5/21</t>
  </si>
  <si>
    <t>A_SP_BCN_22</t>
  </si>
  <si>
    <t>sampling incident on the 27th because of a rooster attack - sampled the day after</t>
  </si>
  <si>
    <t>mosquitoes not conserved</t>
  </si>
  <si>
    <t>Trap disconnected from 29/05/21 - only working for 1 day</t>
  </si>
  <si>
    <t>1 blood fed female (in the same tube as the others)</t>
  </si>
  <si>
    <t>A_SP_BCN_23</t>
  </si>
  <si>
    <t>ants in the sample - mosquitoes in bad state</t>
  </si>
  <si>
    <t>trap disconnected and funnel out - no valid sample</t>
  </si>
  <si>
    <t>Several ants in the sample - there is an uniddentifiable thorax, maybe from Culex</t>
  </si>
  <si>
    <t>An ant in the sample - mosquitoes in very bad state, difficult to identify. 2 individuals unidentified, 1 female abdomen</t>
  </si>
  <si>
    <t>the trap ubication was changed</t>
  </si>
  <si>
    <t>A_SP_BCN_24</t>
  </si>
  <si>
    <t>manipulated</t>
  </si>
  <si>
    <t>Bag full of leaves and sand, without insects</t>
  </si>
  <si>
    <t>trap disconnected - no valid sample</t>
  </si>
  <si>
    <t>1 blood-fed demale</t>
  </si>
  <si>
    <t>2 blood-fed females</t>
  </si>
  <si>
    <t>Trap stopped - no electricity</t>
  </si>
  <si>
    <t>Funnel out of the trap</t>
  </si>
  <si>
    <t>Ants and spiders in the sample</t>
  </si>
  <si>
    <t>1 blood fed female</t>
  </si>
  <si>
    <t>Few ants and spiders in the sample</t>
  </si>
  <si>
    <t>because of an oficial visit I could not access on the 1st and sampled on the 2nd july</t>
  </si>
  <si>
    <t>Some spiders</t>
  </si>
  <si>
    <t>Some spiders - one male of Culiseta was wrapped in spider web</t>
  </si>
  <si>
    <t>Some ants and spiders, there are no mosquitoes but there are some legs that look like albopictus and Culiseta ones</t>
  </si>
  <si>
    <t xml:space="preserve">Some ants and spiders - rests of mowed vegetation in the sample </t>
  </si>
  <si>
    <t>on the 7th july the school was closed at 17:15h - no sample collected until 14th</t>
  </si>
  <si>
    <t>Trap disconnected</t>
  </si>
  <si>
    <t>few ants</t>
  </si>
  <si>
    <t>2-3 blood-fed females</t>
  </si>
  <si>
    <t>Some ants and spiders - it seems some legs of Culiseta are in the sample</t>
  </si>
  <si>
    <t>some ants and spiders</t>
  </si>
  <si>
    <t>Some ants in the sample</t>
  </si>
  <si>
    <t>funnel out of the trap - no valid sample</t>
  </si>
  <si>
    <t>Disconnected trap</t>
  </si>
  <si>
    <t>Funnel found upside down</t>
  </si>
  <si>
    <t>some ants</t>
  </si>
  <si>
    <t>Funnel outside of the trap</t>
  </si>
  <si>
    <t>Electricity was cut most of the time</t>
  </si>
  <si>
    <t>Maybe the trap was disconnected for some time, only 1 individual in 35 days</t>
  </si>
  <si>
    <t>a lot of phlebotoms</t>
  </si>
  <si>
    <t>some ants and 1 spider</t>
  </si>
  <si>
    <t>Probably electricity was cut off, at least intermittently - bag with few individuals</t>
  </si>
  <si>
    <t>few ants - some albopictus legs</t>
  </si>
  <si>
    <t>sample in quite bad state (mosquitoes were sometimes broken)</t>
  </si>
  <si>
    <t>1 blood-fed female</t>
  </si>
  <si>
    <t>some ants, fragmented mosquitoes - in some of them sex could not be determined, were assigned to females</t>
  </si>
  <si>
    <t>potential breeding sites eliminated (ranged)</t>
  </si>
  <si>
    <t>Sample in bad state of conservation - mosquitoes not kept</t>
  </si>
  <si>
    <t>few ants and spiders</t>
  </si>
  <si>
    <t>Sample in bad state - mosquitoes not conserved</t>
  </si>
  <si>
    <t>a lot of mosquitoes - Culex males flying around</t>
  </si>
  <si>
    <t>Trap disconnected the morning of the 8/9/21</t>
  </si>
  <si>
    <t>some ants; it was closed on the 8th september - trap not collected until the 17th</t>
  </si>
  <si>
    <t>the individual was not preserved, there was only the abdomen</t>
  </si>
  <si>
    <t>trap was disconnected because electric cut - launched during sampling</t>
  </si>
  <si>
    <t>some spiders</t>
  </si>
  <si>
    <t>the funnel was outside the trap - no valid sample</t>
  </si>
  <si>
    <t>sample not preserved - there was a snail in it and it was in bad state</t>
  </si>
  <si>
    <t>trap disconnected - connected at the moment of sampling</t>
  </si>
  <si>
    <t>funnel was out of the trap - no valid sample</t>
  </si>
  <si>
    <t>Sample full of flying ants</t>
  </si>
  <si>
    <t>female with eggs</t>
  </si>
  <si>
    <t>funnel and bag out of the trap - no valid sample</t>
  </si>
  <si>
    <t>potential breeding sides besides the trap</t>
  </si>
  <si>
    <t>trap was disconnected, probably from 24h before (have changed the sampling day to 1 day before)- connected at the moment of sampling</t>
  </si>
  <si>
    <t>1 male species could not be identified in the sample</t>
  </si>
  <si>
    <t xml:space="preserve">funnel upside down </t>
  </si>
  <si>
    <t>it was find closed on the 28th</t>
  </si>
  <si>
    <t>High biomasse in the sample bag (of no mosquito insects)</t>
  </si>
  <si>
    <t xml:space="preserve"> </t>
  </si>
  <si>
    <t>Mosquitoes in quite bad state (because of humidity probably)</t>
  </si>
  <si>
    <t>Some spiders but mosquitoes in good state</t>
  </si>
  <si>
    <t>trap disconnected, do not know since when (all the individuals in the bag were dead) - no valid sample</t>
  </si>
  <si>
    <t>high biomasse of non-mosquito insects</t>
  </si>
  <si>
    <t>trap disconnected the 9/11/21 in the afternoon - sampling date was 10, but changed to the date the trap was working</t>
  </si>
  <si>
    <t>Some mosquitoes in bad conservation state</t>
  </si>
  <si>
    <t>trap disconnected - connected at the moment of sampling - no valid sample</t>
  </si>
  <si>
    <t>funnel upside down - no valid sample</t>
  </si>
  <si>
    <t>potential breeding sites besides  the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</si>
</sst>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65" fontId="1" fillId="3" borderId="15" xfId="0" applyNumberFormat="1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165" fontId="1" fillId="3" borderId="21" xfId="0" applyNumberFormat="1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 wrapText="1"/>
    </xf>
    <xf numFmtId="20" fontId="0" fillId="0" borderId="0" xfId="0" applyNumberFormat="1" applyAlignment="1">
      <alignment horizontal="center" wrapText="1"/>
    </xf>
    <xf numFmtId="0" fontId="0" fillId="5" borderId="0" xfId="0" applyFill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5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0" fontId="0" fillId="6" borderId="0" xfId="0" applyFill="1"/>
    <xf numFmtId="0" fontId="0" fillId="0" borderId="0" xfId="0" applyAlignment="1">
      <alignment horizontal="center"/>
    </xf>
    <xf numFmtId="14" fontId="5" fillId="0" borderId="0" xfId="0" applyNumberFormat="1" applyFont="1" applyAlignment="1">
      <alignment horizontal="left" vertical="center"/>
    </xf>
    <xf numFmtId="14" fontId="0" fillId="5" borderId="0" xfId="0" applyNumberFormat="1" applyFill="1" applyAlignment="1">
      <alignment vertical="center" wrapText="1"/>
    </xf>
    <xf numFmtId="0" fontId="0" fillId="5" borderId="0" xfId="0" applyFill="1"/>
    <xf numFmtId="165" fontId="5" fillId="6" borderId="0" xfId="0" applyNumberFormat="1" applyFont="1" applyFill="1" applyAlignment="1">
      <alignment horizontal="right" vertical="center" wrapText="1"/>
    </xf>
    <xf numFmtId="165" fontId="0" fillId="6" borderId="0" xfId="0" applyNumberFormat="1" applyFill="1" applyAlignment="1">
      <alignment horizontal="right"/>
    </xf>
    <xf numFmtId="0" fontId="0" fillId="0" borderId="0" xfId="0" applyAlignment="1">
      <alignment horizontal="left" vertical="top"/>
    </xf>
    <xf numFmtId="164" fontId="0" fillId="6" borderId="0" xfId="0" applyNumberFormat="1" applyFill="1" applyAlignment="1">
      <alignment horizontal="center" vertical="center" wrapText="1"/>
    </xf>
    <xf numFmtId="165" fontId="0" fillId="6" borderId="0" xfId="0" applyNumberFormat="1" applyFill="1"/>
    <xf numFmtId="165" fontId="0" fillId="0" borderId="0" xfId="0" applyNumberFormat="1"/>
    <xf numFmtId="14" fontId="0" fillId="0" borderId="0" xfId="0" applyNumberFormat="1"/>
    <xf numFmtId="14" fontId="4" fillId="0" borderId="0" xfId="0" applyNumberFormat="1" applyFont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is Sanpera Calbet" id="{BFB1D2A4-B491-49A2-8FDF-F741D1D4B095}" userId="2dc9aff2a9b6fa9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7" dT="2022-06-02T16:51:56.40" personId="{BFB1D2A4-B491-49A2-8FDF-F741D1D4B095}" id="{2A591AFA-8062-4E9D-BC52-F5C0D1A7875E}">
    <text>Mostra que no tenia etiqueta - associada a aquesta data que faltava</text>
  </threadedComment>
  <threadedComment ref="G147" dT="2022-06-05T19:29:24.36" personId="{BFB1D2A4-B491-49A2-8FDF-F741D1D4B095}" id="{16A71F64-C122-44BF-950D-F204D0826AFC}">
    <text>Mostra que estava entrada a l'ordinador directament en el A_SP_BCN_4 mateixes dates</text>
  </threadedComment>
  <threadedComment ref="F248" dT="2021-12-17T20:53:28.18" personId="{BFB1D2A4-B491-49A2-8FDF-F741D1D4B095}" id="{682213F1-4659-4763-8565-20B668593BD1}">
    <text>no modificar amb formula - valors inicials formula</text>
  </threadedComment>
  <threadedComment ref="F250" dT="2021-12-17T20:53:32.30" personId="{BFB1D2A4-B491-49A2-8FDF-F741D1D4B095}" id="{E7A69AE6-63CA-474A-8FAD-DB23C9F7A4F4}">
    <text>no modificar amb formula - valors inicials formula</text>
  </threadedComment>
  <threadedComment ref="AC340" dT="2021-07-16T13:12:26.61" personId="{BFB1D2A4-B491-49A2-8FDF-F741D1D4B095}" id="{A7C27FF7-0856-4443-AF6C-78A293B4788F}">
    <text>2 individuals I am not able to determine the sex</text>
  </threadedComment>
  <threadedComment ref="V490" dT="2021-11-05T20:31:26.13" personId="{BFB1D2A4-B491-49A2-8FDF-F741D1D4B095}" id="{048EFCE7-8376-4E25-A715-D3D0A2728B9E}">
    <text>Comenten que hi pot haver hagut algun tall elèctric, però que en ppi ha estat connectada - només 1 culiseta!</text>
  </threadedComment>
  <threadedComment ref="AD822" dT="2022-06-05T18:22:44.65" personId="{BFB1D2A4-B491-49A2-8FDF-F741D1D4B095}" id="{CEF6DBAB-1843-44DC-8E27-8E4ABF23E99E}">
    <text>Comprovar si és 0 amb les mostres del congelador - no hi havia cap valor apuntat al full de resultats</text>
  </threadedComment>
  <threadedComment ref="AD823" dT="2022-06-05T18:22:56.99" personId="{BFB1D2A4-B491-49A2-8FDF-F741D1D4B095}" id="{BD6D1C41-2EF6-44B9-AF0A-EFB62A1A352A}">
    <text>Comprovar si és 0 amb les mostres del congelador - no hi havia cap valor apuntat al full de resultats</text>
  </threadedComment>
  <threadedComment ref="AC898" dT="2022-05-25T16:15:07.69" personId="{BFB1D2A4-B491-49A2-8FDF-F741D1D4B095}" id="{BBCB3C61-E045-4C7D-9741-57A812EDD524}">
    <text>Completament aixafada.</text>
  </threadedComment>
  <threadedComment ref="AD920" dT="2022-05-25T11:51:48.66" personId="{BFB1D2A4-B491-49A2-8FDF-F741D1D4B095}" id="{F953CF76-6380-43BE-BACF-94F9996A2682}">
    <text>comprovar a la UAB - no tinc res apuntat a la casella. Tinc apuntat '1 mascle no identificat guardat amb AA'</text>
  </threadedComment>
  <threadedComment ref="AC926" dT="2022-05-25T12:25:21.84" personId="{BFB1D2A4-B491-49A2-8FDF-F741D1D4B095}" id="{0A5E111C-CED6-4590-B992-7D5014211B48}">
    <text>Abdomen B/N molt contrastat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E733-86EC-4DE8-8F03-F9A23E8039A5}">
  <dimension ref="A1:AG1145"/>
  <sheetViews>
    <sheetView tabSelected="1" topLeftCell="A3" zoomScaleNormal="100" zoomScaleSheetLayoutView="100" workbookViewId="0">
      <selection activeCell="I7" sqref="I7"/>
    </sheetView>
  </sheetViews>
  <sheetFormatPr baseColWidth="10" defaultRowHeight="15" x14ac:dyDescent="0.25"/>
  <cols>
    <col min="1" max="5" width="11.42578125" style="69"/>
    <col min="6" max="6" width="11.42578125" style="59"/>
    <col min="7" max="7" width="13.140625" bestFit="1" customWidth="1"/>
    <col min="8" max="9" width="11.42578125" style="60"/>
    <col min="10" max="10" width="11.42578125" style="61"/>
    <col min="11" max="11" width="20.42578125" bestFit="1" customWidth="1"/>
    <col min="12" max="13" width="13" bestFit="1" customWidth="1"/>
    <col min="15" max="15" width="24.140625" style="69" bestFit="1" customWidth="1"/>
    <col min="16" max="16" width="11.42578125" style="69" bestFit="1" customWidth="1"/>
    <col min="19" max="19" width="11.42578125" style="69"/>
    <col min="22" max="22" width="12.28515625" customWidth="1"/>
    <col min="23" max="23" width="16.28515625" customWidth="1"/>
    <col min="24" max="24" width="11.42578125" style="69"/>
    <col min="26" max="26" width="20.42578125" style="69" bestFit="1" customWidth="1"/>
    <col min="27" max="29" width="11.42578125" style="69"/>
    <col min="30" max="30" width="9.42578125" style="69" bestFit="1" customWidth="1"/>
    <col min="31" max="31" width="13.7109375" bestFit="1" customWidth="1"/>
    <col min="34" max="34" width="11.85546875" bestFit="1" customWidth="1"/>
  </cols>
  <sheetData>
    <row r="1" spans="1:33" ht="19.5" thickBot="1" x14ac:dyDescent="0.3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7"/>
      <c r="Y1" s="8" t="s">
        <v>2</v>
      </c>
      <c r="Z1" s="9"/>
      <c r="AA1" s="9"/>
      <c r="AB1" s="9"/>
      <c r="AC1" s="9"/>
      <c r="AD1" s="9"/>
      <c r="AE1" s="10"/>
      <c r="AF1" s="11"/>
      <c r="AG1" s="11"/>
    </row>
    <row r="2" spans="1:33" ht="19.5" thickBot="1" x14ac:dyDescent="0.3">
      <c r="A2" s="12"/>
      <c r="B2" s="13"/>
      <c r="C2" s="13"/>
      <c r="D2" s="13"/>
      <c r="E2" s="13"/>
      <c r="F2" s="14"/>
      <c r="G2" s="15" t="s">
        <v>3</v>
      </c>
      <c r="H2" s="16"/>
      <c r="I2" s="16"/>
      <c r="J2" s="16"/>
      <c r="K2" s="16"/>
      <c r="L2" s="16"/>
      <c r="M2" s="16"/>
      <c r="N2" s="17"/>
      <c r="O2" s="18" t="s">
        <v>4</v>
      </c>
      <c r="P2" s="5"/>
      <c r="Q2" s="5"/>
      <c r="R2" s="5"/>
      <c r="S2" s="5"/>
      <c r="T2" s="5"/>
      <c r="U2" s="5"/>
      <c r="V2" s="5"/>
      <c r="W2" s="6"/>
      <c r="X2" s="19"/>
      <c r="Y2" s="20"/>
      <c r="Z2" s="21"/>
      <c r="AA2" s="21"/>
      <c r="AB2" s="21"/>
      <c r="AC2" s="21"/>
      <c r="AD2" s="21"/>
      <c r="AE2" s="22"/>
      <c r="AF2" s="23"/>
      <c r="AG2" s="11"/>
    </row>
    <row r="3" spans="1:33" ht="225.75" thickBot="1" x14ac:dyDescent="0.3">
      <c r="A3" s="24" t="s">
        <v>5</v>
      </c>
      <c r="B3" s="25" t="s">
        <v>6</v>
      </c>
      <c r="C3" s="25" t="s">
        <v>7</v>
      </c>
      <c r="D3" s="25" t="s">
        <v>8</v>
      </c>
      <c r="E3" s="25" t="s">
        <v>9</v>
      </c>
      <c r="F3" s="26" t="s">
        <v>10</v>
      </c>
      <c r="G3" s="27" t="s">
        <v>11</v>
      </c>
      <c r="H3" s="28" t="s">
        <v>12</v>
      </c>
      <c r="I3" s="28" t="s">
        <v>13</v>
      </c>
      <c r="J3" s="29" t="s">
        <v>14</v>
      </c>
      <c r="K3" s="27" t="s">
        <v>15</v>
      </c>
      <c r="L3" s="27" t="s">
        <v>16</v>
      </c>
      <c r="M3" s="27" t="s">
        <v>17</v>
      </c>
      <c r="N3" s="27" t="s">
        <v>18</v>
      </c>
      <c r="O3" s="27" t="s">
        <v>19</v>
      </c>
      <c r="P3" s="27" t="s">
        <v>20</v>
      </c>
      <c r="Q3" s="27" t="s">
        <v>21</v>
      </c>
      <c r="R3" s="27" t="s">
        <v>22</v>
      </c>
      <c r="S3" s="27" t="s">
        <v>23</v>
      </c>
      <c r="T3" s="27" t="s">
        <v>24</v>
      </c>
      <c r="U3" s="27" t="s">
        <v>25</v>
      </c>
      <c r="V3" s="30" t="s">
        <v>26</v>
      </c>
      <c r="W3" s="31" t="s">
        <v>27</v>
      </c>
      <c r="X3" s="27" t="s">
        <v>28</v>
      </c>
      <c r="Y3" s="32" t="s">
        <v>29</v>
      </c>
      <c r="Z3" s="33" t="s">
        <v>30</v>
      </c>
      <c r="AA3" s="32" t="s">
        <v>31</v>
      </c>
      <c r="AB3" s="32" t="s">
        <v>32</v>
      </c>
      <c r="AC3" s="32" t="s">
        <v>33</v>
      </c>
      <c r="AD3" s="32" t="s">
        <v>34</v>
      </c>
      <c r="AE3" s="32" t="s">
        <v>35</v>
      </c>
      <c r="AF3" s="32" t="s">
        <v>36</v>
      </c>
      <c r="AG3" s="11"/>
    </row>
    <row r="4" spans="1:33" ht="45.75" thickBot="1" x14ac:dyDescent="0.3">
      <c r="A4" s="34"/>
      <c r="B4" s="35" t="s">
        <v>37</v>
      </c>
      <c r="C4" s="35" t="s">
        <v>38</v>
      </c>
      <c r="D4" s="35" t="s">
        <v>39</v>
      </c>
      <c r="E4" s="35" t="s">
        <v>40</v>
      </c>
      <c r="F4" s="36" t="s">
        <v>10</v>
      </c>
      <c r="G4" s="37" t="s">
        <v>41</v>
      </c>
      <c r="H4" s="38" t="s">
        <v>12</v>
      </c>
      <c r="I4" s="38" t="s">
        <v>13</v>
      </c>
      <c r="J4" s="39" t="s">
        <v>14</v>
      </c>
      <c r="K4" s="37" t="s">
        <v>42</v>
      </c>
      <c r="L4" s="37" t="s">
        <v>43</v>
      </c>
      <c r="M4" s="37" t="s">
        <v>44</v>
      </c>
      <c r="N4" s="37" t="s">
        <v>45</v>
      </c>
      <c r="O4" s="37" t="s">
        <v>46</v>
      </c>
      <c r="P4" s="37" t="s">
        <v>20</v>
      </c>
      <c r="Q4" s="37" t="s">
        <v>21</v>
      </c>
      <c r="R4" s="37" t="s">
        <v>47</v>
      </c>
      <c r="S4" s="37" t="s">
        <v>23</v>
      </c>
      <c r="T4" s="37" t="s">
        <v>24</v>
      </c>
      <c r="U4" s="37" t="s">
        <v>48</v>
      </c>
      <c r="V4" s="40" t="s">
        <v>49</v>
      </c>
      <c r="W4" s="37" t="s">
        <v>50</v>
      </c>
      <c r="X4" s="37" t="s">
        <v>51</v>
      </c>
      <c r="Y4" s="41" t="s">
        <v>52</v>
      </c>
      <c r="Z4" s="42" t="s">
        <v>53</v>
      </c>
      <c r="AA4" s="41" t="s">
        <v>54</v>
      </c>
      <c r="AB4" s="41" t="s">
        <v>55</v>
      </c>
      <c r="AC4" s="41" t="s">
        <v>56</v>
      </c>
      <c r="AD4" s="41" t="s">
        <v>57</v>
      </c>
      <c r="AE4" s="41" t="s">
        <v>58</v>
      </c>
      <c r="AF4" s="43" t="s">
        <v>59</v>
      </c>
      <c r="AG4" s="44"/>
    </row>
    <row r="5" spans="1:33" ht="18" customHeight="1" x14ac:dyDescent="0.25">
      <c r="A5" s="45">
        <v>1</v>
      </c>
      <c r="B5" s="45" t="s">
        <v>60</v>
      </c>
      <c r="C5" s="45" t="s">
        <v>61</v>
      </c>
      <c r="D5" s="45" t="s">
        <v>62</v>
      </c>
      <c r="E5" s="45" t="s">
        <v>62</v>
      </c>
      <c r="F5" s="46">
        <v>8024</v>
      </c>
      <c r="G5" s="45" t="s">
        <v>63</v>
      </c>
      <c r="H5" s="47">
        <v>41.413573999999997</v>
      </c>
      <c r="I5" s="47">
        <v>2.1520730000000001</v>
      </c>
      <c r="J5" s="48">
        <v>141</v>
      </c>
      <c r="K5" s="45" t="s">
        <v>64</v>
      </c>
      <c r="L5" s="45" t="s">
        <v>65</v>
      </c>
      <c r="M5" s="45"/>
      <c r="N5" s="45"/>
      <c r="O5" s="45" t="str">
        <f>G5&amp;"_"&amp;TEXT(P5, "AAMMDD")</f>
        <v>A_SP_BCN_1_210512</v>
      </c>
      <c r="P5" s="49">
        <v>44328</v>
      </c>
      <c r="Q5" s="50"/>
      <c r="R5" s="51"/>
      <c r="S5" s="52">
        <v>44336</v>
      </c>
      <c r="T5" s="53"/>
      <c r="U5" s="51"/>
      <c r="V5" s="54" t="s">
        <v>66</v>
      </c>
      <c r="W5" s="54"/>
      <c r="X5" s="45">
        <f>S5-P5</f>
        <v>8</v>
      </c>
      <c r="Y5" s="55"/>
      <c r="Z5" s="45"/>
      <c r="AA5" s="45">
        <f>SUM(AC5:AD5)</f>
        <v>0</v>
      </c>
      <c r="AB5" t="str">
        <f>IF(AA5=0,"",IF(AA5="","",IF(AA5&gt;0,"Adult")))</f>
        <v/>
      </c>
      <c r="AC5" s="45"/>
      <c r="AD5" s="45"/>
      <c r="AE5" s="45" t="str">
        <f>IF(AA5=0,"",IF(AA5="","",IF(AA5&gt;0,"Morphological")))</f>
        <v/>
      </c>
      <c r="AF5" s="56">
        <v>4</v>
      </c>
      <c r="AG5" s="57"/>
    </row>
    <row r="6" spans="1:33" ht="18" customHeight="1" x14ac:dyDescent="0.25">
      <c r="A6" s="45">
        <v>2</v>
      </c>
      <c r="B6" s="45" t="s">
        <v>60</v>
      </c>
      <c r="C6" s="45" t="s">
        <v>61</v>
      </c>
      <c r="D6" s="45" t="s">
        <v>62</v>
      </c>
      <c r="E6" s="45" t="s">
        <v>62</v>
      </c>
      <c r="F6" s="46">
        <v>8035</v>
      </c>
      <c r="G6" s="45" t="s">
        <v>67</v>
      </c>
      <c r="H6" s="47">
        <v>41.424387000000003</v>
      </c>
      <c r="I6" s="47">
        <v>2.1431439999999999</v>
      </c>
      <c r="J6" s="48">
        <v>160</v>
      </c>
      <c r="K6" s="45" t="s">
        <v>64</v>
      </c>
      <c r="L6" s="45" t="s">
        <v>65</v>
      </c>
      <c r="M6" s="45"/>
      <c r="N6" s="45"/>
      <c r="O6" s="45" t="str">
        <f t="shared" ref="O6:O96" si="0">G6&amp;"_"&amp;TEXT(P6, "AAMMDD")</f>
        <v>A_SP_BCN_2_210513</v>
      </c>
      <c r="P6" s="49">
        <v>44329</v>
      </c>
      <c r="Q6" s="50"/>
      <c r="R6" s="51"/>
      <c r="S6" s="52">
        <v>44336</v>
      </c>
      <c r="T6" s="53"/>
      <c r="U6" s="51"/>
      <c r="V6" s="54" t="s">
        <v>66</v>
      </c>
      <c r="W6" s="55"/>
      <c r="X6" s="45">
        <f t="shared" ref="X6:X68" si="1">S6-P6</f>
        <v>7</v>
      </c>
      <c r="Y6" s="55"/>
      <c r="Z6" s="45"/>
      <c r="AA6" s="45">
        <f t="shared" ref="AA6:AA71" si="2">SUM(AC6:AD6)</f>
        <v>0</v>
      </c>
      <c r="AB6" t="str">
        <f t="shared" ref="AB6:AB71" si="3">IF(AA6=0,"",IF(AA6="","",IF(AA6&gt;0,"Adult")))</f>
        <v/>
      </c>
      <c r="AC6" s="45"/>
      <c r="AD6" s="45"/>
      <c r="AE6" s="45" t="str">
        <f t="shared" ref="AE6:AE71" si="4">IF(AA6=0,"",IF(AA6="","",IF(AA6&gt;0,"Morphological")))</f>
        <v/>
      </c>
      <c r="AF6" s="56">
        <v>4</v>
      </c>
      <c r="AG6" s="57"/>
    </row>
    <row r="7" spans="1:33" ht="18" customHeight="1" x14ac:dyDescent="0.25">
      <c r="A7" s="45">
        <v>3</v>
      </c>
      <c r="B7" s="45" t="s">
        <v>60</v>
      </c>
      <c r="C7" s="45" t="s">
        <v>61</v>
      </c>
      <c r="D7" s="45" t="s">
        <v>62</v>
      </c>
      <c r="E7" s="45" t="s">
        <v>62</v>
      </c>
      <c r="F7" s="46">
        <v>8016</v>
      </c>
      <c r="G7" s="45" t="s">
        <v>68</v>
      </c>
      <c r="H7" s="47">
        <v>41.437435000000001</v>
      </c>
      <c r="I7" s="47">
        <v>2.1812779999999998</v>
      </c>
      <c r="J7" s="58">
        <v>47</v>
      </c>
      <c r="K7" s="45" t="s">
        <v>64</v>
      </c>
      <c r="L7" s="45" t="s">
        <v>65</v>
      </c>
      <c r="M7" s="45"/>
      <c r="N7" s="45"/>
      <c r="O7" s="45" t="str">
        <f t="shared" si="0"/>
        <v>A_SP_BCN_3_210513</v>
      </c>
      <c r="P7" s="49">
        <v>44329</v>
      </c>
      <c r="Q7" s="50"/>
      <c r="R7" s="51"/>
      <c r="S7" s="52">
        <v>44336</v>
      </c>
      <c r="T7" s="53"/>
      <c r="U7" s="51"/>
      <c r="V7" s="54" t="s">
        <v>66</v>
      </c>
      <c r="W7" s="55"/>
      <c r="X7" s="45">
        <f t="shared" si="1"/>
        <v>7</v>
      </c>
      <c r="Y7" s="55"/>
      <c r="Z7" s="45" t="s">
        <v>69</v>
      </c>
      <c r="AA7" s="45">
        <f t="shared" si="2"/>
        <v>2</v>
      </c>
      <c r="AB7" t="str">
        <f t="shared" si="3"/>
        <v>Adult</v>
      </c>
      <c r="AC7" s="45">
        <v>2</v>
      </c>
      <c r="AD7" s="45">
        <v>0</v>
      </c>
      <c r="AE7" s="45" t="str">
        <f t="shared" si="4"/>
        <v>Morphological</v>
      </c>
      <c r="AF7" s="56">
        <v>4</v>
      </c>
      <c r="AG7" s="57"/>
    </row>
    <row r="8" spans="1:33" ht="18" customHeight="1" x14ac:dyDescent="0.25">
      <c r="A8" s="45">
        <v>4</v>
      </c>
      <c r="B8" s="45" t="s">
        <v>60</v>
      </c>
      <c r="C8" s="45" t="s">
        <v>61</v>
      </c>
      <c r="D8" s="45" t="s">
        <v>62</v>
      </c>
      <c r="E8" s="45" t="s">
        <v>62</v>
      </c>
      <c r="F8" s="46">
        <v>8016</v>
      </c>
      <c r="G8" s="45" t="s">
        <v>68</v>
      </c>
      <c r="H8" s="47">
        <v>41.404924999999999</v>
      </c>
      <c r="I8" s="47">
        <v>2.1987909999999999</v>
      </c>
      <c r="J8" s="48">
        <v>47</v>
      </c>
      <c r="K8" s="45" t="s">
        <v>64</v>
      </c>
      <c r="L8" s="45" t="s">
        <v>65</v>
      </c>
      <c r="M8" s="45"/>
      <c r="N8" s="45"/>
      <c r="O8" s="45" t="str">
        <f t="shared" si="0"/>
        <v>A_SP_BCN_3_210513</v>
      </c>
      <c r="P8" s="49">
        <v>44329</v>
      </c>
      <c r="Q8" s="50"/>
      <c r="R8" s="51"/>
      <c r="S8" s="52">
        <v>44336</v>
      </c>
      <c r="T8" s="53"/>
      <c r="U8" s="51"/>
      <c r="V8" s="54" t="s">
        <v>66</v>
      </c>
      <c r="W8" s="55"/>
      <c r="X8" s="45">
        <f t="shared" si="1"/>
        <v>7</v>
      </c>
      <c r="Y8" s="55"/>
      <c r="Z8" s="45" t="s">
        <v>70</v>
      </c>
      <c r="AA8" s="45">
        <f t="shared" si="2"/>
        <v>2</v>
      </c>
      <c r="AB8" t="str">
        <f t="shared" si="3"/>
        <v>Adult</v>
      </c>
      <c r="AC8" s="45">
        <v>1</v>
      </c>
      <c r="AD8" s="45">
        <v>1</v>
      </c>
      <c r="AE8" s="45" t="str">
        <f t="shared" si="4"/>
        <v>Morphological</v>
      </c>
      <c r="AF8" s="56">
        <v>4</v>
      </c>
      <c r="AG8" s="57"/>
    </row>
    <row r="9" spans="1:33" ht="18" customHeight="1" x14ac:dyDescent="0.25">
      <c r="A9" s="45">
        <v>5</v>
      </c>
      <c r="B9" s="45" t="s">
        <v>60</v>
      </c>
      <c r="C9" s="45" t="s">
        <v>61</v>
      </c>
      <c r="D9" s="45" t="s">
        <v>62</v>
      </c>
      <c r="E9" s="45" t="s">
        <v>62</v>
      </c>
      <c r="F9" s="46">
        <v>8018</v>
      </c>
      <c r="G9" s="45" t="s">
        <v>71</v>
      </c>
      <c r="H9" s="47">
        <v>41.410684000000003</v>
      </c>
      <c r="I9" s="47">
        <v>2.2208019999999999</v>
      </c>
      <c r="J9" s="48">
        <v>4</v>
      </c>
      <c r="K9" s="45" t="s">
        <v>64</v>
      </c>
      <c r="L9" s="45" t="s">
        <v>65</v>
      </c>
      <c r="M9" s="45"/>
      <c r="N9" s="45"/>
      <c r="O9" s="45" t="str">
        <f t="shared" si="0"/>
        <v>A_SP_BCN_4_210513</v>
      </c>
      <c r="P9" s="49">
        <v>44329</v>
      </c>
      <c r="Q9" s="50"/>
      <c r="R9" s="51"/>
      <c r="S9" s="52">
        <v>44336</v>
      </c>
      <c r="T9" s="53"/>
      <c r="U9" s="51"/>
      <c r="V9" s="54" t="s">
        <v>66</v>
      </c>
      <c r="W9" s="55"/>
      <c r="X9" s="45">
        <f t="shared" si="1"/>
        <v>7</v>
      </c>
      <c r="Y9" s="55"/>
      <c r="Z9" s="45" t="s">
        <v>70</v>
      </c>
      <c r="AA9" s="45">
        <f t="shared" si="2"/>
        <v>1</v>
      </c>
      <c r="AB9" t="str">
        <f t="shared" si="3"/>
        <v>Adult</v>
      </c>
      <c r="AC9" s="45">
        <v>1</v>
      </c>
      <c r="AD9" s="45">
        <v>0</v>
      </c>
      <c r="AE9" s="45" t="str">
        <f t="shared" si="4"/>
        <v>Morphological</v>
      </c>
      <c r="AF9" s="56">
        <v>4</v>
      </c>
      <c r="AG9" s="57"/>
    </row>
    <row r="10" spans="1:33" ht="18" customHeight="1" x14ac:dyDescent="0.25">
      <c r="A10" s="45">
        <v>6</v>
      </c>
      <c r="B10" s="45" t="s">
        <v>60</v>
      </c>
      <c r="C10" s="45" t="s">
        <v>61</v>
      </c>
      <c r="D10" s="45" t="s">
        <v>62</v>
      </c>
      <c r="E10" s="45" t="s">
        <v>62</v>
      </c>
      <c r="F10" s="46">
        <v>8019</v>
      </c>
      <c r="G10" s="45" t="s">
        <v>72</v>
      </c>
      <c r="H10" s="47">
        <v>41.382339999999999</v>
      </c>
      <c r="I10" s="47">
        <v>2.1714790000000002</v>
      </c>
      <c r="J10" s="48">
        <v>18</v>
      </c>
      <c r="K10" s="45" t="s">
        <v>64</v>
      </c>
      <c r="L10" s="45" t="s">
        <v>65</v>
      </c>
      <c r="M10" s="45"/>
      <c r="N10" s="45"/>
      <c r="O10" s="45" t="str">
        <f t="shared" si="0"/>
        <v>A_SP_BCN_5_210513</v>
      </c>
      <c r="P10" s="49">
        <v>44329</v>
      </c>
      <c r="Q10" s="50"/>
      <c r="R10" s="51"/>
      <c r="S10" s="52">
        <v>44336</v>
      </c>
      <c r="T10" s="53"/>
      <c r="U10" s="51"/>
      <c r="V10" s="54" t="s">
        <v>66</v>
      </c>
      <c r="W10" s="55"/>
      <c r="X10" s="45">
        <f t="shared" si="1"/>
        <v>7</v>
      </c>
      <c r="Y10" s="55"/>
      <c r="Z10" s="45" t="s">
        <v>70</v>
      </c>
      <c r="AA10" s="45">
        <f t="shared" si="2"/>
        <v>1</v>
      </c>
      <c r="AB10" t="str">
        <f t="shared" si="3"/>
        <v>Adult</v>
      </c>
      <c r="AC10" s="45">
        <v>1</v>
      </c>
      <c r="AD10" s="45">
        <v>0</v>
      </c>
      <c r="AE10" s="45" t="str">
        <f t="shared" si="4"/>
        <v>Morphological</v>
      </c>
      <c r="AF10" s="56">
        <v>4</v>
      </c>
      <c r="AG10" s="57"/>
    </row>
    <row r="11" spans="1:33" ht="18" customHeight="1" x14ac:dyDescent="0.25">
      <c r="A11" s="45">
        <v>7</v>
      </c>
      <c r="B11" s="45" t="s">
        <v>60</v>
      </c>
      <c r="C11" s="45" t="s">
        <v>61</v>
      </c>
      <c r="D11" s="45" t="s">
        <v>62</v>
      </c>
      <c r="E11" s="45" t="s">
        <v>62</v>
      </c>
      <c r="F11" s="46">
        <v>8002</v>
      </c>
      <c r="G11" s="45" t="s">
        <v>73</v>
      </c>
      <c r="H11" s="47">
        <v>41.371864000000002</v>
      </c>
      <c r="I11" s="47">
        <v>2.173899</v>
      </c>
      <c r="J11" s="48">
        <v>19</v>
      </c>
      <c r="K11" s="45" t="s">
        <v>64</v>
      </c>
      <c r="L11" s="45" t="s">
        <v>65</v>
      </c>
      <c r="M11" s="45"/>
      <c r="N11" s="45"/>
      <c r="O11" s="45" t="str">
        <f t="shared" si="0"/>
        <v>A_SP_BCN_6_210517</v>
      </c>
      <c r="P11" s="49">
        <v>44333</v>
      </c>
      <c r="Q11" s="50"/>
      <c r="R11" s="51"/>
      <c r="S11" s="52">
        <v>44337</v>
      </c>
      <c r="T11" s="53"/>
      <c r="U11" s="51"/>
      <c r="V11" s="54" t="s">
        <v>66</v>
      </c>
      <c r="W11" s="55"/>
      <c r="X11" s="45">
        <f t="shared" si="1"/>
        <v>4</v>
      </c>
      <c r="Y11" s="55"/>
      <c r="Z11" s="45"/>
      <c r="AA11" s="45">
        <f t="shared" si="2"/>
        <v>0</v>
      </c>
      <c r="AB11" t="str">
        <f t="shared" si="3"/>
        <v/>
      </c>
      <c r="AC11" s="45"/>
      <c r="AD11" s="45"/>
      <c r="AE11" s="45" t="str">
        <f t="shared" si="4"/>
        <v/>
      </c>
      <c r="AF11" s="56">
        <v>4</v>
      </c>
      <c r="AG11" s="57"/>
    </row>
    <row r="12" spans="1:33" ht="18" customHeight="1" x14ac:dyDescent="0.25">
      <c r="A12" s="45">
        <v>8</v>
      </c>
      <c r="B12" s="45" t="s">
        <v>60</v>
      </c>
      <c r="C12" s="45" t="s">
        <v>61</v>
      </c>
      <c r="D12" s="45" t="s">
        <v>62</v>
      </c>
      <c r="E12" s="45" t="s">
        <v>62</v>
      </c>
      <c r="F12" s="46">
        <v>8038</v>
      </c>
      <c r="G12" s="45" t="s">
        <v>74</v>
      </c>
      <c r="H12" s="47">
        <v>41.371864000000002</v>
      </c>
      <c r="I12" s="47">
        <v>2.173899</v>
      </c>
      <c r="J12" s="48">
        <v>5</v>
      </c>
      <c r="K12" s="45" t="s">
        <v>64</v>
      </c>
      <c r="L12" s="45" t="s">
        <v>65</v>
      </c>
      <c r="M12" s="45"/>
      <c r="N12" s="45"/>
      <c r="O12" s="45" t="str">
        <f t="shared" si="0"/>
        <v>A_SP_BCN_7_210514</v>
      </c>
      <c r="P12" s="49">
        <v>44330</v>
      </c>
      <c r="Q12" s="50"/>
      <c r="R12" s="51"/>
      <c r="S12" s="52">
        <v>44337</v>
      </c>
      <c r="T12" s="53"/>
      <c r="U12" s="51"/>
      <c r="V12" s="54" t="s">
        <v>66</v>
      </c>
      <c r="W12" s="55"/>
      <c r="X12" s="45">
        <f t="shared" si="1"/>
        <v>7</v>
      </c>
      <c r="Y12" s="55"/>
      <c r="Z12" s="45" t="s">
        <v>69</v>
      </c>
      <c r="AA12" s="45">
        <f t="shared" si="2"/>
        <v>1</v>
      </c>
      <c r="AB12" t="str">
        <f t="shared" si="3"/>
        <v>Adult</v>
      </c>
      <c r="AC12" s="45">
        <v>1</v>
      </c>
      <c r="AD12" s="45">
        <v>0</v>
      </c>
      <c r="AE12" s="45" t="str">
        <f t="shared" si="4"/>
        <v>Morphological</v>
      </c>
      <c r="AF12" s="56">
        <v>4</v>
      </c>
      <c r="AG12" s="57"/>
    </row>
    <row r="13" spans="1:33" ht="18" customHeight="1" x14ac:dyDescent="0.25">
      <c r="A13" s="45">
        <v>9</v>
      </c>
      <c r="B13" s="45" t="s">
        <v>60</v>
      </c>
      <c r="C13" s="45" t="s">
        <v>61</v>
      </c>
      <c r="D13" s="45" t="s">
        <v>62</v>
      </c>
      <c r="E13" s="45" t="s">
        <v>62</v>
      </c>
      <c r="F13" s="46">
        <v>8038</v>
      </c>
      <c r="G13" s="45" t="s">
        <v>75</v>
      </c>
      <c r="H13" s="47">
        <v>41.368589</v>
      </c>
      <c r="I13" s="47">
        <v>2.1620900000000001</v>
      </c>
      <c r="J13" s="48">
        <v>95</v>
      </c>
      <c r="K13" s="45" t="s">
        <v>64</v>
      </c>
      <c r="L13" s="45" t="s">
        <v>76</v>
      </c>
      <c r="M13" s="45" t="s">
        <v>77</v>
      </c>
      <c r="N13" s="45"/>
      <c r="O13" s="45" t="str">
        <f t="shared" si="0"/>
        <v>A_SP_BCN_8_210514</v>
      </c>
      <c r="P13" s="49">
        <v>44330</v>
      </c>
      <c r="Q13" s="50"/>
      <c r="R13" s="51"/>
      <c r="S13" s="52">
        <v>44337</v>
      </c>
      <c r="T13" s="53"/>
      <c r="U13" s="51"/>
      <c r="V13" s="54" t="s">
        <v>66</v>
      </c>
      <c r="W13" s="55"/>
      <c r="X13" s="45">
        <f t="shared" si="1"/>
        <v>7</v>
      </c>
      <c r="Y13" s="55"/>
      <c r="Z13" s="45" t="s">
        <v>69</v>
      </c>
      <c r="AA13" s="45">
        <f>SUM(AC13:AD13)</f>
        <v>3</v>
      </c>
      <c r="AB13" t="str">
        <f t="shared" si="3"/>
        <v>Adult</v>
      </c>
      <c r="AC13" s="45">
        <v>3</v>
      </c>
      <c r="AD13" s="45">
        <v>0</v>
      </c>
      <c r="AE13" s="45" t="str">
        <f t="shared" si="4"/>
        <v>Morphological</v>
      </c>
      <c r="AF13" s="56">
        <v>4</v>
      </c>
      <c r="AG13" s="57"/>
    </row>
    <row r="14" spans="1:33" ht="18" customHeight="1" x14ac:dyDescent="0.25">
      <c r="A14" s="45">
        <v>10</v>
      </c>
      <c r="B14" s="45" t="s">
        <v>60</v>
      </c>
      <c r="C14" s="45" t="s">
        <v>61</v>
      </c>
      <c r="D14" s="45" t="s">
        <v>62</v>
      </c>
      <c r="E14" s="45" t="s">
        <v>62</v>
      </c>
      <c r="F14" s="46">
        <v>8038</v>
      </c>
      <c r="G14" s="45" t="s">
        <v>75</v>
      </c>
      <c r="H14" s="47">
        <v>41.368589</v>
      </c>
      <c r="I14" s="47">
        <v>2.1620900000000001</v>
      </c>
      <c r="J14" s="48">
        <v>95</v>
      </c>
      <c r="K14" s="45" t="s">
        <v>64</v>
      </c>
      <c r="L14" s="45" t="s">
        <v>76</v>
      </c>
      <c r="M14" s="45" t="s">
        <v>77</v>
      </c>
      <c r="N14" s="45"/>
      <c r="O14" s="45" t="str">
        <f t="shared" si="0"/>
        <v>A_SP_BCN_8_210514</v>
      </c>
      <c r="P14" s="49">
        <v>44330</v>
      </c>
      <c r="Q14" s="50"/>
      <c r="R14" s="51"/>
      <c r="S14" s="52">
        <v>44337</v>
      </c>
      <c r="T14" s="53"/>
      <c r="U14" s="51"/>
      <c r="V14" s="54" t="s">
        <v>66</v>
      </c>
      <c r="W14" s="55"/>
      <c r="X14" s="45">
        <f t="shared" si="1"/>
        <v>7</v>
      </c>
      <c r="Y14" s="55"/>
      <c r="Z14" s="45" t="s">
        <v>70</v>
      </c>
      <c r="AA14" s="45">
        <f t="shared" si="2"/>
        <v>2</v>
      </c>
      <c r="AB14" t="str">
        <f t="shared" si="3"/>
        <v>Adult</v>
      </c>
      <c r="AC14" s="45">
        <v>2</v>
      </c>
      <c r="AD14" s="45">
        <v>0</v>
      </c>
      <c r="AE14" s="45" t="str">
        <f t="shared" si="4"/>
        <v>Morphological</v>
      </c>
      <c r="AF14" s="56">
        <v>4</v>
      </c>
      <c r="AG14" s="57"/>
    </row>
    <row r="15" spans="1:33" ht="18" customHeight="1" x14ac:dyDescent="0.25">
      <c r="A15" s="45">
        <v>11</v>
      </c>
      <c r="B15" s="45" t="s">
        <v>60</v>
      </c>
      <c r="C15" s="45" t="s">
        <v>61</v>
      </c>
      <c r="D15" s="45" t="s">
        <v>62</v>
      </c>
      <c r="E15" s="45" t="s">
        <v>62</v>
      </c>
      <c r="F15" s="46">
        <v>8034</v>
      </c>
      <c r="G15" s="45" t="s">
        <v>78</v>
      </c>
      <c r="H15" s="47">
        <v>41.393644999999999</v>
      </c>
      <c r="I15" s="47">
        <v>2.1216780000000002</v>
      </c>
      <c r="J15" s="48">
        <v>98</v>
      </c>
      <c r="K15" s="45" t="s">
        <v>64</v>
      </c>
      <c r="L15" s="45" t="s">
        <v>76</v>
      </c>
      <c r="M15" s="45" t="s">
        <v>79</v>
      </c>
      <c r="N15" s="45"/>
      <c r="O15" s="45" t="str">
        <f t="shared" si="0"/>
        <v>A_SP_BCN_9_210512</v>
      </c>
      <c r="P15" s="49">
        <v>44328</v>
      </c>
      <c r="Q15" s="50"/>
      <c r="R15" s="51"/>
      <c r="S15" s="52">
        <v>44336</v>
      </c>
      <c r="T15" s="53"/>
      <c r="U15" s="51"/>
      <c r="V15" s="54" t="s">
        <v>66</v>
      </c>
      <c r="W15" s="55"/>
      <c r="X15" s="45">
        <f t="shared" si="1"/>
        <v>8</v>
      </c>
      <c r="Y15" s="55"/>
      <c r="Z15" s="45" t="s">
        <v>80</v>
      </c>
      <c r="AA15" s="45">
        <f t="shared" si="2"/>
        <v>4</v>
      </c>
      <c r="AB15" t="str">
        <f t="shared" si="3"/>
        <v>Adult</v>
      </c>
      <c r="AC15" s="45">
        <v>3</v>
      </c>
      <c r="AD15" s="45">
        <v>1</v>
      </c>
      <c r="AE15" s="45" t="str">
        <f t="shared" si="4"/>
        <v>Morphological</v>
      </c>
      <c r="AF15" s="56">
        <v>4</v>
      </c>
      <c r="AG15" s="57"/>
    </row>
    <row r="16" spans="1:33" ht="18" customHeight="1" x14ac:dyDescent="0.25">
      <c r="A16" s="45">
        <v>12</v>
      </c>
      <c r="B16" s="45" t="s">
        <v>60</v>
      </c>
      <c r="C16" s="45" t="s">
        <v>61</v>
      </c>
      <c r="D16" s="45" t="s">
        <v>62</v>
      </c>
      <c r="E16" s="45" t="s">
        <v>62</v>
      </c>
      <c r="F16" s="46">
        <v>8040</v>
      </c>
      <c r="G16" s="45" t="s">
        <v>81</v>
      </c>
      <c r="H16" s="47">
        <v>41.343685000000001</v>
      </c>
      <c r="I16" s="47">
        <v>2.1441490000000001</v>
      </c>
      <c r="J16" s="48">
        <v>4</v>
      </c>
      <c r="K16" s="45" t="s">
        <v>64</v>
      </c>
      <c r="L16" s="45" t="s">
        <v>65</v>
      </c>
      <c r="M16" s="45"/>
      <c r="N16" s="45"/>
      <c r="O16" s="45" t="str">
        <f t="shared" si="0"/>
        <v>A_SP_BCN_10_210514</v>
      </c>
      <c r="P16" s="49">
        <v>44330</v>
      </c>
      <c r="Q16" s="50"/>
      <c r="R16" s="51"/>
      <c r="S16" s="52">
        <v>44337</v>
      </c>
      <c r="T16" s="53"/>
      <c r="U16" s="51"/>
      <c r="V16" s="54" t="s">
        <v>66</v>
      </c>
      <c r="W16" s="55"/>
      <c r="X16" s="45">
        <f>S16-P16</f>
        <v>7</v>
      </c>
      <c r="Y16" s="55"/>
      <c r="Z16" s="45" t="s">
        <v>70</v>
      </c>
      <c r="AA16" s="45">
        <f t="shared" si="2"/>
        <v>18</v>
      </c>
      <c r="AB16" t="str">
        <f t="shared" si="3"/>
        <v>Adult</v>
      </c>
      <c r="AC16" s="45">
        <v>18</v>
      </c>
      <c r="AD16" s="45">
        <v>0</v>
      </c>
      <c r="AE16" s="45" t="str">
        <f t="shared" si="4"/>
        <v>Morphological</v>
      </c>
      <c r="AF16" s="56">
        <v>4</v>
      </c>
      <c r="AG16" s="57"/>
    </row>
    <row r="17" spans="1:33" ht="18" customHeight="1" x14ac:dyDescent="0.25">
      <c r="A17" s="45">
        <v>13</v>
      </c>
      <c r="B17" s="45" t="s">
        <v>60</v>
      </c>
      <c r="C17" s="45" t="s">
        <v>61</v>
      </c>
      <c r="D17" s="45" t="s">
        <v>62</v>
      </c>
      <c r="E17" s="45" t="s">
        <v>62</v>
      </c>
      <c r="F17" s="46">
        <v>8038</v>
      </c>
      <c r="G17" s="45" t="s">
        <v>82</v>
      </c>
      <c r="H17" s="47">
        <v>41.367429999999999</v>
      </c>
      <c r="I17" s="47">
        <v>2.1569609999999999</v>
      </c>
      <c r="J17" s="48">
        <v>91</v>
      </c>
      <c r="K17" s="45" t="s">
        <v>64</v>
      </c>
      <c r="L17" s="45" t="s">
        <v>76</v>
      </c>
      <c r="M17" s="45" t="s">
        <v>79</v>
      </c>
      <c r="N17" s="45"/>
      <c r="O17" s="45" t="str">
        <f t="shared" si="0"/>
        <v>A_SP_BCN_11_210514</v>
      </c>
      <c r="P17" s="49">
        <v>44330</v>
      </c>
      <c r="Q17" s="50"/>
      <c r="R17" s="51"/>
      <c r="S17" s="52">
        <v>44337</v>
      </c>
      <c r="T17" s="53"/>
      <c r="U17" s="51"/>
      <c r="V17" s="54" t="s">
        <v>66</v>
      </c>
      <c r="W17" s="54" t="s">
        <v>83</v>
      </c>
      <c r="X17" s="45">
        <f t="shared" si="1"/>
        <v>7</v>
      </c>
      <c r="Y17" s="55"/>
      <c r="Z17" s="45"/>
      <c r="AA17" s="45">
        <f t="shared" si="2"/>
        <v>0</v>
      </c>
      <c r="AB17" t="str">
        <f t="shared" si="3"/>
        <v/>
      </c>
      <c r="AC17" s="45"/>
      <c r="AD17" s="45"/>
      <c r="AE17" s="45" t="str">
        <f t="shared" si="4"/>
        <v/>
      </c>
      <c r="AF17" s="56">
        <v>3</v>
      </c>
      <c r="AG17" s="57"/>
    </row>
    <row r="18" spans="1:33" ht="18" customHeight="1" x14ac:dyDescent="0.25">
      <c r="A18" s="45">
        <v>14</v>
      </c>
      <c r="B18" s="45" t="s">
        <v>60</v>
      </c>
      <c r="C18" s="45" t="s">
        <v>61</v>
      </c>
      <c r="D18" s="45" t="s">
        <v>62</v>
      </c>
      <c r="E18" s="45" t="s">
        <v>62</v>
      </c>
      <c r="F18" s="46">
        <v>8038</v>
      </c>
      <c r="G18" s="45" t="s">
        <v>84</v>
      </c>
      <c r="H18" s="47">
        <v>41.363377999999997</v>
      </c>
      <c r="I18" s="47">
        <v>2.164879</v>
      </c>
      <c r="J18" s="48">
        <v>185</v>
      </c>
      <c r="K18" s="45" t="s">
        <v>64</v>
      </c>
      <c r="L18" s="45" t="s">
        <v>76</v>
      </c>
      <c r="M18" s="45" t="s">
        <v>79</v>
      </c>
      <c r="N18" s="45"/>
      <c r="O18" s="45" t="str">
        <f t="shared" si="0"/>
        <v>A_SP_BCN_12_210514</v>
      </c>
      <c r="P18" s="49">
        <v>44330</v>
      </c>
      <c r="Q18" s="50"/>
      <c r="R18" s="51"/>
      <c r="S18" s="52">
        <v>44337</v>
      </c>
      <c r="T18" s="53"/>
      <c r="U18" s="51"/>
      <c r="V18" s="54" t="s">
        <v>66</v>
      </c>
      <c r="W18" s="55"/>
      <c r="X18" s="45">
        <f t="shared" si="1"/>
        <v>7</v>
      </c>
      <c r="Y18" s="55"/>
      <c r="Z18" s="45" t="s">
        <v>70</v>
      </c>
      <c r="AA18" s="45">
        <f t="shared" si="2"/>
        <v>12</v>
      </c>
      <c r="AB18" t="str">
        <f t="shared" si="3"/>
        <v>Adult</v>
      </c>
      <c r="AC18" s="45">
        <v>12</v>
      </c>
      <c r="AD18" s="45">
        <v>0</v>
      </c>
      <c r="AE18" s="45" t="str">
        <f t="shared" si="4"/>
        <v>Morphological</v>
      </c>
      <c r="AF18" s="56">
        <v>4</v>
      </c>
      <c r="AG18" s="57"/>
    </row>
    <row r="19" spans="1:33" ht="18" customHeight="1" x14ac:dyDescent="0.25">
      <c r="A19" s="45">
        <v>15</v>
      </c>
      <c r="B19" s="45" t="s">
        <v>60</v>
      </c>
      <c r="C19" s="45" t="s">
        <v>61</v>
      </c>
      <c r="D19" s="45" t="s">
        <v>62</v>
      </c>
      <c r="E19" s="45" t="s">
        <v>62</v>
      </c>
      <c r="F19" s="59">
        <v>8035</v>
      </c>
      <c r="G19" s="45" t="s">
        <v>85</v>
      </c>
      <c r="H19" s="60">
        <v>41.434472</v>
      </c>
      <c r="I19" s="60">
        <v>2.1315789999999999</v>
      </c>
      <c r="J19" s="61">
        <v>365</v>
      </c>
      <c r="K19" s="45" t="s">
        <v>64</v>
      </c>
      <c r="L19" s="45" t="s">
        <v>76</v>
      </c>
      <c r="M19" s="45"/>
      <c r="N19" s="45"/>
      <c r="O19" s="45" t="str">
        <f t="shared" si="0"/>
        <v>A_SP_BCN_13_210512</v>
      </c>
      <c r="P19" s="49">
        <v>44328</v>
      </c>
      <c r="Q19" s="50"/>
      <c r="R19" s="51"/>
      <c r="S19" s="52">
        <v>44337</v>
      </c>
      <c r="T19" s="53"/>
      <c r="U19" s="51"/>
      <c r="V19" s="54" t="s">
        <v>66</v>
      </c>
      <c r="W19" s="55"/>
      <c r="X19" s="45">
        <f t="shared" si="1"/>
        <v>9</v>
      </c>
      <c r="Y19" s="55"/>
      <c r="Z19" s="45"/>
      <c r="AA19" s="45">
        <f t="shared" si="2"/>
        <v>0</v>
      </c>
      <c r="AB19" t="str">
        <f t="shared" si="3"/>
        <v/>
      </c>
      <c r="AC19" s="45"/>
      <c r="AD19" s="45"/>
      <c r="AE19" s="45" t="str">
        <f t="shared" si="4"/>
        <v/>
      </c>
      <c r="AF19" s="56">
        <v>4</v>
      </c>
      <c r="AG19" s="57"/>
    </row>
    <row r="20" spans="1:33" ht="18" customHeight="1" x14ac:dyDescent="0.25">
      <c r="A20" s="45">
        <v>16</v>
      </c>
      <c r="B20" s="45" t="s">
        <v>60</v>
      </c>
      <c r="C20" s="45" t="s">
        <v>61</v>
      </c>
      <c r="D20" s="45" t="s">
        <v>62</v>
      </c>
      <c r="E20" s="45" t="s">
        <v>62</v>
      </c>
      <c r="F20" s="59">
        <v>8017</v>
      </c>
      <c r="G20" s="45" t="s">
        <v>86</v>
      </c>
      <c r="H20" s="60">
        <v>41.428533999999999</v>
      </c>
      <c r="I20" s="60">
        <v>2.090954</v>
      </c>
      <c r="J20" s="61">
        <v>215</v>
      </c>
      <c r="K20" s="45" t="s">
        <v>64</v>
      </c>
      <c r="L20" s="62"/>
      <c r="M20" s="45"/>
      <c r="N20" s="45"/>
      <c r="O20" s="45" t="str">
        <f t="shared" si="0"/>
        <v>A_SP_BCN_14_210512</v>
      </c>
      <c r="P20" s="49">
        <v>44328</v>
      </c>
      <c r="Q20" s="50"/>
      <c r="R20" s="51"/>
      <c r="S20" s="52">
        <v>44336</v>
      </c>
      <c r="T20" s="53"/>
      <c r="U20" s="51"/>
      <c r="V20" s="54" t="s">
        <v>66</v>
      </c>
      <c r="W20" s="55"/>
      <c r="X20" s="45">
        <f t="shared" si="1"/>
        <v>8</v>
      </c>
      <c r="Y20" s="55"/>
      <c r="Z20" s="45" t="s">
        <v>70</v>
      </c>
      <c r="AA20" s="45">
        <f t="shared" si="2"/>
        <v>2</v>
      </c>
      <c r="AB20" t="str">
        <f t="shared" si="3"/>
        <v>Adult</v>
      </c>
      <c r="AC20" s="45">
        <v>2</v>
      </c>
      <c r="AD20" s="45">
        <v>0</v>
      </c>
      <c r="AE20" s="45" t="str">
        <f t="shared" si="4"/>
        <v>Morphological</v>
      </c>
      <c r="AF20" s="56">
        <v>4</v>
      </c>
      <c r="AG20" s="57"/>
    </row>
    <row r="21" spans="1:33" ht="18" customHeight="1" x14ac:dyDescent="0.25">
      <c r="A21" s="45">
        <v>17</v>
      </c>
      <c r="B21" s="45" t="s">
        <v>60</v>
      </c>
      <c r="C21" s="45" t="s">
        <v>61</v>
      </c>
      <c r="D21" s="45" t="s">
        <v>62</v>
      </c>
      <c r="E21" s="45" t="s">
        <v>62</v>
      </c>
      <c r="F21" s="59">
        <v>8017</v>
      </c>
      <c r="G21" s="45" t="s">
        <v>87</v>
      </c>
      <c r="H21" s="60">
        <v>41.419471000000001</v>
      </c>
      <c r="I21" s="60">
        <v>2.1010149999999999</v>
      </c>
      <c r="J21" s="61">
        <v>284</v>
      </c>
      <c r="K21" s="45" t="s">
        <v>64</v>
      </c>
      <c r="L21" s="62"/>
      <c r="M21" s="45"/>
      <c r="N21" s="45"/>
      <c r="O21" s="45" t="str">
        <f t="shared" si="0"/>
        <v>A_SP_BCN_15_210512</v>
      </c>
      <c r="P21" s="49">
        <v>44328</v>
      </c>
      <c r="Q21" s="50"/>
      <c r="R21" s="51"/>
      <c r="S21" s="52">
        <v>44336</v>
      </c>
      <c r="T21" s="53"/>
      <c r="U21" s="51"/>
      <c r="V21" s="54" t="s">
        <v>66</v>
      </c>
      <c r="W21" s="55"/>
      <c r="X21" s="45">
        <f t="shared" si="1"/>
        <v>8</v>
      </c>
      <c r="Y21" s="55"/>
      <c r="Z21" s="45"/>
      <c r="AA21" s="45">
        <f t="shared" si="2"/>
        <v>0</v>
      </c>
      <c r="AB21" t="str">
        <f t="shared" si="3"/>
        <v/>
      </c>
      <c r="AC21" s="45"/>
      <c r="AD21" s="45"/>
      <c r="AE21" s="45" t="str">
        <f t="shared" si="4"/>
        <v/>
      </c>
      <c r="AF21" s="56">
        <v>4</v>
      </c>
      <c r="AG21" s="57"/>
    </row>
    <row r="22" spans="1:33" ht="18" customHeight="1" x14ac:dyDescent="0.25">
      <c r="A22" s="45">
        <v>18</v>
      </c>
      <c r="B22" s="45" t="s">
        <v>60</v>
      </c>
      <c r="C22" s="45" t="s">
        <v>61</v>
      </c>
      <c r="D22" s="45" t="s">
        <v>62</v>
      </c>
      <c r="E22" s="45" t="s">
        <v>62</v>
      </c>
      <c r="F22" s="59">
        <v>8017</v>
      </c>
      <c r="G22" s="45" t="s">
        <v>88</v>
      </c>
      <c r="H22" s="60">
        <v>41.398387</v>
      </c>
      <c r="I22" s="60">
        <v>2.1244429999999999</v>
      </c>
      <c r="J22" s="61">
        <v>106</v>
      </c>
      <c r="K22" s="45" t="s">
        <v>64</v>
      </c>
      <c r="L22" s="62"/>
      <c r="M22" s="45"/>
      <c r="N22" s="45"/>
      <c r="O22" s="45" t="str">
        <f t="shared" si="0"/>
        <v>A_SP_BCN_16_210512</v>
      </c>
      <c r="P22" s="49">
        <v>44328</v>
      </c>
      <c r="Q22" s="50"/>
      <c r="R22" s="51"/>
      <c r="S22" s="49">
        <v>44336</v>
      </c>
      <c r="T22" s="53"/>
      <c r="U22" s="51"/>
      <c r="V22" s="54" t="s">
        <v>66</v>
      </c>
      <c r="W22" s="55"/>
      <c r="X22" s="45">
        <f t="shared" si="1"/>
        <v>8</v>
      </c>
      <c r="Y22" s="55"/>
      <c r="Z22" s="45" t="s">
        <v>69</v>
      </c>
      <c r="AA22" s="45">
        <f t="shared" si="2"/>
        <v>1</v>
      </c>
      <c r="AB22" t="str">
        <f t="shared" si="3"/>
        <v>Adult</v>
      </c>
      <c r="AC22" s="45">
        <v>1</v>
      </c>
      <c r="AD22" s="45">
        <v>0</v>
      </c>
      <c r="AE22" s="45" t="str">
        <f t="shared" si="4"/>
        <v>Morphological</v>
      </c>
      <c r="AF22" s="56">
        <v>4</v>
      </c>
      <c r="AG22" s="57"/>
    </row>
    <row r="23" spans="1:33" ht="18" customHeight="1" x14ac:dyDescent="0.25">
      <c r="A23" s="45">
        <v>19</v>
      </c>
      <c r="B23" s="45" t="s">
        <v>60</v>
      </c>
      <c r="C23" s="45" t="s">
        <v>61</v>
      </c>
      <c r="D23" s="45" t="s">
        <v>62</v>
      </c>
      <c r="E23" s="45" t="s">
        <v>62</v>
      </c>
      <c r="F23" s="59">
        <v>8017</v>
      </c>
      <c r="G23" s="45" t="s">
        <v>88</v>
      </c>
      <c r="H23" s="60">
        <v>41.398387</v>
      </c>
      <c r="I23" s="60">
        <v>2.1244429999999999</v>
      </c>
      <c r="J23" s="61">
        <v>106</v>
      </c>
      <c r="K23" s="45" t="s">
        <v>64</v>
      </c>
      <c r="L23" s="62"/>
      <c r="M23" s="45"/>
      <c r="N23" s="45"/>
      <c r="O23" s="45" t="str">
        <f t="shared" si="0"/>
        <v>A_SP_BCN_16_210512</v>
      </c>
      <c r="P23" s="49">
        <v>44328</v>
      </c>
      <c r="Q23" s="50"/>
      <c r="R23" s="51"/>
      <c r="S23" s="49">
        <v>44336</v>
      </c>
      <c r="T23" s="53"/>
      <c r="U23" s="51"/>
      <c r="V23" s="54" t="s">
        <v>66</v>
      </c>
      <c r="W23" s="55"/>
      <c r="X23" s="45">
        <f>S23-P23</f>
        <v>8</v>
      </c>
      <c r="Y23" s="55"/>
      <c r="Z23" s="45" t="s">
        <v>70</v>
      </c>
      <c r="AA23" s="45">
        <f t="shared" si="2"/>
        <v>4</v>
      </c>
      <c r="AB23" t="str">
        <f t="shared" si="3"/>
        <v>Adult</v>
      </c>
      <c r="AC23" s="45">
        <v>2</v>
      </c>
      <c r="AD23" s="45">
        <v>2</v>
      </c>
      <c r="AE23" s="45" t="str">
        <f t="shared" si="4"/>
        <v>Morphological</v>
      </c>
      <c r="AF23" s="56">
        <v>4</v>
      </c>
      <c r="AG23" s="57"/>
    </row>
    <row r="24" spans="1:33" ht="18" customHeight="1" x14ac:dyDescent="0.25">
      <c r="A24" s="45">
        <v>20</v>
      </c>
      <c r="B24" s="45" t="s">
        <v>60</v>
      </c>
      <c r="C24" s="45" t="s">
        <v>61</v>
      </c>
      <c r="D24" s="45" t="s">
        <v>62</v>
      </c>
      <c r="E24" s="45" t="s">
        <v>62</v>
      </c>
      <c r="F24" s="59">
        <v>8017</v>
      </c>
      <c r="G24" s="45" t="s">
        <v>88</v>
      </c>
      <c r="H24" s="60">
        <v>41.398387</v>
      </c>
      <c r="I24" s="60">
        <v>2.1244429999999999</v>
      </c>
      <c r="J24" s="61">
        <v>106</v>
      </c>
      <c r="K24" s="45" t="s">
        <v>64</v>
      </c>
      <c r="L24" s="62"/>
      <c r="M24" s="45"/>
      <c r="N24" s="45"/>
      <c r="O24" s="45" t="str">
        <f t="shared" si="0"/>
        <v>A_SP_BCN_16_210512</v>
      </c>
      <c r="P24" s="49">
        <v>44328</v>
      </c>
      <c r="Q24" s="50"/>
      <c r="R24" s="51"/>
      <c r="S24" s="49">
        <v>44336</v>
      </c>
      <c r="T24" s="53"/>
      <c r="U24" s="51"/>
      <c r="V24" s="54" t="s">
        <v>66</v>
      </c>
      <c r="W24" s="55"/>
      <c r="X24" s="45">
        <f t="shared" si="1"/>
        <v>8</v>
      </c>
      <c r="Y24" s="55"/>
      <c r="Z24" s="45" t="s">
        <v>80</v>
      </c>
      <c r="AA24" s="45">
        <f t="shared" si="2"/>
        <v>1</v>
      </c>
      <c r="AB24" t="str">
        <f t="shared" si="3"/>
        <v>Adult</v>
      </c>
      <c r="AC24" s="45">
        <v>0</v>
      </c>
      <c r="AD24" s="45">
        <v>1</v>
      </c>
      <c r="AE24" s="45" t="str">
        <f t="shared" si="4"/>
        <v>Morphological</v>
      </c>
      <c r="AF24" s="56">
        <v>4</v>
      </c>
      <c r="AG24" s="57"/>
    </row>
    <row r="25" spans="1:33" ht="18" customHeight="1" x14ac:dyDescent="0.25">
      <c r="A25" s="45">
        <v>21</v>
      </c>
      <c r="B25" s="45" t="s">
        <v>60</v>
      </c>
      <c r="C25" s="45" t="s">
        <v>61</v>
      </c>
      <c r="D25" s="45" t="s">
        <v>62</v>
      </c>
      <c r="E25" s="45" t="s">
        <v>62</v>
      </c>
      <c r="F25" s="59">
        <v>8023</v>
      </c>
      <c r="G25" s="45" t="s">
        <v>89</v>
      </c>
      <c r="H25" s="60">
        <v>41.417256000000002</v>
      </c>
      <c r="I25" s="60">
        <v>2.1455709999999999</v>
      </c>
      <c r="J25" s="61">
        <v>186</v>
      </c>
      <c r="K25" s="45" t="s">
        <v>64</v>
      </c>
      <c r="L25" s="62"/>
      <c r="M25" s="45"/>
      <c r="N25" s="45"/>
      <c r="O25" s="45" t="str">
        <f t="shared" si="0"/>
        <v>A_SP_BCN_17_210513</v>
      </c>
      <c r="P25" s="49">
        <v>44329</v>
      </c>
      <c r="Q25" s="50"/>
      <c r="R25" s="51"/>
      <c r="S25" s="49">
        <v>44336</v>
      </c>
      <c r="T25" s="53"/>
      <c r="U25" s="51"/>
      <c r="V25" s="54" t="s">
        <v>90</v>
      </c>
      <c r="W25" s="54" t="s">
        <v>91</v>
      </c>
      <c r="X25" s="45">
        <f t="shared" si="1"/>
        <v>7</v>
      </c>
      <c r="Y25" s="55"/>
      <c r="Z25" s="45"/>
      <c r="AA25" s="45"/>
      <c r="AB25" t="str">
        <f t="shared" si="3"/>
        <v/>
      </c>
      <c r="AC25" s="45"/>
      <c r="AD25" s="45"/>
      <c r="AE25" s="45" t="str">
        <f t="shared" si="4"/>
        <v/>
      </c>
      <c r="AF25" s="63">
        <v>1</v>
      </c>
      <c r="AG25" s="57"/>
    </row>
    <row r="26" spans="1:33" ht="18" customHeight="1" x14ac:dyDescent="0.25">
      <c r="A26" s="45">
        <v>22</v>
      </c>
      <c r="B26" s="45" t="s">
        <v>60</v>
      </c>
      <c r="C26" s="45" t="s">
        <v>61</v>
      </c>
      <c r="D26" s="45" t="s">
        <v>62</v>
      </c>
      <c r="E26" s="45" t="s">
        <v>62</v>
      </c>
      <c r="F26" s="59">
        <v>8031</v>
      </c>
      <c r="G26" s="45" t="s">
        <v>92</v>
      </c>
      <c r="H26" s="60">
        <v>41.433618000000003</v>
      </c>
      <c r="I26" s="60">
        <v>2.1677469999999999</v>
      </c>
      <c r="J26" s="61">
        <f>93.85+3</f>
        <v>96.85</v>
      </c>
      <c r="K26" s="45" t="s">
        <v>64</v>
      </c>
      <c r="L26" s="62"/>
      <c r="M26" s="45"/>
      <c r="N26" s="45"/>
      <c r="O26" s="45" t="str">
        <f t="shared" si="0"/>
        <v>A_SP_BCN_18_210514</v>
      </c>
      <c r="P26" s="64">
        <v>44330</v>
      </c>
      <c r="Q26" s="50"/>
      <c r="R26" s="51"/>
      <c r="S26" s="52">
        <v>44337</v>
      </c>
      <c r="T26" s="53"/>
      <c r="U26" s="51"/>
      <c r="V26" s="54" t="s">
        <v>66</v>
      </c>
      <c r="W26" s="55"/>
      <c r="X26" s="45">
        <f t="shared" si="1"/>
        <v>7</v>
      </c>
      <c r="Y26" s="55"/>
      <c r="Z26" s="45"/>
      <c r="AA26" s="45">
        <f t="shared" si="2"/>
        <v>0</v>
      </c>
      <c r="AB26" t="str">
        <f t="shared" si="3"/>
        <v/>
      </c>
      <c r="AC26" s="45"/>
      <c r="AD26" s="45"/>
      <c r="AE26" s="45" t="str">
        <f t="shared" si="4"/>
        <v/>
      </c>
      <c r="AF26" s="56">
        <v>4</v>
      </c>
      <c r="AG26" s="57"/>
    </row>
    <row r="27" spans="1:33" ht="18" customHeight="1" x14ac:dyDescent="0.25">
      <c r="A27" s="45">
        <v>23</v>
      </c>
      <c r="B27" s="45" t="s">
        <v>60</v>
      </c>
      <c r="C27" s="45" t="s">
        <v>61</v>
      </c>
      <c r="D27" s="45" t="s">
        <v>62</v>
      </c>
      <c r="E27" s="45" t="s">
        <v>62</v>
      </c>
      <c r="F27" s="59">
        <v>8038</v>
      </c>
      <c r="G27" s="45" t="s">
        <v>93</v>
      </c>
      <c r="H27" s="60">
        <v>41.359864999999999</v>
      </c>
      <c r="I27" s="60">
        <v>2.1445430000000001</v>
      </c>
      <c r="J27" s="61">
        <v>11.4</v>
      </c>
      <c r="K27" s="45" t="s">
        <v>64</v>
      </c>
      <c r="L27" s="62"/>
      <c r="M27" s="45"/>
      <c r="N27" s="45"/>
      <c r="O27" s="45" t="str">
        <f t="shared" si="0"/>
        <v>A_SP_BCN_19_210514</v>
      </c>
      <c r="P27" s="64">
        <v>44330</v>
      </c>
      <c r="Q27" s="50"/>
      <c r="R27" s="51"/>
      <c r="S27" s="52">
        <v>44337</v>
      </c>
      <c r="T27" s="53"/>
      <c r="U27" s="51"/>
      <c r="V27" s="54" t="s">
        <v>66</v>
      </c>
      <c r="W27" s="55"/>
      <c r="X27" s="45">
        <f t="shared" si="1"/>
        <v>7</v>
      </c>
      <c r="Y27" s="55"/>
      <c r="Z27" s="45" t="s">
        <v>69</v>
      </c>
      <c r="AA27" s="45">
        <f t="shared" si="2"/>
        <v>2</v>
      </c>
      <c r="AB27" t="str">
        <f t="shared" si="3"/>
        <v>Adult</v>
      </c>
      <c r="AC27" s="45">
        <v>2</v>
      </c>
      <c r="AD27" s="45">
        <v>0</v>
      </c>
      <c r="AE27" s="45" t="str">
        <f t="shared" si="4"/>
        <v>Morphological</v>
      </c>
      <c r="AF27" s="56">
        <v>4</v>
      </c>
      <c r="AG27" s="57"/>
    </row>
    <row r="28" spans="1:33" ht="18" customHeight="1" x14ac:dyDescent="0.25">
      <c r="A28" s="45">
        <v>24</v>
      </c>
      <c r="B28" s="45" t="s">
        <v>60</v>
      </c>
      <c r="C28" s="45" t="s">
        <v>61</v>
      </c>
      <c r="D28" s="45" t="s">
        <v>62</v>
      </c>
      <c r="E28" s="45" t="s">
        <v>62</v>
      </c>
      <c r="F28" s="59">
        <v>8038</v>
      </c>
      <c r="G28" s="45" t="s">
        <v>93</v>
      </c>
      <c r="H28" s="60">
        <v>41.359864999999999</v>
      </c>
      <c r="I28" s="60">
        <v>2.1445430000000001</v>
      </c>
      <c r="J28" s="61">
        <v>11.4</v>
      </c>
      <c r="K28" s="45" t="s">
        <v>64</v>
      </c>
      <c r="L28" s="62"/>
      <c r="M28" s="45"/>
      <c r="N28" s="45"/>
      <c r="O28" s="45" t="str">
        <f t="shared" si="0"/>
        <v>A_SP_BCN_19_210514</v>
      </c>
      <c r="P28" s="64">
        <v>44330</v>
      </c>
      <c r="Q28" s="50"/>
      <c r="R28" s="51"/>
      <c r="S28" s="52">
        <v>44337</v>
      </c>
      <c r="T28" s="53"/>
      <c r="U28" s="51"/>
      <c r="V28" s="54" t="s">
        <v>66</v>
      </c>
      <c r="W28" s="55"/>
      <c r="X28" s="45">
        <f t="shared" si="1"/>
        <v>7</v>
      </c>
      <c r="Y28" s="55"/>
      <c r="Z28" s="45" t="s">
        <v>70</v>
      </c>
      <c r="AA28" s="45">
        <f t="shared" si="2"/>
        <v>7</v>
      </c>
      <c r="AB28" t="str">
        <f t="shared" si="3"/>
        <v>Adult</v>
      </c>
      <c r="AC28" s="45">
        <v>6</v>
      </c>
      <c r="AD28" s="45">
        <v>1</v>
      </c>
      <c r="AE28" s="45" t="str">
        <f t="shared" si="4"/>
        <v>Morphological</v>
      </c>
      <c r="AF28" s="56">
        <v>4</v>
      </c>
      <c r="AG28" s="57"/>
    </row>
    <row r="29" spans="1:33" ht="18" customHeight="1" x14ac:dyDescent="0.25">
      <c r="A29" s="45">
        <v>25</v>
      </c>
      <c r="B29" s="45" t="s">
        <v>60</v>
      </c>
      <c r="C29" s="45" t="s">
        <v>61</v>
      </c>
      <c r="D29" s="45" t="s">
        <v>62</v>
      </c>
      <c r="E29" s="45" t="s">
        <v>62</v>
      </c>
      <c r="F29" s="59">
        <v>8002</v>
      </c>
      <c r="G29" s="45" t="s">
        <v>94</v>
      </c>
      <c r="H29" s="60">
        <v>41.385213</v>
      </c>
      <c r="I29" s="60">
        <v>2.174852</v>
      </c>
      <c r="J29" s="61">
        <f>11+3</f>
        <v>14</v>
      </c>
      <c r="K29" s="45" t="s">
        <v>64</v>
      </c>
      <c r="L29" s="62"/>
      <c r="M29" s="45"/>
      <c r="N29" s="45"/>
      <c r="O29" s="45" t="str">
        <f t="shared" si="0"/>
        <v>A_SP_BCN_20_210517</v>
      </c>
      <c r="P29" s="64">
        <v>44333</v>
      </c>
      <c r="Q29" s="50"/>
      <c r="R29" s="51"/>
      <c r="S29" s="52">
        <v>44337</v>
      </c>
      <c r="T29" s="53"/>
      <c r="U29" s="51"/>
      <c r="V29" s="54" t="s">
        <v>66</v>
      </c>
      <c r="W29" s="65" t="s">
        <v>95</v>
      </c>
      <c r="X29" s="45">
        <f t="shared" si="1"/>
        <v>4</v>
      </c>
      <c r="Y29" s="55"/>
      <c r="Z29" s="45" t="s">
        <v>70</v>
      </c>
      <c r="AA29" s="45">
        <f t="shared" si="2"/>
        <v>3</v>
      </c>
      <c r="AB29" t="str">
        <f t="shared" si="3"/>
        <v>Adult</v>
      </c>
      <c r="AC29" s="45">
        <v>3</v>
      </c>
      <c r="AD29" s="45">
        <v>0</v>
      </c>
      <c r="AE29" s="45" t="str">
        <f t="shared" si="4"/>
        <v>Morphological</v>
      </c>
      <c r="AF29" s="56">
        <v>4</v>
      </c>
      <c r="AG29" s="57"/>
    </row>
    <row r="30" spans="1:33" ht="18" customHeight="1" x14ac:dyDescent="0.25">
      <c r="A30" s="45">
        <v>26</v>
      </c>
      <c r="B30" s="45" t="s">
        <v>60</v>
      </c>
      <c r="C30" s="45" t="s">
        <v>61</v>
      </c>
      <c r="D30" s="45" t="s">
        <v>62</v>
      </c>
      <c r="E30" s="45" t="s">
        <v>62</v>
      </c>
      <c r="F30" s="59">
        <v>8002</v>
      </c>
      <c r="G30" s="45" t="s">
        <v>94</v>
      </c>
      <c r="H30" s="60">
        <v>41.385213</v>
      </c>
      <c r="I30" s="60">
        <v>2.174852</v>
      </c>
      <c r="J30" s="61">
        <f>11+3</f>
        <v>14</v>
      </c>
      <c r="K30" s="45" t="s">
        <v>64</v>
      </c>
      <c r="L30" s="62"/>
      <c r="M30" s="45"/>
      <c r="N30" s="45"/>
      <c r="O30" s="45" t="str">
        <f t="shared" si="0"/>
        <v>A_SP_BCN_20_210517</v>
      </c>
      <c r="P30" s="64">
        <v>44333</v>
      </c>
      <c r="Q30" s="50"/>
      <c r="R30" s="51"/>
      <c r="S30" s="52">
        <v>44337</v>
      </c>
      <c r="T30" s="53"/>
      <c r="U30" s="51"/>
      <c r="V30" s="54" t="s">
        <v>66</v>
      </c>
      <c r="W30" s="65" t="s">
        <v>95</v>
      </c>
      <c r="X30" s="45">
        <f t="shared" si="1"/>
        <v>4</v>
      </c>
      <c r="Y30" s="55"/>
      <c r="Z30" s="45" t="s">
        <v>80</v>
      </c>
      <c r="AA30" s="45">
        <f t="shared" si="2"/>
        <v>9</v>
      </c>
      <c r="AB30" t="str">
        <f>IF(AA30=0,"",IF(AA30="","",IF(AA30&gt;0,"Adult")))</f>
        <v>Adult</v>
      </c>
      <c r="AC30" s="45">
        <v>5</v>
      </c>
      <c r="AD30" s="45">
        <v>4</v>
      </c>
      <c r="AE30" s="45" t="str">
        <f t="shared" si="4"/>
        <v>Morphological</v>
      </c>
      <c r="AF30" s="56">
        <v>4</v>
      </c>
      <c r="AG30" s="57"/>
    </row>
    <row r="31" spans="1:33" ht="18" customHeight="1" x14ac:dyDescent="0.25">
      <c r="A31" s="45">
        <v>27</v>
      </c>
      <c r="B31" s="45" t="s">
        <v>60</v>
      </c>
      <c r="C31" s="45" t="s">
        <v>61</v>
      </c>
      <c r="D31" s="45" t="s">
        <v>62</v>
      </c>
      <c r="E31" s="45" t="s">
        <v>62</v>
      </c>
      <c r="F31" s="59">
        <v>8001</v>
      </c>
      <c r="G31" s="45" t="s">
        <v>96</v>
      </c>
      <c r="H31" s="66">
        <v>41.377169000000002</v>
      </c>
      <c r="I31" s="60">
        <v>2.1674190000000002</v>
      </c>
      <c r="J31" s="61">
        <f>8+3</f>
        <v>11</v>
      </c>
      <c r="K31" s="45" t="s">
        <v>64</v>
      </c>
      <c r="L31" s="62"/>
      <c r="M31" s="45"/>
      <c r="N31" s="45"/>
      <c r="O31" s="45" t="str">
        <f t="shared" si="0"/>
        <v>A_SP_BCN_21_210517</v>
      </c>
      <c r="P31" s="64">
        <v>44333</v>
      </c>
      <c r="Q31" s="50"/>
      <c r="R31" s="51"/>
      <c r="S31" s="52">
        <v>44337</v>
      </c>
      <c r="T31" s="53"/>
      <c r="U31" s="51"/>
      <c r="V31" s="54" t="s">
        <v>97</v>
      </c>
      <c r="W31" t="s">
        <v>91</v>
      </c>
      <c r="X31" s="45">
        <f t="shared" si="1"/>
        <v>4</v>
      </c>
      <c r="Y31" s="55"/>
      <c r="Z31" s="45"/>
      <c r="AA31" s="45"/>
      <c r="AB31" t="str">
        <f t="shared" si="3"/>
        <v/>
      </c>
      <c r="AC31" s="45"/>
      <c r="AD31" s="45"/>
      <c r="AE31" s="45" t="str">
        <f t="shared" si="4"/>
        <v/>
      </c>
      <c r="AF31" s="63">
        <v>1</v>
      </c>
      <c r="AG31" s="57"/>
    </row>
    <row r="32" spans="1:33" ht="18" customHeight="1" x14ac:dyDescent="0.25">
      <c r="A32" s="45">
        <v>28</v>
      </c>
      <c r="B32" s="45" t="s">
        <v>60</v>
      </c>
      <c r="C32" s="45" t="s">
        <v>61</v>
      </c>
      <c r="D32" s="45" t="s">
        <v>62</v>
      </c>
      <c r="E32" s="45" t="s">
        <v>62</v>
      </c>
      <c r="F32" s="59">
        <v>8017</v>
      </c>
      <c r="G32" s="45" t="s">
        <v>98</v>
      </c>
      <c r="H32" s="66">
        <v>41.430058000000002</v>
      </c>
      <c r="I32" s="60">
        <v>2.0783459999999998</v>
      </c>
      <c r="J32" s="61">
        <v>241</v>
      </c>
      <c r="K32" s="45" t="s">
        <v>64</v>
      </c>
      <c r="L32" s="45"/>
      <c r="M32" s="45"/>
      <c r="N32" s="45"/>
      <c r="O32" s="45" t="str">
        <f t="shared" si="0"/>
        <v>A_SP_BCN_22_210517</v>
      </c>
      <c r="P32" s="49">
        <v>44333</v>
      </c>
      <c r="Q32" s="50"/>
      <c r="R32" s="51"/>
      <c r="S32" s="52">
        <v>44336</v>
      </c>
      <c r="T32" s="53"/>
      <c r="U32" s="51"/>
      <c r="V32" s="54" t="s">
        <v>66</v>
      </c>
      <c r="W32" s="55"/>
      <c r="X32" s="45">
        <f t="shared" si="1"/>
        <v>3</v>
      </c>
      <c r="Y32" s="55"/>
      <c r="Z32" s="45"/>
      <c r="AA32" s="45">
        <f t="shared" si="2"/>
        <v>0</v>
      </c>
      <c r="AB32" t="str">
        <f t="shared" si="3"/>
        <v/>
      </c>
      <c r="AC32" s="45"/>
      <c r="AD32" s="45"/>
      <c r="AE32" s="45" t="str">
        <f t="shared" si="4"/>
        <v/>
      </c>
      <c r="AF32" s="56">
        <v>4</v>
      </c>
      <c r="AG32" s="57"/>
    </row>
    <row r="33" spans="1:33" ht="18" customHeight="1" x14ac:dyDescent="0.25">
      <c r="A33" s="45">
        <v>29</v>
      </c>
      <c r="B33" s="45" t="s">
        <v>60</v>
      </c>
      <c r="C33" s="45" t="s">
        <v>61</v>
      </c>
      <c r="D33" s="45" t="s">
        <v>62</v>
      </c>
      <c r="E33" s="45" t="s">
        <v>62</v>
      </c>
      <c r="F33" s="46" cm="1">
        <f t="array" ref="F33">_xlfn.IFS($G33=$G$5,F$5,$G33=$G$6,F$6,$G33=$G$7,F$7,$G33=$G$8,F$8,$G33=$G$9,F$9,$G33=$G$10,F$10,$G33=$G$11,F$11,$G33=$G$12,F$12,$G33=$G$13,F$13,$G33=$G$15,F$15,$G33=$G$16,F$16,$G33=$G$17,F$17,$G33=$G$18,F$18,$G33=$G$19,F$19,$G33=$G$20,F$20,$G33=$G$21,F$21,$G33=$G$22,F$22,$G33=$G$25,F$25,$G33=$G$26,F$26,$G33=$G$27,F$27,$G33=$G$29,F$29,$G33=$G$31,F$31,$G33=$G$32,F$32,$G33=$G$248,F$248,$G33=$G$250,F$250)</f>
        <v>8024</v>
      </c>
      <c r="G33" s="45" t="s">
        <v>63</v>
      </c>
      <c r="H33" s="67" cm="1">
        <f t="array" ref="H33">_xlfn.IFS($G33=$G$5,H$5,$G33=$G$6,H$6,$G33=$G$7,H$7,$G33=$G$8,H$8,$G33=$G$9,H$9,$G33=$G$10,H$10,$G33=$G$11,H$11,$G33=$G$12,H$12,$G33=$G$13,H$13,$G33=$G$15,H$15,$G33=$G$16,H$16,$G33=$G$17,H$17,$G33=$G$18,H$18,$G33=$G$19,H$19,$G33=$G$20,H$20,$G33=$G$21,H$21,$G33=$G$22,H$22,$G33=$G$25,H$25,$G33=$G$26,H$26,$G33=$G$27,H$27,$G33=$G$29,H$29,$G33=$G$31,H$31,$G33=$G$32,H$32,$G33=$G$248,H$248,$G33=$G$250,H$250)</f>
        <v>41.413573999999997</v>
      </c>
      <c r="I33" s="67" cm="1">
        <f t="array" ref="I33">_xlfn.IFS($G33=$G$5,I$5,$G33=$G$6,I$6,$G33=$G$7,I$7,$G33=$G$8,I$8,$G33=$G$9,I$9,$G33=$G$10,I$10,$G33=$G$11,I$11,$G33=$G$12,I$12,$G33=$G$13,I$13,$G33=$G$15,I$15,$G33=$G$16,I$16,$G33=$G$17,I$17,$G33=$G$18,I$18,$G33=$G$19,I$19,$G33=$G$20,I$20,$G33=$G$21,I$21,$G33=$G$22,I$22,$G33=$G$25,I$25,$G33=$G$26,I$26,$G33=$G$27,I$27,$G33=$G$29,I$29,$G33=$G$31,I$31,$G33=$G$32,I$32,$G33=$G$248,I$248,$G33=$G$250,I$250)</f>
        <v>2.1520730000000001</v>
      </c>
      <c r="J33" s="48" cm="1">
        <f t="array" ref="J33">_xlfn.IFS($G33=$G$5,J$5,$G33=$G$6,J$6,$G33=$G$7,J$7,$G33=$G$8,J$8,$G33=$G$9,J$9,$G33=$G$10,J$10,$G33=$G$11,J$11,$G33=$G$12,J$12,$G33=$G$13,J$13,$G33=$G$15,J$15,$G33=$G$16,J$16,$G33=$G$17,J$17,$G33=$G$18,J$18,$G33=$G$19,J$19,$G33=$G$20,J$20,$G33=$G$21,J$21,$G33=$G$22,J$22,$G33=$G$25,J$25,$G33=$G$26,J$26,$G33=$G$27,J$27,$G33=$G$29,J$29,$G33=$G$31,J$31,$G33=$G$32,J$32,$G33=$G$248,J$248,$G33=$G$250,J$250)</f>
        <v>141</v>
      </c>
      <c r="K33" s="48" t="str" cm="1">
        <f t="array" ref="K33">_xlfn.IFS($G33=$G$5,K$5,$G33=$G$6,K$6,$G33=$G$7,K$7,$G33=$G$8,K$8,$G33=$G$9,K$9,$G33=$G$10,K$10,$G33=$G$11,K$11,$G33=$G$12,K$12,$G33=$G$13,K$13,$G33=$G$15,K$15,$G33=$G$16,K$16,$G33=$G$17,K$17,$G33=$G$18,K$18,$G33=$G$19,K$19,$G33=$G$20,K$20,$G33=$G$21,K$21,$G33=$G$22,K$22,$G33=$G$25,K$25,$G33=$G$26,K$26,$G33=$G$27,K$27,$G33=$G$29,K$29,$G33=$G$31,K$31,$G33=$G$32,K$32,$G33=$G$248,K$248,$G33=$G$250,K$250)</f>
        <v>BG sentinel + BG lure7</v>
      </c>
      <c r="L33" s="48" t="str" cm="1">
        <f t="array" ref="L33">_xlfn.IFS($G33=$G$5,L$5,$G33=$G$6,L$6,$G33=$G$7,L$7,$G33=$G$8,L$8,$G33=$G$9,L$9,$G33=$G$10,L$10,$G33=$G$11,L$11,$G33=$G$12,L$12,$G33=$G$13,L$13,$G33=$G$15,L$15,$G33=$G$16,L$16,$G33=$G$17,L$17,$G33=$G$18,L$18,$G33=$G$19,L$19,$G33=$G$20,L$20,$G33=$G$21,L$21,$G33=$G$22,L$22,$G33=$G$25,L$25,$G33=$G$26,L$26,$G33=$G$27,L$27,$G33=$G$29,L$29,$G33=$G$31,L$31,$G33=$G$32,L$32,$G33=$G$248,L$248,$G33=$G$250,L$250)</f>
        <v>Urban habitat</v>
      </c>
      <c r="M33" s="48"/>
      <c r="N33" s="45"/>
      <c r="O33" s="45" t="str">
        <f t="shared" si="0"/>
        <v>A_SP_BCN_1_210520</v>
      </c>
      <c r="P33" s="49">
        <v>44336</v>
      </c>
      <c r="Q33" s="50"/>
      <c r="R33" s="51"/>
      <c r="S33" s="52">
        <v>44343</v>
      </c>
      <c r="T33" s="53"/>
      <c r="U33" s="51"/>
      <c r="V33" s="54" t="s">
        <v>66</v>
      </c>
      <c r="W33" s="55"/>
      <c r="X33" s="45">
        <f t="shared" si="1"/>
        <v>7</v>
      </c>
      <c r="Y33" s="55"/>
      <c r="Z33" s="45" t="s">
        <v>69</v>
      </c>
      <c r="AA33" s="45">
        <f t="shared" si="2"/>
        <v>3</v>
      </c>
      <c r="AB33" t="str">
        <f t="shared" si="3"/>
        <v>Adult</v>
      </c>
      <c r="AC33" s="45">
        <v>1</v>
      </c>
      <c r="AD33" s="45">
        <v>2</v>
      </c>
      <c r="AE33" s="45" t="str">
        <f t="shared" si="4"/>
        <v>Morphological</v>
      </c>
      <c r="AF33" s="56">
        <v>4</v>
      </c>
      <c r="AG33" s="57"/>
    </row>
    <row r="34" spans="1:33" ht="18" customHeight="1" x14ac:dyDescent="0.25">
      <c r="A34" s="45">
        <v>30</v>
      </c>
      <c r="B34" s="45" t="s">
        <v>60</v>
      </c>
      <c r="C34" s="45" t="s">
        <v>61</v>
      </c>
      <c r="D34" s="45" t="s">
        <v>62</v>
      </c>
      <c r="E34" s="45" t="s">
        <v>62</v>
      </c>
      <c r="F34" s="46" cm="1">
        <f t="array" ref="F34">_xlfn.IFS($G34=$G$5,F$5,$G34=$G$6,F$6,$G34=$G$7,F$7,$G34=$G$8,F$8,$G34=$G$9,F$9,$G34=$G$10,F$10,$G34=$G$11,F$11,$G34=$G$12,F$12,$G34=$G$13,F$13,$G34=$G$15,F$15,$G34=$G$16,F$16,$G34=$G$17,F$17,$G34=$G$18,F$18,$G34=$G$19,F$19,$G34=$G$20,F$20,$G34=$G$21,F$21,$G34=$G$22,F$22,$G34=$G$25,F$25,$G34=$G$26,F$26,$G34=$G$27,F$27,$G34=$G$29,F$29,$G34=$G$31,F$31,$G34=$G$32,F$32,$G34=$G$248,F$248,$G34=$G$250,F$250)</f>
        <v>8035</v>
      </c>
      <c r="G34" s="45" t="s">
        <v>67</v>
      </c>
      <c r="H34" s="67" cm="1">
        <f t="array" ref="H34">_xlfn.IFS($G34=$G$5,H$5,$G34=$G$6,H$6,$G34=$G$7,H$7,$G34=$G$8,H$8,$G34=$G$9,H$9,$G34=$G$10,H$10,$G34=$G$11,H$11,$G34=$G$12,H$12,$G34=$G$13,H$13,$G34=$G$15,H$15,$G34=$G$16,H$16,$G34=$G$17,H$17,$G34=$G$18,H$18,$G34=$G$19,H$19,$G34=$G$20,H$20,$G34=$G$21,H$21,$G34=$G$22,H$22,$G34=$G$25,H$25,$G34=$G$26,H$26,$G34=$G$27,H$27,$G34=$G$29,H$29,$G34=$G$31,H$31,$G34=$G$32,H$32,$G34=$G$248,H$248,$G34=$G$250,H$250)</f>
        <v>41.424387000000003</v>
      </c>
      <c r="I34" s="67" cm="1">
        <f t="array" ref="I34">_xlfn.IFS($G34=$G$5,I$5,$G34=$G$6,I$6,$G34=$G$7,I$7,$G34=$G$8,I$8,$G34=$G$9,I$9,$G34=$G$10,I$10,$G34=$G$11,I$11,$G34=$G$12,I$12,$G34=$G$13,I$13,$G34=$G$15,I$15,$G34=$G$16,I$16,$G34=$G$17,I$17,$G34=$G$18,I$18,$G34=$G$19,I$19,$G34=$G$20,I$20,$G34=$G$21,I$21,$G34=$G$22,I$22,$G34=$G$25,I$25,$G34=$G$26,I$26,$G34=$G$27,I$27,$G34=$G$29,I$29,$G34=$G$31,I$31,$G34=$G$32,I$32,$G34=$G$248,I$248,$G34=$G$250,I$250)</f>
        <v>2.1431439999999999</v>
      </c>
      <c r="J34" s="48" cm="1">
        <f t="array" ref="J34">_xlfn.IFS($G34=$G$5,J$5,$G34=$G$6,J$6,$G34=$G$7,J$7,$G34=$G$8,J$8,$G34=$G$9,J$9,$G34=$G$10,J$10,$G34=$G$11,J$11,$G34=$G$12,J$12,$G34=$G$13,J$13,$G34=$G$15,J$15,$G34=$G$16,J$16,$G34=$G$17,J$17,$G34=$G$18,J$18,$G34=$G$19,J$19,$G34=$G$20,J$20,$G34=$G$21,J$21,$G34=$G$22,J$22,$G34=$G$25,J$25,$G34=$G$26,J$26,$G34=$G$27,J$27,$G34=$G$29,J$29,$G34=$G$31,J$31,$G34=$G$32,J$32,$G34=$G$248,J$248,$G34=$G$250,J$250)</f>
        <v>160</v>
      </c>
      <c r="K34" s="48" t="str" cm="1">
        <f t="array" ref="K34">_xlfn.IFS($G34=$G$5,K$5,$G34=$G$6,K$6,$G34=$G$7,K$7,$G34=$G$8,K$8,$G34=$G$9,K$9,$G34=$G$10,K$10,$G34=$G$11,K$11,$G34=$G$12,K$12,$G34=$G$13,K$13,$G34=$G$15,K$15,$G34=$G$16,K$16,$G34=$G$17,K$17,$G34=$G$18,K$18,$G34=$G$19,K$19,$G34=$G$20,K$20,$G34=$G$21,K$21,$G34=$G$22,K$22,$G34=$G$25,K$25,$G34=$G$26,K$26,$G34=$G$27,K$27,$G34=$G$29,K$29,$G34=$G$31,K$31,$G34=$G$32,K$32,$G34=$G$248,K$248,$G34=$G$250,K$250)</f>
        <v>BG sentinel + BG lure7</v>
      </c>
      <c r="L34" s="48" t="str" cm="1">
        <f t="array" ref="L34">_xlfn.IFS($G34=$G$5,L$5,$G34=$G$6,L$6,$G34=$G$7,L$7,$G34=$G$8,L$8,$G34=$G$9,L$9,$G34=$G$10,L$10,$G34=$G$11,L$11,$G34=$G$12,L$12,$G34=$G$13,L$13,$G34=$G$15,L$15,$G34=$G$16,L$16,$G34=$G$17,L$17,$G34=$G$18,L$18,$G34=$G$19,L$19,$G34=$G$20,L$20,$G34=$G$21,L$21,$G34=$G$22,L$22,$G34=$G$25,L$25,$G34=$G$26,L$26,$G34=$G$27,L$27,$G34=$G$29,L$29,$G34=$G$31,L$31,$G34=$G$32,L$32,$G34=$G$248,L$248,$G34=$G$250,L$250)</f>
        <v>Urban habitat</v>
      </c>
      <c r="M34" s="48"/>
      <c r="N34" s="45"/>
      <c r="O34" s="45" t="str">
        <f t="shared" si="0"/>
        <v>A_SP_BCN_2_210520</v>
      </c>
      <c r="P34" s="49">
        <v>44336</v>
      </c>
      <c r="Q34" s="50"/>
      <c r="R34" s="51"/>
      <c r="S34" s="52">
        <v>44343</v>
      </c>
      <c r="T34" s="53"/>
      <c r="U34" s="51"/>
      <c r="V34" s="54" t="s">
        <v>66</v>
      </c>
      <c r="W34" s="55"/>
      <c r="X34" s="45">
        <f t="shared" si="1"/>
        <v>7</v>
      </c>
      <c r="Y34" s="55"/>
      <c r="Z34" s="45" t="s">
        <v>80</v>
      </c>
      <c r="AA34" s="45">
        <f t="shared" si="2"/>
        <v>1</v>
      </c>
      <c r="AB34" t="str">
        <f t="shared" si="3"/>
        <v>Adult</v>
      </c>
      <c r="AC34" s="45">
        <v>1</v>
      </c>
      <c r="AD34" s="45">
        <v>0</v>
      </c>
      <c r="AE34" s="45" t="str">
        <f t="shared" si="4"/>
        <v>Morphological</v>
      </c>
      <c r="AF34" s="56">
        <v>4</v>
      </c>
      <c r="AG34" s="57"/>
    </row>
    <row r="35" spans="1:33" ht="18" customHeight="1" x14ac:dyDescent="0.25">
      <c r="A35" s="45">
        <v>31</v>
      </c>
      <c r="B35" s="45" t="s">
        <v>60</v>
      </c>
      <c r="C35" s="45" t="s">
        <v>61</v>
      </c>
      <c r="D35" s="45" t="s">
        <v>62</v>
      </c>
      <c r="E35" s="45" t="s">
        <v>62</v>
      </c>
      <c r="F35" s="46" cm="1">
        <f t="array" ref="F35">_xlfn.IFS($G35=$G$5,F$5,$G35=$G$6,F$6,$G35=$G$7,F$7,$G35=$G$8,F$8,$G35=$G$9,F$9,$G35=$G$10,F$10,$G35=$G$11,F$11,$G35=$G$12,F$12,$G35=$G$13,F$13,$G35=$G$15,F$15,$G35=$G$16,F$16,$G35=$G$17,F$17,$G35=$G$18,F$18,$G35=$G$19,F$19,$G35=$G$20,F$20,$G35=$G$21,F$21,$G35=$G$22,F$22,$G35=$G$25,F$25,$G35=$G$26,F$26,$G35=$G$27,F$27,$G35=$G$29,F$29,$G35=$G$31,F$31,$G35=$G$32,F$32,$G35=$G$248,F$248,$G35=$G$250,F$250)</f>
        <v>8016</v>
      </c>
      <c r="G35" s="45" t="s">
        <v>68</v>
      </c>
      <c r="H35" s="67" cm="1">
        <f t="array" ref="H35">_xlfn.IFS($G35=$G$5,H$5,$G35=$G$6,H$6,$G35=$G$7,H$7,$G35=$G$8,H$8,$G35=$G$9,H$9,$G35=$G$10,H$10,$G35=$G$11,H$11,$G35=$G$12,H$12,$G35=$G$13,H$13,$G35=$G$15,H$15,$G35=$G$16,H$16,$G35=$G$17,H$17,$G35=$G$18,H$18,$G35=$G$19,H$19,$G35=$G$20,H$20,$G35=$G$21,H$21,$G35=$G$22,H$22,$G35=$G$25,H$25,$G35=$G$26,H$26,$G35=$G$27,H$27,$G35=$G$29,H$29,$G35=$G$31,H$31,$G35=$G$32,H$32,$G35=$G$248,H$248,$G35=$G$250,H$250)</f>
        <v>41.437435000000001</v>
      </c>
      <c r="I35" s="67" cm="1">
        <f t="array" ref="I35">_xlfn.IFS($G35=$G$5,I$5,$G35=$G$6,I$6,$G35=$G$7,I$7,$G35=$G$8,I$8,$G35=$G$9,I$9,$G35=$G$10,I$10,$G35=$G$11,I$11,$G35=$G$12,I$12,$G35=$G$13,I$13,$G35=$G$15,I$15,$G35=$G$16,I$16,$G35=$G$17,I$17,$G35=$G$18,I$18,$G35=$G$19,I$19,$G35=$G$20,I$20,$G35=$G$21,I$21,$G35=$G$22,I$22,$G35=$G$25,I$25,$G35=$G$26,I$26,$G35=$G$27,I$27,$G35=$G$29,I$29,$G35=$G$31,I$31,$G35=$G$32,I$32,$G35=$G$248,I$248,$G35=$G$250,I$250)</f>
        <v>2.1812779999999998</v>
      </c>
      <c r="J35" s="48" cm="1">
        <f t="array" ref="J35">_xlfn.IFS($G35=$G$5,J$5,$G35=$G$6,J$6,$G35=$G$7,J$7,$G35=$G$8,J$8,$G35=$G$9,J$9,$G35=$G$10,J$10,$G35=$G$11,J$11,$G35=$G$12,J$12,$G35=$G$13,J$13,$G35=$G$15,J$15,$G35=$G$16,J$16,$G35=$G$17,J$17,$G35=$G$18,J$18,$G35=$G$19,J$19,$G35=$G$20,J$20,$G35=$G$21,J$21,$G35=$G$22,J$22,$G35=$G$25,J$25,$G35=$G$26,J$26,$G35=$G$27,J$27,$G35=$G$29,J$29,$G35=$G$31,J$31,$G35=$G$32,J$32,$G35=$G$248,J$248,$G35=$G$250,J$250)</f>
        <v>47</v>
      </c>
      <c r="K35" s="48" t="str" cm="1">
        <f t="array" ref="K35">_xlfn.IFS($G35=$G$5,K$5,$G35=$G$6,K$6,$G35=$G$7,K$7,$G35=$G$8,K$8,$G35=$G$9,K$9,$G35=$G$10,K$10,$G35=$G$11,K$11,$G35=$G$12,K$12,$G35=$G$13,K$13,$G35=$G$15,K$15,$G35=$G$16,K$16,$G35=$G$17,K$17,$G35=$G$18,K$18,$G35=$G$19,K$19,$G35=$G$20,K$20,$G35=$G$21,K$21,$G35=$G$22,K$22,$G35=$G$25,K$25,$G35=$G$26,K$26,$G35=$G$27,K$27,$G35=$G$29,K$29,$G35=$G$31,K$31,$G35=$G$32,K$32,$G35=$G$248,K$248,$G35=$G$250,K$250)</f>
        <v>BG sentinel + BG lure7</v>
      </c>
      <c r="L35" s="48" t="str" cm="1">
        <f t="array" ref="L35">_xlfn.IFS($G35=$G$5,L$5,$G35=$G$6,L$6,$G35=$G$7,L$7,$G35=$G$8,L$8,$G35=$G$9,L$9,$G35=$G$10,L$10,$G35=$G$11,L$11,$G35=$G$12,L$12,$G35=$G$13,L$13,$G35=$G$15,L$15,$G35=$G$16,L$16,$G35=$G$17,L$17,$G35=$G$18,L$18,$G35=$G$19,L$19,$G35=$G$20,L$20,$G35=$G$21,L$21,$G35=$G$22,L$22,$G35=$G$25,L$25,$G35=$G$26,L$26,$G35=$G$27,L$27,$G35=$G$29,L$29,$G35=$G$31,L$31,$G35=$G$32,L$32,$G35=$G$248,L$248,$G35=$G$250,L$250)</f>
        <v>Urban habitat</v>
      </c>
      <c r="M35" s="48"/>
      <c r="N35" s="45"/>
      <c r="O35" s="45" t="str">
        <f t="shared" si="0"/>
        <v>A_SP_BCN_3_210520</v>
      </c>
      <c r="P35" s="49">
        <v>44336</v>
      </c>
      <c r="Q35" s="50"/>
      <c r="R35" s="51"/>
      <c r="S35" s="52">
        <v>44343</v>
      </c>
      <c r="T35" s="53"/>
      <c r="U35" s="51"/>
      <c r="V35" s="54" t="s">
        <v>66</v>
      </c>
      <c r="W35" s="55"/>
      <c r="X35" s="45">
        <f t="shared" si="1"/>
        <v>7</v>
      </c>
      <c r="Y35" s="55"/>
      <c r="Z35" s="45" t="s">
        <v>69</v>
      </c>
      <c r="AA35" s="45">
        <f t="shared" si="2"/>
        <v>1</v>
      </c>
      <c r="AB35" t="str">
        <f t="shared" si="3"/>
        <v>Adult</v>
      </c>
      <c r="AC35" s="45">
        <v>1</v>
      </c>
      <c r="AD35" s="45">
        <v>0</v>
      </c>
      <c r="AE35" s="45" t="str">
        <f t="shared" si="4"/>
        <v>Morphological</v>
      </c>
      <c r="AF35" s="56">
        <v>4</v>
      </c>
      <c r="AG35" s="57"/>
    </row>
    <row r="36" spans="1:33" ht="18" customHeight="1" x14ac:dyDescent="0.25">
      <c r="A36" s="45">
        <v>32</v>
      </c>
      <c r="B36" s="45" t="s">
        <v>60</v>
      </c>
      <c r="C36" s="45" t="s">
        <v>61</v>
      </c>
      <c r="D36" s="45" t="s">
        <v>62</v>
      </c>
      <c r="E36" s="45" t="s">
        <v>62</v>
      </c>
      <c r="F36" s="46" cm="1">
        <f t="array" ref="F36">_xlfn.IFS($G36=$G$5,F$5,$G36=$G$6,F$6,$G36=$G$7,F$7,$G36=$G$8,F$8,$G36=$G$9,F$9,$G36=$G$10,F$10,$G36=$G$11,F$11,$G36=$G$12,F$12,$G36=$G$13,F$13,$G36=$G$15,F$15,$G36=$G$16,F$16,$G36=$G$17,F$17,$G36=$G$18,F$18,$G36=$G$19,F$19,$G36=$G$20,F$20,$G36=$G$21,F$21,$G36=$G$22,F$22,$G36=$G$25,F$25,$G36=$G$26,F$26,$G36=$G$27,F$27,$G36=$G$29,F$29,$G36=$G$31,F$31,$G36=$G$32,F$32,$G36=$G$248,F$248,$G36=$G$250,F$250)</f>
        <v>8016</v>
      </c>
      <c r="G36" s="45" t="s">
        <v>68</v>
      </c>
      <c r="H36" s="67" cm="1">
        <f t="array" ref="H36">_xlfn.IFS($G36=$G$5,H$5,$G36=$G$6,H$6,$G36=$G$7,H$7,$G36=$G$8,H$8,$G36=$G$9,H$9,$G36=$G$10,H$10,$G36=$G$11,H$11,$G36=$G$12,H$12,$G36=$G$13,H$13,$G36=$G$15,H$15,$G36=$G$16,H$16,$G36=$G$17,H$17,$G36=$G$18,H$18,$G36=$G$19,H$19,$G36=$G$20,H$20,$G36=$G$21,H$21,$G36=$G$22,H$22,$G36=$G$25,H$25,$G36=$G$26,H$26,$G36=$G$27,H$27,$G36=$G$29,H$29,$G36=$G$31,H$31,$G36=$G$32,H$32,$G36=$G$248,H$248,$G36=$G$250,H$250)</f>
        <v>41.437435000000001</v>
      </c>
      <c r="I36" s="67" cm="1">
        <f t="array" ref="I36">_xlfn.IFS($G36=$G$5,I$5,$G36=$G$6,I$6,$G36=$G$7,I$7,$G36=$G$8,I$8,$G36=$G$9,I$9,$G36=$G$10,I$10,$G36=$G$11,I$11,$G36=$G$12,I$12,$G36=$G$13,I$13,$G36=$G$15,I$15,$G36=$G$16,I$16,$G36=$G$17,I$17,$G36=$G$18,I$18,$G36=$G$19,I$19,$G36=$G$20,I$20,$G36=$G$21,I$21,$G36=$G$22,I$22,$G36=$G$25,I$25,$G36=$G$26,I$26,$G36=$G$27,I$27,$G36=$G$29,I$29,$G36=$G$31,I$31,$G36=$G$32,I$32,$G36=$G$248,I$248,$G36=$G$250,I$250)</f>
        <v>2.1812779999999998</v>
      </c>
      <c r="J36" s="48" cm="1">
        <f t="array" ref="J36">_xlfn.IFS($G36=$G$5,J$5,$G36=$G$6,J$6,$G36=$G$7,J$7,$G36=$G$8,J$8,$G36=$G$9,J$9,$G36=$G$10,J$10,$G36=$G$11,J$11,$G36=$G$12,J$12,$G36=$G$13,J$13,$G36=$G$15,J$15,$G36=$G$16,J$16,$G36=$G$17,J$17,$G36=$G$18,J$18,$G36=$G$19,J$19,$G36=$G$20,J$20,$G36=$G$21,J$21,$G36=$G$22,J$22,$G36=$G$25,J$25,$G36=$G$26,J$26,$G36=$G$27,J$27,$G36=$G$29,J$29,$G36=$G$31,J$31,$G36=$G$32,J$32,$G36=$G$248,J$248,$G36=$G$250,J$250)</f>
        <v>47</v>
      </c>
      <c r="K36" s="48" t="str" cm="1">
        <f t="array" ref="K36">_xlfn.IFS($G36=$G$5,K$5,$G36=$G$6,K$6,$G36=$G$7,K$7,$G36=$G$8,K$8,$G36=$G$9,K$9,$G36=$G$10,K$10,$G36=$G$11,K$11,$G36=$G$12,K$12,$G36=$G$13,K$13,$G36=$G$15,K$15,$G36=$G$16,K$16,$G36=$G$17,K$17,$G36=$G$18,K$18,$G36=$G$19,K$19,$G36=$G$20,K$20,$G36=$G$21,K$21,$G36=$G$22,K$22,$G36=$G$25,K$25,$G36=$G$26,K$26,$G36=$G$27,K$27,$G36=$G$29,K$29,$G36=$G$31,K$31,$G36=$G$32,K$32,$G36=$G$248,K$248,$G36=$G$250,K$250)</f>
        <v>BG sentinel + BG lure7</v>
      </c>
      <c r="L36" s="48" t="str" cm="1">
        <f t="array" ref="L36">_xlfn.IFS($G36=$G$5,L$5,$G36=$G$6,L$6,$G36=$G$7,L$7,$G36=$G$8,L$8,$G36=$G$9,L$9,$G36=$G$10,L$10,$G36=$G$11,L$11,$G36=$G$12,L$12,$G36=$G$13,L$13,$G36=$G$15,L$15,$G36=$G$16,L$16,$G36=$G$17,L$17,$G36=$G$18,L$18,$G36=$G$19,L$19,$G36=$G$20,L$20,$G36=$G$21,L$21,$G36=$G$22,L$22,$G36=$G$25,L$25,$G36=$G$26,L$26,$G36=$G$27,L$27,$G36=$G$29,L$29,$G36=$G$31,L$31,$G36=$G$32,L$32,$G36=$G$248,L$248,$G36=$G$250,L$250)</f>
        <v>Urban habitat</v>
      </c>
      <c r="M36" s="48"/>
      <c r="N36" s="45"/>
      <c r="O36" s="45" t="str">
        <f t="shared" si="0"/>
        <v>A_SP_BCN_3_210520</v>
      </c>
      <c r="P36" s="49">
        <v>44336</v>
      </c>
      <c r="Q36" s="50"/>
      <c r="R36" s="51"/>
      <c r="S36" s="52">
        <v>44343</v>
      </c>
      <c r="T36" s="53"/>
      <c r="U36" s="51"/>
      <c r="V36" s="54" t="s">
        <v>66</v>
      </c>
      <c r="W36" s="55"/>
      <c r="X36" s="45">
        <f t="shared" si="1"/>
        <v>7</v>
      </c>
      <c r="Y36" s="55"/>
      <c r="Z36" s="45" t="s">
        <v>70</v>
      </c>
      <c r="AA36" s="45">
        <f t="shared" si="2"/>
        <v>2</v>
      </c>
      <c r="AB36" t="str">
        <f t="shared" si="3"/>
        <v>Adult</v>
      </c>
      <c r="AC36" s="45">
        <v>2</v>
      </c>
      <c r="AD36" s="45">
        <v>0</v>
      </c>
      <c r="AE36" s="45" t="str">
        <f t="shared" si="4"/>
        <v>Morphological</v>
      </c>
      <c r="AF36" s="56">
        <v>4</v>
      </c>
      <c r="AG36" s="57"/>
    </row>
    <row r="37" spans="1:33" ht="18" customHeight="1" x14ac:dyDescent="0.25">
      <c r="A37" s="45">
        <v>33</v>
      </c>
      <c r="B37" s="45" t="s">
        <v>60</v>
      </c>
      <c r="C37" s="45" t="s">
        <v>61</v>
      </c>
      <c r="D37" s="45" t="s">
        <v>62</v>
      </c>
      <c r="E37" s="45" t="s">
        <v>62</v>
      </c>
      <c r="F37" s="46" cm="1">
        <f t="array" ref="F37">_xlfn.IFS($G37=$G$5,F$5,$G37=$G$6,F$6,$G37=$G$7,F$7,$G37=$G$8,F$8,$G37=$G$9,F$9,$G37=$G$10,F$10,$G37=$G$11,F$11,$G37=$G$12,F$12,$G37=$G$13,F$13,$G37=$G$15,F$15,$G37=$G$16,F$16,$G37=$G$17,F$17,$G37=$G$18,F$18,$G37=$G$19,F$19,$G37=$G$20,F$20,$G37=$G$21,F$21,$G37=$G$22,F$22,$G37=$G$25,F$25,$G37=$G$26,F$26,$G37=$G$27,F$27,$G37=$G$29,F$29,$G37=$G$31,F$31,$G37=$G$32,F$32,$G37=$G$248,F$248,$G37=$G$250,F$250)</f>
        <v>8018</v>
      </c>
      <c r="G37" s="68" t="s">
        <v>71</v>
      </c>
      <c r="H37" s="67" cm="1">
        <f t="array" ref="H37">_xlfn.IFS($G37=$G$5,H$5,$G37=$G$6,H$6,$G37=$G$7,H$7,$G37=$G$8,H$8,$G37=$G$9,H$9,$G37=$G$10,H$10,$G37=$G$11,H$11,$G37=$G$12,H$12,$G37=$G$13,H$13,$G37=$G$15,H$15,$G37=$G$16,H$16,$G37=$G$17,H$17,$G37=$G$18,H$18,$G37=$G$19,H$19,$G37=$G$20,H$20,$G37=$G$21,H$21,$G37=$G$22,H$22,$G37=$G$25,H$25,$G37=$G$26,H$26,$G37=$G$27,H$27,$G37=$G$29,H$29,$G37=$G$31,H$31,$G37=$G$32,H$32,$G37=$G$248,H$248,$G37=$G$250,H$250)</f>
        <v>41.410684000000003</v>
      </c>
      <c r="I37" s="67" cm="1">
        <f t="array" ref="I37">_xlfn.IFS($G37=$G$5,I$5,$G37=$G$6,I$6,$G37=$G$7,I$7,$G37=$G$8,I$8,$G37=$G$9,I$9,$G37=$G$10,I$10,$G37=$G$11,I$11,$G37=$G$12,I$12,$G37=$G$13,I$13,$G37=$G$15,I$15,$G37=$G$16,I$16,$G37=$G$17,I$17,$G37=$G$18,I$18,$G37=$G$19,I$19,$G37=$G$20,I$20,$G37=$G$21,I$21,$G37=$G$22,I$22,$G37=$G$25,I$25,$G37=$G$26,I$26,$G37=$G$27,I$27,$G37=$G$29,I$29,$G37=$G$31,I$31,$G37=$G$32,I$32,$G37=$G$248,I$248,$G37=$G$250,I$250)</f>
        <v>2.2208019999999999</v>
      </c>
      <c r="J37" s="48" cm="1">
        <f t="array" ref="J37">_xlfn.IFS($G37=$G$5,J$5,$G37=$G$6,J$6,$G37=$G$7,J$7,$G37=$G$8,J$8,$G37=$G$9,J$9,$G37=$G$10,J$10,$G37=$G$11,J$11,$G37=$G$12,J$12,$G37=$G$13,J$13,$G37=$G$15,J$15,$G37=$G$16,J$16,$G37=$G$17,J$17,$G37=$G$18,J$18,$G37=$G$19,J$19,$G37=$G$20,J$20,$G37=$G$21,J$21,$G37=$G$22,J$22,$G37=$G$25,J$25,$G37=$G$26,J$26,$G37=$G$27,J$27,$G37=$G$29,J$29,$G37=$G$31,J$31,$G37=$G$32,J$32,$G37=$G$248,J$248,$G37=$G$250,J$250)</f>
        <v>4</v>
      </c>
      <c r="K37" s="48" t="str" cm="1">
        <f t="array" ref="K37">_xlfn.IFS($G37=$G$5,K$5,$G37=$G$6,K$6,$G37=$G$7,K$7,$G37=$G$8,K$8,$G37=$G$9,K$9,$G37=$G$10,K$10,$G37=$G$11,K$11,$G37=$G$12,K$12,$G37=$G$13,K$13,$G37=$G$15,K$15,$G37=$G$16,K$16,$G37=$G$17,K$17,$G37=$G$18,K$18,$G37=$G$19,K$19,$G37=$G$20,K$20,$G37=$G$21,K$21,$G37=$G$22,K$22,$G37=$G$25,K$25,$G37=$G$26,K$26,$G37=$G$27,K$27,$G37=$G$29,K$29,$G37=$G$31,K$31,$G37=$G$32,K$32,$G37=$G$248,K$248,$G37=$G$250,K$250)</f>
        <v>BG sentinel + BG lure7</v>
      </c>
      <c r="L37" s="48" t="str" cm="1">
        <f t="array" ref="L37">_xlfn.IFS($G37=$G$5,L$5,$G37=$G$6,L$6,$G37=$G$7,L$7,$G37=$G$8,L$8,$G37=$G$9,L$9,$G37=$G$10,L$10,$G37=$G$11,L$11,$G37=$G$12,L$12,$G37=$G$13,L$13,$G37=$G$15,L$15,$G37=$G$16,L$16,$G37=$G$17,L$17,$G37=$G$18,L$18,$G37=$G$19,L$19,$G37=$G$20,L$20,$G37=$G$21,L$21,$G37=$G$22,L$22,$G37=$G$25,L$25,$G37=$G$26,L$26,$G37=$G$27,L$27,$G37=$G$29,L$29,$G37=$G$31,L$31,$G37=$G$32,L$32,$G37=$G$248,L$248,$G37=$G$250,L$250)</f>
        <v>Urban habitat</v>
      </c>
      <c r="M37" s="48"/>
      <c r="N37" s="45"/>
      <c r="O37" s="45" t="str">
        <f t="shared" si="0"/>
        <v>A_SP_BCN_4_210520</v>
      </c>
      <c r="P37" s="49">
        <v>44336</v>
      </c>
      <c r="Q37" s="50"/>
      <c r="R37" s="51"/>
      <c r="S37" s="52">
        <v>44344</v>
      </c>
      <c r="T37" s="53"/>
      <c r="U37" s="51"/>
      <c r="V37" s="54" t="s">
        <v>66</v>
      </c>
      <c r="W37" s="55"/>
      <c r="X37" s="45">
        <f t="shared" si="1"/>
        <v>8</v>
      </c>
      <c r="Y37" s="55"/>
      <c r="Z37" s="69" t="s">
        <v>69</v>
      </c>
      <c r="AA37" s="45">
        <f t="shared" si="2"/>
        <v>1</v>
      </c>
      <c r="AB37" t="str">
        <f t="shared" si="3"/>
        <v>Adult</v>
      </c>
      <c r="AC37" s="69">
        <v>0</v>
      </c>
      <c r="AD37" s="69">
        <v>1</v>
      </c>
      <c r="AE37" s="45" t="str">
        <f t="shared" si="4"/>
        <v>Morphological</v>
      </c>
      <c r="AF37" s="56">
        <v>4</v>
      </c>
      <c r="AG37" s="57"/>
    </row>
    <row r="38" spans="1:33" ht="18" customHeight="1" x14ac:dyDescent="0.25">
      <c r="A38" s="45">
        <v>34</v>
      </c>
      <c r="B38" s="45" t="s">
        <v>60</v>
      </c>
      <c r="C38" s="45" t="s">
        <v>61</v>
      </c>
      <c r="D38" s="45" t="s">
        <v>62</v>
      </c>
      <c r="E38" s="45" t="s">
        <v>62</v>
      </c>
      <c r="F38" s="46" cm="1">
        <f t="array" ref="F38">_xlfn.IFS($G38=$G$5,F$5,$G38=$G$6,F$6,$G38=$G$7,F$7,$G38=$G$8,F$8,$G38=$G$9,F$9,$G38=$G$10,F$10,$G38=$G$11,F$11,$G38=$G$12,F$12,$G38=$G$13,F$13,$G38=$G$15,F$15,$G38=$G$16,F$16,$G38=$G$17,F$17,$G38=$G$18,F$18,$G38=$G$19,F$19,$G38=$G$20,F$20,$G38=$G$21,F$21,$G38=$G$22,F$22,$G38=$G$25,F$25,$G38=$G$26,F$26,$G38=$G$27,F$27,$G38=$G$29,F$29,$G38=$G$31,F$31,$G38=$G$32,F$32,$G38=$G$248,F$248,$G38=$G$250,F$250)</f>
        <v>8018</v>
      </c>
      <c r="G38" s="68" t="s">
        <v>71</v>
      </c>
      <c r="H38" s="67" cm="1">
        <f t="array" ref="H38">_xlfn.IFS($G38=$G$5,H$5,$G38=$G$6,H$6,$G38=$G$7,H$7,$G38=$G$8,H$8,$G38=$G$9,H$9,$G38=$G$10,H$10,$G38=$G$11,H$11,$G38=$G$12,H$12,$G38=$G$13,H$13,$G38=$G$15,H$15,$G38=$G$16,H$16,$G38=$G$17,H$17,$G38=$G$18,H$18,$G38=$G$19,H$19,$G38=$G$20,H$20,$G38=$G$21,H$21,$G38=$G$22,H$22,$G38=$G$25,H$25,$G38=$G$26,H$26,$G38=$G$27,H$27,$G38=$G$29,H$29,$G38=$G$31,H$31,$G38=$G$32,H$32,$G38=$G$248,H$248,$G38=$G$250,H$250)</f>
        <v>41.410684000000003</v>
      </c>
      <c r="I38" s="67" cm="1">
        <f t="array" ref="I38">_xlfn.IFS($G38=$G$5,I$5,$G38=$G$6,I$6,$G38=$G$7,I$7,$G38=$G$8,I$8,$G38=$G$9,I$9,$G38=$G$10,I$10,$G38=$G$11,I$11,$G38=$G$12,I$12,$G38=$G$13,I$13,$G38=$G$15,I$15,$G38=$G$16,I$16,$G38=$G$17,I$17,$G38=$G$18,I$18,$G38=$G$19,I$19,$G38=$G$20,I$20,$G38=$G$21,I$21,$G38=$G$22,I$22,$G38=$G$25,I$25,$G38=$G$26,I$26,$G38=$G$27,I$27,$G38=$G$29,I$29,$G38=$G$31,I$31,$G38=$G$32,I$32,$G38=$G$248,I$248,$G38=$G$250,I$250)</f>
        <v>2.2208019999999999</v>
      </c>
      <c r="J38" s="48" cm="1">
        <f t="array" ref="J38">_xlfn.IFS($G38=$G$5,J$5,$G38=$G$6,J$6,$G38=$G$7,J$7,$G38=$G$8,J$8,$G38=$G$9,J$9,$G38=$G$10,J$10,$G38=$G$11,J$11,$G38=$G$12,J$12,$G38=$G$13,J$13,$G38=$G$15,J$15,$G38=$G$16,J$16,$G38=$G$17,J$17,$G38=$G$18,J$18,$G38=$G$19,J$19,$G38=$G$20,J$20,$G38=$G$21,J$21,$G38=$G$22,J$22,$G38=$G$25,J$25,$G38=$G$26,J$26,$G38=$G$27,J$27,$G38=$G$29,J$29,$G38=$G$31,J$31,$G38=$G$32,J$32,$G38=$G$248,J$248,$G38=$G$250,J$250)</f>
        <v>4</v>
      </c>
      <c r="K38" s="48" t="str" cm="1">
        <f t="array" ref="K38">_xlfn.IFS($G38=$G$5,K$5,$G38=$G$6,K$6,$G38=$G$7,K$7,$G38=$G$8,K$8,$G38=$G$9,K$9,$G38=$G$10,K$10,$G38=$G$11,K$11,$G38=$G$12,K$12,$G38=$G$13,K$13,$G38=$G$15,K$15,$G38=$G$16,K$16,$G38=$G$17,K$17,$G38=$G$18,K$18,$G38=$G$19,K$19,$G38=$G$20,K$20,$G38=$G$21,K$21,$G38=$G$22,K$22,$G38=$G$25,K$25,$G38=$G$26,K$26,$G38=$G$27,K$27,$G38=$G$29,K$29,$G38=$G$31,K$31,$G38=$G$32,K$32,$G38=$G$248,K$248,$G38=$G$250,K$250)</f>
        <v>BG sentinel + BG lure7</v>
      </c>
      <c r="L38" s="48" t="str" cm="1">
        <f t="array" ref="L38">_xlfn.IFS($G38=$G$5,L$5,$G38=$G$6,L$6,$G38=$G$7,L$7,$G38=$G$8,L$8,$G38=$G$9,L$9,$G38=$G$10,L$10,$G38=$G$11,L$11,$G38=$G$12,L$12,$G38=$G$13,L$13,$G38=$G$15,L$15,$G38=$G$16,L$16,$G38=$G$17,L$17,$G38=$G$18,L$18,$G38=$G$19,L$19,$G38=$G$20,L$20,$G38=$G$21,L$21,$G38=$G$22,L$22,$G38=$G$25,L$25,$G38=$G$26,L$26,$G38=$G$27,L$27,$G38=$G$29,L$29,$G38=$G$31,L$31,$G38=$G$32,L$32,$G38=$G$248,L$248,$G38=$G$250,L$250)</f>
        <v>Urban habitat</v>
      </c>
      <c r="M38" s="48"/>
      <c r="N38" s="45"/>
      <c r="O38" s="45" t="str">
        <f t="shared" si="0"/>
        <v>A_SP_BCN_4_210520</v>
      </c>
      <c r="P38" s="49">
        <v>44336</v>
      </c>
      <c r="Q38" s="50"/>
      <c r="R38" s="51"/>
      <c r="S38" s="52">
        <v>44344</v>
      </c>
      <c r="T38" s="53"/>
      <c r="U38" s="51"/>
      <c r="V38" s="54" t="s">
        <v>66</v>
      </c>
      <c r="W38" s="55"/>
      <c r="X38" s="45">
        <f t="shared" si="1"/>
        <v>8</v>
      </c>
      <c r="Y38" s="55"/>
      <c r="Z38" s="45" t="s">
        <v>70</v>
      </c>
      <c r="AA38" s="45">
        <f t="shared" si="2"/>
        <v>16</v>
      </c>
      <c r="AB38" t="str">
        <f t="shared" si="3"/>
        <v>Adult</v>
      </c>
      <c r="AC38" s="69">
        <v>10</v>
      </c>
      <c r="AD38" s="69">
        <v>6</v>
      </c>
      <c r="AE38" s="45" t="str">
        <f t="shared" si="4"/>
        <v>Morphological</v>
      </c>
      <c r="AF38" s="56">
        <v>4</v>
      </c>
      <c r="AG38" s="57"/>
    </row>
    <row r="39" spans="1:33" ht="18" customHeight="1" x14ac:dyDescent="0.25">
      <c r="A39" s="45">
        <v>35</v>
      </c>
      <c r="B39" s="45" t="s">
        <v>60</v>
      </c>
      <c r="C39" s="45" t="s">
        <v>61</v>
      </c>
      <c r="D39" s="45" t="s">
        <v>62</v>
      </c>
      <c r="E39" s="45" t="s">
        <v>62</v>
      </c>
      <c r="F39" s="46" cm="1">
        <f t="array" ref="F39">_xlfn.IFS($G39=$G$5,F$5,$G39=$G$6,F$6,$G39=$G$7,F$7,$G39=$G$8,F$8,$G39=$G$9,F$9,$G39=$G$10,F$10,$G39=$G$11,F$11,$G39=$G$12,F$12,$G39=$G$13,F$13,$G39=$G$15,F$15,$G39=$G$16,F$16,$G39=$G$17,F$17,$G39=$G$18,F$18,$G39=$G$19,F$19,$G39=$G$20,F$20,$G39=$G$21,F$21,$G39=$G$22,F$22,$G39=$G$25,F$25,$G39=$G$26,F$26,$G39=$G$27,F$27,$G39=$G$29,F$29,$G39=$G$31,F$31,$G39=$G$32,F$32,$G39=$G$248,F$248,$G39=$G$250,F$250)</f>
        <v>8019</v>
      </c>
      <c r="G39" s="45" t="s">
        <v>72</v>
      </c>
      <c r="H39" s="67" cm="1">
        <f t="array" ref="H39">_xlfn.IFS($G39=$G$5,H$5,$G39=$G$6,H$6,$G39=$G$7,H$7,$G39=$G$8,H$8,$G39=$G$9,H$9,$G39=$G$10,H$10,$G39=$G$11,H$11,$G39=$G$12,H$12,$G39=$G$13,H$13,$G39=$G$15,H$15,$G39=$G$16,H$16,$G39=$G$17,H$17,$G39=$G$18,H$18,$G39=$G$19,H$19,$G39=$G$20,H$20,$G39=$G$21,H$21,$G39=$G$22,H$22,$G39=$G$25,H$25,$G39=$G$26,H$26,$G39=$G$27,H$27,$G39=$G$29,H$29,$G39=$G$31,H$31,$G39=$G$32,H$32,$G39=$G$248,H$248,$G39=$G$250,H$250)</f>
        <v>41.382339999999999</v>
      </c>
      <c r="I39" s="67" cm="1">
        <f t="array" ref="I39">_xlfn.IFS($G39=$G$5,I$5,$G39=$G$6,I$6,$G39=$G$7,I$7,$G39=$G$8,I$8,$G39=$G$9,I$9,$G39=$G$10,I$10,$G39=$G$11,I$11,$G39=$G$12,I$12,$G39=$G$13,I$13,$G39=$G$15,I$15,$G39=$G$16,I$16,$G39=$G$17,I$17,$G39=$G$18,I$18,$G39=$G$19,I$19,$G39=$G$20,I$20,$G39=$G$21,I$21,$G39=$G$22,I$22,$G39=$G$25,I$25,$G39=$G$26,I$26,$G39=$G$27,I$27,$G39=$G$29,I$29,$G39=$G$31,I$31,$G39=$G$32,I$32,$G39=$G$248,I$248,$G39=$G$250,I$250)</f>
        <v>2.1714790000000002</v>
      </c>
      <c r="J39" s="48" cm="1">
        <f t="array" ref="J39">_xlfn.IFS($G39=$G$5,J$5,$G39=$G$6,J$6,$G39=$G$7,J$7,$G39=$G$8,J$8,$G39=$G$9,J$9,$G39=$G$10,J$10,$G39=$G$11,J$11,$G39=$G$12,J$12,$G39=$G$13,J$13,$G39=$G$15,J$15,$G39=$G$16,J$16,$G39=$G$17,J$17,$G39=$G$18,J$18,$G39=$G$19,J$19,$G39=$G$20,J$20,$G39=$G$21,J$21,$G39=$G$22,J$22,$G39=$G$25,J$25,$G39=$G$26,J$26,$G39=$G$27,J$27,$G39=$G$29,J$29,$G39=$G$31,J$31,$G39=$G$32,J$32,$G39=$G$248,J$248,$G39=$G$250,J$250)</f>
        <v>18</v>
      </c>
      <c r="K39" s="48" t="str" cm="1">
        <f t="array" ref="K39">_xlfn.IFS($G39=$G$5,K$5,$G39=$G$6,K$6,$G39=$G$7,K$7,$G39=$G$8,K$8,$G39=$G$9,K$9,$G39=$G$10,K$10,$G39=$G$11,K$11,$G39=$G$12,K$12,$G39=$G$13,K$13,$G39=$G$15,K$15,$G39=$G$16,K$16,$G39=$G$17,K$17,$G39=$G$18,K$18,$G39=$G$19,K$19,$G39=$G$20,K$20,$G39=$G$21,K$21,$G39=$G$22,K$22,$G39=$G$25,K$25,$G39=$G$26,K$26,$G39=$G$27,K$27,$G39=$G$29,K$29,$G39=$G$31,K$31,$G39=$G$32,K$32,$G39=$G$248,K$248,$G39=$G$250,K$250)</f>
        <v>BG sentinel + BG lure7</v>
      </c>
      <c r="L39" s="48" t="str" cm="1">
        <f t="array" ref="L39">_xlfn.IFS($G39=$G$5,L$5,$G39=$G$6,L$6,$G39=$G$7,L$7,$G39=$G$8,L$8,$G39=$G$9,L$9,$G39=$G$10,L$10,$G39=$G$11,L$11,$G39=$G$12,L$12,$G39=$G$13,L$13,$G39=$G$15,L$15,$G39=$G$16,L$16,$G39=$G$17,L$17,$G39=$G$18,L$18,$G39=$G$19,L$19,$G39=$G$20,L$20,$G39=$G$21,L$21,$G39=$G$22,L$22,$G39=$G$25,L$25,$G39=$G$26,L$26,$G39=$G$27,L$27,$G39=$G$29,L$29,$G39=$G$31,L$31,$G39=$G$32,L$32,$G39=$G$248,L$248,$G39=$G$250,L$250)</f>
        <v>Urban habitat</v>
      </c>
      <c r="M39" s="48"/>
      <c r="N39" s="45"/>
      <c r="O39" s="45" t="str">
        <f t="shared" si="0"/>
        <v>A_SP_BCN_5_210520</v>
      </c>
      <c r="P39" s="49">
        <v>44336</v>
      </c>
      <c r="Q39" s="50"/>
      <c r="R39" s="51"/>
      <c r="S39" s="52">
        <v>44344</v>
      </c>
      <c r="T39" s="53"/>
      <c r="U39" s="51"/>
      <c r="V39" s="54" t="s">
        <v>66</v>
      </c>
      <c r="W39" s="55"/>
      <c r="X39" s="45">
        <f t="shared" si="1"/>
        <v>8</v>
      </c>
      <c r="Y39" s="55"/>
      <c r="Z39" s="45" t="s">
        <v>70</v>
      </c>
      <c r="AA39" s="45">
        <f t="shared" si="2"/>
        <v>3</v>
      </c>
      <c r="AB39" t="str">
        <f t="shared" si="3"/>
        <v>Adult</v>
      </c>
      <c r="AC39" s="45">
        <v>3</v>
      </c>
      <c r="AD39" s="45">
        <v>0</v>
      </c>
      <c r="AE39" s="45" t="str">
        <f t="shared" si="4"/>
        <v>Morphological</v>
      </c>
      <c r="AF39" s="56">
        <v>4</v>
      </c>
      <c r="AG39" s="57"/>
    </row>
    <row r="40" spans="1:33" ht="18" customHeight="1" x14ac:dyDescent="0.25">
      <c r="A40" s="45">
        <v>36</v>
      </c>
      <c r="B40" s="45" t="s">
        <v>60</v>
      </c>
      <c r="C40" s="45" t="s">
        <v>61</v>
      </c>
      <c r="D40" s="45" t="s">
        <v>62</v>
      </c>
      <c r="E40" s="45" t="s">
        <v>62</v>
      </c>
      <c r="F40" s="46" cm="1">
        <f t="array" ref="F40">_xlfn.IFS($G40=$G$5,F$5,$G40=$G$6,F$6,$G40=$G$7,F$7,$G40=$G$8,F$8,$G40=$G$9,F$9,$G40=$G$10,F$10,$G40=$G$11,F$11,$G40=$G$12,F$12,$G40=$G$13,F$13,$G40=$G$15,F$15,$G40=$G$16,F$16,$G40=$G$17,F$17,$G40=$G$18,F$18,$G40=$G$19,F$19,$G40=$G$20,F$20,$G40=$G$21,F$21,$G40=$G$22,F$22,$G40=$G$25,F$25,$G40=$G$26,F$26,$G40=$G$27,F$27,$G40=$G$29,F$29,$G40=$G$31,F$31,$G40=$G$32,F$32,$G40=$G$248,F$248,$G40=$G$250,F$250)</f>
        <v>8002</v>
      </c>
      <c r="G40" s="45" t="s">
        <v>73</v>
      </c>
      <c r="H40" s="67" cm="1">
        <f t="array" ref="H40">_xlfn.IFS($G40=$G$5,H$5,$G40=$G$6,H$6,$G40=$G$7,H$7,$G40=$G$8,H$8,$G40=$G$9,H$9,$G40=$G$10,H$10,$G40=$G$11,H$11,$G40=$G$12,H$12,$G40=$G$13,H$13,$G40=$G$15,H$15,$G40=$G$16,H$16,$G40=$G$17,H$17,$G40=$G$18,H$18,$G40=$G$19,H$19,$G40=$G$20,H$20,$G40=$G$21,H$21,$G40=$G$22,H$22,$G40=$G$25,H$25,$G40=$G$26,H$26,$G40=$G$27,H$27,$G40=$G$29,H$29,$G40=$G$31,H$31,$G40=$G$32,H$32,$G40=$G$248,H$248,$G40=$G$250,H$250)</f>
        <v>41.371864000000002</v>
      </c>
      <c r="I40" s="67" cm="1">
        <f t="array" ref="I40">_xlfn.IFS($G40=$G$5,I$5,$G40=$G$6,I$6,$G40=$G$7,I$7,$G40=$G$8,I$8,$G40=$G$9,I$9,$G40=$G$10,I$10,$G40=$G$11,I$11,$G40=$G$12,I$12,$G40=$G$13,I$13,$G40=$G$15,I$15,$G40=$G$16,I$16,$G40=$G$17,I$17,$G40=$G$18,I$18,$G40=$G$19,I$19,$G40=$G$20,I$20,$G40=$G$21,I$21,$G40=$G$22,I$22,$G40=$G$25,I$25,$G40=$G$26,I$26,$G40=$G$27,I$27,$G40=$G$29,I$29,$G40=$G$31,I$31,$G40=$G$32,I$32,$G40=$G$248,I$248,$G40=$G$250,I$250)</f>
        <v>2.173899</v>
      </c>
      <c r="J40" s="48" cm="1">
        <f t="array" ref="J40">_xlfn.IFS($G40=$G$5,J$5,$G40=$G$6,J$6,$G40=$G$7,J$7,$G40=$G$8,J$8,$G40=$G$9,J$9,$G40=$G$10,J$10,$G40=$G$11,J$11,$G40=$G$12,J$12,$G40=$G$13,J$13,$G40=$G$15,J$15,$G40=$G$16,J$16,$G40=$G$17,J$17,$G40=$G$18,J$18,$G40=$G$19,J$19,$G40=$G$20,J$20,$G40=$G$21,J$21,$G40=$G$22,J$22,$G40=$G$25,J$25,$G40=$G$26,J$26,$G40=$G$27,J$27,$G40=$G$29,J$29,$G40=$G$31,J$31,$G40=$G$32,J$32,$G40=$G$248,J$248,$G40=$G$250,J$250)</f>
        <v>19</v>
      </c>
      <c r="K40" s="48" t="str" cm="1">
        <f t="array" ref="K40">_xlfn.IFS($G40=$G$5,K$5,$G40=$G$6,K$6,$G40=$G$7,K$7,$G40=$G$8,K$8,$G40=$G$9,K$9,$G40=$G$10,K$10,$G40=$G$11,K$11,$G40=$G$12,K$12,$G40=$G$13,K$13,$G40=$G$15,K$15,$G40=$G$16,K$16,$G40=$G$17,K$17,$G40=$G$18,K$18,$G40=$G$19,K$19,$G40=$G$20,K$20,$G40=$G$21,K$21,$G40=$G$22,K$22,$G40=$G$25,K$25,$G40=$G$26,K$26,$G40=$G$27,K$27,$G40=$G$29,K$29,$G40=$G$31,K$31,$G40=$G$32,K$32,$G40=$G$248,K$248,$G40=$G$250,K$250)</f>
        <v>BG sentinel + BG lure7</v>
      </c>
      <c r="L40" s="48" t="str" cm="1">
        <f t="array" ref="L40">_xlfn.IFS($G40=$G$5,L$5,$G40=$G$6,L$6,$G40=$G$7,L$7,$G40=$G$8,L$8,$G40=$G$9,L$9,$G40=$G$10,L$10,$G40=$G$11,L$11,$G40=$G$12,L$12,$G40=$G$13,L$13,$G40=$G$15,L$15,$G40=$G$16,L$16,$G40=$G$17,L$17,$G40=$G$18,L$18,$G40=$G$19,L$19,$G40=$G$20,L$20,$G40=$G$21,L$21,$G40=$G$22,L$22,$G40=$G$25,L$25,$G40=$G$26,L$26,$G40=$G$27,L$27,$G40=$G$29,L$29,$G40=$G$31,L$31,$G40=$G$32,L$32,$G40=$G$248,L$248,$G40=$G$250,L$250)</f>
        <v>Urban habitat</v>
      </c>
      <c r="M40" s="48"/>
      <c r="N40" s="45"/>
      <c r="O40" s="45" t="str">
        <f t="shared" si="0"/>
        <v>A_SP_BCN_6_210521</v>
      </c>
      <c r="P40" s="49">
        <v>44337</v>
      </c>
      <c r="Q40" s="50"/>
      <c r="R40" s="51"/>
      <c r="S40" s="52">
        <v>44344</v>
      </c>
      <c r="T40" s="53"/>
      <c r="U40" s="51"/>
      <c r="V40" s="54" t="s">
        <v>66</v>
      </c>
      <c r="W40" s="55"/>
      <c r="X40" s="45">
        <f t="shared" si="1"/>
        <v>7</v>
      </c>
      <c r="Y40" s="55"/>
      <c r="Z40" s="45"/>
      <c r="AA40" s="45">
        <f t="shared" si="2"/>
        <v>0</v>
      </c>
      <c r="AB40" t="str">
        <f t="shared" si="3"/>
        <v/>
      </c>
      <c r="AC40" s="45"/>
      <c r="AD40" s="45"/>
      <c r="AE40" s="45" t="str">
        <f t="shared" si="4"/>
        <v/>
      </c>
      <c r="AF40" s="56">
        <v>4</v>
      </c>
      <c r="AG40" s="57"/>
    </row>
    <row r="41" spans="1:33" ht="18" customHeight="1" x14ac:dyDescent="0.25">
      <c r="A41" s="45">
        <v>37</v>
      </c>
      <c r="B41" s="45" t="s">
        <v>60</v>
      </c>
      <c r="C41" s="45" t="s">
        <v>61</v>
      </c>
      <c r="D41" s="45" t="s">
        <v>62</v>
      </c>
      <c r="E41" s="45" t="s">
        <v>62</v>
      </c>
      <c r="F41" s="46" cm="1">
        <f t="array" ref="F41">_xlfn.IFS($G41=$G$5,F$5,$G41=$G$6,F$6,$G41=$G$7,F$7,$G41=$G$8,F$8,$G41=$G$9,F$9,$G41=$G$10,F$10,$G41=$G$11,F$11,$G41=$G$12,F$12,$G41=$G$13,F$13,$G41=$G$15,F$15,$G41=$G$16,F$16,$G41=$G$17,F$17,$G41=$G$18,F$18,$G41=$G$19,F$19,$G41=$G$20,F$20,$G41=$G$21,F$21,$G41=$G$22,F$22,$G41=$G$25,F$25,$G41=$G$26,F$26,$G41=$G$27,F$27,$G41=$G$29,F$29,$G41=$G$31,F$31,$G41=$G$32,F$32,$G41=$G$248,F$248,$G41=$G$250,F$250)</f>
        <v>8038</v>
      </c>
      <c r="G41" s="45" t="s">
        <v>74</v>
      </c>
      <c r="H41" s="67" cm="1">
        <f t="array" ref="H41">_xlfn.IFS($G41=$G$5,H$5,$G41=$G$6,H$6,$G41=$G$7,H$7,$G41=$G$8,H$8,$G41=$G$9,H$9,$G41=$G$10,H$10,$G41=$G$11,H$11,$G41=$G$12,H$12,$G41=$G$13,H$13,$G41=$G$15,H$15,$G41=$G$16,H$16,$G41=$G$17,H$17,$G41=$G$18,H$18,$G41=$G$19,H$19,$G41=$G$20,H$20,$G41=$G$21,H$21,$G41=$G$22,H$22,$G41=$G$25,H$25,$G41=$G$26,H$26,$G41=$G$27,H$27,$G41=$G$29,H$29,$G41=$G$31,H$31,$G41=$G$32,H$32,$G41=$G$248,H$248,$G41=$G$250,H$250)</f>
        <v>41.371864000000002</v>
      </c>
      <c r="I41" s="67" cm="1">
        <f t="array" ref="I41">_xlfn.IFS($G41=$G$5,I$5,$G41=$G$6,I$6,$G41=$G$7,I$7,$G41=$G$8,I$8,$G41=$G$9,I$9,$G41=$G$10,I$10,$G41=$G$11,I$11,$G41=$G$12,I$12,$G41=$G$13,I$13,$G41=$G$15,I$15,$G41=$G$16,I$16,$G41=$G$17,I$17,$G41=$G$18,I$18,$G41=$G$19,I$19,$G41=$G$20,I$20,$G41=$G$21,I$21,$G41=$G$22,I$22,$G41=$G$25,I$25,$G41=$G$26,I$26,$G41=$G$27,I$27,$G41=$G$29,I$29,$G41=$G$31,I$31,$G41=$G$32,I$32,$G41=$G$248,I$248,$G41=$G$250,I$250)</f>
        <v>2.173899</v>
      </c>
      <c r="J41" s="48" cm="1">
        <f t="array" ref="J41">_xlfn.IFS($G41=$G$5,J$5,$G41=$G$6,J$6,$G41=$G$7,J$7,$G41=$G$8,J$8,$G41=$G$9,J$9,$G41=$G$10,J$10,$G41=$G$11,J$11,$G41=$G$12,J$12,$G41=$G$13,J$13,$G41=$G$15,J$15,$G41=$G$16,J$16,$G41=$G$17,J$17,$G41=$G$18,J$18,$G41=$G$19,J$19,$G41=$G$20,J$20,$G41=$G$21,J$21,$G41=$G$22,J$22,$G41=$G$25,J$25,$G41=$G$26,J$26,$G41=$G$27,J$27,$G41=$G$29,J$29,$G41=$G$31,J$31,$G41=$G$32,J$32,$G41=$G$248,J$248,$G41=$G$250,J$250)</f>
        <v>5</v>
      </c>
      <c r="K41" s="48" t="str" cm="1">
        <f t="array" ref="K41">_xlfn.IFS($G41=$G$5,K$5,$G41=$G$6,K$6,$G41=$G$7,K$7,$G41=$G$8,K$8,$G41=$G$9,K$9,$G41=$G$10,K$10,$G41=$G$11,K$11,$G41=$G$12,K$12,$G41=$G$13,K$13,$G41=$G$15,K$15,$G41=$G$16,K$16,$G41=$G$17,K$17,$G41=$G$18,K$18,$G41=$G$19,K$19,$G41=$G$20,K$20,$G41=$G$21,K$21,$G41=$G$22,K$22,$G41=$G$25,K$25,$G41=$G$26,K$26,$G41=$G$27,K$27,$G41=$G$29,K$29,$G41=$G$31,K$31,$G41=$G$32,K$32,$G41=$G$248,K$248,$G41=$G$250,K$250)</f>
        <v>BG sentinel + BG lure7</v>
      </c>
      <c r="L41" s="48" t="str" cm="1">
        <f t="array" ref="L41">_xlfn.IFS($G41=$G$5,L$5,$G41=$G$6,L$6,$G41=$G$7,L$7,$G41=$G$8,L$8,$G41=$G$9,L$9,$G41=$G$10,L$10,$G41=$G$11,L$11,$G41=$G$12,L$12,$G41=$G$13,L$13,$G41=$G$15,L$15,$G41=$G$16,L$16,$G41=$G$17,L$17,$G41=$G$18,L$18,$G41=$G$19,L$19,$G41=$G$20,L$20,$G41=$G$21,L$21,$G41=$G$22,L$22,$G41=$G$25,L$25,$G41=$G$26,L$26,$G41=$G$27,L$27,$G41=$G$29,L$29,$G41=$G$31,L$31,$G41=$G$32,L$32,$G41=$G$248,L$248,$G41=$G$250,L$250)</f>
        <v>Urban habitat</v>
      </c>
      <c r="M41" s="48"/>
      <c r="N41" s="45"/>
      <c r="O41" s="45" t="str">
        <f t="shared" si="0"/>
        <v>A_SP_BCN_7_210521</v>
      </c>
      <c r="P41" s="49">
        <v>44337</v>
      </c>
      <c r="Q41" s="50"/>
      <c r="R41" s="51"/>
      <c r="S41" s="52">
        <v>44344</v>
      </c>
      <c r="T41" s="53"/>
      <c r="U41" s="51"/>
      <c r="V41" s="54" t="s">
        <v>66</v>
      </c>
      <c r="W41" s="55"/>
      <c r="X41" s="45">
        <f t="shared" si="1"/>
        <v>7</v>
      </c>
      <c r="Y41" s="55"/>
      <c r="Z41" s="45" t="s">
        <v>70</v>
      </c>
      <c r="AA41" s="45">
        <f t="shared" si="2"/>
        <v>1</v>
      </c>
      <c r="AB41" t="str">
        <f t="shared" si="3"/>
        <v>Adult</v>
      </c>
      <c r="AC41" s="45">
        <v>1</v>
      </c>
      <c r="AD41" s="45">
        <v>0</v>
      </c>
      <c r="AE41" s="45" t="str">
        <f t="shared" si="4"/>
        <v>Morphological</v>
      </c>
      <c r="AF41" s="56">
        <v>4</v>
      </c>
      <c r="AG41" s="57"/>
    </row>
    <row r="42" spans="1:33" ht="18" customHeight="1" x14ac:dyDescent="0.25">
      <c r="A42" s="45">
        <v>38</v>
      </c>
      <c r="B42" s="45" t="s">
        <v>60</v>
      </c>
      <c r="C42" s="45" t="s">
        <v>61</v>
      </c>
      <c r="D42" s="45" t="s">
        <v>62</v>
      </c>
      <c r="E42" s="45" t="s">
        <v>62</v>
      </c>
      <c r="F42" s="46" cm="1">
        <f t="array" ref="F42">_xlfn.IFS($G42=$G$5,F$5,$G42=$G$6,F$6,$G42=$G$7,F$7,$G42=$G$8,F$8,$G42=$G$9,F$9,$G42=$G$10,F$10,$G42=$G$11,F$11,$G42=$G$12,F$12,$G42=$G$13,F$13,$G42=$G$15,F$15,$G42=$G$16,F$16,$G42=$G$17,F$17,$G42=$G$18,F$18,$G42=$G$19,F$19,$G42=$G$20,F$20,$G42=$G$21,F$21,$G42=$G$22,F$22,$G42=$G$25,F$25,$G42=$G$26,F$26,$G42=$G$27,F$27,$G42=$G$29,F$29,$G42=$G$31,F$31,$G42=$G$32,F$32,$G42=$G$248,F$248,$G42=$G$250,F$250)</f>
        <v>8038</v>
      </c>
      <c r="G42" s="45" t="s">
        <v>75</v>
      </c>
      <c r="H42" s="67" cm="1">
        <f t="array" ref="H42">_xlfn.IFS($G42=$G$5,H$5,$G42=$G$6,H$6,$G42=$G$7,H$7,$G42=$G$8,H$8,$G42=$G$9,H$9,$G42=$G$10,H$10,$G42=$G$11,H$11,$G42=$G$12,H$12,$G42=$G$13,H$13,$G42=$G$15,H$15,$G42=$G$16,H$16,$G42=$G$17,H$17,$G42=$G$18,H$18,$G42=$G$19,H$19,$G42=$G$20,H$20,$G42=$G$21,H$21,$G42=$G$22,H$22,$G42=$G$25,H$25,$G42=$G$26,H$26,$G42=$G$27,H$27,$G42=$G$29,H$29,$G42=$G$31,H$31,$G42=$G$32,H$32,$G42=$G$248,H$248,$G42=$G$250,H$250)</f>
        <v>41.368589</v>
      </c>
      <c r="I42" s="67" cm="1">
        <f t="array" ref="I42">_xlfn.IFS($G42=$G$5,I$5,$G42=$G$6,I$6,$G42=$G$7,I$7,$G42=$G$8,I$8,$G42=$G$9,I$9,$G42=$G$10,I$10,$G42=$G$11,I$11,$G42=$G$12,I$12,$G42=$G$13,I$13,$G42=$G$15,I$15,$G42=$G$16,I$16,$G42=$G$17,I$17,$G42=$G$18,I$18,$G42=$G$19,I$19,$G42=$G$20,I$20,$G42=$G$21,I$21,$G42=$G$22,I$22,$G42=$G$25,I$25,$G42=$G$26,I$26,$G42=$G$27,I$27,$G42=$G$29,I$29,$G42=$G$31,I$31,$G42=$G$32,I$32,$G42=$G$248,I$248,$G42=$G$250,I$250)</f>
        <v>2.1620900000000001</v>
      </c>
      <c r="J42" s="48" cm="1">
        <f t="array" ref="J42">_xlfn.IFS($G42=$G$5,J$5,$G42=$G$6,J$6,$G42=$G$7,J$7,$G42=$G$8,J$8,$G42=$G$9,J$9,$G42=$G$10,J$10,$G42=$G$11,J$11,$G42=$G$12,J$12,$G42=$G$13,J$13,$G42=$G$15,J$15,$G42=$G$16,J$16,$G42=$G$17,J$17,$G42=$G$18,J$18,$G42=$G$19,J$19,$G42=$G$20,J$20,$G42=$G$21,J$21,$G42=$G$22,J$22,$G42=$G$25,J$25,$G42=$G$26,J$26,$G42=$G$27,J$27,$G42=$G$29,J$29,$G42=$G$31,J$31,$G42=$G$32,J$32,$G42=$G$248,J$248,$G42=$G$250,J$250)</f>
        <v>95</v>
      </c>
      <c r="K42" s="48" t="str" cm="1">
        <f t="array" ref="K42">_xlfn.IFS($G42=$G$5,K$5,$G42=$G$6,K$6,$G42=$G$7,K$7,$G42=$G$8,K$8,$G42=$G$9,K$9,$G42=$G$10,K$10,$G42=$G$11,K$11,$G42=$G$12,K$12,$G42=$G$13,K$13,$G42=$G$15,K$15,$G42=$G$16,K$16,$G42=$G$17,K$17,$G42=$G$18,K$18,$G42=$G$19,K$19,$G42=$G$20,K$20,$G42=$G$21,K$21,$G42=$G$22,K$22,$G42=$G$25,K$25,$G42=$G$26,K$26,$G42=$G$27,K$27,$G42=$G$29,K$29,$G42=$G$31,K$31,$G42=$G$32,K$32,$G42=$G$248,K$248,$G42=$G$250,K$250)</f>
        <v>BG sentinel + BG lure7</v>
      </c>
      <c r="L42" s="48" t="str" cm="1">
        <f t="array" ref="L42">_xlfn.IFS($G42=$G$5,L$5,$G42=$G$6,L$6,$G42=$G$7,L$7,$G42=$G$8,L$8,$G42=$G$9,L$9,$G42=$G$10,L$10,$G42=$G$11,L$11,$G42=$G$12,L$12,$G42=$G$13,L$13,$G42=$G$15,L$15,$G42=$G$16,L$16,$G42=$G$17,L$17,$G42=$G$18,L$18,$G42=$G$19,L$19,$G42=$G$20,L$20,$G42=$G$21,L$21,$G42=$G$22,L$22,$G42=$G$25,L$25,$G42=$G$26,L$26,$G42=$G$27,L$27,$G42=$G$29,L$29,$G42=$G$31,L$31,$G42=$G$32,L$32,$G42=$G$248,L$248,$G42=$G$250,L$250)</f>
        <v>Other</v>
      </c>
      <c r="M42" s="48" t="str" cm="1">
        <f t="array" ref="M42">_xlfn.IFS($G42=$G$5,M$5,$G42=$G$6,M$6,$G42=$G$7,M$7,$G42=$G$8,M$8,$G42=$G$9,M$9,$G42=$G$10,M$10,$G42=$G$11,M$11,$G42=$G$12,M$12,$G42=$G$13,M$13,$G42=$G$15,M$15,$G42=$G$16,M$16,$G42=$G$17,M$17,$G42=$G$18,M$18,$G42=$G$19,M$19,$G42=$G$20,M$20,$G42=$G$21,M$21,$G42=$G$22,M$22,$G42=$G$25,M$25,$G42=$G$26,M$26,$G42=$G$27,M$27,$G42=$G$29,M$29,$G42=$G$31,M$31,$G42=$G$32,M$32,$G42=$G$248,M$248,$G42=$G$250,M$250)</f>
        <v>Plant nursery</v>
      </c>
      <c r="N42" s="45"/>
      <c r="O42" s="45" t="str">
        <f t="shared" si="0"/>
        <v>A_SP_BCN_8_210521</v>
      </c>
      <c r="P42" s="49">
        <v>44337</v>
      </c>
      <c r="Q42" s="50"/>
      <c r="R42" s="51"/>
      <c r="S42" s="52">
        <v>44344</v>
      </c>
      <c r="T42" s="53"/>
      <c r="U42" s="51"/>
      <c r="V42" s="54" t="s">
        <v>66</v>
      </c>
      <c r="W42" s="55"/>
      <c r="X42" s="45">
        <f t="shared" si="1"/>
        <v>7</v>
      </c>
      <c r="Y42" s="55"/>
      <c r="Z42" s="45" t="s">
        <v>69</v>
      </c>
      <c r="AA42" s="45">
        <f t="shared" si="2"/>
        <v>3</v>
      </c>
      <c r="AB42" t="str">
        <f t="shared" si="3"/>
        <v>Adult</v>
      </c>
      <c r="AC42" s="45">
        <v>3</v>
      </c>
      <c r="AD42" s="45">
        <v>0</v>
      </c>
      <c r="AE42" s="45" t="str">
        <f t="shared" si="4"/>
        <v>Morphological</v>
      </c>
      <c r="AF42" s="56">
        <v>4</v>
      </c>
      <c r="AG42" s="57"/>
    </row>
    <row r="43" spans="1:33" ht="18" customHeight="1" x14ac:dyDescent="0.25">
      <c r="A43" s="45">
        <v>39</v>
      </c>
      <c r="B43" s="45" t="s">
        <v>60</v>
      </c>
      <c r="C43" s="45" t="s">
        <v>61</v>
      </c>
      <c r="D43" s="45" t="s">
        <v>62</v>
      </c>
      <c r="E43" s="45" t="s">
        <v>62</v>
      </c>
      <c r="F43" s="46" cm="1">
        <f t="array" ref="F43">_xlfn.IFS($G43=$G$5,F$5,$G43=$G$6,F$6,$G43=$G$7,F$7,$G43=$G$8,F$8,$G43=$G$9,F$9,$G43=$G$10,F$10,$G43=$G$11,F$11,$G43=$G$12,F$12,$G43=$G$13,F$13,$G43=$G$15,F$15,$G43=$G$16,F$16,$G43=$G$17,F$17,$G43=$G$18,F$18,$G43=$G$19,F$19,$G43=$G$20,F$20,$G43=$G$21,F$21,$G43=$G$22,F$22,$G43=$G$25,F$25,$G43=$G$26,F$26,$G43=$G$27,F$27,$G43=$G$29,F$29,$G43=$G$31,F$31,$G43=$G$32,F$32,$G43=$G$248,F$248,$G43=$G$250,F$250)</f>
        <v>8038</v>
      </c>
      <c r="G43" s="45" t="s">
        <v>75</v>
      </c>
      <c r="H43" s="67" cm="1">
        <f t="array" ref="H43">_xlfn.IFS($G43=$G$5,H$5,$G43=$G$6,H$6,$G43=$G$7,H$7,$G43=$G$8,H$8,$G43=$G$9,H$9,$G43=$G$10,H$10,$G43=$G$11,H$11,$G43=$G$12,H$12,$G43=$G$13,H$13,$G43=$G$15,H$15,$G43=$G$16,H$16,$G43=$G$17,H$17,$G43=$G$18,H$18,$G43=$G$19,H$19,$G43=$G$20,H$20,$G43=$G$21,H$21,$G43=$G$22,H$22,$G43=$G$25,H$25,$G43=$G$26,H$26,$G43=$G$27,H$27,$G43=$G$29,H$29,$G43=$G$31,H$31,$G43=$G$32,H$32,$G43=$G$248,H$248,$G43=$G$250,H$250)</f>
        <v>41.368589</v>
      </c>
      <c r="I43" s="67" cm="1">
        <f t="array" ref="I43">_xlfn.IFS($G43=$G$5,I$5,$G43=$G$6,I$6,$G43=$G$7,I$7,$G43=$G$8,I$8,$G43=$G$9,I$9,$G43=$G$10,I$10,$G43=$G$11,I$11,$G43=$G$12,I$12,$G43=$G$13,I$13,$G43=$G$15,I$15,$G43=$G$16,I$16,$G43=$G$17,I$17,$G43=$G$18,I$18,$G43=$G$19,I$19,$G43=$G$20,I$20,$G43=$G$21,I$21,$G43=$G$22,I$22,$G43=$G$25,I$25,$G43=$G$26,I$26,$G43=$G$27,I$27,$G43=$G$29,I$29,$G43=$G$31,I$31,$G43=$G$32,I$32,$G43=$G$248,I$248,$G43=$G$250,I$250)</f>
        <v>2.1620900000000001</v>
      </c>
      <c r="J43" s="48" cm="1">
        <f t="array" ref="J43">_xlfn.IFS($G43=$G$5,J$5,$G43=$G$6,J$6,$G43=$G$7,J$7,$G43=$G$8,J$8,$G43=$G$9,J$9,$G43=$G$10,J$10,$G43=$G$11,J$11,$G43=$G$12,J$12,$G43=$G$13,J$13,$G43=$G$15,J$15,$G43=$G$16,J$16,$G43=$G$17,J$17,$G43=$G$18,J$18,$G43=$G$19,J$19,$G43=$G$20,J$20,$G43=$G$21,J$21,$G43=$G$22,J$22,$G43=$G$25,J$25,$G43=$G$26,J$26,$G43=$G$27,J$27,$G43=$G$29,J$29,$G43=$G$31,J$31,$G43=$G$32,J$32,$G43=$G$248,J$248,$G43=$G$250,J$250)</f>
        <v>95</v>
      </c>
      <c r="K43" s="48" t="str" cm="1">
        <f t="array" ref="K43">_xlfn.IFS($G43=$G$5,K$5,$G43=$G$6,K$6,$G43=$G$7,K$7,$G43=$G$8,K$8,$G43=$G$9,K$9,$G43=$G$10,K$10,$G43=$G$11,K$11,$G43=$G$12,K$12,$G43=$G$13,K$13,$G43=$G$15,K$15,$G43=$G$16,K$16,$G43=$G$17,K$17,$G43=$G$18,K$18,$G43=$G$19,K$19,$G43=$G$20,K$20,$G43=$G$21,K$21,$G43=$G$22,K$22,$G43=$G$25,K$25,$G43=$G$26,K$26,$G43=$G$27,K$27,$G43=$G$29,K$29,$G43=$G$31,K$31,$G43=$G$32,K$32,$G43=$G$248,K$248,$G43=$G$250,K$250)</f>
        <v>BG sentinel + BG lure7</v>
      </c>
      <c r="L43" s="48" t="str" cm="1">
        <f t="array" ref="L43">_xlfn.IFS($G43=$G$5,L$5,$G43=$G$6,L$6,$G43=$G$7,L$7,$G43=$G$8,L$8,$G43=$G$9,L$9,$G43=$G$10,L$10,$G43=$G$11,L$11,$G43=$G$12,L$12,$G43=$G$13,L$13,$G43=$G$15,L$15,$G43=$G$16,L$16,$G43=$G$17,L$17,$G43=$G$18,L$18,$G43=$G$19,L$19,$G43=$G$20,L$20,$G43=$G$21,L$21,$G43=$G$22,L$22,$G43=$G$25,L$25,$G43=$G$26,L$26,$G43=$G$27,L$27,$G43=$G$29,L$29,$G43=$G$31,L$31,$G43=$G$32,L$32,$G43=$G$248,L$248,$G43=$G$250,L$250)</f>
        <v>Other</v>
      </c>
      <c r="M43" s="48" t="str" cm="1">
        <f t="array" ref="M43">_xlfn.IFS($G43=$G$5,M$5,$G43=$G$6,M$6,$G43=$G$7,M$7,$G43=$G$8,M$8,$G43=$G$9,M$9,$G43=$G$10,M$10,$G43=$G$11,M$11,$G43=$G$12,M$12,$G43=$G$13,M$13,$G43=$G$15,M$15,$G43=$G$16,M$16,$G43=$G$17,M$17,$G43=$G$18,M$18,$G43=$G$19,M$19,$G43=$G$20,M$20,$G43=$G$21,M$21,$G43=$G$22,M$22,$G43=$G$25,M$25,$G43=$G$26,M$26,$G43=$G$27,M$27,$G43=$G$29,M$29,$G43=$G$31,M$31,$G43=$G$32,M$32,$G43=$G$248,M$248,$G43=$G$250,M$250)</f>
        <v>Plant nursery</v>
      </c>
      <c r="N43" s="45"/>
      <c r="O43" s="45" t="str">
        <f t="shared" si="0"/>
        <v>A_SP_BCN_8_210521</v>
      </c>
      <c r="P43" s="49">
        <v>44337</v>
      </c>
      <c r="Q43" s="50"/>
      <c r="R43" s="51"/>
      <c r="S43" s="52">
        <v>44344</v>
      </c>
      <c r="T43" s="53"/>
      <c r="U43" s="51"/>
      <c r="V43" s="54" t="s">
        <v>66</v>
      </c>
      <c r="W43" s="55"/>
      <c r="X43" s="45">
        <f t="shared" si="1"/>
        <v>7</v>
      </c>
      <c r="Y43" s="55"/>
      <c r="Z43" s="45" t="s">
        <v>70</v>
      </c>
      <c r="AA43" s="45">
        <f t="shared" si="2"/>
        <v>1</v>
      </c>
      <c r="AB43" t="str">
        <f t="shared" si="3"/>
        <v>Adult</v>
      </c>
      <c r="AC43" s="45">
        <v>1</v>
      </c>
      <c r="AD43" s="45">
        <v>0</v>
      </c>
      <c r="AE43" s="45" t="str">
        <f t="shared" si="4"/>
        <v>Morphological</v>
      </c>
      <c r="AF43" s="56">
        <v>4</v>
      </c>
      <c r="AG43" s="57"/>
    </row>
    <row r="44" spans="1:33" ht="18" customHeight="1" x14ac:dyDescent="0.25">
      <c r="A44" s="45">
        <v>40</v>
      </c>
      <c r="B44" s="45" t="s">
        <v>60</v>
      </c>
      <c r="C44" s="45" t="s">
        <v>61</v>
      </c>
      <c r="D44" s="45" t="s">
        <v>62</v>
      </c>
      <c r="E44" s="45" t="s">
        <v>62</v>
      </c>
      <c r="F44" s="46" cm="1">
        <f t="array" ref="F44">_xlfn.IFS($G44=$G$5,F$5,$G44=$G$6,F$6,$G44=$G$7,F$7,$G44=$G$8,F$8,$G44=$G$9,F$9,$G44=$G$10,F$10,$G44=$G$11,F$11,$G44=$G$12,F$12,$G44=$G$13,F$13,$G44=$G$15,F$15,$G44=$G$16,F$16,$G44=$G$17,F$17,$G44=$G$18,F$18,$G44=$G$19,F$19,$G44=$G$20,F$20,$G44=$G$21,F$21,$G44=$G$22,F$22,$G44=$G$25,F$25,$G44=$G$26,F$26,$G44=$G$27,F$27,$G44=$G$29,F$29,$G44=$G$31,F$31,$G44=$G$32,F$32,$G44=$G$248,F$248,$G44=$G$250,F$250)</f>
        <v>8038</v>
      </c>
      <c r="G44" s="45" t="s">
        <v>75</v>
      </c>
      <c r="H44" s="67" cm="1">
        <f t="array" ref="H44">_xlfn.IFS($G44=$G$5,H$5,$G44=$G$6,H$6,$G44=$G$7,H$7,$G44=$G$8,H$8,$G44=$G$9,H$9,$G44=$G$10,H$10,$G44=$G$11,H$11,$G44=$G$12,H$12,$G44=$G$13,H$13,$G44=$G$15,H$15,$G44=$G$16,H$16,$G44=$G$17,H$17,$G44=$G$18,H$18,$G44=$G$19,H$19,$G44=$G$20,H$20,$G44=$G$21,H$21,$G44=$G$22,H$22,$G44=$G$25,H$25,$G44=$G$26,H$26,$G44=$G$27,H$27,$G44=$G$29,H$29,$G44=$G$31,H$31,$G44=$G$32,H$32,$G44=$G$248,H$248,$G44=$G$250,H$250)</f>
        <v>41.368589</v>
      </c>
      <c r="I44" s="67" cm="1">
        <f t="array" ref="I44">_xlfn.IFS($G44=$G$5,I$5,$G44=$G$6,I$6,$G44=$G$7,I$7,$G44=$G$8,I$8,$G44=$G$9,I$9,$G44=$G$10,I$10,$G44=$G$11,I$11,$G44=$G$12,I$12,$G44=$G$13,I$13,$G44=$G$15,I$15,$G44=$G$16,I$16,$G44=$G$17,I$17,$G44=$G$18,I$18,$G44=$G$19,I$19,$G44=$G$20,I$20,$G44=$G$21,I$21,$G44=$G$22,I$22,$G44=$G$25,I$25,$G44=$G$26,I$26,$G44=$G$27,I$27,$G44=$G$29,I$29,$G44=$G$31,I$31,$G44=$G$32,I$32,$G44=$G$248,I$248,$G44=$G$250,I$250)</f>
        <v>2.1620900000000001</v>
      </c>
      <c r="J44" s="48" cm="1">
        <f t="array" ref="J44">_xlfn.IFS($G44=$G$5,J$5,$G44=$G$6,J$6,$G44=$G$7,J$7,$G44=$G$8,J$8,$G44=$G$9,J$9,$G44=$G$10,J$10,$G44=$G$11,J$11,$G44=$G$12,J$12,$G44=$G$13,J$13,$G44=$G$15,J$15,$G44=$G$16,J$16,$G44=$G$17,J$17,$G44=$G$18,J$18,$G44=$G$19,J$19,$G44=$G$20,J$20,$G44=$G$21,J$21,$G44=$G$22,J$22,$G44=$G$25,J$25,$G44=$G$26,J$26,$G44=$G$27,J$27,$G44=$G$29,J$29,$G44=$G$31,J$31,$G44=$G$32,J$32,$G44=$G$248,J$248,$G44=$G$250,J$250)</f>
        <v>95</v>
      </c>
      <c r="K44" s="48" t="str" cm="1">
        <f t="array" ref="K44">_xlfn.IFS($G44=$G$5,K$5,$G44=$G$6,K$6,$G44=$G$7,K$7,$G44=$G$8,K$8,$G44=$G$9,K$9,$G44=$G$10,K$10,$G44=$G$11,K$11,$G44=$G$12,K$12,$G44=$G$13,K$13,$G44=$G$15,K$15,$G44=$G$16,K$16,$G44=$G$17,K$17,$G44=$G$18,K$18,$G44=$G$19,K$19,$G44=$G$20,K$20,$G44=$G$21,K$21,$G44=$G$22,K$22,$G44=$G$25,K$25,$G44=$G$26,K$26,$G44=$G$27,K$27,$G44=$G$29,K$29,$G44=$G$31,K$31,$G44=$G$32,K$32,$G44=$G$248,K$248,$G44=$G$250,K$250)</f>
        <v>BG sentinel + BG lure7</v>
      </c>
      <c r="L44" s="48" t="str" cm="1">
        <f t="array" ref="L44">_xlfn.IFS($G44=$G$5,L$5,$G44=$G$6,L$6,$G44=$G$7,L$7,$G44=$G$8,L$8,$G44=$G$9,L$9,$G44=$G$10,L$10,$G44=$G$11,L$11,$G44=$G$12,L$12,$G44=$G$13,L$13,$G44=$G$15,L$15,$G44=$G$16,L$16,$G44=$G$17,L$17,$G44=$G$18,L$18,$G44=$G$19,L$19,$G44=$G$20,L$20,$G44=$G$21,L$21,$G44=$G$22,L$22,$G44=$G$25,L$25,$G44=$G$26,L$26,$G44=$G$27,L$27,$G44=$G$29,L$29,$G44=$G$31,L$31,$G44=$G$32,L$32,$G44=$G$248,L$248,$G44=$G$250,L$250)</f>
        <v>Other</v>
      </c>
      <c r="M44" s="48" t="str" cm="1">
        <f t="array" ref="M44">_xlfn.IFS($G44=$G$5,M$5,$G44=$G$6,M$6,$G44=$G$7,M$7,$G44=$G$8,M$8,$G44=$G$9,M$9,$G44=$G$10,M$10,$G44=$G$11,M$11,$G44=$G$12,M$12,$G44=$G$13,M$13,$G44=$G$15,M$15,$G44=$G$16,M$16,$G44=$G$17,M$17,$G44=$G$18,M$18,$G44=$G$19,M$19,$G44=$G$20,M$20,$G44=$G$21,M$21,$G44=$G$22,M$22,$G44=$G$25,M$25,$G44=$G$26,M$26,$G44=$G$27,M$27,$G44=$G$29,M$29,$G44=$G$31,M$31,$G44=$G$32,M$32,$G44=$G$248,M$248,$G44=$G$250,M$250)</f>
        <v>Plant nursery</v>
      </c>
      <c r="N44" s="45"/>
      <c r="O44" s="45" t="str">
        <f t="shared" si="0"/>
        <v>A_SP_BCN_8_210521</v>
      </c>
      <c r="P44" s="49">
        <v>44337</v>
      </c>
      <c r="Q44" s="50"/>
      <c r="R44" s="51"/>
      <c r="S44" s="52">
        <v>44344</v>
      </c>
      <c r="T44" s="53"/>
      <c r="U44" s="51"/>
      <c r="V44" s="54" t="s">
        <v>66</v>
      </c>
      <c r="W44" s="55"/>
      <c r="X44" s="45">
        <f t="shared" si="1"/>
        <v>7</v>
      </c>
      <c r="Y44" s="55"/>
      <c r="Z44" s="45" t="s">
        <v>80</v>
      </c>
      <c r="AA44" s="45">
        <f t="shared" si="2"/>
        <v>1</v>
      </c>
      <c r="AB44" t="str">
        <f t="shared" si="3"/>
        <v>Adult</v>
      </c>
      <c r="AC44" s="45">
        <v>1</v>
      </c>
      <c r="AD44" s="45">
        <v>0</v>
      </c>
      <c r="AE44" s="45" t="str">
        <f t="shared" si="4"/>
        <v>Morphological</v>
      </c>
      <c r="AF44" s="56">
        <v>4</v>
      </c>
      <c r="AG44" s="57"/>
    </row>
    <row r="45" spans="1:33" ht="18" customHeight="1" x14ac:dyDescent="0.25">
      <c r="A45" s="45">
        <v>41</v>
      </c>
      <c r="B45" s="45" t="s">
        <v>60</v>
      </c>
      <c r="C45" s="45" t="s">
        <v>61</v>
      </c>
      <c r="D45" s="45" t="s">
        <v>62</v>
      </c>
      <c r="E45" s="45" t="s">
        <v>62</v>
      </c>
      <c r="F45" s="46" cm="1">
        <f t="array" ref="F45">_xlfn.IFS($G45=$G$5,F$5,$G45=$G$6,F$6,$G45=$G$7,F$7,$G45=$G$8,F$8,$G45=$G$9,F$9,$G45=$G$10,F$10,$G45=$G$11,F$11,$G45=$G$12,F$12,$G45=$G$13,F$13,$G45=$G$15,F$15,$G45=$G$16,F$16,$G45=$G$17,F$17,$G45=$G$18,F$18,$G45=$G$19,F$19,$G45=$G$20,F$20,$G45=$G$21,F$21,$G45=$G$22,F$22,$G45=$G$25,F$25,$G45=$G$26,F$26,$G45=$G$27,F$27,$G45=$G$29,F$29,$G45=$G$31,F$31,$G45=$G$32,F$32,$G45=$G$248,F$248,$G45=$G$250,F$250)</f>
        <v>8034</v>
      </c>
      <c r="G45" s="45" t="s">
        <v>78</v>
      </c>
      <c r="H45" s="67" cm="1">
        <f t="array" ref="H45">_xlfn.IFS($G45=$G$5,H$5,$G45=$G$6,H$6,$G45=$G$7,H$7,$G45=$G$8,H$8,$G45=$G$9,H$9,$G45=$G$10,H$10,$G45=$G$11,H$11,$G45=$G$12,H$12,$G45=$G$13,H$13,$G45=$G$15,H$15,$G45=$G$16,H$16,$G45=$G$17,H$17,$G45=$G$18,H$18,$G45=$G$19,H$19,$G45=$G$20,H$20,$G45=$G$21,H$21,$G45=$G$22,H$22,$G45=$G$25,H$25,$G45=$G$26,H$26,$G45=$G$27,H$27,$G45=$G$29,H$29,$G45=$G$31,H$31,$G45=$G$32,H$32,$G45=$G$248,H$248,$G45=$G$250,H$250)</f>
        <v>41.393644999999999</v>
      </c>
      <c r="I45" s="67" cm="1">
        <f t="array" ref="I45">_xlfn.IFS($G45=$G$5,I$5,$G45=$G$6,I$6,$G45=$G$7,I$7,$G45=$G$8,I$8,$G45=$G$9,I$9,$G45=$G$10,I$10,$G45=$G$11,I$11,$G45=$G$12,I$12,$G45=$G$13,I$13,$G45=$G$15,I$15,$G45=$G$16,I$16,$G45=$G$17,I$17,$G45=$G$18,I$18,$G45=$G$19,I$19,$G45=$G$20,I$20,$G45=$G$21,I$21,$G45=$G$22,I$22,$G45=$G$25,I$25,$G45=$G$26,I$26,$G45=$G$27,I$27,$G45=$G$29,I$29,$G45=$G$31,I$31,$G45=$G$32,I$32,$G45=$G$248,I$248,$G45=$G$250,I$250)</f>
        <v>2.1216780000000002</v>
      </c>
      <c r="J45" s="48" cm="1">
        <f t="array" ref="J45">_xlfn.IFS($G45=$G$5,J$5,$G45=$G$6,J$6,$G45=$G$7,J$7,$G45=$G$8,J$8,$G45=$G$9,J$9,$G45=$G$10,J$10,$G45=$G$11,J$11,$G45=$G$12,J$12,$G45=$G$13,J$13,$G45=$G$15,J$15,$G45=$G$16,J$16,$G45=$G$17,J$17,$G45=$G$18,J$18,$G45=$G$19,J$19,$G45=$G$20,J$20,$G45=$G$21,J$21,$G45=$G$22,J$22,$G45=$G$25,J$25,$G45=$G$26,J$26,$G45=$G$27,J$27,$G45=$G$29,J$29,$G45=$G$31,J$31,$G45=$G$32,J$32,$G45=$G$248,J$248,$G45=$G$250,J$250)</f>
        <v>98</v>
      </c>
      <c r="K45" s="48" t="str" cm="1">
        <f t="array" ref="K45">_xlfn.IFS($G45=$G$5,K$5,$G45=$G$6,K$6,$G45=$G$7,K$7,$G45=$G$8,K$8,$G45=$G$9,K$9,$G45=$G$10,K$10,$G45=$G$11,K$11,$G45=$G$12,K$12,$G45=$G$13,K$13,$G45=$G$15,K$15,$G45=$G$16,K$16,$G45=$G$17,K$17,$G45=$G$18,K$18,$G45=$G$19,K$19,$G45=$G$20,K$20,$G45=$G$21,K$21,$G45=$G$22,K$22,$G45=$G$25,K$25,$G45=$G$26,K$26,$G45=$G$27,K$27,$G45=$G$29,K$29,$G45=$G$31,K$31,$G45=$G$32,K$32,$G45=$G$248,K$248,$G45=$G$250,K$250)</f>
        <v>BG sentinel + BG lure7</v>
      </c>
      <c r="L45" s="48" t="str" cm="1">
        <f t="array" ref="L45">_xlfn.IFS($G45=$G$5,L$5,$G45=$G$6,L$6,$G45=$G$7,L$7,$G45=$G$8,L$8,$G45=$G$9,L$9,$G45=$G$10,L$10,$G45=$G$11,L$11,$G45=$G$12,L$12,$G45=$G$13,L$13,$G45=$G$15,L$15,$G45=$G$16,L$16,$G45=$G$17,L$17,$G45=$G$18,L$18,$G45=$G$19,L$19,$G45=$G$20,L$20,$G45=$G$21,L$21,$G45=$G$22,L$22,$G45=$G$25,L$25,$G45=$G$26,L$26,$G45=$G$27,L$27,$G45=$G$29,L$29,$G45=$G$31,L$31,$G45=$G$32,L$32,$G45=$G$248,L$248,$G45=$G$250,L$250)</f>
        <v>Other</v>
      </c>
      <c r="M45" s="48" t="str" cm="1">
        <f t="array" ref="M45">_xlfn.IFS($G45=$G$5,M$5,$G45=$G$6,M$6,$G45=$G$7,M$7,$G45=$G$8,M$8,$G45=$G$9,M$9,$G45=$G$10,M$10,$G45=$G$11,M$11,$G45=$G$12,M$12,$G45=$G$13,M$13,$G45=$G$15,M$15,$G45=$G$16,M$16,$G45=$G$17,M$17,$G45=$G$18,M$18,$G45=$G$19,M$19,$G45=$G$20,M$20,$G45=$G$21,M$21,$G45=$G$22,M$22,$G45=$G$25,M$25,$G45=$G$26,M$26,$G45=$G$27,M$27,$G45=$G$29,M$29,$G45=$G$31,M$31,$G45=$G$32,M$32,$G45=$G$248,M$248,$G45=$G$250,M$250)</f>
        <v>Public garden</v>
      </c>
      <c r="N45" s="45"/>
      <c r="O45" s="45" t="str">
        <f t="shared" si="0"/>
        <v>A_SP_BCN_9_210520</v>
      </c>
      <c r="P45" s="49">
        <v>44336</v>
      </c>
      <c r="Q45" s="50"/>
      <c r="R45" s="51"/>
      <c r="S45" s="52">
        <v>44344</v>
      </c>
      <c r="T45" s="53"/>
      <c r="U45" s="51"/>
      <c r="V45" s="54" t="s">
        <v>66</v>
      </c>
      <c r="W45" s="55"/>
      <c r="X45" s="45">
        <f t="shared" si="1"/>
        <v>8</v>
      </c>
      <c r="Y45" s="55"/>
      <c r="Z45" s="45" t="s">
        <v>70</v>
      </c>
      <c r="AA45" s="45">
        <f t="shared" si="2"/>
        <v>5</v>
      </c>
      <c r="AB45" t="str">
        <f t="shared" si="3"/>
        <v>Adult</v>
      </c>
      <c r="AC45" s="45">
        <v>5</v>
      </c>
      <c r="AD45" s="45">
        <v>0</v>
      </c>
      <c r="AE45" s="45" t="str">
        <f t="shared" si="4"/>
        <v>Morphological</v>
      </c>
      <c r="AF45" s="56">
        <v>4</v>
      </c>
      <c r="AG45" s="57"/>
    </row>
    <row r="46" spans="1:33" ht="18" customHeight="1" x14ac:dyDescent="0.25">
      <c r="A46" s="45">
        <v>42</v>
      </c>
      <c r="B46" s="45" t="s">
        <v>60</v>
      </c>
      <c r="C46" s="45" t="s">
        <v>61</v>
      </c>
      <c r="D46" s="45" t="s">
        <v>62</v>
      </c>
      <c r="E46" s="45" t="s">
        <v>62</v>
      </c>
      <c r="F46" s="46" cm="1">
        <f t="array" ref="F46">_xlfn.IFS($G46=$G$5,F$5,$G46=$G$6,F$6,$G46=$G$7,F$7,$G46=$G$8,F$8,$G46=$G$9,F$9,$G46=$G$10,F$10,$G46=$G$11,F$11,$G46=$G$12,F$12,$G46=$G$13,F$13,$G46=$G$15,F$15,$G46=$G$16,F$16,$G46=$G$17,F$17,$G46=$G$18,F$18,$G46=$G$19,F$19,$G46=$G$20,F$20,$G46=$G$21,F$21,$G46=$G$22,F$22,$G46=$G$25,F$25,$G46=$G$26,F$26,$G46=$G$27,F$27,$G46=$G$29,F$29,$G46=$G$31,F$31,$G46=$G$32,F$32,$G46=$G$248,F$248,$G46=$G$250,F$250)</f>
        <v>8034</v>
      </c>
      <c r="G46" s="45" t="s">
        <v>78</v>
      </c>
      <c r="H46" s="67" cm="1">
        <f t="array" ref="H46">_xlfn.IFS($G46=$G$5,H$5,$G46=$G$6,H$6,$G46=$G$7,H$7,$G46=$G$8,H$8,$G46=$G$9,H$9,$G46=$G$10,H$10,$G46=$G$11,H$11,$G46=$G$12,H$12,$G46=$G$13,H$13,$G46=$G$15,H$15,$G46=$G$16,H$16,$G46=$G$17,H$17,$G46=$G$18,H$18,$G46=$G$19,H$19,$G46=$G$20,H$20,$G46=$G$21,H$21,$G46=$G$22,H$22,$G46=$G$25,H$25,$G46=$G$26,H$26,$G46=$G$27,H$27,$G46=$G$29,H$29,$G46=$G$31,H$31,$G46=$G$32,H$32,$G46=$G$248,H$248,$G46=$G$250,H$250)</f>
        <v>41.393644999999999</v>
      </c>
      <c r="I46" s="67" cm="1">
        <f t="array" ref="I46">_xlfn.IFS($G46=$G$5,I$5,$G46=$G$6,I$6,$G46=$G$7,I$7,$G46=$G$8,I$8,$G46=$G$9,I$9,$G46=$G$10,I$10,$G46=$G$11,I$11,$G46=$G$12,I$12,$G46=$G$13,I$13,$G46=$G$15,I$15,$G46=$G$16,I$16,$G46=$G$17,I$17,$G46=$G$18,I$18,$G46=$G$19,I$19,$G46=$G$20,I$20,$G46=$G$21,I$21,$G46=$G$22,I$22,$G46=$G$25,I$25,$G46=$G$26,I$26,$G46=$G$27,I$27,$G46=$G$29,I$29,$G46=$G$31,I$31,$G46=$G$32,I$32,$G46=$G$248,I$248,$G46=$G$250,I$250)</f>
        <v>2.1216780000000002</v>
      </c>
      <c r="J46" s="48" cm="1">
        <f t="array" ref="J46">_xlfn.IFS($G46=$G$5,J$5,$G46=$G$6,J$6,$G46=$G$7,J$7,$G46=$G$8,J$8,$G46=$G$9,J$9,$G46=$G$10,J$10,$G46=$G$11,J$11,$G46=$G$12,J$12,$G46=$G$13,J$13,$G46=$G$15,J$15,$G46=$G$16,J$16,$G46=$G$17,J$17,$G46=$G$18,J$18,$G46=$G$19,J$19,$G46=$G$20,J$20,$G46=$G$21,J$21,$G46=$G$22,J$22,$G46=$G$25,J$25,$G46=$G$26,J$26,$G46=$G$27,J$27,$G46=$G$29,J$29,$G46=$G$31,J$31,$G46=$G$32,J$32,$G46=$G$248,J$248,$G46=$G$250,J$250)</f>
        <v>98</v>
      </c>
      <c r="K46" s="48" t="str" cm="1">
        <f t="array" ref="K46">_xlfn.IFS($G46=$G$5,K$5,$G46=$G$6,K$6,$G46=$G$7,K$7,$G46=$G$8,K$8,$G46=$G$9,K$9,$G46=$G$10,K$10,$G46=$G$11,K$11,$G46=$G$12,K$12,$G46=$G$13,K$13,$G46=$G$15,K$15,$G46=$G$16,K$16,$G46=$G$17,K$17,$G46=$G$18,K$18,$G46=$G$19,K$19,$G46=$G$20,K$20,$G46=$G$21,K$21,$G46=$G$22,K$22,$G46=$G$25,K$25,$G46=$G$26,K$26,$G46=$G$27,K$27,$G46=$G$29,K$29,$G46=$G$31,K$31,$G46=$G$32,K$32,$G46=$G$248,K$248,$G46=$G$250,K$250)</f>
        <v>BG sentinel + BG lure7</v>
      </c>
      <c r="L46" s="48" t="str" cm="1">
        <f t="array" ref="L46">_xlfn.IFS($G46=$G$5,L$5,$G46=$G$6,L$6,$G46=$G$7,L$7,$G46=$G$8,L$8,$G46=$G$9,L$9,$G46=$G$10,L$10,$G46=$G$11,L$11,$G46=$G$12,L$12,$G46=$G$13,L$13,$G46=$G$15,L$15,$G46=$G$16,L$16,$G46=$G$17,L$17,$G46=$G$18,L$18,$G46=$G$19,L$19,$G46=$G$20,L$20,$G46=$G$21,L$21,$G46=$G$22,L$22,$G46=$G$25,L$25,$G46=$G$26,L$26,$G46=$G$27,L$27,$G46=$G$29,L$29,$G46=$G$31,L$31,$G46=$G$32,L$32,$G46=$G$248,L$248,$G46=$G$250,L$250)</f>
        <v>Other</v>
      </c>
      <c r="M46" s="48" t="str" cm="1">
        <f t="array" ref="M46">_xlfn.IFS($G46=$G$5,M$5,$G46=$G$6,M$6,$G46=$G$7,M$7,$G46=$G$8,M$8,$G46=$G$9,M$9,$G46=$G$10,M$10,$G46=$G$11,M$11,$G46=$G$12,M$12,$G46=$G$13,M$13,$G46=$G$15,M$15,$G46=$G$16,M$16,$G46=$G$17,M$17,$G46=$G$18,M$18,$G46=$G$19,M$19,$G46=$G$20,M$20,$G46=$G$21,M$21,$G46=$G$22,M$22,$G46=$G$25,M$25,$G46=$G$26,M$26,$G46=$G$27,M$27,$G46=$G$29,M$29,$G46=$G$31,M$31,$G46=$G$32,M$32,$G46=$G$248,M$248,$G46=$G$250,M$250)</f>
        <v>Public garden</v>
      </c>
      <c r="N46" s="45"/>
      <c r="O46" s="45" t="str">
        <f t="shared" si="0"/>
        <v>A_SP_BCN_9_210520</v>
      </c>
      <c r="P46" s="49">
        <v>44336</v>
      </c>
      <c r="Q46" s="50"/>
      <c r="R46" s="51"/>
      <c r="S46" s="52">
        <v>44344</v>
      </c>
      <c r="T46" s="53"/>
      <c r="U46" s="51"/>
      <c r="V46" s="54" t="s">
        <v>66</v>
      </c>
      <c r="W46" s="55"/>
      <c r="X46" s="45">
        <f t="shared" si="1"/>
        <v>8</v>
      </c>
      <c r="Y46" s="55"/>
      <c r="Z46" s="45" t="s">
        <v>80</v>
      </c>
      <c r="AA46" s="45">
        <f t="shared" si="2"/>
        <v>3</v>
      </c>
      <c r="AB46" t="str">
        <f t="shared" si="3"/>
        <v>Adult</v>
      </c>
      <c r="AC46" s="45">
        <v>2</v>
      </c>
      <c r="AD46" s="45">
        <v>1</v>
      </c>
      <c r="AE46" s="45" t="str">
        <f t="shared" si="4"/>
        <v>Morphological</v>
      </c>
      <c r="AF46" s="56">
        <v>4</v>
      </c>
      <c r="AG46" s="57"/>
    </row>
    <row r="47" spans="1:33" ht="18" customHeight="1" x14ac:dyDescent="0.25">
      <c r="A47" s="45">
        <v>43</v>
      </c>
      <c r="B47" s="45" t="s">
        <v>60</v>
      </c>
      <c r="C47" s="45" t="s">
        <v>61</v>
      </c>
      <c r="D47" s="45" t="s">
        <v>62</v>
      </c>
      <c r="E47" s="45" t="s">
        <v>62</v>
      </c>
      <c r="F47" s="46" cm="1">
        <f t="array" ref="F47">_xlfn.IFS($G47=$G$5,F$5,$G47=$G$6,F$6,$G47=$G$7,F$7,$G47=$G$8,F$8,$G47=$G$9,F$9,$G47=$G$10,F$10,$G47=$G$11,F$11,$G47=$G$12,F$12,$G47=$G$13,F$13,$G47=$G$15,F$15,$G47=$G$16,F$16,$G47=$G$17,F$17,$G47=$G$18,F$18,$G47=$G$19,F$19,$G47=$G$20,F$20,$G47=$G$21,F$21,$G47=$G$22,F$22,$G47=$G$25,F$25,$G47=$G$26,F$26,$G47=$G$27,F$27,$G47=$G$29,F$29,$G47=$G$31,F$31,$G47=$G$32,F$32,$G47=$G$248,F$248,$G47=$G$250,F$250)</f>
        <v>8040</v>
      </c>
      <c r="G47" s="45" t="s">
        <v>81</v>
      </c>
      <c r="H47" s="67" cm="1">
        <f t="array" ref="H47">_xlfn.IFS($G47=$G$5,H$5,$G47=$G$6,H$6,$G47=$G$7,H$7,$G47=$G$8,H$8,$G47=$G$9,H$9,$G47=$G$10,H$10,$G47=$G$11,H$11,$G47=$G$12,H$12,$G47=$G$13,H$13,$G47=$G$15,H$15,$G47=$G$16,H$16,$G47=$G$17,H$17,$G47=$G$18,H$18,$G47=$G$19,H$19,$G47=$G$20,H$20,$G47=$G$21,H$21,$G47=$G$22,H$22,$G47=$G$25,H$25,$G47=$G$26,H$26,$G47=$G$27,H$27,$G47=$G$29,H$29,$G47=$G$31,H$31,$G47=$G$32,H$32,$G47=$G$248,H$248,$G47=$G$250,H$250)</f>
        <v>41.343685000000001</v>
      </c>
      <c r="I47" s="67" cm="1">
        <f t="array" ref="I47">_xlfn.IFS($G47=$G$5,I$5,$G47=$G$6,I$6,$G47=$G$7,I$7,$G47=$G$8,I$8,$G47=$G$9,I$9,$G47=$G$10,I$10,$G47=$G$11,I$11,$G47=$G$12,I$12,$G47=$G$13,I$13,$G47=$G$15,I$15,$G47=$G$16,I$16,$G47=$G$17,I$17,$G47=$G$18,I$18,$G47=$G$19,I$19,$G47=$G$20,I$20,$G47=$G$21,I$21,$G47=$G$22,I$22,$G47=$G$25,I$25,$G47=$G$26,I$26,$G47=$G$27,I$27,$G47=$G$29,I$29,$G47=$G$31,I$31,$G47=$G$32,I$32,$G47=$G$248,I$248,$G47=$G$250,I$250)</f>
        <v>2.1441490000000001</v>
      </c>
      <c r="J47" s="48" cm="1">
        <f t="array" ref="J47">_xlfn.IFS($G47=$G$5,J$5,$G47=$G$6,J$6,$G47=$G$7,J$7,$G47=$G$8,J$8,$G47=$G$9,J$9,$G47=$G$10,J$10,$G47=$G$11,J$11,$G47=$G$12,J$12,$G47=$G$13,J$13,$G47=$G$15,J$15,$G47=$G$16,J$16,$G47=$G$17,J$17,$G47=$G$18,J$18,$G47=$G$19,J$19,$G47=$G$20,J$20,$G47=$G$21,J$21,$G47=$G$22,J$22,$G47=$G$25,J$25,$G47=$G$26,J$26,$G47=$G$27,J$27,$G47=$G$29,J$29,$G47=$G$31,J$31,$G47=$G$32,J$32,$G47=$G$248,J$248,$G47=$G$250,J$250)</f>
        <v>4</v>
      </c>
      <c r="K47" s="48" t="str" cm="1">
        <f t="array" ref="K47">_xlfn.IFS($G47=$G$5,K$5,$G47=$G$6,K$6,$G47=$G$7,K$7,$G47=$G$8,K$8,$G47=$G$9,K$9,$G47=$G$10,K$10,$G47=$G$11,K$11,$G47=$G$12,K$12,$G47=$G$13,K$13,$G47=$G$15,K$15,$G47=$G$16,K$16,$G47=$G$17,K$17,$G47=$G$18,K$18,$G47=$G$19,K$19,$G47=$G$20,K$20,$G47=$G$21,K$21,$G47=$G$22,K$22,$G47=$G$25,K$25,$G47=$G$26,K$26,$G47=$G$27,K$27,$G47=$G$29,K$29,$G47=$G$31,K$31,$G47=$G$32,K$32,$G47=$G$248,K$248,$G47=$G$250,K$250)</f>
        <v>BG sentinel + BG lure7</v>
      </c>
      <c r="L47" s="48" t="str" cm="1">
        <f t="array" ref="L47">_xlfn.IFS($G47=$G$5,L$5,$G47=$G$6,L$6,$G47=$G$7,L$7,$G47=$G$8,L$8,$G47=$G$9,L$9,$G47=$G$10,L$10,$G47=$G$11,L$11,$G47=$G$12,L$12,$G47=$G$13,L$13,$G47=$G$15,L$15,$G47=$G$16,L$16,$G47=$G$17,L$17,$G47=$G$18,L$18,$G47=$G$19,L$19,$G47=$G$20,L$20,$G47=$G$21,L$21,$G47=$G$22,L$22,$G47=$G$25,L$25,$G47=$G$26,L$26,$G47=$G$27,L$27,$G47=$G$29,L$29,$G47=$G$31,L$31,$G47=$G$32,L$32,$G47=$G$248,L$248,$G47=$G$250,L$250)</f>
        <v>Urban habitat</v>
      </c>
      <c r="M47" s="48"/>
      <c r="N47" s="45"/>
      <c r="O47" s="45" t="str">
        <f t="shared" si="0"/>
        <v>A_SP_BCN_10_210521</v>
      </c>
      <c r="P47" s="49">
        <v>44337</v>
      </c>
      <c r="Q47" s="50"/>
      <c r="R47" s="51"/>
      <c r="S47" s="52">
        <v>44344</v>
      </c>
      <c r="T47" s="53"/>
      <c r="U47" s="51"/>
      <c r="V47" s="54" t="s">
        <v>66</v>
      </c>
      <c r="W47" s="55"/>
      <c r="X47" s="45">
        <f t="shared" si="1"/>
        <v>7</v>
      </c>
      <c r="Y47" s="55"/>
      <c r="Z47" s="45" t="s">
        <v>69</v>
      </c>
      <c r="AA47" s="45">
        <f t="shared" si="2"/>
        <v>1</v>
      </c>
      <c r="AB47" t="str">
        <f t="shared" si="3"/>
        <v>Adult</v>
      </c>
      <c r="AC47" s="45">
        <v>1</v>
      </c>
      <c r="AD47" s="45">
        <v>0</v>
      </c>
      <c r="AE47" s="45" t="str">
        <f t="shared" si="4"/>
        <v>Morphological</v>
      </c>
      <c r="AF47" s="56">
        <v>4</v>
      </c>
      <c r="AG47" s="57"/>
    </row>
    <row r="48" spans="1:33" ht="18" customHeight="1" x14ac:dyDescent="0.25">
      <c r="A48" s="45">
        <v>44</v>
      </c>
      <c r="B48" s="45" t="s">
        <v>60</v>
      </c>
      <c r="C48" s="45" t="s">
        <v>61</v>
      </c>
      <c r="D48" s="45" t="s">
        <v>62</v>
      </c>
      <c r="E48" s="45" t="s">
        <v>62</v>
      </c>
      <c r="F48" s="46" cm="1">
        <f t="array" ref="F48">_xlfn.IFS($G48=$G$5,F$5,$G48=$G$6,F$6,$G48=$G$7,F$7,$G48=$G$8,F$8,$G48=$G$9,F$9,$G48=$G$10,F$10,$G48=$G$11,F$11,$G48=$G$12,F$12,$G48=$G$13,F$13,$G48=$G$15,F$15,$G48=$G$16,F$16,$G48=$G$17,F$17,$G48=$G$18,F$18,$G48=$G$19,F$19,$G48=$G$20,F$20,$G48=$G$21,F$21,$G48=$G$22,F$22,$G48=$G$25,F$25,$G48=$G$26,F$26,$G48=$G$27,F$27,$G48=$G$29,F$29,$G48=$G$31,F$31,$G48=$G$32,F$32,$G48=$G$248,F$248,$G48=$G$250,F$250)</f>
        <v>8040</v>
      </c>
      <c r="G48" s="45" t="s">
        <v>81</v>
      </c>
      <c r="H48" s="67" cm="1">
        <f t="array" ref="H48">_xlfn.IFS($G48=$G$5,H$5,$G48=$G$6,H$6,$G48=$G$7,H$7,$G48=$G$8,H$8,$G48=$G$9,H$9,$G48=$G$10,H$10,$G48=$G$11,H$11,$G48=$G$12,H$12,$G48=$G$13,H$13,$G48=$G$15,H$15,$G48=$G$16,H$16,$G48=$G$17,H$17,$G48=$G$18,H$18,$G48=$G$19,H$19,$G48=$G$20,H$20,$G48=$G$21,H$21,$G48=$G$22,H$22,$G48=$G$25,H$25,$G48=$G$26,H$26,$G48=$G$27,H$27,$G48=$G$29,H$29,$G48=$G$31,H$31,$G48=$G$32,H$32,$G48=$G$248,H$248,$G48=$G$250,H$250)</f>
        <v>41.343685000000001</v>
      </c>
      <c r="I48" s="67" cm="1">
        <f t="array" ref="I48">_xlfn.IFS($G48=$G$5,I$5,$G48=$G$6,I$6,$G48=$G$7,I$7,$G48=$G$8,I$8,$G48=$G$9,I$9,$G48=$G$10,I$10,$G48=$G$11,I$11,$G48=$G$12,I$12,$G48=$G$13,I$13,$G48=$G$15,I$15,$G48=$G$16,I$16,$G48=$G$17,I$17,$G48=$G$18,I$18,$G48=$G$19,I$19,$G48=$G$20,I$20,$G48=$G$21,I$21,$G48=$G$22,I$22,$G48=$G$25,I$25,$G48=$G$26,I$26,$G48=$G$27,I$27,$G48=$G$29,I$29,$G48=$G$31,I$31,$G48=$G$32,I$32,$G48=$G$248,I$248,$G48=$G$250,I$250)</f>
        <v>2.1441490000000001</v>
      </c>
      <c r="J48" s="48" cm="1">
        <f t="array" ref="J48">_xlfn.IFS($G48=$G$5,J$5,$G48=$G$6,J$6,$G48=$G$7,J$7,$G48=$G$8,J$8,$G48=$G$9,J$9,$G48=$G$10,J$10,$G48=$G$11,J$11,$G48=$G$12,J$12,$G48=$G$13,J$13,$G48=$G$15,J$15,$G48=$G$16,J$16,$G48=$G$17,J$17,$G48=$G$18,J$18,$G48=$G$19,J$19,$G48=$G$20,J$20,$G48=$G$21,J$21,$G48=$G$22,J$22,$G48=$G$25,J$25,$G48=$G$26,J$26,$G48=$G$27,J$27,$G48=$G$29,J$29,$G48=$G$31,J$31,$G48=$G$32,J$32,$G48=$G$248,J$248,$G48=$G$250,J$250)</f>
        <v>4</v>
      </c>
      <c r="K48" s="48" t="str" cm="1">
        <f t="array" ref="K48">_xlfn.IFS($G48=$G$5,K$5,$G48=$G$6,K$6,$G48=$G$7,K$7,$G48=$G$8,K$8,$G48=$G$9,K$9,$G48=$G$10,K$10,$G48=$G$11,K$11,$G48=$G$12,K$12,$G48=$G$13,K$13,$G48=$G$15,K$15,$G48=$G$16,K$16,$G48=$G$17,K$17,$G48=$G$18,K$18,$G48=$G$19,K$19,$G48=$G$20,K$20,$G48=$G$21,K$21,$G48=$G$22,K$22,$G48=$G$25,K$25,$G48=$G$26,K$26,$G48=$G$27,K$27,$G48=$G$29,K$29,$G48=$G$31,K$31,$G48=$G$32,K$32,$G48=$G$248,K$248,$G48=$G$250,K$250)</f>
        <v>BG sentinel + BG lure7</v>
      </c>
      <c r="L48" s="48" t="str" cm="1">
        <f t="array" ref="L48">_xlfn.IFS($G48=$G$5,L$5,$G48=$G$6,L$6,$G48=$G$7,L$7,$G48=$G$8,L$8,$G48=$G$9,L$9,$G48=$G$10,L$10,$G48=$G$11,L$11,$G48=$G$12,L$12,$G48=$G$13,L$13,$G48=$G$15,L$15,$G48=$G$16,L$16,$G48=$G$17,L$17,$G48=$G$18,L$18,$G48=$G$19,L$19,$G48=$G$20,L$20,$G48=$G$21,L$21,$G48=$G$22,L$22,$G48=$G$25,L$25,$G48=$G$26,L$26,$G48=$G$27,L$27,$G48=$G$29,L$29,$G48=$G$31,L$31,$G48=$G$32,L$32,$G48=$G$248,L$248,$G48=$G$250,L$250)</f>
        <v>Urban habitat</v>
      </c>
      <c r="M48" s="48"/>
      <c r="N48" s="45"/>
      <c r="O48" s="45" t="str">
        <f t="shared" si="0"/>
        <v>A_SP_BCN_10_210521</v>
      </c>
      <c r="P48" s="49">
        <v>44337</v>
      </c>
      <c r="Q48" s="50"/>
      <c r="R48" s="51"/>
      <c r="S48" s="52">
        <v>44344</v>
      </c>
      <c r="T48" s="53"/>
      <c r="U48" s="51"/>
      <c r="V48" s="54" t="s">
        <v>66</v>
      </c>
      <c r="W48" s="55"/>
      <c r="X48" s="45">
        <f t="shared" si="1"/>
        <v>7</v>
      </c>
      <c r="Y48" s="55"/>
      <c r="Z48" s="45" t="s">
        <v>70</v>
      </c>
      <c r="AA48" s="45">
        <f t="shared" si="2"/>
        <v>35</v>
      </c>
      <c r="AB48" t="str">
        <f t="shared" si="3"/>
        <v>Adult</v>
      </c>
      <c r="AC48" s="45">
        <v>32</v>
      </c>
      <c r="AD48" s="45">
        <v>3</v>
      </c>
      <c r="AE48" s="45" t="str">
        <f t="shared" si="4"/>
        <v>Morphological</v>
      </c>
      <c r="AF48" s="56">
        <v>4</v>
      </c>
      <c r="AG48" s="57"/>
    </row>
    <row r="49" spans="1:33" ht="18" customHeight="1" x14ac:dyDescent="0.25">
      <c r="A49" s="45">
        <v>45</v>
      </c>
      <c r="B49" s="45" t="s">
        <v>60</v>
      </c>
      <c r="C49" s="45" t="s">
        <v>61</v>
      </c>
      <c r="D49" s="45" t="s">
        <v>62</v>
      </c>
      <c r="E49" s="45" t="s">
        <v>62</v>
      </c>
      <c r="F49" s="46" cm="1">
        <f t="array" ref="F49">_xlfn.IFS($G49=$G$5,F$5,$G49=$G$6,F$6,$G49=$G$7,F$7,$G49=$G$8,F$8,$G49=$G$9,F$9,$G49=$G$10,F$10,$G49=$G$11,F$11,$G49=$G$12,F$12,$G49=$G$13,F$13,$G49=$G$15,F$15,$G49=$G$16,F$16,$G49=$G$17,F$17,$G49=$G$18,F$18,$G49=$G$19,F$19,$G49=$G$20,F$20,$G49=$G$21,F$21,$G49=$G$22,F$22,$G49=$G$25,F$25,$G49=$G$26,F$26,$G49=$G$27,F$27,$G49=$G$29,F$29,$G49=$G$31,F$31,$G49=$G$32,F$32,$G49=$G$248,F$248,$G49=$G$250,F$250)</f>
        <v>8038</v>
      </c>
      <c r="G49" s="45" t="s">
        <v>82</v>
      </c>
      <c r="H49" s="67" cm="1">
        <f t="array" ref="H49">_xlfn.IFS($G49=$G$5,H$5,$G49=$G$6,H$6,$G49=$G$7,H$7,$G49=$G$8,H$8,$G49=$G$9,H$9,$G49=$G$10,H$10,$G49=$G$11,H$11,$G49=$G$12,H$12,$G49=$G$13,H$13,$G49=$G$15,H$15,$G49=$G$16,H$16,$G49=$G$17,H$17,$G49=$G$18,H$18,$G49=$G$19,H$19,$G49=$G$20,H$20,$G49=$G$21,H$21,$G49=$G$22,H$22,$G49=$G$25,H$25,$G49=$G$26,H$26,$G49=$G$27,H$27,$G49=$G$29,H$29,$G49=$G$31,H$31,$G49=$G$32,H$32,$G49=$G$248,H$248,$G49=$G$250,H$250)</f>
        <v>41.367429999999999</v>
      </c>
      <c r="I49" s="67" cm="1">
        <f t="array" ref="I49">_xlfn.IFS($G49=$G$5,I$5,$G49=$G$6,I$6,$G49=$G$7,I$7,$G49=$G$8,I$8,$G49=$G$9,I$9,$G49=$G$10,I$10,$G49=$G$11,I$11,$G49=$G$12,I$12,$G49=$G$13,I$13,$G49=$G$15,I$15,$G49=$G$16,I$16,$G49=$G$17,I$17,$G49=$G$18,I$18,$G49=$G$19,I$19,$G49=$G$20,I$20,$G49=$G$21,I$21,$G49=$G$22,I$22,$G49=$G$25,I$25,$G49=$G$26,I$26,$G49=$G$27,I$27,$G49=$G$29,I$29,$G49=$G$31,I$31,$G49=$G$32,I$32,$G49=$G$248,I$248,$G49=$G$250,I$250)</f>
        <v>2.1569609999999999</v>
      </c>
      <c r="J49" s="48" cm="1">
        <f t="array" ref="J49">_xlfn.IFS($G49=$G$5,J$5,$G49=$G$6,J$6,$G49=$G$7,J$7,$G49=$G$8,J$8,$G49=$G$9,J$9,$G49=$G$10,J$10,$G49=$G$11,J$11,$G49=$G$12,J$12,$G49=$G$13,J$13,$G49=$G$15,J$15,$G49=$G$16,J$16,$G49=$G$17,J$17,$G49=$G$18,J$18,$G49=$G$19,J$19,$G49=$G$20,J$20,$G49=$G$21,J$21,$G49=$G$22,J$22,$G49=$G$25,J$25,$G49=$G$26,J$26,$G49=$G$27,J$27,$G49=$G$29,J$29,$G49=$G$31,J$31,$G49=$G$32,J$32,$G49=$G$248,J$248,$G49=$G$250,J$250)</f>
        <v>91</v>
      </c>
      <c r="K49" s="48" t="str" cm="1">
        <f t="array" ref="K49">_xlfn.IFS($G49=$G$5,K$5,$G49=$G$6,K$6,$G49=$G$7,K$7,$G49=$G$8,K$8,$G49=$G$9,K$9,$G49=$G$10,K$10,$G49=$G$11,K$11,$G49=$G$12,K$12,$G49=$G$13,K$13,$G49=$G$15,K$15,$G49=$G$16,K$16,$G49=$G$17,K$17,$G49=$G$18,K$18,$G49=$G$19,K$19,$G49=$G$20,K$20,$G49=$G$21,K$21,$G49=$G$22,K$22,$G49=$G$25,K$25,$G49=$G$26,K$26,$G49=$G$27,K$27,$G49=$G$29,K$29,$G49=$G$31,K$31,$G49=$G$32,K$32,$G49=$G$248,K$248,$G49=$G$250,K$250)</f>
        <v>BG sentinel + BG lure7</v>
      </c>
      <c r="L49" s="48" t="str" cm="1">
        <f t="array" ref="L49">_xlfn.IFS($G49=$G$5,L$5,$G49=$G$6,L$6,$G49=$G$7,L$7,$G49=$G$8,L$8,$G49=$G$9,L$9,$G49=$G$10,L$10,$G49=$G$11,L$11,$G49=$G$12,L$12,$G49=$G$13,L$13,$G49=$G$15,L$15,$G49=$G$16,L$16,$G49=$G$17,L$17,$G49=$G$18,L$18,$G49=$G$19,L$19,$G49=$G$20,L$20,$G49=$G$21,L$21,$G49=$G$22,L$22,$G49=$G$25,L$25,$G49=$G$26,L$26,$G49=$G$27,L$27,$G49=$G$29,L$29,$G49=$G$31,L$31,$G49=$G$32,L$32,$G49=$G$248,L$248,$G49=$G$250,L$250)</f>
        <v>Other</v>
      </c>
      <c r="M49" s="48" t="str" cm="1">
        <f t="array" ref="M49">_xlfn.IFS($G49=$G$5,M$5,$G49=$G$6,M$6,$G49=$G$7,M$7,$G49=$G$8,M$8,$G49=$G$9,M$9,$G49=$G$10,M$10,$G49=$G$11,M$11,$G49=$G$12,M$12,$G49=$G$13,M$13,$G49=$G$15,M$15,$G49=$G$16,M$16,$G49=$G$17,M$17,$G49=$G$18,M$18,$G49=$G$19,M$19,$G49=$G$20,M$20,$G49=$G$21,M$21,$G49=$G$22,M$22,$G49=$G$25,M$25,$G49=$G$26,M$26,$G49=$G$27,M$27,$G49=$G$29,M$29,$G49=$G$31,M$31,$G49=$G$32,M$32,$G49=$G$248,M$248,$G49=$G$250,M$250)</f>
        <v>Public garden</v>
      </c>
      <c r="N49" s="45"/>
      <c r="O49" s="45" t="str">
        <f t="shared" si="0"/>
        <v>A_SP_BCN_11_210521</v>
      </c>
      <c r="P49" s="49">
        <v>44337</v>
      </c>
      <c r="Q49" s="50"/>
      <c r="R49" s="51"/>
      <c r="S49" s="52">
        <v>44344</v>
      </c>
      <c r="T49" s="53"/>
      <c r="U49" s="51"/>
      <c r="V49" s="54" t="s">
        <v>66</v>
      </c>
      <c r="W49" s="55"/>
      <c r="X49" s="45">
        <f t="shared" si="1"/>
        <v>7</v>
      </c>
      <c r="Y49" s="55"/>
      <c r="Z49" s="45" t="s">
        <v>69</v>
      </c>
      <c r="AA49" s="45">
        <f t="shared" si="2"/>
        <v>1</v>
      </c>
      <c r="AB49" t="str">
        <f t="shared" si="3"/>
        <v>Adult</v>
      </c>
      <c r="AC49" s="45">
        <v>1</v>
      </c>
      <c r="AD49" s="45">
        <v>0</v>
      </c>
      <c r="AE49" s="45" t="str">
        <f t="shared" si="4"/>
        <v>Morphological</v>
      </c>
      <c r="AF49" s="56">
        <v>4</v>
      </c>
      <c r="AG49" s="57"/>
    </row>
    <row r="50" spans="1:33" ht="18" customHeight="1" x14ac:dyDescent="0.25">
      <c r="A50" s="45">
        <v>46</v>
      </c>
      <c r="B50" s="45" t="s">
        <v>60</v>
      </c>
      <c r="C50" s="45" t="s">
        <v>61</v>
      </c>
      <c r="D50" s="45" t="s">
        <v>62</v>
      </c>
      <c r="E50" s="45" t="s">
        <v>62</v>
      </c>
      <c r="F50" s="46" cm="1">
        <f t="array" ref="F50">_xlfn.IFS($G50=$G$5,F$5,$G50=$G$6,F$6,$G50=$G$7,F$7,$G50=$G$8,F$8,$G50=$G$9,F$9,$G50=$G$10,F$10,$G50=$G$11,F$11,$G50=$G$12,F$12,$G50=$G$13,F$13,$G50=$G$15,F$15,$G50=$G$16,F$16,$G50=$G$17,F$17,$G50=$G$18,F$18,$G50=$G$19,F$19,$G50=$G$20,F$20,$G50=$G$21,F$21,$G50=$G$22,F$22,$G50=$G$25,F$25,$G50=$G$26,F$26,$G50=$G$27,F$27,$G50=$G$29,F$29,$G50=$G$31,F$31,$G50=$G$32,F$32,$G50=$G$248,F$248,$G50=$G$250,F$250)</f>
        <v>8038</v>
      </c>
      <c r="G50" s="45" t="s">
        <v>82</v>
      </c>
      <c r="H50" s="67" cm="1">
        <f t="array" ref="H50">_xlfn.IFS($G50=$G$5,H$5,$G50=$G$6,H$6,$G50=$G$7,H$7,$G50=$G$8,H$8,$G50=$G$9,H$9,$G50=$G$10,H$10,$G50=$G$11,H$11,$G50=$G$12,H$12,$G50=$G$13,H$13,$G50=$G$15,H$15,$G50=$G$16,H$16,$G50=$G$17,H$17,$G50=$G$18,H$18,$G50=$G$19,H$19,$G50=$G$20,H$20,$G50=$G$21,H$21,$G50=$G$22,H$22,$G50=$G$25,H$25,$G50=$G$26,H$26,$G50=$G$27,H$27,$G50=$G$29,H$29,$G50=$G$31,H$31,$G50=$G$32,H$32,$G50=$G$248,H$248,$G50=$G$250,H$250)</f>
        <v>41.367429999999999</v>
      </c>
      <c r="I50" s="67" cm="1">
        <f t="array" ref="I50">_xlfn.IFS($G50=$G$5,I$5,$G50=$G$6,I$6,$G50=$G$7,I$7,$G50=$G$8,I$8,$G50=$G$9,I$9,$G50=$G$10,I$10,$G50=$G$11,I$11,$G50=$G$12,I$12,$G50=$G$13,I$13,$G50=$G$15,I$15,$G50=$G$16,I$16,$G50=$G$17,I$17,$G50=$G$18,I$18,$G50=$G$19,I$19,$G50=$G$20,I$20,$G50=$G$21,I$21,$G50=$G$22,I$22,$G50=$G$25,I$25,$G50=$G$26,I$26,$G50=$G$27,I$27,$G50=$G$29,I$29,$G50=$G$31,I$31,$G50=$G$32,I$32,$G50=$G$248,I$248,$G50=$G$250,I$250)</f>
        <v>2.1569609999999999</v>
      </c>
      <c r="J50" s="48" cm="1">
        <f t="array" ref="J50">_xlfn.IFS($G50=$G$5,J$5,$G50=$G$6,J$6,$G50=$G$7,J$7,$G50=$G$8,J$8,$G50=$G$9,J$9,$G50=$G$10,J$10,$G50=$G$11,J$11,$G50=$G$12,J$12,$G50=$G$13,J$13,$G50=$G$15,J$15,$G50=$G$16,J$16,$G50=$G$17,J$17,$G50=$G$18,J$18,$G50=$G$19,J$19,$G50=$G$20,J$20,$G50=$G$21,J$21,$G50=$G$22,J$22,$G50=$G$25,J$25,$G50=$G$26,J$26,$G50=$G$27,J$27,$G50=$G$29,J$29,$G50=$G$31,J$31,$G50=$G$32,J$32,$G50=$G$248,J$248,$G50=$G$250,J$250)</f>
        <v>91</v>
      </c>
      <c r="K50" s="48" t="str" cm="1">
        <f t="array" ref="K50">_xlfn.IFS($G50=$G$5,K$5,$G50=$G$6,K$6,$G50=$G$7,K$7,$G50=$G$8,K$8,$G50=$G$9,K$9,$G50=$G$10,K$10,$G50=$G$11,K$11,$G50=$G$12,K$12,$G50=$G$13,K$13,$G50=$G$15,K$15,$G50=$G$16,K$16,$G50=$G$17,K$17,$G50=$G$18,K$18,$G50=$G$19,K$19,$G50=$G$20,K$20,$G50=$G$21,K$21,$G50=$G$22,K$22,$G50=$G$25,K$25,$G50=$G$26,K$26,$G50=$G$27,K$27,$G50=$G$29,K$29,$G50=$G$31,K$31,$G50=$G$32,K$32,$G50=$G$248,K$248,$G50=$G$250,K$250)</f>
        <v>BG sentinel + BG lure7</v>
      </c>
      <c r="L50" s="48" t="str" cm="1">
        <f t="array" ref="L50">_xlfn.IFS($G50=$G$5,L$5,$G50=$G$6,L$6,$G50=$G$7,L$7,$G50=$G$8,L$8,$G50=$G$9,L$9,$G50=$G$10,L$10,$G50=$G$11,L$11,$G50=$G$12,L$12,$G50=$G$13,L$13,$G50=$G$15,L$15,$G50=$G$16,L$16,$G50=$G$17,L$17,$G50=$G$18,L$18,$G50=$G$19,L$19,$G50=$G$20,L$20,$G50=$G$21,L$21,$G50=$G$22,L$22,$G50=$G$25,L$25,$G50=$G$26,L$26,$G50=$G$27,L$27,$G50=$G$29,L$29,$G50=$G$31,L$31,$G50=$G$32,L$32,$G50=$G$248,L$248,$G50=$G$250,L$250)</f>
        <v>Other</v>
      </c>
      <c r="M50" s="48" t="str" cm="1">
        <f t="array" ref="M50">_xlfn.IFS($G50=$G$5,M$5,$G50=$G$6,M$6,$G50=$G$7,M$7,$G50=$G$8,M$8,$G50=$G$9,M$9,$G50=$G$10,M$10,$G50=$G$11,M$11,$G50=$G$12,M$12,$G50=$G$13,M$13,$G50=$G$15,M$15,$G50=$G$16,M$16,$G50=$G$17,M$17,$G50=$G$18,M$18,$G50=$G$19,M$19,$G50=$G$20,M$20,$G50=$G$21,M$21,$G50=$G$22,M$22,$G50=$G$25,M$25,$G50=$G$26,M$26,$G50=$G$27,M$27,$G50=$G$29,M$29,$G50=$G$31,M$31,$G50=$G$32,M$32,$G50=$G$248,M$248,$G50=$G$250,M$250)</f>
        <v>Public garden</v>
      </c>
      <c r="N50" s="45"/>
      <c r="O50" s="45" t="str">
        <f t="shared" si="0"/>
        <v>A_SP_BCN_11_210521</v>
      </c>
      <c r="P50" s="49">
        <v>44337</v>
      </c>
      <c r="Q50" s="50"/>
      <c r="R50" s="51"/>
      <c r="S50" s="52">
        <v>44344</v>
      </c>
      <c r="T50" s="53"/>
      <c r="U50" s="51"/>
      <c r="V50" s="54" t="s">
        <v>66</v>
      </c>
      <c r="W50" s="55"/>
      <c r="X50" s="45">
        <f t="shared" si="1"/>
        <v>7</v>
      </c>
      <c r="Y50" s="55"/>
      <c r="Z50" s="45" t="s">
        <v>70</v>
      </c>
      <c r="AA50" s="45">
        <f t="shared" si="2"/>
        <v>2</v>
      </c>
      <c r="AB50" t="str">
        <f t="shared" si="3"/>
        <v>Adult</v>
      </c>
      <c r="AC50" s="45">
        <v>2</v>
      </c>
      <c r="AD50" s="45">
        <v>0</v>
      </c>
      <c r="AE50" s="45" t="str">
        <f t="shared" si="4"/>
        <v>Morphological</v>
      </c>
      <c r="AF50" s="56">
        <v>4</v>
      </c>
      <c r="AG50" s="57"/>
    </row>
    <row r="51" spans="1:33" ht="18" customHeight="1" x14ac:dyDescent="0.25">
      <c r="A51" s="45">
        <v>47</v>
      </c>
      <c r="B51" s="45" t="s">
        <v>60</v>
      </c>
      <c r="C51" s="45" t="s">
        <v>61</v>
      </c>
      <c r="D51" s="45" t="s">
        <v>62</v>
      </c>
      <c r="E51" s="45" t="s">
        <v>62</v>
      </c>
      <c r="F51" s="46" cm="1">
        <f t="array" ref="F51">_xlfn.IFS($G51=$G$5,F$5,$G51=$G$6,F$6,$G51=$G$7,F$7,$G51=$G$8,F$8,$G51=$G$9,F$9,$G51=$G$10,F$10,$G51=$G$11,F$11,$G51=$G$12,F$12,$G51=$G$13,F$13,$G51=$G$15,F$15,$G51=$G$16,F$16,$G51=$G$17,F$17,$G51=$G$18,F$18,$G51=$G$19,F$19,$G51=$G$20,F$20,$G51=$G$21,F$21,$G51=$G$22,F$22,$G51=$G$25,F$25,$G51=$G$26,F$26,$G51=$G$27,F$27,$G51=$G$29,F$29,$G51=$G$31,F$31,$G51=$G$32,F$32,$G51=$G$248,F$248,$G51=$G$250,F$250)</f>
        <v>8038</v>
      </c>
      <c r="G51" s="45" t="s">
        <v>84</v>
      </c>
      <c r="H51" s="67" cm="1">
        <f t="array" ref="H51">_xlfn.IFS($G51=$G$5,H$5,$G51=$G$6,H$6,$G51=$G$7,H$7,$G51=$G$8,H$8,$G51=$G$9,H$9,$G51=$G$10,H$10,$G51=$G$11,H$11,$G51=$G$12,H$12,$G51=$G$13,H$13,$G51=$G$15,H$15,$G51=$G$16,H$16,$G51=$G$17,H$17,$G51=$G$18,H$18,$G51=$G$19,H$19,$G51=$G$20,H$20,$G51=$G$21,H$21,$G51=$G$22,H$22,$G51=$G$25,H$25,$G51=$G$26,H$26,$G51=$G$27,H$27,$G51=$G$29,H$29,$G51=$G$31,H$31,$G51=$G$32,H$32,$G51=$G$248,H$248,$G51=$G$250,H$250)</f>
        <v>41.363377999999997</v>
      </c>
      <c r="I51" s="67" cm="1">
        <f t="array" ref="I51">_xlfn.IFS($G51=$G$5,I$5,$G51=$G$6,I$6,$G51=$G$7,I$7,$G51=$G$8,I$8,$G51=$G$9,I$9,$G51=$G$10,I$10,$G51=$G$11,I$11,$G51=$G$12,I$12,$G51=$G$13,I$13,$G51=$G$15,I$15,$G51=$G$16,I$16,$G51=$G$17,I$17,$G51=$G$18,I$18,$G51=$G$19,I$19,$G51=$G$20,I$20,$G51=$G$21,I$21,$G51=$G$22,I$22,$G51=$G$25,I$25,$G51=$G$26,I$26,$G51=$G$27,I$27,$G51=$G$29,I$29,$G51=$G$31,I$31,$G51=$G$32,I$32,$G51=$G$248,I$248,$G51=$G$250,I$250)</f>
        <v>2.164879</v>
      </c>
      <c r="J51" s="48" cm="1">
        <f t="array" ref="J51">_xlfn.IFS($G51=$G$5,J$5,$G51=$G$6,J$6,$G51=$G$7,J$7,$G51=$G$8,J$8,$G51=$G$9,J$9,$G51=$G$10,J$10,$G51=$G$11,J$11,$G51=$G$12,J$12,$G51=$G$13,J$13,$G51=$G$15,J$15,$G51=$G$16,J$16,$G51=$G$17,J$17,$G51=$G$18,J$18,$G51=$G$19,J$19,$G51=$G$20,J$20,$G51=$G$21,J$21,$G51=$G$22,J$22,$G51=$G$25,J$25,$G51=$G$26,J$26,$G51=$G$27,J$27,$G51=$G$29,J$29,$G51=$G$31,J$31,$G51=$G$32,J$32,$G51=$G$248,J$248,$G51=$G$250,J$250)</f>
        <v>185</v>
      </c>
      <c r="K51" s="48" t="str" cm="1">
        <f t="array" ref="K51">_xlfn.IFS($G51=$G$5,K$5,$G51=$G$6,K$6,$G51=$G$7,K$7,$G51=$G$8,K$8,$G51=$G$9,K$9,$G51=$G$10,K$10,$G51=$G$11,K$11,$G51=$G$12,K$12,$G51=$G$13,K$13,$G51=$G$15,K$15,$G51=$G$16,K$16,$G51=$G$17,K$17,$G51=$G$18,K$18,$G51=$G$19,K$19,$G51=$G$20,K$20,$G51=$G$21,K$21,$G51=$G$22,K$22,$G51=$G$25,K$25,$G51=$G$26,K$26,$G51=$G$27,K$27,$G51=$G$29,K$29,$G51=$G$31,K$31,$G51=$G$32,K$32,$G51=$G$248,K$248,$G51=$G$250,K$250)</f>
        <v>BG sentinel + BG lure7</v>
      </c>
      <c r="L51" s="48" t="str" cm="1">
        <f t="array" ref="L51">_xlfn.IFS($G51=$G$5,L$5,$G51=$G$6,L$6,$G51=$G$7,L$7,$G51=$G$8,L$8,$G51=$G$9,L$9,$G51=$G$10,L$10,$G51=$G$11,L$11,$G51=$G$12,L$12,$G51=$G$13,L$13,$G51=$G$15,L$15,$G51=$G$16,L$16,$G51=$G$17,L$17,$G51=$G$18,L$18,$G51=$G$19,L$19,$G51=$G$20,L$20,$G51=$G$21,L$21,$G51=$G$22,L$22,$G51=$G$25,L$25,$G51=$G$26,L$26,$G51=$G$27,L$27,$G51=$G$29,L$29,$G51=$G$31,L$31,$G51=$G$32,L$32,$G51=$G$248,L$248,$G51=$G$250,L$250)</f>
        <v>Other</v>
      </c>
      <c r="M51" s="48" t="str" cm="1">
        <f t="array" ref="M51">_xlfn.IFS($G51=$G$5,M$5,$G51=$G$6,M$6,$G51=$G$7,M$7,$G51=$G$8,M$8,$G51=$G$9,M$9,$G51=$G$10,M$10,$G51=$G$11,M$11,$G51=$G$12,M$12,$G51=$G$13,M$13,$G51=$G$15,M$15,$G51=$G$16,M$16,$G51=$G$17,M$17,$G51=$G$18,M$18,$G51=$G$19,M$19,$G51=$G$20,M$20,$G51=$G$21,M$21,$G51=$G$22,M$22,$G51=$G$25,M$25,$G51=$G$26,M$26,$G51=$G$27,M$27,$G51=$G$29,M$29,$G51=$G$31,M$31,$G51=$G$32,M$32,$G51=$G$248,M$248,$G51=$G$250,M$250)</f>
        <v>Public garden</v>
      </c>
      <c r="N51" s="45"/>
      <c r="O51" s="45" t="str">
        <f t="shared" si="0"/>
        <v>A_SP_BCN_12_210521</v>
      </c>
      <c r="P51" s="49">
        <v>44337</v>
      </c>
      <c r="Q51" s="50"/>
      <c r="R51" s="51"/>
      <c r="S51" s="52">
        <v>44344</v>
      </c>
      <c r="T51" s="53"/>
      <c r="U51" s="51"/>
      <c r="V51" s="54" t="s">
        <v>66</v>
      </c>
      <c r="W51" s="55"/>
      <c r="X51" s="45">
        <f t="shared" si="1"/>
        <v>7</v>
      </c>
      <c r="Y51" s="55"/>
      <c r="Z51" s="45" t="s">
        <v>70</v>
      </c>
      <c r="AA51" s="45">
        <f t="shared" si="2"/>
        <v>17</v>
      </c>
      <c r="AB51" t="str">
        <f t="shared" si="3"/>
        <v>Adult</v>
      </c>
      <c r="AC51" s="45">
        <v>16</v>
      </c>
      <c r="AD51" s="45">
        <v>1</v>
      </c>
      <c r="AE51" s="45" t="str">
        <f t="shared" si="4"/>
        <v>Morphological</v>
      </c>
      <c r="AF51" s="56">
        <v>4</v>
      </c>
      <c r="AG51" s="57"/>
    </row>
    <row r="52" spans="1:33" ht="18" customHeight="1" x14ac:dyDescent="0.25">
      <c r="A52" s="45">
        <v>48</v>
      </c>
      <c r="B52" s="45" t="s">
        <v>60</v>
      </c>
      <c r="C52" s="45" t="s">
        <v>61</v>
      </c>
      <c r="D52" s="45" t="s">
        <v>62</v>
      </c>
      <c r="E52" s="45" t="s">
        <v>62</v>
      </c>
      <c r="F52" s="46" cm="1">
        <f t="array" ref="F52">_xlfn.IFS($G52=$G$5,F$5,$G52=$G$6,F$6,$G52=$G$7,F$7,$G52=$G$8,F$8,$G52=$G$9,F$9,$G52=$G$10,F$10,$G52=$G$11,F$11,$G52=$G$12,F$12,$G52=$G$13,F$13,$G52=$G$15,F$15,$G52=$G$16,F$16,$G52=$G$17,F$17,$G52=$G$18,F$18,$G52=$G$19,F$19,$G52=$G$20,F$20,$G52=$G$21,F$21,$G52=$G$22,F$22,$G52=$G$25,F$25,$G52=$G$26,F$26,$G52=$G$27,F$27,$G52=$G$29,F$29,$G52=$G$31,F$31,$G52=$G$32,F$32,$G52=$G$248,F$248,$G52=$G$250,F$250)</f>
        <v>8038</v>
      </c>
      <c r="G52" s="45" t="s">
        <v>84</v>
      </c>
      <c r="H52" s="67" cm="1">
        <f t="array" ref="H52">_xlfn.IFS($G52=$G$5,H$5,$G52=$G$6,H$6,$G52=$G$7,H$7,$G52=$G$8,H$8,$G52=$G$9,H$9,$G52=$G$10,H$10,$G52=$G$11,H$11,$G52=$G$12,H$12,$G52=$G$13,H$13,$G52=$G$15,H$15,$G52=$G$16,H$16,$G52=$G$17,H$17,$G52=$G$18,H$18,$G52=$G$19,H$19,$G52=$G$20,H$20,$G52=$G$21,H$21,$G52=$G$22,H$22,$G52=$G$25,H$25,$G52=$G$26,H$26,$G52=$G$27,H$27,$G52=$G$29,H$29,$G52=$G$31,H$31,$G52=$G$32,H$32,$G52=$G$248,H$248,$G52=$G$250,H$250)</f>
        <v>41.363377999999997</v>
      </c>
      <c r="I52" s="67" cm="1">
        <f t="array" ref="I52">_xlfn.IFS($G52=$G$5,I$5,$G52=$G$6,I$6,$G52=$G$7,I$7,$G52=$G$8,I$8,$G52=$G$9,I$9,$G52=$G$10,I$10,$G52=$G$11,I$11,$G52=$G$12,I$12,$G52=$G$13,I$13,$G52=$G$15,I$15,$G52=$G$16,I$16,$G52=$G$17,I$17,$G52=$G$18,I$18,$G52=$G$19,I$19,$G52=$G$20,I$20,$G52=$G$21,I$21,$G52=$G$22,I$22,$G52=$G$25,I$25,$G52=$G$26,I$26,$G52=$G$27,I$27,$G52=$G$29,I$29,$G52=$G$31,I$31,$G52=$G$32,I$32,$G52=$G$248,I$248,$G52=$G$250,I$250)</f>
        <v>2.164879</v>
      </c>
      <c r="J52" s="48" cm="1">
        <f t="array" ref="J52">_xlfn.IFS($G52=$G$5,J$5,$G52=$G$6,J$6,$G52=$G$7,J$7,$G52=$G$8,J$8,$G52=$G$9,J$9,$G52=$G$10,J$10,$G52=$G$11,J$11,$G52=$G$12,J$12,$G52=$G$13,J$13,$G52=$G$15,J$15,$G52=$G$16,J$16,$G52=$G$17,J$17,$G52=$G$18,J$18,$G52=$G$19,J$19,$G52=$G$20,J$20,$G52=$G$21,J$21,$G52=$G$22,J$22,$G52=$G$25,J$25,$G52=$G$26,J$26,$G52=$G$27,J$27,$G52=$G$29,J$29,$G52=$G$31,J$31,$G52=$G$32,J$32,$G52=$G$248,J$248,$G52=$G$250,J$250)</f>
        <v>185</v>
      </c>
      <c r="K52" s="48" t="str" cm="1">
        <f t="array" ref="K52">_xlfn.IFS($G52=$G$5,K$5,$G52=$G$6,K$6,$G52=$G$7,K$7,$G52=$G$8,K$8,$G52=$G$9,K$9,$G52=$G$10,K$10,$G52=$G$11,K$11,$G52=$G$12,K$12,$G52=$G$13,K$13,$G52=$G$15,K$15,$G52=$G$16,K$16,$G52=$G$17,K$17,$G52=$G$18,K$18,$G52=$G$19,K$19,$G52=$G$20,K$20,$G52=$G$21,K$21,$G52=$G$22,K$22,$G52=$G$25,K$25,$G52=$G$26,K$26,$G52=$G$27,K$27,$G52=$G$29,K$29,$G52=$G$31,K$31,$G52=$G$32,K$32,$G52=$G$248,K$248,$G52=$G$250,K$250)</f>
        <v>BG sentinel + BG lure7</v>
      </c>
      <c r="L52" s="48" t="str" cm="1">
        <f t="array" ref="L52">_xlfn.IFS($G52=$G$5,L$5,$G52=$G$6,L$6,$G52=$G$7,L$7,$G52=$G$8,L$8,$G52=$G$9,L$9,$G52=$G$10,L$10,$G52=$G$11,L$11,$G52=$G$12,L$12,$G52=$G$13,L$13,$G52=$G$15,L$15,$G52=$G$16,L$16,$G52=$G$17,L$17,$G52=$G$18,L$18,$G52=$G$19,L$19,$G52=$G$20,L$20,$G52=$G$21,L$21,$G52=$G$22,L$22,$G52=$G$25,L$25,$G52=$G$26,L$26,$G52=$G$27,L$27,$G52=$G$29,L$29,$G52=$G$31,L$31,$G52=$G$32,L$32,$G52=$G$248,L$248,$G52=$G$250,L$250)</f>
        <v>Other</v>
      </c>
      <c r="M52" s="48" t="str" cm="1">
        <f t="array" ref="M52">_xlfn.IFS($G52=$G$5,M$5,$G52=$G$6,M$6,$G52=$G$7,M$7,$G52=$G$8,M$8,$G52=$G$9,M$9,$G52=$G$10,M$10,$G52=$G$11,M$11,$G52=$G$12,M$12,$G52=$G$13,M$13,$G52=$G$15,M$15,$G52=$G$16,M$16,$G52=$G$17,M$17,$G52=$G$18,M$18,$G52=$G$19,M$19,$G52=$G$20,M$20,$G52=$G$21,M$21,$G52=$G$22,M$22,$G52=$G$25,M$25,$G52=$G$26,M$26,$G52=$G$27,M$27,$G52=$G$29,M$29,$G52=$G$31,M$31,$G52=$G$32,M$32,$G52=$G$248,M$248,$G52=$G$250,M$250)</f>
        <v>Public garden</v>
      </c>
      <c r="N52" s="45"/>
      <c r="O52" s="45" t="str">
        <f t="shared" si="0"/>
        <v>A_SP_BCN_12_210521</v>
      </c>
      <c r="P52" s="49">
        <v>44337</v>
      </c>
      <c r="Q52" s="50"/>
      <c r="R52" s="51"/>
      <c r="S52" s="52">
        <v>44344</v>
      </c>
      <c r="T52" s="53"/>
      <c r="U52" s="51"/>
      <c r="V52" s="54" t="s">
        <v>66</v>
      </c>
      <c r="W52" s="55"/>
      <c r="X52" s="45">
        <f t="shared" si="1"/>
        <v>7</v>
      </c>
      <c r="Y52" s="55"/>
      <c r="Z52" s="45" t="s">
        <v>80</v>
      </c>
      <c r="AA52" s="45">
        <f t="shared" si="2"/>
        <v>1</v>
      </c>
      <c r="AB52" t="str">
        <f t="shared" si="3"/>
        <v>Adult</v>
      </c>
      <c r="AC52" s="45">
        <v>1</v>
      </c>
      <c r="AD52" s="45">
        <v>0</v>
      </c>
      <c r="AE52" s="45" t="str">
        <f t="shared" si="4"/>
        <v>Morphological</v>
      </c>
      <c r="AF52" s="56">
        <v>4</v>
      </c>
      <c r="AG52" s="57"/>
    </row>
    <row r="53" spans="1:33" ht="18" customHeight="1" x14ac:dyDescent="0.25">
      <c r="A53" s="45">
        <v>49</v>
      </c>
      <c r="B53" s="45" t="s">
        <v>60</v>
      </c>
      <c r="C53" s="45" t="s">
        <v>61</v>
      </c>
      <c r="D53" s="45" t="s">
        <v>62</v>
      </c>
      <c r="E53" s="45" t="s">
        <v>62</v>
      </c>
      <c r="F53" s="46" cm="1">
        <f t="array" ref="F53">_xlfn.IFS($G53=$G$5,F$5,$G53=$G$6,F$6,$G53=$G$7,F$7,$G53=$G$8,F$8,$G53=$G$9,F$9,$G53=$G$10,F$10,$G53=$G$11,F$11,$G53=$G$12,F$12,$G53=$G$13,F$13,$G53=$G$15,F$15,$G53=$G$16,F$16,$G53=$G$17,F$17,$G53=$G$18,F$18,$G53=$G$19,F$19,$G53=$G$20,F$20,$G53=$G$21,F$21,$G53=$G$22,F$22,$G53=$G$25,F$25,$G53=$G$26,F$26,$G53=$G$27,F$27,$G53=$G$29,F$29,$G53=$G$31,F$31,$G53=$G$32,F$32,$G53=$G$248,F$248,$G53=$G$250,F$250)</f>
        <v>8035</v>
      </c>
      <c r="G53" s="45" t="s">
        <v>85</v>
      </c>
      <c r="H53" s="67" cm="1">
        <f t="array" ref="H53">_xlfn.IFS($G53=$G$5,H$5,$G53=$G$6,H$6,$G53=$G$7,H$7,$G53=$G$8,H$8,$G53=$G$9,H$9,$G53=$G$10,H$10,$G53=$G$11,H$11,$G53=$G$12,H$12,$G53=$G$13,H$13,$G53=$G$15,H$15,$G53=$G$16,H$16,$G53=$G$17,H$17,$G53=$G$18,H$18,$G53=$G$19,H$19,$G53=$G$20,H$20,$G53=$G$21,H$21,$G53=$G$22,H$22,$G53=$G$25,H$25,$G53=$G$26,H$26,$G53=$G$27,H$27,$G53=$G$29,H$29,$G53=$G$31,H$31,$G53=$G$32,H$32,$G53=$G$248,H$248,$G53=$G$250,H$250)</f>
        <v>41.434472</v>
      </c>
      <c r="I53" s="67" cm="1">
        <f t="array" ref="I53">_xlfn.IFS($G53=$G$5,I$5,$G53=$G$6,I$6,$G53=$G$7,I$7,$G53=$G$8,I$8,$G53=$G$9,I$9,$G53=$G$10,I$10,$G53=$G$11,I$11,$G53=$G$12,I$12,$G53=$G$13,I$13,$G53=$G$15,I$15,$G53=$G$16,I$16,$G53=$G$17,I$17,$G53=$G$18,I$18,$G53=$G$19,I$19,$G53=$G$20,I$20,$G53=$G$21,I$21,$G53=$G$22,I$22,$G53=$G$25,I$25,$G53=$G$26,I$26,$G53=$G$27,I$27,$G53=$G$29,I$29,$G53=$G$31,I$31,$G53=$G$32,I$32,$G53=$G$248,I$248,$G53=$G$250,I$250)</f>
        <v>2.1315789999999999</v>
      </c>
      <c r="J53" s="48" cm="1">
        <f t="array" ref="J53">_xlfn.IFS($G53=$G$5,J$5,$G53=$G$6,J$6,$G53=$G$7,J$7,$G53=$G$8,J$8,$G53=$G$9,J$9,$G53=$G$10,J$10,$G53=$G$11,J$11,$G53=$G$12,J$12,$G53=$G$13,J$13,$G53=$G$15,J$15,$G53=$G$16,J$16,$G53=$G$17,J$17,$G53=$G$18,J$18,$G53=$G$19,J$19,$G53=$G$20,J$20,$G53=$G$21,J$21,$G53=$G$22,J$22,$G53=$G$25,J$25,$G53=$G$26,J$26,$G53=$G$27,J$27,$G53=$G$29,J$29,$G53=$G$31,J$31,$G53=$G$32,J$32,$G53=$G$248,J$248,$G53=$G$250,J$250)</f>
        <v>365</v>
      </c>
      <c r="K53" s="48" t="str" cm="1">
        <f t="array" ref="K53">_xlfn.IFS($G53=$G$5,K$5,$G53=$G$6,K$6,$G53=$G$7,K$7,$G53=$G$8,K$8,$G53=$G$9,K$9,$G53=$G$10,K$10,$G53=$G$11,K$11,$G53=$G$12,K$12,$G53=$G$13,K$13,$G53=$G$15,K$15,$G53=$G$16,K$16,$G53=$G$17,K$17,$G53=$G$18,K$18,$G53=$G$19,K$19,$G53=$G$20,K$20,$G53=$G$21,K$21,$G53=$G$22,K$22,$G53=$G$25,K$25,$G53=$G$26,K$26,$G53=$G$27,K$27,$G53=$G$29,K$29,$G53=$G$31,K$31,$G53=$G$32,K$32,$G53=$G$248,K$248,$G53=$G$250,K$250)</f>
        <v>BG sentinel + BG lure7</v>
      </c>
      <c r="L53" s="48" t="str" cm="1">
        <f t="array" ref="L53">_xlfn.IFS($G53=$G$5,L$5,$G53=$G$6,L$6,$G53=$G$7,L$7,$G53=$G$8,L$8,$G53=$G$9,L$9,$G53=$G$10,L$10,$G53=$G$11,L$11,$G53=$G$12,L$12,$G53=$G$13,L$13,$G53=$G$15,L$15,$G53=$G$16,L$16,$G53=$G$17,L$17,$G53=$G$18,L$18,$G53=$G$19,L$19,$G53=$G$20,L$20,$G53=$G$21,L$21,$G53=$G$22,L$22,$G53=$G$25,L$25,$G53=$G$26,L$26,$G53=$G$27,L$27,$G53=$G$29,L$29,$G53=$G$31,L$31,$G53=$G$32,L$32,$G53=$G$248,L$248,$G53=$G$250,L$250)</f>
        <v>Other</v>
      </c>
      <c r="M53" s="48"/>
      <c r="N53" s="45"/>
      <c r="O53" s="45" t="str">
        <f t="shared" si="0"/>
        <v>A_SP_BCN_13_210521</v>
      </c>
      <c r="P53" s="49">
        <v>44337</v>
      </c>
      <c r="Q53" s="50"/>
      <c r="R53" s="51"/>
      <c r="S53" s="52">
        <v>44343</v>
      </c>
      <c r="T53" s="53"/>
      <c r="U53" s="51"/>
      <c r="V53" s="54" t="s">
        <v>66</v>
      </c>
      <c r="W53" s="55"/>
      <c r="X53" s="45">
        <f t="shared" si="1"/>
        <v>6</v>
      </c>
      <c r="Y53" s="55"/>
      <c r="Z53" s="45" t="s">
        <v>80</v>
      </c>
      <c r="AA53" s="45">
        <f t="shared" si="2"/>
        <v>4</v>
      </c>
      <c r="AB53" t="str">
        <f t="shared" si="3"/>
        <v>Adult</v>
      </c>
      <c r="AC53" s="45">
        <v>4</v>
      </c>
      <c r="AD53" s="45">
        <v>0</v>
      </c>
      <c r="AE53" s="45" t="str">
        <f t="shared" si="4"/>
        <v>Morphological</v>
      </c>
      <c r="AF53" s="56">
        <v>4</v>
      </c>
      <c r="AG53" s="57"/>
    </row>
    <row r="54" spans="1:33" ht="18" customHeight="1" x14ac:dyDescent="0.25">
      <c r="A54" s="45">
        <v>50</v>
      </c>
      <c r="B54" s="45" t="s">
        <v>60</v>
      </c>
      <c r="C54" s="45" t="s">
        <v>61</v>
      </c>
      <c r="D54" s="45" t="s">
        <v>62</v>
      </c>
      <c r="E54" s="45" t="s">
        <v>62</v>
      </c>
      <c r="F54" s="46" cm="1">
        <f t="array" ref="F54">_xlfn.IFS($G54=$G$5,F$5,$G54=$G$6,F$6,$G54=$G$7,F$7,$G54=$G$8,F$8,$G54=$G$9,F$9,$G54=$G$10,F$10,$G54=$G$11,F$11,$G54=$G$12,F$12,$G54=$G$13,F$13,$G54=$G$15,F$15,$G54=$G$16,F$16,$G54=$G$17,F$17,$G54=$G$18,F$18,$G54=$G$19,F$19,$G54=$G$20,F$20,$G54=$G$21,F$21,$G54=$G$22,F$22,$G54=$G$25,F$25,$G54=$G$26,F$26,$G54=$G$27,F$27,$G54=$G$29,F$29,$G54=$G$31,F$31,$G54=$G$32,F$32,$G54=$G$248,F$248,$G54=$G$250,F$250)</f>
        <v>8017</v>
      </c>
      <c r="G54" s="45" t="s">
        <v>86</v>
      </c>
      <c r="H54" s="67" cm="1">
        <f t="array" ref="H54">_xlfn.IFS($G54=$G$5,H$5,$G54=$G$6,H$6,$G54=$G$7,H$7,$G54=$G$8,H$8,$G54=$G$9,H$9,$G54=$G$10,H$10,$G54=$G$11,H$11,$G54=$G$12,H$12,$G54=$G$13,H$13,$G54=$G$15,H$15,$G54=$G$16,H$16,$G54=$G$17,H$17,$G54=$G$18,H$18,$G54=$G$19,H$19,$G54=$G$20,H$20,$G54=$G$21,H$21,$G54=$G$22,H$22,$G54=$G$25,H$25,$G54=$G$26,H$26,$G54=$G$27,H$27,$G54=$G$29,H$29,$G54=$G$31,H$31,$G54=$G$32,H$32,$G54=$G$248,H$248,$G54=$G$250,H$250)</f>
        <v>41.428533999999999</v>
      </c>
      <c r="I54" s="67" cm="1">
        <f t="array" ref="I54">_xlfn.IFS($G54=$G$5,I$5,$G54=$G$6,I$6,$G54=$G$7,I$7,$G54=$G$8,I$8,$G54=$G$9,I$9,$G54=$G$10,I$10,$G54=$G$11,I$11,$G54=$G$12,I$12,$G54=$G$13,I$13,$G54=$G$15,I$15,$G54=$G$16,I$16,$G54=$G$17,I$17,$G54=$G$18,I$18,$G54=$G$19,I$19,$G54=$G$20,I$20,$G54=$G$21,I$21,$G54=$G$22,I$22,$G54=$G$25,I$25,$G54=$G$26,I$26,$G54=$G$27,I$27,$G54=$G$29,I$29,$G54=$G$31,I$31,$G54=$G$32,I$32,$G54=$G$248,I$248,$G54=$G$250,I$250)</f>
        <v>2.090954</v>
      </c>
      <c r="J54" s="48" cm="1">
        <f t="array" ref="J54">_xlfn.IFS($G54=$G$5,J$5,$G54=$G$6,J$6,$G54=$G$7,J$7,$G54=$G$8,J$8,$G54=$G$9,J$9,$G54=$G$10,J$10,$G54=$G$11,J$11,$G54=$G$12,J$12,$G54=$G$13,J$13,$G54=$G$15,J$15,$G54=$G$16,J$16,$G54=$G$17,J$17,$G54=$G$18,J$18,$G54=$G$19,J$19,$G54=$G$20,J$20,$G54=$G$21,J$21,$G54=$G$22,J$22,$G54=$G$25,J$25,$G54=$G$26,J$26,$G54=$G$27,J$27,$G54=$G$29,J$29,$G54=$G$31,J$31,$G54=$G$32,J$32,$G54=$G$248,J$248,$G54=$G$250,J$250)</f>
        <v>215</v>
      </c>
      <c r="K54" s="48" t="str" cm="1">
        <f t="array" ref="K54">_xlfn.IFS($G54=$G$5,K$5,$G54=$G$6,K$6,$G54=$G$7,K$7,$G54=$G$8,K$8,$G54=$G$9,K$9,$G54=$G$10,K$10,$G54=$G$11,K$11,$G54=$G$12,K$12,$G54=$G$13,K$13,$G54=$G$15,K$15,$G54=$G$16,K$16,$G54=$G$17,K$17,$G54=$G$18,K$18,$G54=$G$19,K$19,$G54=$G$20,K$20,$G54=$G$21,K$21,$G54=$G$22,K$22,$G54=$G$25,K$25,$G54=$G$26,K$26,$G54=$G$27,K$27,$G54=$G$29,K$29,$G54=$G$31,K$31,$G54=$G$32,K$32,$G54=$G$248,K$248,$G54=$G$250,K$250)</f>
        <v>BG sentinel + BG lure7</v>
      </c>
      <c r="L54" s="48"/>
      <c r="M54" s="48"/>
      <c r="N54" s="45"/>
      <c r="O54" s="45" t="str">
        <f t="shared" si="0"/>
        <v>A_SP_BCN_14_210520</v>
      </c>
      <c r="P54" s="49">
        <v>44336</v>
      </c>
      <c r="Q54" s="50"/>
      <c r="R54" s="51"/>
      <c r="S54" s="52">
        <v>44343</v>
      </c>
      <c r="T54" s="53"/>
      <c r="U54" s="51"/>
      <c r="V54" s="54" t="s">
        <v>66</v>
      </c>
      <c r="W54" s="54" t="s">
        <v>83</v>
      </c>
      <c r="X54" s="45">
        <f t="shared" si="1"/>
        <v>7</v>
      </c>
      <c r="Y54" s="55"/>
      <c r="Z54" s="45" t="s">
        <v>70</v>
      </c>
      <c r="AA54" s="45">
        <f t="shared" si="2"/>
        <v>1</v>
      </c>
      <c r="AB54" t="str">
        <f t="shared" si="3"/>
        <v>Adult</v>
      </c>
      <c r="AC54" s="45">
        <v>1</v>
      </c>
      <c r="AD54" s="45">
        <v>0</v>
      </c>
      <c r="AE54" s="45" t="str">
        <f t="shared" si="4"/>
        <v>Morphological</v>
      </c>
      <c r="AF54" s="56">
        <v>3</v>
      </c>
      <c r="AG54" s="57"/>
    </row>
    <row r="55" spans="1:33" ht="18" customHeight="1" x14ac:dyDescent="0.25">
      <c r="A55" s="45">
        <v>51</v>
      </c>
      <c r="B55" s="45" t="s">
        <v>60</v>
      </c>
      <c r="C55" s="45" t="s">
        <v>61</v>
      </c>
      <c r="D55" s="45" t="s">
        <v>62</v>
      </c>
      <c r="E55" s="45" t="s">
        <v>62</v>
      </c>
      <c r="F55" s="46" cm="1">
        <f t="array" ref="F55">_xlfn.IFS($G55=$G$5,F$5,$G55=$G$6,F$6,$G55=$G$7,F$7,$G55=$G$8,F$8,$G55=$G$9,F$9,$G55=$G$10,F$10,$G55=$G$11,F$11,$G55=$G$12,F$12,$G55=$G$13,F$13,$G55=$G$15,F$15,$G55=$G$16,F$16,$G55=$G$17,F$17,$G55=$G$18,F$18,$G55=$G$19,F$19,$G55=$G$20,F$20,$G55=$G$21,F$21,$G55=$G$22,F$22,$G55=$G$25,F$25,$G55=$G$26,F$26,$G55=$G$27,F$27,$G55=$G$29,F$29,$G55=$G$31,F$31,$G55=$G$32,F$32,$G55=$G$248,F$248,$G55=$G$250,F$250)</f>
        <v>8017</v>
      </c>
      <c r="G55" s="45" t="s">
        <v>87</v>
      </c>
      <c r="H55" s="67" cm="1">
        <f t="array" ref="H55">_xlfn.IFS($G55=$G$5,H$5,$G55=$G$6,H$6,$G55=$G$7,H$7,$G55=$G$8,H$8,$G55=$G$9,H$9,$G55=$G$10,H$10,$G55=$G$11,H$11,$G55=$G$12,H$12,$G55=$G$13,H$13,$G55=$G$15,H$15,$G55=$G$16,H$16,$G55=$G$17,H$17,$G55=$G$18,H$18,$G55=$G$19,H$19,$G55=$G$20,H$20,$G55=$G$21,H$21,$G55=$G$22,H$22,$G55=$G$25,H$25,$G55=$G$26,H$26,$G55=$G$27,H$27,$G55=$G$29,H$29,$G55=$G$31,H$31,$G55=$G$32,H$32,$G55=$G$248,H$248,$G55=$G$250,H$250)</f>
        <v>41.419471000000001</v>
      </c>
      <c r="I55" s="67" cm="1">
        <f t="array" ref="I55">_xlfn.IFS($G55=$G$5,I$5,$G55=$G$6,I$6,$G55=$G$7,I$7,$G55=$G$8,I$8,$G55=$G$9,I$9,$G55=$G$10,I$10,$G55=$G$11,I$11,$G55=$G$12,I$12,$G55=$G$13,I$13,$G55=$G$15,I$15,$G55=$G$16,I$16,$G55=$G$17,I$17,$G55=$G$18,I$18,$G55=$G$19,I$19,$G55=$G$20,I$20,$G55=$G$21,I$21,$G55=$G$22,I$22,$G55=$G$25,I$25,$G55=$G$26,I$26,$G55=$G$27,I$27,$G55=$G$29,I$29,$G55=$G$31,I$31,$G55=$G$32,I$32,$G55=$G$248,I$248,$G55=$G$250,I$250)</f>
        <v>2.1010149999999999</v>
      </c>
      <c r="J55" s="48" cm="1">
        <f t="array" ref="J55">_xlfn.IFS($G55=$G$5,J$5,$G55=$G$6,J$6,$G55=$G$7,J$7,$G55=$G$8,J$8,$G55=$G$9,J$9,$G55=$G$10,J$10,$G55=$G$11,J$11,$G55=$G$12,J$12,$G55=$G$13,J$13,$G55=$G$15,J$15,$G55=$G$16,J$16,$G55=$G$17,J$17,$G55=$G$18,J$18,$G55=$G$19,J$19,$G55=$G$20,J$20,$G55=$G$21,J$21,$G55=$G$22,J$22,$G55=$G$25,J$25,$G55=$G$26,J$26,$G55=$G$27,J$27,$G55=$G$29,J$29,$G55=$G$31,J$31,$G55=$G$32,J$32,$G55=$G$248,J$248,$G55=$G$250,J$250)</f>
        <v>284</v>
      </c>
      <c r="K55" s="48" t="str" cm="1">
        <f t="array" ref="K55">_xlfn.IFS($G55=$G$5,K$5,$G55=$G$6,K$6,$G55=$G$7,K$7,$G55=$G$8,K$8,$G55=$G$9,K$9,$G55=$G$10,K$10,$G55=$G$11,K$11,$G55=$G$12,K$12,$G55=$G$13,K$13,$G55=$G$15,K$15,$G55=$G$16,K$16,$G55=$G$17,K$17,$G55=$G$18,K$18,$G55=$G$19,K$19,$G55=$G$20,K$20,$G55=$G$21,K$21,$G55=$G$22,K$22,$G55=$G$25,K$25,$G55=$G$26,K$26,$G55=$G$27,K$27,$G55=$G$29,K$29,$G55=$G$31,K$31,$G55=$G$32,K$32,$G55=$G$248,K$248,$G55=$G$250,K$250)</f>
        <v>BG sentinel + BG lure7</v>
      </c>
      <c r="L55" s="48"/>
      <c r="M55" s="48"/>
      <c r="N55" s="45"/>
      <c r="O55" s="45" t="str">
        <f t="shared" si="0"/>
        <v>A_SP_BCN_15_210520</v>
      </c>
      <c r="P55" s="49">
        <v>44336</v>
      </c>
      <c r="Q55" s="50"/>
      <c r="R55" s="51"/>
      <c r="S55" s="52">
        <v>44343</v>
      </c>
      <c r="T55" s="53"/>
      <c r="U55" s="51"/>
      <c r="V55" s="54" t="s">
        <v>66</v>
      </c>
      <c r="W55" s="55"/>
      <c r="X55" s="45">
        <f t="shared" si="1"/>
        <v>7</v>
      </c>
      <c r="Y55" s="55"/>
      <c r="Z55" s="45"/>
      <c r="AA55" s="45">
        <f t="shared" si="2"/>
        <v>0</v>
      </c>
      <c r="AB55" t="str">
        <f t="shared" si="3"/>
        <v/>
      </c>
      <c r="AC55" s="45"/>
      <c r="AD55" s="45"/>
      <c r="AE55" s="45" t="str">
        <f t="shared" si="4"/>
        <v/>
      </c>
      <c r="AF55" s="56">
        <v>4</v>
      </c>
      <c r="AG55" s="57"/>
    </row>
    <row r="56" spans="1:33" ht="18" customHeight="1" x14ac:dyDescent="0.25">
      <c r="A56" s="45">
        <v>52</v>
      </c>
      <c r="B56" s="45" t="s">
        <v>60</v>
      </c>
      <c r="C56" s="45" t="s">
        <v>61</v>
      </c>
      <c r="D56" s="45" t="s">
        <v>62</v>
      </c>
      <c r="E56" s="45" t="s">
        <v>62</v>
      </c>
      <c r="F56" s="46" cm="1">
        <f t="array" ref="F56">_xlfn.IFS($G56=$G$5,F$5,$G56=$G$6,F$6,$G56=$G$7,F$7,$G56=$G$8,F$8,$G56=$G$9,F$9,$G56=$G$10,F$10,$G56=$G$11,F$11,$G56=$G$12,F$12,$G56=$G$13,F$13,$G56=$G$15,F$15,$G56=$G$16,F$16,$G56=$G$17,F$17,$G56=$G$18,F$18,$G56=$G$19,F$19,$G56=$G$20,F$20,$G56=$G$21,F$21,$G56=$G$22,F$22,$G56=$G$25,F$25,$G56=$G$26,F$26,$G56=$G$27,F$27,$G56=$G$29,F$29,$G56=$G$31,F$31,$G56=$G$32,F$32,$G56=$G$248,F$248,$G56=$G$250,F$250)</f>
        <v>8017</v>
      </c>
      <c r="G56" s="45" t="s">
        <v>88</v>
      </c>
      <c r="H56" s="67" cm="1">
        <f t="array" ref="H56">_xlfn.IFS($G56=$G$5,H$5,$G56=$G$6,H$6,$G56=$G$7,H$7,$G56=$G$8,H$8,$G56=$G$9,H$9,$G56=$G$10,H$10,$G56=$G$11,H$11,$G56=$G$12,H$12,$G56=$G$13,H$13,$G56=$G$15,H$15,$G56=$G$16,H$16,$G56=$G$17,H$17,$G56=$G$18,H$18,$G56=$G$19,H$19,$G56=$G$20,H$20,$G56=$G$21,H$21,$G56=$G$22,H$22,$G56=$G$25,H$25,$G56=$G$26,H$26,$G56=$G$27,H$27,$G56=$G$29,H$29,$G56=$G$31,H$31,$G56=$G$32,H$32,$G56=$G$248,H$248,$G56=$G$250,H$250)</f>
        <v>41.398387</v>
      </c>
      <c r="I56" s="67" cm="1">
        <f t="array" ref="I56">_xlfn.IFS($G56=$G$5,I$5,$G56=$G$6,I$6,$G56=$G$7,I$7,$G56=$G$8,I$8,$G56=$G$9,I$9,$G56=$G$10,I$10,$G56=$G$11,I$11,$G56=$G$12,I$12,$G56=$G$13,I$13,$G56=$G$15,I$15,$G56=$G$16,I$16,$G56=$G$17,I$17,$G56=$G$18,I$18,$G56=$G$19,I$19,$G56=$G$20,I$20,$G56=$G$21,I$21,$G56=$G$22,I$22,$G56=$G$25,I$25,$G56=$G$26,I$26,$G56=$G$27,I$27,$G56=$G$29,I$29,$G56=$G$31,I$31,$G56=$G$32,I$32,$G56=$G$248,I$248,$G56=$G$250,I$250)</f>
        <v>2.1244429999999999</v>
      </c>
      <c r="J56" s="48" cm="1">
        <f t="array" ref="J56">_xlfn.IFS($G56=$G$5,J$5,$G56=$G$6,J$6,$G56=$G$7,J$7,$G56=$G$8,J$8,$G56=$G$9,J$9,$G56=$G$10,J$10,$G56=$G$11,J$11,$G56=$G$12,J$12,$G56=$G$13,J$13,$G56=$G$15,J$15,$G56=$G$16,J$16,$G56=$G$17,J$17,$G56=$G$18,J$18,$G56=$G$19,J$19,$G56=$G$20,J$20,$G56=$G$21,J$21,$G56=$G$22,J$22,$G56=$G$25,J$25,$G56=$G$26,J$26,$G56=$G$27,J$27,$G56=$G$29,J$29,$G56=$G$31,J$31,$G56=$G$32,J$32,$G56=$G$248,J$248,$G56=$G$250,J$250)</f>
        <v>106</v>
      </c>
      <c r="K56" s="48" t="str" cm="1">
        <f t="array" ref="K56">_xlfn.IFS($G56=$G$5,K$5,$G56=$G$6,K$6,$G56=$G$7,K$7,$G56=$G$8,K$8,$G56=$G$9,K$9,$G56=$G$10,K$10,$G56=$G$11,K$11,$G56=$G$12,K$12,$G56=$G$13,K$13,$G56=$G$15,K$15,$G56=$G$16,K$16,$G56=$G$17,K$17,$G56=$G$18,K$18,$G56=$G$19,K$19,$G56=$G$20,K$20,$G56=$G$21,K$21,$G56=$G$22,K$22,$G56=$G$25,K$25,$G56=$G$26,K$26,$G56=$G$27,K$27,$G56=$G$29,K$29,$G56=$G$31,K$31,$G56=$G$32,K$32,$G56=$G$248,K$248,$G56=$G$250,K$250)</f>
        <v>BG sentinel + BG lure7</v>
      </c>
      <c r="L56" s="48"/>
      <c r="M56" s="48"/>
      <c r="N56" s="45"/>
      <c r="O56" s="45" t="str">
        <f t="shared" si="0"/>
        <v>A_SP_BCN_16_210520</v>
      </c>
      <c r="P56" s="49">
        <v>44336</v>
      </c>
      <c r="Q56" s="50"/>
      <c r="R56" s="51"/>
      <c r="S56" s="52">
        <v>44344</v>
      </c>
      <c r="T56" s="53"/>
      <c r="U56" s="51"/>
      <c r="V56" s="54" t="s">
        <v>66</v>
      </c>
      <c r="W56" s="55"/>
      <c r="X56" s="45">
        <f t="shared" si="1"/>
        <v>8</v>
      </c>
      <c r="Y56" s="55"/>
      <c r="Z56" s="45" t="s">
        <v>69</v>
      </c>
      <c r="AA56" s="45">
        <f t="shared" si="2"/>
        <v>4</v>
      </c>
      <c r="AB56" t="str">
        <f t="shared" si="3"/>
        <v>Adult</v>
      </c>
      <c r="AC56" s="45">
        <v>1</v>
      </c>
      <c r="AD56" s="45">
        <v>3</v>
      </c>
      <c r="AE56" s="45" t="str">
        <f t="shared" si="4"/>
        <v>Morphological</v>
      </c>
      <c r="AF56" s="56">
        <v>4</v>
      </c>
      <c r="AG56" s="57"/>
    </row>
    <row r="57" spans="1:33" ht="18" customHeight="1" x14ac:dyDescent="0.25">
      <c r="A57" s="45">
        <v>53</v>
      </c>
      <c r="B57" s="45" t="s">
        <v>60</v>
      </c>
      <c r="C57" s="45" t="s">
        <v>61</v>
      </c>
      <c r="D57" s="45" t="s">
        <v>62</v>
      </c>
      <c r="E57" s="45" t="s">
        <v>62</v>
      </c>
      <c r="F57" s="46" cm="1">
        <f t="array" ref="F57">_xlfn.IFS($G57=$G$5,F$5,$G57=$G$6,F$6,$G57=$G$7,F$7,$G57=$G$8,F$8,$G57=$G$9,F$9,$G57=$G$10,F$10,$G57=$G$11,F$11,$G57=$G$12,F$12,$G57=$G$13,F$13,$G57=$G$15,F$15,$G57=$G$16,F$16,$G57=$G$17,F$17,$G57=$G$18,F$18,$G57=$G$19,F$19,$G57=$G$20,F$20,$G57=$G$21,F$21,$G57=$G$22,F$22,$G57=$G$25,F$25,$G57=$G$26,F$26,$G57=$G$27,F$27,$G57=$G$29,F$29,$G57=$G$31,F$31,$G57=$G$32,F$32,$G57=$G$248,F$248,$G57=$G$250,F$250)</f>
        <v>8017</v>
      </c>
      <c r="G57" s="45" t="s">
        <v>88</v>
      </c>
      <c r="H57" s="67" cm="1">
        <f t="array" ref="H57">_xlfn.IFS($G57=$G$5,H$5,$G57=$G$6,H$6,$G57=$G$7,H$7,$G57=$G$8,H$8,$G57=$G$9,H$9,$G57=$G$10,H$10,$G57=$G$11,H$11,$G57=$G$12,H$12,$G57=$G$13,H$13,$G57=$G$15,H$15,$G57=$G$16,H$16,$G57=$G$17,H$17,$G57=$G$18,H$18,$G57=$G$19,H$19,$G57=$G$20,H$20,$G57=$G$21,H$21,$G57=$G$22,H$22,$G57=$G$25,H$25,$G57=$G$26,H$26,$G57=$G$27,H$27,$G57=$G$29,H$29,$G57=$G$31,H$31,$G57=$G$32,H$32,$G57=$G$248,H$248,$G57=$G$250,H$250)</f>
        <v>41.398387</v>
      </c>
      <c r="I57" s="67" cm="1">
        <f t="array" ref="I57">_xlfn.IFS($G57=$G$5,I$5,$G57=$G$6,I$6,$G57=$G$7,I$7,$G57=$G$8,I$8,$G57=$G$9,I$9,$G57=$G$10,I$10,$G57=$G$11,I$11,$G57=$G$12,I$12,$G57=$G$13,I$13,$G57=$G$15,I$15,$G57=$G$16,I$16,$G57=$G$17,I$17,$G57=$G$18,I$18,$G57=$G$19,I$19,$G57=$G$20,I$20,$G57=$G$21,I$21,$G57=$G$22,I$22,$G57=$G$25,I$25,$G57=$G$26,I$26,$G57=$G$27,I$27,$G57=$G$29,I$29,$G57=$G$31,I$31,$G57=$G$32,I$32,$G57=$G$248,I$248,$G57=$G$250,I$250)</f>
        <v>2.1244429999999999</v>
      </c>
      <c r="J57" s="48" cm="1">
        <f t="array" ref="J57">_xlfn.IFS($G57=$G$5,J$5,$G57=$G$6,J$6,$G57=$G$7,J$7,$G57=$G$8,J$8,$G57=$G$9,J$9,$G57=$G$10,J$10,$G57=$G$11,J$11,$G57=$G$12,J$12,$G57=$G$13,J$13,$G57=$G$15,J$15,$G57=$G$16,J$16,$G57=$G$17,J$17,$G57=$G$18,J$18,$G57=$G$19,J$19,$G57=$G$20,J$20,$G57=$G$21,J$21,$G57=$G$22,J$22,$G57=$G$25,J$25,$G57=$G$26,J$26,$G57=$G$27,J$27,$G57=$G$29,J$29,$G57=$G$31,J$31,$G57=$G$32,J$32,$G57=$G$248,J$248,$G57=$G$250,J$250)</f>
        <v>106</v>
      </c>
      <c r="K57" s="48" t="str" cm="1">
        <f t="array" ref="K57">_xlfn.IFS($G57=$G$5,K$5,$G57=$G$6,K$6,$G57=$G$7,K$7,$G57=$G$8,K$8,$G57=$G$9,K$9,$G57=$G$10,K$10,$G57=$G$11,K$11,$G57=$G$12,K$12,$G57=$G$13,K$13,$G57=$G$15,K$15,$G57=$G$16,K$16,$G57=$G$17,K$17,$G57=$G$18,K$18,$G57=$G$19,K$19,$G57=$G$20,K$20,$G57=$G$21,K$21,$G57=$G$22,K$22,$G57=$G$25,K$25,$G57=$G$26,K$26,$G57=$G$27,K$27,$G57=$G$29,K$29,$G57=$G$31,K$31,$G57=$G$32,K$32,$G57=$G$248,K$248,$G57=$G$250,K$250)</f>
        <v>BG sentinel + BG lure7</v>
      </c>
      <c r="L57" s="48"/>
      <c r="M57" s="48"/>
      <c r="N57" s="45"/>
      <c r="O57" s="45" t="str">
        <f t="shared" si="0"/>
        <v>A_SP_BCN_16_210520</v>
      </c>
      <c r="P57" s="49">
        <v>44336</v>
      </c>
      <c r="Q57" s="50"/>
      <c r="R57" s="51"/>
      <c r="S57" s="52">
        <v>44344</v>
      </c>
      <c r="T57" s="53"/>
      <c r="U57" s="51"/>
      <c r="V57" s="54" t="s">
        <v>66</v>
      </c>
      <c r="W57" s="55"/>
      <c r="X57" s="45">
        <f t="shared" si="1"/>
        <v>8</v>
      </c>
      <c r="Y57" s="55"/>
      <c r="Z57" s="45" t="s">
        <v>70</v>
      </c>
      <c r="AA57" s="45">
        <f t="shared" si="2"/>
        <v>5</v>
      </c>
      <c r="AB57" t="str">
        <f t="shared" si="3"/>
        <v>Adult</v>
      </c>
      <c r="AC57" s="45">
        <v>3</v>
      </c>
      <c r="AD57" s="45">
        <v>2</v>
      </c>
      <c r="AE57" s="45" t="str">
        <f t="shared" si="4"/>
        <v>Morphological</v>
      </c>
      <c r="AF57" s="56">
        <v>4</v>
      </c>
      <c r="AG57" s="57"/>
    </row>
    <row r="58" spans="1:33" ht="18" customHeight="1" x14ac:dyDescent="0.25">
      <c r="A58" s="45">
        <v>54</v>
      </c>
      <c r="B58" s="45" t="s">
        <v>60</v>
      </c>
      <c r="C58" s="45" t="s">
        <v>61</v>
      </c>
      <c r="D58" s="45" t="s">
        <v>62</v>
      </c>
      <c r="E58" s="45" t="s">
        <v>62</v>
      </c>
      <c r="F58" s="46" cm="1">
        <f t="array" ref="F58">_xlfn.IFS($G58=$G$5,F$5,$G58=$G$6,F$6,$G58=$G$7,F$7,$G58=$G$8,F$8,$G58=$G$9,F$9,$G58=$G$10,F$10,$G58=$G$11,F$11,$G58=$G$12,F$12,$G58=$G$13,F$13,$G58=$G$15,F$15,$G58=$G$16,F$16,$G58=$G$17,F$17,$G58=$G$18,F$18,$G58=$G$19,F$19,$G58=$G$20,F$20,$G58=$G$21,F$21,$G58=$G$22,F$22,$G58=$G$25,F$25,$G58=$G$26,F$26,$G58=$G$27,F$27,$G58=$G$29,F$29,$G58=$G$31,F$31,$G58=$G$32,F$32,$G58=$G$248,F$248,$G58=$G$250,F$250)</f>
        <v>8017</v>
      </c>
      <c r="G58" s="45" t="s">
        <v>88</v>
      </c>
      <c r="H58" s="67" cm="1">
        <f t="array" ref="H58">_xlfn.IFS($G58=$G$5,H$5,$G58=$G$6,H$6,$G58=$G$7,H$7,$G58=$G$8,H$8,$G58=$G$9,H$9,$G58=$G$10,H$10,$G58=$G$11,H$11,$G58=$G$12,H$12,$G58=$G$13,H$13,$G58=$G$15,H$15,$G58=$G$16,H$16,$G58=$G$17,H$17,$G58=$G$18,H$18,$G58=$G$19,H$19,$G58=$G$20,H$20,$G58=$G$21,H$21,$G58=$G$22,H$22,$G58=$G$25,H$25,$G58=$G$26,H$26,$G58=$G$27,H$27,$G58=$G$29,H$29,$G58=$G$31,H$31,$G58=$G$32,H$32,$G58=$G$248,H$248,$G58=$G$250,H$250)</f>
        <v>41.398387</v>
      </c>
      <c r="I58" s="67" cm="1">
        <f t="array" ref="I58">_xlfn.IFS($G58=$G$5,I$5,$G58=$G$6,I$6,$G58=$G$7,I$7,$G58=$G$8,I$8,$G58=$G$9,I$9,$G58=$G$10,I$10,$G58=$G$11,I$11,$G58=$G$12,I$12,$G58=$G$13,I$13,$G58=$G$15,I$15,$G58=$G$16,I$16,$G58=$G$17,I$17,$G58=$G$18,I$18,$G58=$G$19,I$19,$G58=$G$20,I$20,$G58=$G$21,I$21,$G58=$G$22,I$22,$G58=$G$25,I$25,$G58=$G$26,I$26,$G58=$G$27,I$27,$G58=$G$29,I$29,$G58=$G$31,I$31,$G58=$G$32,I$32,$G58=$G$248,I$248,$G58=$G$250,I$250)</f>
        <v>2.1244429999999999</v>
      </c>
      <c r="J58" s="48" cm="1">
        <f t="array" ref="J58">_xlfn.IFS($G58=$G$5,J$5,$G58=$G$6,J$6,$G58=$G$7,J$7,$G58=$G$8,J$8,$G58=$G$9,J$9,$G58=$G$10,J$10,$G58=$G$11,J$11,$G58=$G$12,J$12,$G58=$G$13,J$13,$G58=$G$15,J$15,$G58=$G$16,J$16,$G58=$G$17,J$17,$G58=$G$18,J$18,$G58=$G$19,J$19,$G58=$G$20,J$20,$G58=$G$21,J$21,$G58=$G$22,J$22,$G58=$G$25,J$25,$G58=$G$26,J$26,$G58=$G$27,J$27,$G58=$G$29,J$29,$G58=$G$31,J$31,$G58=$G$32,J$32,$G58=$G$248,J$248,$G58=$G$250,J$250)</f>
        <v>106</v>
      </c>
      <c r="K58" s="48" t="str" cm="1">
        <f t="array" ref="K58">_xlfn.IFS($G58=$G$5,K$5,$G58=$G$6,K$6,$G58=$G$7,K$7,$G58=$G$8,K$8,$G58=$G$9,K$9,$G58=$G$10,K$10,$G58=$G$11,K$11,$G58=$G$12,K$12,$G58=$G$13,K$13,$G58=$G$15,K$15,$G58=$G$16,K$16,$G58=$G$17,K$17,$G58=$G$18,K$18,$G58=$G$19,K$19,$G58=$G$20,K$20,$G58=$G$21,K$21,$G58=$G$22,K$22,$G58=$G$25,K$25,$G58=$G$26,K$26,$G58=$G$27,K$27,$G58=$G$29,K$29,$G58=$G$31,K$31,$G58=$G$32,K$32,$G58=$G$248,K$248,$G58=$G$250,K$250)</f>
        <v>BG sentinel + BG lure7</v>
      </c>
      <c r="L58" s="48"/>
      <c r="M58" s="48"/>
      <c r="N58" s="45"/>
      <c r="O58" s="45" t="str">
        <f t="shared" si="0"/>
        <v>A_SP_BCN_16_210520</v>
      </c>
      <c r="P58" s="49">
        <v>44336</v>
      </c>
      <c r="Q58" s="50"/>
      <c r="R58" s="51"/>
      <c r="S58" s="52">
        <v>44344</v>
      </c>
      <c r="T58" s="53"/>
      <c r="U58" s="51"/>
      <c r="V58" s="54" t="s">
        <v>66</v>
      </c>
      <c r="W58" s="55"/>
      <c r="X58" s="45">
        <f t="shared" si="1"/>
        <v>8</v>
      </c>
      <c r="Y58" s="55"/>
      <c r="Z58" s="45" t="s">
        <v>80</v>
      </c>
      <c r="AA58" s="45">
        <f t="shared" si="2"/>
        <v>3</v>
      </c>
      <c r="AB58" t="str">
        <f t="shared" si="3"/>
        <v>Adult</v>
      </c>
      <c r="AC58" s="45">
        <v>2</v>
      </c>
      <c r="AD58" s="45">
        <v>1</v>
      </c>
      <c r="AE58" s="45" t="str">
        <f t="shared" si="4"/>
        <v>Morphological</v>
      </c>
      <c r="AF58" s="56">
        <v>4</v>
      </c>
      <c r="AG58" s="57"/>
    </row>
    <row r="59" spans="1:33" ht="18" customHeight="1" x14ac:dyDescent="0.25">
      <c r="A59" s="45">
        <v>55</v>
      </c>
      <c r="B59" s="45" t="s">
        <v>60</v>
      </c>
      <c r="C59" s="45" t="s">
        <v>61</v>
      </c>
      <c r="D59" s="45" t="s">
        <v>62</v>
      </c>
      <c r="E59" s="45" t="s">
        <v>62</v>
      </c>
      <c r="F59" s="46" cm="1">
        <f t="array" ref="F59">_xlfn.IFS($G59=$G$5,F$5,$G59=$G$6,F$6,$G59=$G$7,F$7,$G59=$G$8,F$8,$G59=$G$9,F$9,$G59=$G$10,F$10,$G59=$G$11,F$11,$G59=$G$12,F$12,$G59=$G$13,F$13,$G59=$G$15,F$15,$G59=$G$16,F$16,$G59=$G$17,F$17,$G59=$G$18,F$18,$G59=$G$19,F$19,$G59=$G$20,F$20,$G59=$G$21,F$21,$G59=$G$22,F$22,$G59=$G$25,F$25,$G59=$G$26,F$26,$G59=$G$27,F$27,$G59=$G$29,F$29,$G59=$G$31,F$31,$G59=$G$32,F$32,$G59=$G$248,F$248,$G59=$G$250,F$250)</f>
        <v>8023</v>
      </c>
      <c r="G59" s="45" t="s">
        <v>89</v>
      </c>
      <c r="H59" s="67" cm="1">
        <f t="array" ref="H59">_xlfn.IFS($G59=$G$5,H$5,$G59=$G$6,H$6,$G59=$G$7,H$7,$G59=$G$8,H$8,$G59=$G$9,H$9,$G59=$G$10,H$10,$G59=$G$11,H$11,$G59=$G$12,H$12,$G59=$G$13,H$13,$G59=$G$15,H$15,$G59=$G$16,H$16,$G59=$G$17,H$17,$G59=$G$18,H$18,$G59=$G$19,H$19,$G59=$G$20,H$20,$G59=$G$21,H$21,$G59=$G$22,H$22,$G59=$G$25,H$25,$G59=$G$26,H$26,$G59=$G$27,H$27,$G59=$G$29,H$29,$G59=$G$31,H$31,$G59=$G$32,H$32,$G59=$G$248,H$248,$G59=$G$250,H$250)</f>
        <v>41.417256000000002</v>
      </c>
      <c r="I59" s="67" cm="1">
        <f t="array" ref="I59">_xlfn.IFS($G59=$G$5,I$5,$G59=$G$6,I$6,$G59=$G$7,I$7,$G59=$G$8,I$8,$G59=$G$9,I$9,$G59=$G$10,I$10,$G59=$G$11,I$11,$G59=$G$12,I$12,$G59=$G$13,I$13,$G59=$G$15,I$15,$G59=$G$16,I$16,$G59=$G$17,I$17,$G59=$G$18,I$18,$G59=$G$19,I$19,$G59=$G$20,I$20,$G59=$G$21,I$21,$G59=$G$22,I$22,$G59=$G$25,I$25,$G59=$G$26,I$26,$G59=$G$27,I$27,$G59=$G$29,I$29,$G59=$G$31,I$31,$G59=$G$32,I$32,$G59=$G$248,I$248,$G59=$G$250,I$250)</f>
        <v>2.1455709999999999</v>
      </c>
      <c r="J59" s="48" cm="1">
        <f t="array" ref="J59">_xlfn.IFS($G59=$G$5,J$5,$G59=$G$6,J$6,$G59=$G$7,J$7,$G59=$G$8,J$8,$G59=$G$9,J$9,$G59=$G$10,J$10,$G59=$G$11,J$11,$G59=$G$12,J$12,$G59=$G$13,J$13,$G59=$G$15,J$15,$G59=$G$16,J$16,$G59=$G$17,J$17,$G59=$G$18,J$18,$G59=$G$19,J$19,$G59=$G$20,J$20,$G59=$G$21,J$21,$G59=$G$22,J$22,$G59=$G$25,J$25,$G59=$G$26,J$26,$G59=$G$27,J$27,$G59=$G$29,J$29,$G59=$G$31,J$31,$G59=$G$32,J$32,$G59=$G$248,J$248,$G59=$G$250,J$250)</f>
        <v>186</v>
      </c>
      <c r="K59" s="48" t="str" cm="1">
        <f t="array" ref="K59">_xlfn.IFS($G59=$G$5,K$5,$G59=$G$6,K$6,$G59=$G$7,K$7,$G59=$G$8,K$8,$G59=$G$9,K$9,$G59=$G$10,K$10,$G59=$G$11,K$11,$G59=$G$12,K$12,$G59=$G$13,K$13,$G59=$G$15,K$15,$G59=$G$16,K$16,$G59=$G$17,K$17,$G59=$G$18,K$18,$G59=$G$19,K$19,$G59=$G$20,K$20,$G59=$G$21,K$21,$G59=$G$22,K$22,$G59=$G$25,K$25,$G59=$G$26,K$26,$G59=$G$27,K$27,$G59=$G$29,K$29,$G59=$G$31,K$31,$G59=$G$32,K$32,$G59=$G$248,K$248,$G59=$G$250,K$250)</f>
        <v>BG sentinel + BG lure7</v>
      </c>
      <c r="L59" s="48"/>
      <c r="M59" s="48"/>
      <c r="N59" s="45"/>
      <c r="O59" s="45" t="str">
        <f t="shared" si="0"/>
        <v>A_SP_BCN_17_210520</v>
      </c>
      <c r="P59" s="49">
        <v>44336</v>
      </c>
      <c r="Q59" s="50"/>
      <c r="R59" s="51"/>
      <c r="S59" s="52">
        <v>44343</v>
      </c>
      <c r="T59" s="53"/>
      <c r="U59" s="51"/>
      <c r="V59" s="54" t="s">
        <v>66</v>
      </c>
      <c r="W59" s="55"/>
      <c r="X59" s="45">
        <f t="shared" si="1"/>
        <v>7</v>
      </c>
      <c r="Y59" s="55"/>
      <c r="Z59" s="45" t="s">
        <v>70</v>
      </c>
      <c r="AA59" s="45">
        <f t="shared" si="2"/>
        <v>3</v>
      </c>
      <c r="AB59" t="str">
        <f t="shared" si="3"/>
        <v>Adult</v>
      </c>
      <c r="AC59" s="45">
        <v>3</v>
      </c>
      <c r="AD59" s="45">
        <v>0</v>
      </c>
      <c r="AE59" s="45" t="str">
        <f t="shared" si="4"/>
        <v>Morphological</v>
      </c>
      <c r="AF59" s="56">
        <v>4</v>
      </c>
      <c r="AG59" s="57"/>
    </row>
    <row r="60" spans="1:33" ht="18" customHeight="1" x14ac:dyDescent="0.25">
      <c r="A60" s="45">
        <v>56</v>
      </c>
      <c r="B60" s="45" t="s">
        <v>60</v>
      </c>
      <c r="C60" s="45" t="s">
        <v>61</v>
      </c>
      <c r="D60" s="45" t="s">
        <v>62</v>
      </c>
      <c r="E60" s="45" t="s">
        <v>62</v>
      </c>
      <c r="F60" s="46" cm="1">
        <f t="array" ref="F60">_xlfn.IFS($G60=$G$5,F$5,$G60=$G$6,F$6,$G60=$G$7,F$7,$G60=$G$8,F$8,$G60=$G$9,F$9,$G60=$G$10,F$10,$G60=$G$11,F$11,$G60=$G$12,F$12,$G60=$G$13,F$13,$G60=$G$15,F$15,$G60=$G$16,F$16,$G60=$G$17,F$17,$G60=$G$18,F$18,$G60=$G$19,F$19,$G60=$G$20,F$20,$G60=$G$21,F$21,$G60=$G$22,F$22,$G60=$G$25,F$25,$G60=$G$26,F$26,$G60=$G$27,F$27,$G60=$G$29,F$29,$G60=$G$31,F$31,$G60=$G$32,F$32,$G60=$G$248,F$248,$G60=$G$250,F$250)</f>
        <v>8031</v>
      </c>
      <c r="G60" s="45" t="s">
        <v>92</v>
      </c>
      <c r="H60" s="67" cm="1">
        <f t="array" ref="H60">_xlfn.IFS($G60=$G$5,H$5,$G60=$G$6,H$6,$G60=$G$7,H$7,$G60=$G$8,H$8,$G60=$G$9,H$9,$G60=$G$10,H$10,$G60=$G$11,H$11,$G60=$G$12,H$12,$G60=$G$13,H$13,$G60=$G$15,H$15,$G60=$G$16,H$16,$G60=$G$17,H$17,$G60=$G$18,H$18,$G60=$G$19,H$19,$G60=$G$20,H$20,$G60=$G$21,H$21,$G60=$G$22,H$22,$G60=$G$25,H$25,$G60=$G$26,H$26,$G60=$G$27,H$27,$G60=$G$29,H$29,$G60=$G$31,H$31,$G60=$G$32,H$32,$G60=$G$248,H$248,$G60=$G$250,H$250)</f>
        <v>41.433618000000003</v>
      </c>
      <c r="I60" s="67" cm="1">
        <f t="array" ref="I60">_xlfn.IFS($G60=$G$5,I$5,$G60=$G$6,I$6,$G60=$G$7,I$7,$G60=$G$8,I$8,$G60=$G$9,I$9,$G60=$G$10,I$10,$G60=$G$11,I$11,$G60=$G$12,I$12,$G60=$G$13,I$13,$G60=$G$15,I$15,$G60=$G$16,I$16,$G60=$G$17,I$17,$G60=$G$18,I$18,$G60=$G$19,I$19,$G60=$G$20,I$20,$G60=$G$21,I$21,$G60=$G$22,I$22,$G60=$G$25,I$25,$G60=$G$26,I$26,$G60=$G$27,I$27,$G60=$G$29,I$29,$G60=$G$31,I$31,$G60=$G$32,I$32,$G60=$G$248,I$248,$G60=$G$250,I$250)</f>
        <v>2.1677469999999999</v>
      </c>
      <c r="J60" s="48" cm="1">
        <f t="array" ref="J60">_xlfn.IFS($G60=$G$5,J$5,$G60=$G$6,J$6,$G60=$G$7,J$7,$G60=$G$8,J$8,$G60=$G$9,J$9,$G60=$G$10,J$10,$G60=$G$11,J$11,$G60=$G$12,J$12,$G60=$G$13,J$13,$G60=$G$15,J$15,$G60=$G$16,J$16,$G60=$G$17,J$17,$G60=$G$18,J$18,$G60=$G$19,J$19,$G60=$G$20,J$20,$G60=$G$21,J$21,$G60=$G$22,J$22,$G60=$G$25,J$25,$G60=$G$26,J$26,$G60=$G$27,J$27,$G60=$G$29,J$29,$G60=$G$31,J$31,$G60=$G$32,J$32,$G60=$G$248,J$248,$G60=$G$250,J$250)</f>
        <v>96.85</v>
      </c>
      <c r="K60" s="48" t="str" cm="1">
        <f t="array" ref="K60">_xlfn.IFS($G60=$G$5,K$5,$G60=$G$6,K$6,$G60=$G$7,K$7,$G60=$G$8,K$8,$G60=$G$9,K$9,$G60=$G$10,K$10,$G60=$G$11,K$11,$G60=$G$12,K$12,$G60=$G$13,K$13,$G60=$G$15,K$15,$G60=$G$16,K$16,$G60=$G$17,K$17,$G60=$G$18,K$18,$G60=$G$19,K$19,$G60=$G$20,K$20,$G60=$G$21,K$21,$G60=$G$22,K$22,$G60=$G$25,K$25,$G60=$G$26,K$26,$G60=$G$27,K$27,$G60=$G$29,K$29,$G60=$G$31,K$31,$G60=$G$32,K$32,$G60=$G$248,K$248,$G60=$G$250,K$250)</f>
        <v>BG sentinel + BG lure7</v>
      </c>
      <c r="L60" s="48"/>
      <c r="M60" s="48"/>
      <c r="N60" s="45"/>
      <c r="O60" s="45" t="str">
        <f t="shared" si="0"/>
        <v>A_SP_BCN_18_210521</v>
      </c>
      <c r="P60" s="52">
        <v>44337</v>
      </c>
      <c r="Q60" s="50"/>
      <c r="R60" s="51"/>
      <c r="S60" s="52">
        <v>44343</v>
      </c>
      <c r="T60" s="53"/>
      <c r="U60" s="51"/>
      <c r="V60" s="54" t="s">
        <v>66</v>
      </c>
      <c r="W60" s="55"/>
      <c r="X60" s="45">
        <f t="shared" si="1"/>
        <v>6</v>
      </c>
      <c r="Y60" s="55"/>
      <c r="Z60" s="45" t="s">
        <v>69</v>
      </c>
      <c r="AA60" s="45">
        <f t="shared" si="2"/>
        <v>2</v>
      </c>
      <c r="AB60" t="str">
        <f t="shared" si="3"/>
        <v>Adult</v>
      </c>
      <c r="AC60" s="45">
        <v>2</v>
      </c>
      <c r="AD60" s="45">
        <v>0</v>
      </c>
      <c r="AE60" s="45" t="str">
        <f t="shared" si="4"/>
        <v>Morphological</v>
      </c>
      <c r="AF60" s="56">
        <v>4</v>
      </c>
      <c r="AG60" s="57"/>
    </row>
    <row r="61" spans="1:33" ht="18" customHeight="1" x14ac:dyDescent="0.25">
      <c r="A61" s="45">
        <v>57</v>
      </c>
      <c r="B61" s="45" t="s">
        <v>60</v>
      </c>
      <c r="C61" s="45" t="s">
        <v>61</v>
      </c>
      <c r="D61" s="45" t="s">
        <v>62</v>
      </c>
      <c r="E61" s="45" t="s">
        <v>62</v>
      </c>
      <c r="F61" s="46" cm="1">
        <f t="array" ref="F61">_xlfn.IFS($G61=$G$5,F$5,$G61=$G$6,F$6,$G61=$G$7,F$7,$G61=$G$8,F$8,$G61=$G$9,F$9,$G61=$G$10,F$10,$G61=$G$11,F$11,$G61=$G$12,F$12,$G61=$G$13,F$13,$G61=$G$15,F$15,$G61=$G$16,F$16,$G61=$G$17,F$17,$G61=$G$18,F$18,$G61=$G$19,F$19,$G61=$G$20,F$20,$G61=$G$21,F$21,$G61=$G$22,F$22,$G61=$G$25,F$25,$G61=$G$26,F$26,$G61=$G$27,F$27,$G61=$G$29,F$29,$G61=$G$31,F$31,$G61=$G$32,F$32,$G61=$G$248,F$248,$G61=$G$250,F$250)</f>
        <v>8031</v>
      </c>
      <c r="G61" s="45" t="s">
        <v>92</v>
      </c>
      <c r="H61" s="67" cm="1">
        <f t="array" ref="H61">_xlfn.IFS($G61=$G$5,H$5,$G61=$G$6,H$6,$G61=$G$7,H$7,$G61=$G$8,H$8,$G61=$G$9,H$9,$G61=$G$10,H$10,$G61=$G$11,H$11,$G61=$G$12,H$12,$G61=$G$13,H$13,$G61=$G$15,H$15,$G61=$G$16,H$16,$G61=$G$17,H$17,$G61=$G$18,H$18,$G61=$G$19,H$19,$G61=$G$20,H$20,$G61=$G$21,H$21,$G61=$G$22,H$22,$G61=$G$25,H$25,$G61=$G$26,H$26,$G61=$G$27,H$27,$G61=$G$29,H$29,$G61=$G$31,H$31,$G61=$G$32,H$32,$G61=$G$248,H$248,$G61=$G$250,H$250)</f>
        <v>41.433618000000003</v>
      </c>
      <c r="I61" s="67" cm="1">
        <f t="array" ref="I61">_xlfn.IFS($G61=$G$5,I$5,$G61=$G$6,I$6,$G61=$G$7,I$7,$G61=$G$8,I$8,$G61=$G$9,I$9,$G61=$G$10,I$10,$G61=$G$11,I$11,$G61=$G$12,I$12,$G61=$G$13,I$13,$G61=$G$15,I$15,$G61=$G$16,I$16,$G61=$G$17,I$17,$G61=$G$18,I$18,$G61=$G$19,I$19,$G61=$G$20,I$20,$G61=$G$21,I$21,$G61=$G$22,I$22,$G61=$G$25,I$25,$G61=$G$26,I$26,$G61=$G$27,I$27,$G61=$G$29,I$29,$G61=$G$31,I$31,$G61=$G$32,I$32,$G61=$G$248,I$248,$G61=$G$250,I$250)</f>
        <v>2.1677469999999999</v>
      </c>
      <c r="J61" s="48" cm="1">
        <f t="array" ref="J61">_xlfn.IFS($G61=$G$5,J$5,$G61=$G$6,J$6,$G61=$G$7,J$7,$G61=$G$8,J$8,$G61=$G$9,J$9,$G61=$G$10,J$10,$G61=$G$11,J$11,$G61=$G$12,J$12,$G61=$G$13,J$13,$G61=$G$15,J$15,$G61=$G$16,J$16,$G61=$G$17,J$17,$G61=$G$18,J$18,$G61=$G$19,J$19,$G61=$G$20,J$20,$G61=$G$21,J$21,$G61=$G$22,J$22,$G61=$G$25,J$25,$G61=$G$26,J$26,$G61=$G$27,J$27,$G61=$G$29,J$29,$G61=$G$31,J$31,$G61=$G$32,J$32,$G61=$G$248,J$248,$G61=$G$250,J$250)</f>
        <v>96.85</v>
      </c>
      <c r="K61" s="48" t="str" cm="1">
        <f t="array" ref="K61">_xlfn.IFS($G61=$G$5,K$5,$G61=$G$6,K$6,$G61=$G$7,K$7,$G61=$G$8,K$8,$G61=$G$9,K$9,$G61=$G$10,K$10,$G61=$G$11,K$11,$G61=$G$12,K$12,$G61=$G$13,K$13,$G61=$G$15,K$15,$G61=$G$16,K$16,$G61=$G$17,K$17,$G61=$G$18,K$18,$G61=$G$19,K$19,$G61=$G$20,K$20,$G61=$G$21,K$21,$G61=$G$22,K$22,$G61=$G$25,K$25,$G61=$G$26,K$26,$G61=$G$27,K$27,$G61=$G$29,K$29,$G61=$G$31,K$31,$G61=$G$32,K$32,$G61=$G$248,K$248,$G61=$G$250,K$250)</f>
        <v>BG sentinel + BG lure7</v>
      </c>
      <c r="L61" s="48"/>
      <c r="M61" s="48"/>
      <c r="N61" s="45"/>
      <c r="O61" s="45" t="str">
        <f t="shared" si="0"/>
        <v>A_SP_BCN_18_210521</v>
      </c>
      <c r="P61" s="52">
        <v>44337</v>
      </c>
      <c r="Q61" s="50"/>
      <c r="R61" s="51"/>
      <c r="S61" s="52">
        <v>44343</v>
      </c>
      <c r="T61" s="53"/>
      <c r="U61" s="51"/>
      <c r="V61" s="54" t="s">
        <v>66</v>
      </c>
      <c r="W61" s="55"/>
      <c r="X61" s="45">
        <f t="shared" si="1"/>
        <v>6</v>
      </c>
      <c r="Y61" s="55"/>
      <c r="Z61" s="45" t="s">
        <v>70</v>
      </c>
      <c r="AA61" s="45">
        <f t="shared" si="2"/>
        <v>1</v>
      </c>
      <c r="AB61" t="str">
        <f t="shared" si="3"/>
        <v>Adult</v>
      </c>
      <c r="AC61" s="45">
        <v>1</v>
      </c>
      <c r="AD61" s="45">
        <v>0</v>
      </c>
      <c r="AE61" s="45" t="str">
        <f t="shared" si="4"/>
        <v>Morphological</v>
      </c>
      <c r="AF61" s="56">
        <v>4</v>
      </c>
      <c r="AG61" s="57"/>
    </row>
    <row r="62" spans="1:33" ht="18" customHeight="1" x14ac:dyDescent="0.25">
      <c r="A62" s="45">
        <v>58</v>
      </c>
      <c r="B62" s="45" t="s">
        <v>60</v>
      </c>
      <c r="C62" s="45" t="s">
        <v>61</v>
      </c>
      <c r="D62" s="45" t="s">
        <v>62</v>
      </c>
      <c r="E62" s="45" t="s">
        <v>62</v>
      </c>
      <c r="F62" s="46" cm="1">
        <f t="array" ref="F62">_xlfn.IFS($G62=$G$5,F$5,$G62=$G$6,F$6,$G62=$G$7,F$7,$G62=$G$8,F$8,$G62=$G$9,F$9,$G62=$G$10,F$10,$G62=$G$11,F$11,$G62=$G$12,F$12,$G62=$G$13,F$13,$G62=$G$15,F$15,$G62=$G$16,F$16,$G62=$G$17,F$17,$G62=$G$18,F$18,$G62=$G$19,F$19,$G62=$G$20,F$20,$G62=$G$21,F$21,$G62=$G$22,F$22,$G62=$G$25,F$25,$G62=$G$26,F$26,$G62=$G$27,F$27,$G62=$G$29,F$29,$G62=$G$31,F$31,$G62=$G$32,F$32,$G62=$G$248,F$248,$G62=$G$250,F$250)</f>
        <v>8031</v>
      </c>
      <c r="G62" s="45" t="s">
        <v>92</v>
      </c>
      <c r="H62" s="67" cm="1">
        <f t="array" ref="H62">_xlfn.IFS($G62=$G$5,H$5,$G62=$G$6,H$6,$G62=$G$7,H$7,$G62=$G$8,H$8,$G62=$G$9,H$9,$G62=$G$10,H$10,$G62=$G$11,H$11,$G62=$G$12,H$12,$G62=$G$13,H$13,$G62=$G$15,H$15,$G62=$G$16,H$16,$G62=$G$17,H$17,$G62=$G$18,H$18,$G62=$G$19,H$19,$G62=$G$20,H$20,$G62=$G$21,H$21,$G62=$G$22,H$22,$G62=$G$25,H$25,$G62=$G$26,H$26,$G62=$G$27,H$27,$G62=$G$29,H$29,$G62=$G$31,H$31,$G62=$G$32,H$32,$G62=$G$248,H$248,$G62=$G$250,H$250)</f>
        <v>41.433618000000003</v>
      </c>
      <c r="I62" s="67" cm="1">
        <f t="array" ref="I62">_xlfn.IFS($G62=$G$5,I$5,$G62=$G$6,I$6,$G62=$G$7,I$7,$G62=$G$8,I$8,$G62=$G$9,I$9,$G62=$G$10,I$10,$G62=$G$11,I$11,$G62=$G$12,I$12,$G62=$G$13,I$13,$G62=$G$15,I$15,$G62=$G$16,I$16,$G62=$G$17,I$17,$G62=$G$18,I$18,$G62=$G$19,I$19,$G62=$G$20,I$20,$G62=$G$21,I$21,$G62=$G$22,I$22,$G62=$G$25,I$25,$G62=$G$26,I$26,$G62=$G$27,I$27,$G62=$G$29,I$29,$G62=$G$31,I$31,$G62=$G$32,I$32,$G62=$G$248,I$248,$G62=$G$250,I$250)</f>
        <v>2.1677469999999999</v>
      </c>
      <c r="J62" s="48" cm="1">
        <f t="array" ref="J62">_xlfn.IFS($G62=$G$5,J$5,$G62=$G$6,J$6,$G62=$G$7,J$7,$G62=$G$8,J$8,$G62=$G$9,J$9,$G62=$G$10,J$10,$G62=$G$11,J$11,$G62=$G$12,J$12,$G62=$G$13,J$13,$G62=$G$15,J$15,$G62=$G$16,J$16,$G62=$G$17,J$17,$G62=$G$18,J$18,$G62=$G$19,J$19,$G62=$G$20,J$20,$G62=$G$21,J$21,$G62=$G$22,J$22,$G62=$G$25,J$25,$G62=$G$26,J$26,$G62=$G$27,J$27,$G62=$G$29,J$29,$G62=$G$31,J$31,$G62=$G$32,J$32,$G62=$G$248,J$248,$G62=$G$250,J$250)</f>
        <v>96.85</v>
      </c>
      <c r="K62" s="48" t="str" cm="1">
        <f t="array" ref="K62">_xlfn.IFS($G62=$G$5,K$5,$G62=$G$6,K$6,$G62=$G$7,K$7,$G62=$G$8,K$8,$G62=$G$9,K$9,$G62=$G$10,K$10,$G62=$G$11,K$11,$G62=$G$12,K$12,$G62=$G$13,K$13,$G62=$G$15,K$15,$G62=$G$16,K$16,$G62=$G$17,K$17,$G62=$G$18,K$18,$G62=$G$19,K$19,$G62=$G$20,K$20,$G62=$G$21,K$21,$G62=$G$22,K$22,$G62=$G$25,K$25,$G62=$G$26,K$26,$G62=$G$27,K$27,$G62=$G$29,K$29,$G62=$G$31,K$31,$G62=$G$32,K$32,$G62=$G$248,K$248,$G62=$G$250,K$250)</f>
        <v>BG sentinel + BG lure7</v>
      </c>
      <c r="L62" s="48"/>
      <c r="M62" s="48"/>
      <c r="N62" s="45"/>
      <c r="O62" s="45" t="str">
        <f t="shared" si="0"/>
        <v>A_SP_BCN_18_210521</v>
      </c>
      <c r="P62" s="52">
        <v>44337</v>
      </c>
      <c r="Q62" s="50"/>
      <c r="R62" s="51"/>
      <c r="S62" s="52">
        <v>44343</v>
      </c>
      <c r="T62" s="53"/>
      <c r="U62" s="51"/>
      <c r="V62" s="54" t="s">
        <v>66</v>
      </c>
      <c r="W62" s="55"/>
      <c r="X62" s="45">
        <f t="shared" si="1"/>
        <v>6</v>
      </c>
      <c r="Y62" s="55"/>
      <c r="Z62" s="45" t="s">
        <v>80</v>
      </c>
      <c r="AA62" s="45">
        <f t="shared" si="2"/>
        <v>1</v>
      </c>
      <c r="AB62" t="str">
        <f t="shared" si="3"/>
        <v>Adult</v>
      </c>
      <c r="AC62" s="45">
        <v>1</v>
      </c>
      <c r="AD62" s="45">
        <v>0</v>
      </c>
      <c r="AE62" s="45" t="str">
        <f t="shared" si="4"/>
        <v>Morphological</v>
      </c>
      <c r="AF62" s="56">
        <v>4</v>
      </c>
      <c r="AG62" s="57"/>
    </row>
    <row r="63" spans="1:33" ht="18" customHeight="1" x14ac:dyDescent="0.25">
      <c r="A63" s="45">
        <v>59</v>
      </c>
      <c r="B63" s="45" t="s">
        <v>60</v>
      </c>
      <c r="C63" s="45" t="s">
        <v>61</v>
      </c>
      <c r="D63" s="45" t="s">
        <v>62</v>
      </c>
      <c r="E63" s="45" t="s">
        <v>62</v>
      </c>
      <c r="F63" s="46" cm="1">
        <f t="array" ref="F63">_xlfn.IFS($G63=$G$5,F$5,$G63=$G$6,F$6,$G63=$G$7,F$7,$G63=$G$8,F$8,$G63=$G$9,F$9,$G63=$G$10,F$10,$G63=$G$11,F$11,$G63=$G$12,F$12,$G63=$G$13,F$13,$G63=$G$15,F$15,$G63=$G$16,F$16,$G63=$G$17,F$17,$G63=$G$18,F$18,$G63=$G$19,F$19,$G63=$G$20,F$20,$G63=$G$21,F$21,$G63=$G$22,F$22,$G63=$G$25,F$25,$G63=$G$26,F$26,$G63=$G$27,F$27,$G63=$G$29,F$29,$G63=$G$31,F$31,$G63=$G$32,F$32,$G63=$G$248,F$248,$G63=$G$250,F$250)</f>
        <v>8038</v>
      </c>
      <c r="G63" s="45" t="s">
        <v>93</v>
      </c>
      <c r="H63" s="67" cm="1">
        <f t="array" ref="H63">_xlfn.IFS($G63=$G$5,H$5,$G63=$G$6,H$6,$G63=$G$7,H$7,$G63=$G$8,H$8,$G63=$G$9,H$9,$G63=$G$10,H$10,$G63=$G$11,H$11,$G63=$G$12,H$12,$G63=$G$13,H$13,$G63=$G$15,H$15,$G63=$G$16,H$16,$G63=$G$17,H$17,$G63=$G$18,H$18,$G63=$G$19,H$19,$G63=$G$20,H$20,$G63=$G$21,H$21,$G63=$G$22,H$22,$G63=$G$25,H$25,$G63=$G$26,H$26,$G63=$G$27,H$27,$G63=$G$29,H$29,$G63=$G$31,H$31,$G63=$G$32,H$32,$G63=$G$248,H$248,$G63=$G$250,H$250)</f>
        <v>41.359864999999999</v>
      </c>
      <c r="I63" s="67" cm="1">
        <f t="array" ref="I63">_xlfn.IFS($G63=$G$5,I$5,$G63=$G$6,I$6,$G63=$G$7,I$7,$G63=$G$8,I$8,$G63=$G$9,I$9,$G63=$G$10,I$10,$G63=$G$11,I$11,$G63=$G$12,I$12,$G63=$G$13,I$13,$G63=$G$15,I$15,$G63=$G$16,I$16,$G63=$G$17,I$17,$G63=$G$18,I$18,$G63=$G$19,I$19,$G63=$G$20,I$20,$G63=$G$21,I$21,$G63=$G$22,I$22,$G63=$G$25,I$25,$G63=$G$26,I$26,$G63=$G$27,I$27,$G63=$G$29,I$29,$G63=$G$31,I$31,$G63=$G$32,I$32,$G63=$G$248,I$248,$G63=$G$250,I$250)</f>
        <v>2.1445430000000001</v>
      </c>
      <c r="J63" s="48" cm="1">
        <f t="array" ref="J63">_xlfn.IFS($G63=$G$5,J$5,$G63=$G$6,J$6,$G63=$G$7,J$7,$G63=$G$8,J$8,$G63=$G$9,J$9,$G63=$G$10,J$10,$G63=$G$11,J$11,$G63=$G$12,J$12,$G63=$G$13,J$13,$G63=$G$15,J$15,$G63=$G$16,J$16,$G63=$G$17,J$17,$G63=$G$18,J$18,$G63=$G$19,J$19,$G63=$G$20,J$20,$G63=$G$21,J$21,$G63=$G$22,J$22,$G63=$G$25,J$25,$G63=$G$26,J$26,$G63=$G$27,J$27,$G63=$G$29,J$29,$G63=$G$31,J$31,$G63=$G$32,J$32,$G63=$G$248,J$248,$G63=$G$250,J$250)</f>
        <v>11.4</v>
      </c>
      <c r="K63" s="48" t="str" cm="1">
        <f t="array" ref="K63">_xlfn.IFS($G63=$G$5,K$5,$G63=$G$6,K$6,$G63=$G$7,K$7,$G63=$G$8,K$8,$G63=$G$9,K$9,$G63=$G$10,K$10,$G63=$G$11,K$11,$G63=$G$12,K$12,$G63=$G$13,K$13,$G63=$G$15,K$15,$G63=$G$16,K$16,$G63=$G$17,K$17,$G63=$G$18,K$18,$G63=$G$19,K$19,$G63=$G$20,K$20,$G63=$G$21,K$21,$G63=$G$22,K$22,$G63=$G$25,K$25,$G63=$G$26,K$26,$G63=$G$27,K$27,$G63=$G$29,K$29,$G63=$G$31,K$31,$G63=$G$32,K$32,$G63=$G$248,K$248,$G63=$G$250,K$250)</f>
        <v>BG sentinel + BG lure7</v>
      </c>
      <c r="L63" s="48"/>
      <c r="M63" s="48"/>
      <c r="N63" s="45"/>
      <c r="O63" s="45" t="str">
        <f t="shared" si="0"/>
        <v>A_SP_BCN_19_210521</v>
      </c>
      <c r="P63" s="49">
        <v>44337</v>
      </c>
      <c r="Q63" s="50"/>
      <c r="R63" s="51"/>
      <c r="S63" s="52">
        <v>44344</v>
      </c>
      <c r="T63" s="53"/>
      <c r="U63" s="51"/>
      <c r="V63" s="54" t="s">
        <v>66</v>
      </c>
      <c r="W63" s="55"/>
      <c r="X63" s="45">
        <f t="shared" si="1"/>
        <v>7</v>
      </c>
      <c r="Y63" s="55"/>
      <c r="Z63" s="45" t="s">
        <v>69</v>
      </c>
      <c r="AA63" s="45">
        <f t="shared" si="2"/>
        <v>10</v>
      </c>
      <c r="AB63" t="str">
        <f t="shared" si="3"/>
        <v>Adult</v>
      </c>
      <c r="AC63" s="45">
        <v>9</v>
      </c>
      <c r="AD63" s="45">
        <v>1</v>
      </c>
      <c r="AE63" s="45" t="str">
        <f t="shared" si="4"/>
        <v>Morphological</v>
      </c>
      <c r="AF63" s="56">
        <v>4</v>
      </c>
      <c r="AG63" s="57"/>
    </row>
    <row r="64" spans="1:33" ht="18" customHeight="1" x14ac:dyDescent="0.25">
      <c r="A64" s="45">
        <v>60</v>
      </c>
      <c r="B64" s="45" t="s">
        <v>60</v>
      </c>
      <c r="C64" s="45" t="s">
        <v>61</v>
      </c>
      <c r="D64" s="45" t="s">
        <v>62</v>
      </c>
      <c r="E64" s="45" t="s">
        <v>62</v>
      </c>
      <c r="F64" s="46" cm="1">
        <f t="array" ref="F64">_xlfn.IFS($G64=$G$5,F$5,$G64=$G$6,F$6,$G64=$G$7,F$7,$G64=$G$8,F$8,$G64=$G$9,F$9,$G64=$G$10,F$10,$G64=$G$11,F$11,$G64=$G$12,F$12,$G64=$G$13,F$13,$G64=$G$15,F$15,$G64=$G$16,F$16,$G64=$G$17,F$17,$G64=$G$18,F$18,$G64=$G$19,F$19,$G64=$G$20,F$20,$G64=$G$21,F$21,$G64=$G$22,F$22,$G64=$G$25,F$25,$G64=$G$26,F$26,$G64=$G$27,F$27,$G64=$G$29,F$29,$G64=$G$31,F$31,$G64=$G$32,F$32,$G64=$G$248,F$248,$G64=$G$250,F$250)</f>
        <v>8038</v>
      </c>
      <c r="G64" s="45" t="s">
        <v>93</v>
      </c>
      <c r="H64" s="67" cm="1">
        <f t="array" ref="H64">_xlfn.IFS($G64=$G$5,H$5,$G64=$G$6,H$6,$G64=$G$7,H$7,$G64=$G$8,H$8,$G64=$G$9,H$9,$G64=$G$10,H$10,$G64=$G$11,H$11,$G64=$G$12,H$12,$G64=$G$13,H$13,$G64=$G$15,H$15,$G64=$G$16,H$16,$G64=$G$17,H$17,$G64=$G$18,H$18,$G64=$G$19,H$19,$G64=$G$20,H$20,$G64=$G$21,H$21,$G64=$G$22,H$22,$G64=$G$25,H$25,$G64=$G$26,H$26,$G64=$G$27,H$27,$G64=$G$29,H$29,$G64=$G$31,H$31,$G64=$G$32,H$32,$G64=$G$248,H$248,$G64=$G$250,H$250)</f>
        <v>41.359864999999999</v>
      </c>
      <c r="I64" s="67" cm="1">
        <f t="array" ref="I64">_xlfn.IFS($G64=$G$5,I$5,$G64=$G$6,I$6,$G64=$G$7,I$7,$G64=$G$8,I$8,$G64=$G$9,I$9,$G64=$G$10,I$10,$G64=$G$11,I$11,$G64=$G$12,I$12,$G64=$G$13,I$13,$G64=$G$15,I$15,$G64=$G$16,I$16,$G64=$G$17,I$17,$G64=$G$18,I$18,$G64=$G$19,I$19,$G64=$G$20,I$20,$G64=$G$21,I$21,$G64=$G$22,I$22,$G64=$G$25,I$25,$G64=$G$26,I$26,$G64=$G$27,I$27,$G64=$G$29,I$29,$G64=$G$31,I$31,$G64=$G$32,I$32,$G64=$G$248,I$248,$G64=$G$250,I$250)</f>
        <v>2.1445430000000001</v>
      </c>
      <c r="J64" s="48" cm="1">
        <f t="array" ref="J64">_xlfn.IFS($G64=$G$5,J$5,$G64=$G$6,J$6,$G64=$G$7,J$7,$G64=$G$8,J$8,$G64=$G$9,J$9,$G64=$G$10,J$10,$G64=$G$11,J$11,$G64=$G$12,J$12,$G64=$G$13,J$13,$G64=$G$15,J$15,$G64=$G$16,J$16,$G64=$G$17,J$17,$G64=$G$18,J$18,$G64=$G$19,J$19,$G64=$G$20,J$20,$G64=$G$21,J$21,$G64=$G$22,J$22,$G64=$G$25,J$25,$G64=$G$26,J$26,$G64=$G$27,J$27,$G64=$G$29,J$29,$G64=$G$31,J$31,$G64=$G$32,J$32,$G64=$G$248,J$248,$G64=$G$250,J$250)</f>
        <v>11.4</v>
      </c>
      <c r="K64" s="48" t="str" cm="1">
        <f t="array" ref="K64">_xlfn.IFS($G64=$G$5,K$5,$G64=$G$6,K$6,$G64=$G$7,K$7,$G64=$G$8,K$8,$G64=$G$9,K$9,$G64=$G$10,K$10,$G64=$G$11,K$11,$G64=$G$12,K$12,$G64=$G$13,K$13,$G64=$G$15,K$15,$G64=$G$16,K$16,$G64=$G$17,K$17,$G64=$G$18,K$18,$G64=$G$19,K$19,$G64=$G$20,K$20,$G64=$G$21,K$21,$G64=$G$22,K$22,$G64=$G$25,K$25,$G64=$G$26,K$26,$G64=$G$27,K$27,$G64=$G$29,K$29,$G64=$G$31,K$31,$G64=$G$32,K$32,$G64=$G$248,K$248,$G64=$G$250,K$250)</f>
        <v>BG sentinel + BG lure7</v>
      </c>
      <c r="L64" s="48"/>
      <c r="M64" s="48"/>
      <c r="N64" s="45"/>
      <c r="O64" s="45" t="str">
        <f t="shared" si="0"/>
        <v>A_SP_BCN_19_210521</v>
      </c>
      <c r="P64" s="49">
        <v>44337</v>
      </c>
      <c r="Q64" s="50"/>
      <c r="R64" s="51"/>
      <c r="S64" s="52">
        <v>44344</v>
      </c>
      <c r="T64" s="53"/>
      <c r="U64" s="51"/>
      <c r="V64" s="54" t="s">
        <v>66</v>
      </c>
      <c r="W64" s="55"/>
      <c r="X64" s="45">
        <f t="shared" si="1"/>
        <v>7</v>
      </c>
      <c r="Y64" s="55"/>
      <c r="Z64" s="45" t="s">
        <v>70</v>
      </c>
      <c r="AA64" s="45">
        <f t="shared" si="2"/>
        <v>5</v>
      </c>
      <c r="AB64" t="str">
        <f t="shared" si="3"/>
        <v>Adult</v>
      </c>
      <c r="AC64" s="45">
        <v>5</v>
      </c>
      <c r="AD64" s="45">
        <v>0</v>
      </c>
      <c r="AE64" s="45" t="str">
        <f t="shared" si="4"/>
        <v>Morphological</v>
      </c>
      <c r="AF64" s="56">
        <v>4</v>
      </c>
      <c r="AG64" s="57"/>
    </row>
    <row r="65" spans="1:33" ht="18" customHeight="1" x14ac:dyDescent="0.25">
      <c r="A65" s="45">
        <v>61</v>
      </c>
      <c r="B65" s="45" t="s">
        <v>60</v>
      </c>
      <c r="C65" s="45" t="s">
        <v>61</v>
      </c>
      <c r="D65" s="45" t="s">
        <v>62</v>
      </c>
      <c r="E65" s="45" t="s">
        <v>62</v>
      </c>
      <c r="F65" s="46" cm="1">
        <f t="array" ref="F65">_xlfn.IFS($G65=$G$5,F$5,$G65=$G$6,F$6,$G65=$G$7,F$7,$G65=$G$8,F$8,$G65=$G$9,F$9,$G65=$G$10,F$10,$G65=$G$11,F$11,$G65=$G$12,F$12,$G65=$G$13,F$13,$G65=$G$15,F$15,$G65=$G$16,F$16,$G65=$G$17,F$17,$G65=$G$18,F$18,$G65=$G$19,F$19,$G65=$G$20,F$20,$G65=$G$21,F$21,$G65=$G$22,F$22,$G65=$G$25,F$25,$G65=$G$26,F$26,$G65=$G$27,F$27,$G65=$G$29,F$29,$G65=$G$31,F$31,$G65=$G$32,F$32,$G65=$G$248,F$248,$G65=$G$250,F$250)</f>
        <v>8002</v>
      </c>
      <c r="G65" s="45" t="s">
        <v>94</v>
      </c>
      <c r="H65" s="67" cm="1">
        <f t="array" ref="H65">_xlfn.IFS($G65=$G$5,H$5,$G65=$G$6,H$6,$G65=$G$7,H$7,$G65=$G$8,H$8,$G65=$G$9,H$9,$G65=$G$10,H$10,$G65=$G$11,H$11,$G65=$G$12,H$12,$G65=$G$13,H$13,$G65=$G$15,H$15,$G65=$G$16,H$16,$G65=$G$17,H$17,$G65=$G$18,H$18,$G65=$G$19,H$19,$G65=$G$20,H$20,$G65=$G$21,H$21,$G65=$G$22,H$22,$G65=$G$25,H$25,$G65=$G$26,H$26,$G65=$G$27,H$27,$G65=$G$29,H$29,$G65=$G$31,H$31,$G65=$G$32,H$32,$G65=$G$248,H$248,$G65=$G$250,H$250)</f>
        <v>41.385213</v>
      </c>
      <c r="I65" s="67" cm="1">
        <f t="array" ref="I65">_xlfn.IFS($G65=$G$5,I$5,$G65=$G$6,I$6,$G65=$G$7,I$7,$G65=$G$8,I$8,$G65=$G$9,I$9,$G65=$G$10,I$10,$G65=$G$11,I$11,$G65=$G$12,I$12,$G65=$G$13,I$13,$G65=$G$15,I$15,$G65=$G$16,I$16,$G65=$G$17,I$17,$G65=$G$18,I$18,$G65=$G$19,I$19,$G65=$G$20,I$20,$G65=$G$21,I$21,$G65=$G$22,I$22,$G65=$G$25,I$25,$G65=$G$26,I$26,$G65=$G$27,I$27,$G65=$G$29,I$29,$G65=$G$31,I$31,$G65=$G$32,I$32,$G65=$G$248,I$248,$G65=$G$250,I$250)</f>
        <v>2.174852</v>
      </c>
      <c r="J65" s="48" cm="1">
        <f t="array" ref="J65">_xlfn.IFS($G65=$G$5,J$5,$G65=$G$6,J$6,$G65=$G$7,J$7,$G65=$G$8,J$8,$G65=$G$9,J$9,$G65=$G$10,J$10,$G65=$G$11,J$11,$G65=$G$12,J$12,$G65=$G$13,J$13,$G65=$G$15,J$15,$G65=$G$16,J$16,$G65=$G$17,J$17,$G65=$G$18,J$18,$G65=$G$19,J$19,$G65=$G$20,J$20,$G65=$G$21,J$21,$G65=$G$22,J$22,$G65=$G$25,J$25,$G65=$G$26,J$26,$G65=$G$27,J$27,$G65=$G$29,J$29,$G65=$G$31,J$31,$G65=$G$32,J$32,$G65=$G$248,J$248,$G65=$G$250,J$250)</f>
        <v>14</v>
      </c>
      <c r="K65" s="48" t="str" cm="1">
        <f t="array" ref="K65">_xlfn.IFS($G65=$G$5,K$5,$G65=$G$6,K$6,$G65=$G$7,K$7,$G65=$G$8,K$8,$G65=$G$9,K$9,$G65=$G$10,K$10,$G65=$G$11,K$11,$G65=$G$12,K$12,$G65=$G$13,K$13,$G65=$G$15,K$15,$G65=$G$16,K$16,$G65=$G$17,K$17,$G65=$G$18,K$18,$G65=$G$19,K$19,$G65=$G$20,K$20,$G65=$G$21,K$21,$G65=$G$22,K$22,$G65=$G$25,K$25,$G65=$G$26,K$26,$G65=$G$27,K$27,$G65=$G$29,K$29,$G65=$G$31,K$31,$G65=$G$32,K$32,$G65=$G$248,K$248,$G65=$G$250,K$250)</f>
        <v>BG sentinel + BG lure7</v>
      </c>
      <c r="L65" s="48"/>
      <c r="M65" s="48"/>
      <c r="N65" s="45"/>
      <c r="O65" s="45" t="str">
        <f t="shared" si="0"/>
        <v>A_SP_BCN_20_210521</v>
      </c>
      <c r="P65" s="49">
        <v>44337</v>
      </c>
      <c r="Q65" s="50"/>
      <c r="R65" s="51"/>
      <c r="S65" s="52">
        <v>44344</v>
      </c>
      <c r="T65" s="53"/>
      <c r="U65" s="51"/>
      <c r="V65" s="54" t="s">
        <v>66</v>
      </c>
      <c r="W65" s="55"/>
      <c r="X65" s="45">
        <f t="shared" si="1"/>
        <v>7</v>
      </c>
      <c r="Y65" s="55"/>
      <c r="Z65" s="45" t="s">
        <v>70</v>
      </c>
      <c r="AA65" s="45">
        <f t="shared" si="2"/>
        <v>7</v>
      </c>
      <c r="AB65" t="str">
        <f t="shared" si="3"/>
        <v>Adult</v>
      </c>
      <c r="AC65" s="45">
        <v>7</v>
      </c>
      <c r="AD65" s="45">
        <v>0</v>
      </c>
      <c r="AE65" s="45" t="str">
        <f t="shared" si="4"/>
        <v>Morphological</v>
      </c>
      <c r="AF65" s="56">
        <v>4</v>
      </c>
      <c r="AG65" s="57"/>
    </row>
    <row r="66" spans="1:33" ht="18" customHeight="1" x14ac:dyDescent="0.25">
      <c r="A66" s="45">
        <v>62</v>
      </c>
      <c r="B66" s="45" t="s">
        <v>60</v>
      </c>
      <c r="C66" s="45" t="s">
        <v>61</v>
      </c>
      <c r="D66" s="45" t="s">
        <v>62</v>
      </c>
      <c r="E66" s="45" t="s">
        <v>62</v>
      </c>
      <c r="F66" s="46" cm="1">
        <f t="array" ref="F66">_xlfn.IFS($G66=$G$5,F$5,$G66=$G$6,F$6,$G66=$G$7,F$7,$G66=$G$8,F$8,$G66=$G$9,F$9,$G66=$G$10,F$10,$G66=$G$11,F$11,$G66=$G$12,F$12,$G66=$G$13,F$13,$G66=$G$15,F$15,$G66=$G$16,F$16,$G66=$G$17,F$17,$G66=$G$18,F$18,$G66=$G$19,F$19,$G66=$G$20,F$20,$G66=$G$21,F$21,$G66=$G$22,F$22,$G66=$G$25,F$25,$G66=$G$26,F$26,$G66=$G$27,F$27,$G66=$G$29,F$29,$G66=$G$31,F$31,$G66=$G$32,F$32,$G66=$G$248,F$248,$G66=$G$250,F$250)</f>
        <v>8002</v>
      </c>
      <c r="G66" s="45" t="s">
        <v>94</v>
      </c>
      <c r="H66" s="67" cm="1">
        <f t="array" ref="H66">_xlfn.IFS($G66=$G$5,H$5,$G66=$G$6,H$6,$G66=$G$7,H$7,$G66=$G$8,H$8,$G66=$G$9,H$9,$G66=$G$10,H$10,$G66=$G$11,H$11,$G66=$G$12,H$12,$G66=$G$13,H$13,$G66=$G$15,H$15,$G66=$G$16,H$16,$G66=$G$17,H$17,$G66=$G$18,H$18,$G66=$G$19,H$19,$G66=$G$20,H$20,$G66=$G$21,H$21,$G66=$G$22,H$22,$G66=$G$25,H$25,$G66=$G$26,H$26,$G66=$G$27,H$27,$G66=$G$29,H$29,$G66=$G$31,H$31,$G66=$G$32,H$32,$G66=$G$248,H$248,$G66=$G$250,H$250)</f>
        <v>41.385213</v>
      </c>
      <c r="I66" s="67" cm="1">
        <f t="array" ref="I66">_xlfn.IFS($G66=$G$5,I$5,$G66=$G$6,I$6,$G66=$G$7,I$7,$G66=$G$8,I$8,$G66=$G$9,I$9,$G66=$G$10,I$10,$G66=$G$11,I$11,$G66=$G$12,I$12,$G66=$G$13,I$13,$G66=$G$15,I$15,$G66=$G$16,I$16,$G66=$G$17,I$17,$G66=$G$18,I$18,$G66=$G$19,I$19,$G66=$G$20,I$20,$G66=$G$21,I$21,$G66=$G$22,I$22,$G66=$G$25,I$25,$G66=$G$26,I$26,$G66=$G$27,I$27,$G66=$G$29,I$29,$G66=$G$31,I$31,$G66=$G$32,I$32,$G66=$G$248,I$248,$G66=$G$250,I$250)</f>
        <v>2.174852</v>
      </c>
      <c r="J66" s="48" cm="1">
        <f t="array" ref="J66">_xlfn.IFS($G66=$G$5,J$5,$G66=$G$6,J$6,$G66=$G$7,J$7,$G66=$G$8,J$8,$G66=$G$9,J$9,$G66=$G$10,J$10,$G66=$G$11,J$11,$G66=$G$12,J$12,$G66=$G$13,J$13,$G66=$G$15,J$15,$G66=$G$16,J$16,$G66=$G$17,J$17,$G66=$G$18,J$18,$G66=$G$19,J$19,$G66=$G$20,J$20,$G66=$G$21,J$21,$G66=$G$22,J$22,$G66=$G$25,J$25,$G66=$G$26,J$26,$G66=$G$27,J$27,$G66=$G$29,J$29,$G66=$G$31,J$31,$G66=$G$32,J$32,$G66=$G$248,J$248,$G66=$G$250,J$250)</f>
        <v>14</v>
      </c>
      <c r="K66" s="48" t="str" cm="1">
        <f t="array" ref="K66">_xlfn.IFS($G66=$G$5,K$5,$G66=$G$6,K$6,$G66=$G$7,K$7,$G66=$G$8,K$8,$G66=$G$9,K$9,$G66=$G$10,K$10,$G66=$G$11,K$11,$G66=$G$12,K$12,$G66=$G$13,K$13,$G66=$G$15,K$15,$G66=$G$16,K$16,$G66=$G$17,K$17,$G66=$G$18,K$18,$G66=$G$19,K$19,$G66=$G$20,K$20,$G66=$G$21,K$21,$G66=$G$22,K$22,$G66=$G$25,K$25,$G66=$G$26,K$26,$G66=$G$27,K$27,$G66=$G$29,K$29,$G66=$G$31,K$31,$G66=$G$32,K$32,$G66=$G$248,K$248,$G66=$G$250,K$250)</f>
        <v>BG sentinel + BG lure7</v>
      </c>
      <c r="L66" s="48"/>
      <c r="M66" s="48"/>
      <c r="N66" s="45"/>
      <c r="O66" s="45" t="str">
        <f t="shared" si="0"/>
        <v>A_SP_BCN_20_210521</v>
      </c>
      <c r="P66" s="49">
        <v>44337</v>
      </c>
      <c r="Q66" s="50"/>
      <c r="R66" s="51"/>
      <c r="S66" s="52">
        <v>44344</v>
      </c>
      <c r="T66" s="53"/>
      <c r="U66" s="51"/>
      <c r="V66" s="54" t="s">
        <v>66</v>
      </c>
      <c r="W66" s="55"/>
      <c r="X66" s="45">
        <f t="shared" si="1"/>
        <v>7</v>
      </c>
      <c r="Y66" s="55"/>
      <c r="Z66" s="45" t="s">
        <v>80</v>
      </c>
      <c r="AA66" s="45">
        <f t="shared" si="2"/>
        <v>14</v>
      </c>
      <c r="AB66" t="str">
        <f t="shared" si="3"/>
        <v>Adult</v>
      </c>
      <c r="AC66" s="45">
        <v>9</v>
      </c>
      <c r="AD66" s="45">
        <v>5</v>
      </c>
      <c r="AE66" s="45" t="str">
        <f t="shared" si="4"/>
        <v>Morphological</v>
      </c>
      <c r="AF66" s="56">
        <v>4</v>
      </c>
      <c r="AG66" s="57"/>
    </row>
    <row r="67" spans="1:33" ht="18" customHeight="1" x14ac:dyDescent="0.25">
      <c r="A67" s="45">
        <v>63</v>
      </c>
      <c r="B67" s="45" t="s">
        <v>60</v>
      </c>
      <c r="C67" s="45" t="s">
        <v>61</v>
      </c>
      <c r="D67" s="45" t="s">
        <v>62</v>
      </c>
      <c r="E67" s="45" t="s">
        <v>62</v>
      </c>
      <c r="F67" s="46" cm="1">
        <f t="array" ref="F67">_xlfn.IFS($G67=$G$5,F$5,$G67=$G$6,F$6,$G67=$G$7,F$7,$G67=$G$8,F$8,$G67=$G$9,F$9,$G67=$G$10,F$10,$G67=$G$11,F$11,$G67=$G$12,F$12,$G67=$G$13,F$13,$G67=$G$15,F$15,$G67=$G$16,F$16,$G67=$G$17,F$17,$G67=$G$18,F$18,$G67=$G$19,F$19,$G67=$G$20,F$20,$G67=$G$21,F$21,$G67=$G$22,F$22,$G67=$G$25,F$25,$G67=$G$26,F$26,$G67=$G$27,F$27,$G67=$G$29,F$29,$G67=$G$31,F$31,$G67=$G$32,F$32,$G67=$G$248,F$248,$G67=$G$250,F$250)</f>
        <v>8001</v>
      </c>
      <c r="G67" s="45" t="s">
        <v>96</v>
      </c>
      <c r="H67" s="67" cm="1">
        <f t="array" ref="H67">_xlfn.IFS($G67=$G$5,H$5,$G67=$G$6,H$6,$G67=$G$7,H$7,$G67=$G$8,H$8,$G67=$G$9,H$9,$G67=$G$10,H$10,$G67=$G$11,H$11,$G67=$G$12,H$12,$G67=$G$13,H$13,$G67=$G$15,H$15,$G67=$G$16,H$16,$G67=$G$17,H$17,$G67=$G$18,H$18,$G67=$G$19,H$19,$G67=$G$20,H$20,$G67=$G$21,H$21,$G67=$G$22,H$22,$G67=$G$25,H$25,$G67=$G$26,H$26,$G67=$G$27,H$27,$G67=$G$29,H$29,$G67=$G$31,H$31,$G67=$G$32,H$32,$G67=$G$248,H$248,$G67=$G$250,H$250)</f>
        <v>41.377169000000002</v>
      </c>
      <c r="I67" s="67" cm="1">
        <f t="array" ref="I67">_xlfn.IFS($G67=$G$5,I$5,$G67=$G$6,I$6,$G67=$G$7,I$7,$G67=$G$8,I$8,$G67=$G$9,I$9,$G67=$G$10,I$10,$G67=$G$11,I$11,$G67=$G$12,I$12,$G67=$G$13,I$13,$G67=$G$15,I$15,$G67=$G$16,I$16,$G67=$G$17,I$17,$G67=$G$18,I$18,$G67=$G$19,I$19,$G67=$G$20,I$20,$G67=$G$21,I$21,$G67=$G$22,I$22,$G67=$G$25,I$25,$G67=$G$26,I$26,$G67=$G$27,I$27,$G67=$G$29,I$29,$G67=$G$31,I$31,$G67=$G$32,I$32,$G67=$G$248,I$248,$G67=$G$250,I$250)</f>
        <v>2.1674190000000002</v>
      </c>
      <c r="J67" s="48" cm="1">
        <f t="array" ref="J67">_xlfn.IFS($G67=$G$5,J$5,$G67=$G$6,J$6,$G67=$G$7,J$7,$G67=$G$8,J$8,$G67=$G$9,J$9,$G67=$G$10,J$10,$G67=$G$11,J$11,$G67=$G$12,J$12,$G67=$G$13,J$13,$G67=$G$15,J$15,$G67=$G$16,J$16,$G67=$G$17,J$17,$G67=$G$18,J$18,$G67=$G$19,J$19,$G67=$G$20,J$20,$G67=$G$21,J$21,$G67=$G$22,J$22,$G67=$G$25,J$25,$G67=$G$26,J$26,$G67=$G$27,J$27,$G67=$G$29,J$29,$G67=$G$31,J$31,$G67=$G$32,J$32,$G67=$G$248,J$248,$G67=$G$250,J$250)</f>
        <v>11</v>
      </c>
      <c r="K67" s="48" t="str" cm="1">
        <f t="array" ref="K67">_xlfn.IFS($G67=$G$5,K$5,$G67=$G$6,K$6,$G67=$G$7,K$7,$G67=$G$8,K$8,$G67=$G$9,K$9,$G67=$G$10,K$10,$G67=$G$11,K$11,$G67=$G$12,K$12,$G67=$G$13,K$13,$G67=$G$15,K$15,$G67=$G$16,K$16,$G67=$G$17,K$17,$G67=$G$18,K$18,$G67=$G$19,K$19,$G67=$G$20,K$20,$G67=$G$21,K$21,$G67=$G$22,K$22,$G67=$G$25,K$25,$G67=$G$26,K$26,$G67=$G$27,K$27,$G67=$G$29,K$29,$G67=$G$31,K$31,$G67=$G$32,K$32,$G67=$G$248,K$248,$G67=$G$250,K$250)</f>
        <v>BG sentinel + BG lure7</v>
      </c>
      <c r="L67" s="48"/>
      <c r="M67" s="48"/>
      <c r="N67" s="45"/>
      <c r="O67" s="45" t="str">
        <f t="shared" si="0"/>
        <v>A_SP_BCN_21_210521</v>
      </c>
      <c r="P67" s="49">
        <v>44337</v>
      </c>
      <c r="Q67" s="50"/>
      <c r="R67" s="51"/>
      <c r="S67" s="52">
        <v>44344</v>
      </c>
      <c r="T67" s="53"/>
      <c r="U67" s="51"/>
      <c r="V67" s="54" t="s">
        <v>66</v>
      </c>
      <c r="W67" s="55"/>
      <c r="X67" s="45">
        <f t="shared" si="1"/>
        <v>7</v>
      </c>
      <c r="Y67" s="55"/>
      <c r="Z67" s="45" t="s">
        <v>69</v>
      </c>
      <c r="AA67" s="45">
        <f t="shared" si="2"/>
        <v>2</v>
      </c>
      <c r="AB67" t="str">
        <f t="shared" si="3"/>
        <v>Adult</v>
      </c>
      <c r="AC67" s="45">
        <v>1</v>
      </c>
      <c r="AD67" s="45">
        <v>1</v>
      </c>
      <c r="AE67" s="45" t="str">
        <f t="shared" si="4"/>
        <v>Morphological</v>
      </c>
      <c r="AF67" s="56">
        <v>4</v>
      </c>
      <c r="AG67" s="57"/>
    </row>
    <row r="68" spans="1:33" ht="18" customHeight="1" x14ac:dyDescent="0.25">
      <c r="A68" s="45">
        <v>64</v>
      </c>
      <c r="B68" s="45" t="s">
        <v>60</v>
      </c>
      <c r="C68" s="45" t="s">
        <v>61</v>
      </c>
      <c r="D68" s="45" t="s">
        <v>62</v>
      </c>
      <c r="E68" s="45" t="s">
        <v>62</v>
      </c>
      <c r="F68" s="46" cm="1">
        <f t="array" ref="F68">_xlfn.IFS($G68=$G$5,F$5,$G68=$G$6,F$6,$G68=$G$7,F$7,$G68=$G$8,F$8,$G68=$G$9,F$9,$G68=$G$10,F$10,$G68=$G$11,F$11,$G68=$G$12,F$12,$G68=$G$13,F$13,$G68=$G$15,F$15,$G68=$G$16,F$16,$G68=$G$17,F$17,$G68=$G$18,F$18,$G68=$G$19,F$19,$G68=$G$20,F$20,$G68=$G$21,F$21,$G68=$G$22,F$22,$G68=$G$25,F$25,$G68=$G$26,F$26,$G68=$G$27,F$27,$G68=$G$29,F$29,$G68=$G$31,F$31,$G68=$G$32,F$32,$G68=$G$248,F$248,$G68=$G$250,F$250)</f>
        <v>8017</v>
      </c>
      <c r="G68" s="45" t="s">
        <v>98</v>
      </c>
      <c r="H68" s="67" cm="1">
        <f t="array" ref="H68">_xlfn.IFS($G68=$G$5,H$5,$G68=$G$6,H$6,$G68=$G$7,H$7,$G68=$G$8,H$8,$G68=$G$9,H$9,$G68=$G$10,H$10,$G68=$G$11,H$11,$G68=$G$12,H$12,$G68=$G$13,H$13,$G68=$G$15,H$15,$G68=$G$16,H$16,$G68=$G$17,H$17,$G68=$G$18,H$18,$G68=$G$19,H$19,$G68=$G$20,H$20,$G68=$G$21,H$21,$G68=$G$22,H$22,$G68=$G$25,H$25,$G68=$G$26,H$26,$G68=$G$27,H$27,$G68=$G$29,H$29,$G68=$G$31,H$31,$G68=$G$32,H$32,$G68=$G$248,H$248,$G68=$G$250,H$250)</f>
        <v>41.430058000000002</v>
      </c>
      <c r="I68" s="67" cm="1">
        <f t="array" ref="I68">_xlfn.IFS($G68=$G$5,I$5,$G68=$G$6,I$6,$G68=$G$7,I$7,$G68=$G$8,I$8,$G68=$G$9,I$9,$G68=$G$10,I$10,$G68=$G$11,I$11,$G68=$G$12,I$12,$G68=$G$13,I$13,$G68=$G$15,I$15,$G68=$G$16,I$16,$G68=$G$17,I$17,$G68=$G$18,I$18,$G68=$G$19,I$19,$G68=$G$20,I$20,$G68=$G$21,I$21,$G68=$G$22,I$22,$G68=$G$25,I$25,$G68=$G$26,I$26,$G68=$G$27,I$27,$G68=$G$29,I$29,$G68=$G$31,I$31,$G68=$G$32,I$32,$G68=$G$248,I$248,$G68=$G$250,I$250)</f>
        <v>2.0783459999999998</v>
      </c>
      <c r="J68" s="48" cm="1">
        <f t="array" ref="J68">_xlfn.IFS($G68=$G$5,J$5,$G68=$G$6,J$6,$G68=$G$7,J$7,$G68=$G$8,J$8,$G68=$G$9,J$9,$G68=$G$10,J$10,$G68=$G$11,J$11,$G68=$G$12,J$12,$G68=$G$13,J$13,$G68=$G$15,J$15,$G68=$G$16,J$16,$G68=$G$17,J$17,$G68=$G$18,J$18,$G68=$G$19,J$19,$G68=$G$20,J$20,$G68=$G$21,J$21,$G68=$G$22,J$22,$G68=$G$25,J$25,$G68=$G$26,J$26,$G68=$G$27,J$27,$G68=$G$29,J$29,$G68=$G$31,J$31,$G68=$G$32,J$32,$G68=$G$248,J$248,$G68=$G$250,J$250)</f>
        <v>241</v>
      </c>
      <c r="K68" s="48" t="str" cm="1">
        <f t="array" ref="K68">_xlfn.IFS($G68=$G$5,K$5,$G68=$G$6,K$6,$G68=$G$7,K$7,$G68=$G$8,K$8,$G68=$G$9,K$9,$G68=$G$10,K$10,$G68=$G$11,K$11,$G68=$G$12,K$12,$G68=$G$13,K$13,$G68=$G$15,K$15,$G68=$G$16,K$16,$G68=$G$17,K$17,$G68=$G$18,K$18,$G68=$G$19,K$19,$G68=$G$20,K$20,$G68=$G$21,K$21,$G68=$G$22,K$22,$G68=$G$25,K$25,$G68=$G$26,K$26,$G68=$G$27,K$27,$G68=$G$29,K$29,$G68=$G$31,K$31,$G68=$G$32,K$32,$G68=$G$248,K$248,$G68=$G$250,K$250)</f>
        <v>BG sentinel + BG lure7</v>
      </c>
      <c r="L68" s="48"/>
      <c r="M68" s="48"/>
      <c r="N68" s="45"/>
      <c r="O68" s="45" t="str">
        <f t="shared" si="0"/>
        <v>A_SP_BCN_22_210520</v>
      </c>
      <c r="P68" s="49">
        <v>44336</v>
      </c>
      <c r="Q68" s="50"/>
      <c r="R68" s="51"/>
      <c r="S68" s="52">
        <v>44344</v>
      </c>
      <c r="T68" s="53"/>
      <c r="U68" s="51"/>
      <c r="V68" s="54" t="s">
        <v>66</v>
      </c>
      <c r="W68" s="55"/>
      <c r="X68" s="45">
        <f t="shared" si="1"/>
        <v>8</v>
      </c>
      <c r="Y68" s="55"/>
      <c r="Z68" s="45" t="s">
        <v>69</v>
      </c>
      <c r="AA68" s="45">
        <f t="shared" si="2"/>
        <v>1</v>
      </c>
      <c r="AB68" t="str">
        <f t="shared" si="3"/>
        <v>Adult</v>
      </c>
      <c r="AC68" s="45">
        <v>1</v>
      </c>
      <c r="AD68" s="45">
        <v>0</v>
      </c>
      <c r="AE68" s="45" t="str">
        <f t="shared" si="4"/>
        <v>Morphological</v>
      </c>
      <c r="AF68" s="56">
        <v>4</v>
      </c>
      <c r="AG68" s="57"/>
    </row>
    <row r="69" spans="1:33" ht="18" customHeight="1" x14ac:dyDescent="0.25">
      <c r="A69" s="45">
        <v>65</v>
      </c>
      <c r="B69" s="45" t="s">
        <v>60</v>
      </c>
      <c r="C69" s="45" t="s">
        <v>61</v>
      </c>
      <c r="D69" s="45" t="s">
        <v>62</v>
      </c>
      <c r="E69" s="45" t="s">
        <v>62</v>
      </c>
      <c r="F69" s="46" cm="1">
        <f t="array" ref="F69">_xlfn.IFS($G69=$G$5,F$5,$G69=$G$6,F$6,$G69=$G$7,F$7,$G69=$G$8,F$8,$G69=$G$9,F$9,$G69=$G$10,F$10,$G69=$G$11,F$11,$G69=$G$12,F$12,$G69=$G$13,F$13,$G69=$G$15,F$15,$G69=$G$16,F$16,$G69=$G$17,F$17,$G69=$G$18,F$18,$G69=$G$19,F$19,$G69=$G$20,F$20,$G69=$G$21,F$21,$G69=$G$22,F$22,$G69=$G$25,F$25,$G69=$G$26,F$26,$G69=$G$27,F$27,$G69=$G$29,F$29,$G69=$G$31,F$31,$G69=$G$32,F$32,$G69=$G$248,F$248,$G69=$G$250,F$250)</f>
        <v>8017</v>
      </c>
      <c r="G69" s="45" t="s">
        <v>98</v>
      </c>
      <c r="H69" s="67" cm="1">
        <f t="array" ref="H69">_xlfn.IFS($G69=$G$5,H$5,$G69=$G$6,H$6,$G69=$G$7,H$7,$G69=$G$8,H$8,$G69=$G$9,H$9,$G69=$G$10,H$10,$G69=$G$11,H$11,$G69=$G$12,H$12,$G69=$G$13,H$13,$G69=$G$15,H$15,$G69=$G$16,H$16,$G69=$G$17,H$17,$G69=$G$18,H$18,$G69=$G$19,H$19,$G69=$G$20,H$20,$G69=$G$21,H$21,$G69=$G$22,H$22,$G69=$G$25,H$25,$G69=$G$26,H$26,$G69=$G$27,H$27,$G69=$G$29,H$29,$G69=$G$31,H$31,$G69=$G$32,H$32,$G69=$G$248,H$248,$G69=$G$250,H$250)</f>
        <v>41.430058000000002</v>
      </c>
      <c r="I69" s="67" cm="1">
        <f t="array" ref="I69">_xlfn.IFS($G69=$G$5,I$5,$G69=$G$6,I$6,$G69=$G$7,I$7,$G69=$G$8,I$8,$G69=$G$9,I$9,$G69=$G$10,I$10,$G69=$G$11,I$11,$G69=$G$12,I$12,$G69=$G$13,I$13,$G69=$G$15,I$15,$G69=$G$16,I$16,$G69=$G$17,I$17,$G69=$G$18,I$18,$G69=$G$19,I$19,$G69=$G$20,I$20,$G69=$G$21,I$21,$G69=$G$22,I$22,$G69=$G$25,I$25,$G69=$G$26,I$26,$G69=$G$27,I$27,$G69=$G$29,I$29,$G69=$G$31,I$31,$G69=$G$32,I$32,$G69=$G$248,I$248,$G69=$G$250,I$250)</f>
        <v>2.0783459999999998</v>
      </c>
      <c r="J69" s="48" cm="1">
        <f t="array" ref="J69">_xlfn.IFS($G69=$G$5,J$5,$G69=$G$6,J$6,$G69=$G$7,J$7,$G69=$G$8,J$8,$G69=$G$9,J$9,$G69=$G$10,J$10,$G69=$G$11,J$11,$G69=$G$12,J$12,$G69=$G$13,J$13,$G69=$G$15,J$15,$G69=$G$16,J$16,$G69=$G$17,J$17,$G69=$G$18,J$18,$G69=$G$19,J$19,$G69=$G$20,J$20,$G69=$G$21,J$21,$G69=$G$22,J$22,$G69=$G$25,J$25,$G69=$G$26,J$26,$G69=$G$27,J$27,$G69=$G$29,J$29,$G69=$G$31,J$31,$G69=$G$32,J$32,$G69=$G$248,J$248,$G69=$G$250,J$250)</f>
        <v>241</v>
      </c>
      <c r="K69" s="48" t="str" cm="1">
        <f t="array" ref="K69">_xlfn.IFS($G69=$G$5,K$5,$G69=$G$6,K$6,$G69=$G$7,K$7,$G69=$G$8,K$8,$G69=$G$9,K$9,$G69=$G$10,K$10,$G69=$G$11,K$11,$G69=$G$12,K$12,$G69=$G$13,K$13,$G69=$G$15,K$15,$G69=$G$16,K$16,$G69=$G$17,K$17,$G69=$G$18,K$18,$G69=$G$19,K$19,$G69=$G$20,K$20,$G69=$G$21,K$21,$G69=$G$22,K$22,$G69=$G$25,K$25,$G69=$G$26,K$26,$G69=$G$27,K$27,$G69=$G$29,K$29,$G69=$G$31,K$31,$G69=$G$32,K$32,$G69=$G$248,K$248,$G69=$G$250,K$250)</f>
        <v>BG sentinel + BG lure7</v>
      </c>
      <c r="L69" s="48"/>
      <c r="M69" s="48"/>
      <c r="N69" s="45"/>
      <c r="O69" s="45" t="str">
        <f t="shared" si="0"/>
        <v>A_SP_BCN_22_210520</v>
      </c>
      <c r="P69" s="49">
        <v>44336</v>
      </c>
      <c r="Q69" s="50"/>
      <c r="R69" s="51"/>
      <c r="S69" s="52">
        <v>44344</v>
      </c>
      <c r="T69" s="53"/>
      <c r="U69" s="51"/>
      <c r="V69" s="54" t="s">
        <v>66</v>
      </c>
      <c r="W69" s="70" t="s">
        <v>99</v>
      </c>
      <c r="X69" s="45">
        <f>S69-P69</f>
        <v>8</v>
      </c>
      <c r="Y69" s="55"/>
      <c r="Z69" s="45" t="s">
        <v>80</v>
      </c>
      <c r="AA69" s="45">
        <f t="shared" si="2"/>
        <v>2</v>
      </c>
      <c r="AB69" t="str">
        <f t="shared" si="3"/>
        <v>Adult</v>
      </c>
      <c r="AC69" s="45">
        <v>0</v>
      </c>
      <c r="AD69" s="45">
        <v>2</v>
      </c>
      <c r="AE69" s="45" t="str">
        <f t="shared" si="4"/>
        <v>Morphological</v>
      </c>
      <c r="AF69" s="56">
        <v>4</v>
      </c>
      <c r="AG69" s="57"/>
    </row>
    <row r="70" spans="1:33" ht="18" customHeight="1" x14ac:dyDescent="0.25">
      <c r="A70" s="45">
        <v>66</v>
      </c>
      <c r="B70" s="45" t="s">
        <v>60</v>
      </c>
      <c r="C70" s="45" t="s">
        <v>61</v>
      </c>
      <c r="D70" s="45" t="s">
        <v>62</v>
      </c>
      <c r="E70" s="45" t="s">
        <v>62</v>
      </c>
      <c r="F70" s="46" cm="1">
        <f t="array" ref="F70">_xlfn.IFS($G70=$G$5,F$5,$G70=$G$6,F$6,$G70=$G$7,F$7,$G70=$G$8,F$8,$G70=$G$9,F$9,$G70=$G$10,F$10,$G70=$G$11,F$11,$G70=$G$12,F$12,$G70=$G$13,F$13,$G70=$G$15,F$15,$G70=$G$16,F$16,$G70=$G$17,F$17,$G70=$G$18,F$18,$G70=$G$19,F$19,$G70=$G$20,F$20,$G70=$G$21,F$21,$G70=$G$22,F$22,$G70=$G$25,F$25,$G70=$G$26,F$26,$G70=$G$27,F$27,$G70=$G$29,F$29,$G70=$G$31,F$31,$G70=$G$32,F$32,$G70=$G$248,F$248,$G70=$G$250,F$250)</f>
        <v>8024</v>
      </c>
      <c r="G70" t="s">
        <v>63</v>
      </c>
      <c r="H70" s="67" cm="1">
        <f t="array" ref="H70">_xlfn.IFS($G70=$G$5,H$5,$G70=$G$6,H$6,$G70=$G$7,H$7,$G70=$G$8,H$8,$G70=$G$9,H$9,$G70=$G$10,H$10,$G70=$G$11,H$11,$G70=$G$12,H$12,$G70=$G$13,H$13,$G70=$G$15,H$15,$G70=$G$16,H$16,$G70=$G$17,H$17,$G70=$G$18,H$18,$G70=$G$19,H$19,$G70=$G$20,H$20,$G70=$G$21,H$21,$G70=$G$22,H$22,$G70=$G$25,H$25,$G70=$G$26,H$26,$G70=$G$27,H$27,$G70=$G$29,H$29,$G70=$G$31,H$31,$G70=$G$32,H$32,$G70=$G$248,H$248,$G70=$G$250,H$250)</f>
        <v>41.413573999999997</v>
      </c>
      <c r="I70" s="67" cm="1">
        <f t="array" ref="I70">_xlfn.IFS($G70=$G$5,I$5,$G70=$G$6,I$6,$G70=$G$7,I$7,$G70=$G$8,I$8,$G70=$G$9,I$9,$G70=$G$10,I$10,$G70=$G$11,I$11,$G70=$G$12,I$12,$G70=$G$13,I$13,$G70=$G$15,I$15,$G70=$G$16,I$16,$G70=$G$17,I$17,$G70=$G$18,I$18,$G70=$G$19,I$19,$G70=$G$20,I$20,$G70=$G$21,I$21,$G70=$G$22,I$22,$G70=$G$25,I$25,$G70=$G$26,I$26,$G70=$G$27,I$27,$G70=$G$29,I$29,$G70=$G$31,I$31,$G70=$G$32,I$32,$G70=$G$248,I$248,$G70=$G$250,I$250)</f>
        <v>2.1520730000000001</v>
      </c>
      <c r="J70" s="48" cm="1">
        <f t="array" ref="J70">_xlfn.IFS($G70=$G$5,J$5,$G70=$G$6,J$6,$G70=$G$7,J$7,$G70=$G$8,J$8,$G70=$G$9,J$9,$G70=$G$10,J$10,$G70=$G$11,J$11,$G70=$G$12,J$12,$G70=$G$13,J$13,$G70=$G$15,J$15,$G70=$G$16,J$16,$G70=$G$17,J$17,$G70=$G$18,J$18,$G70=$G$19,J$19,$G70=$G$20,J$20,$G70=$G$21,J$21,$G70=$G$22,J$22,$G70=$G$25,J$25,$G70=$G$26,J$26,$G70=$G$27,J$27,$G70=$G$29,J$29,$G70=$G$31,J$31,$G70=$G$32,J$32,$G70=$G$248,J$248,$G70=$G$250,J$250)</f>
        <v>141</v>
      </c>
      <c r="K70" s="48" t="str" cm="1">
        <f t="array" ref="K70">_xlfn.IFS($G70=$G$5,K$5,$G70=$G$6,K$6,$G70=$G$7,K$7,$G70=$G$8,K$8,$G70=$G$9,K$9,$G70=$G$10,K$10,$G70=$G$11,K$11,$G70=$G$12,K$12,$G70=$G$13,K$13,$G70=$G$15,K$15,$G70=$G$16,K$16,$G70=$G$17,K$17,$G70=$G$18,K$18,$G70=$G$19,K$19,$G70=$G$20,K$20,$G70=$G$21,K$21,$G70=$G$22,K$22,$G70=$G$25,K$25,$G70=$G$26,K$26,$G70=$G$27,K$27,$G70=$G$29,K$29,$G70=$G$31,K$31,$G70=$G$32,K$32,$G70=$G$248,K$248,$G70=$G$250,K$250)</f>
        <v>BG sentinel + BG lure7</v>
      </c>
      <c r="L70" s="48" t="str" cm="1">
        <f t="array" ref="L70">_xlfn.IFS($G70=$G$5,L$5,$G70=$G$6,L$6,$G70=$G$7,L$7,$G70=$G$8,L$8,$G70=$G$9,L$9,$G70=$G$10,L$10,$G70=$G$11,L$11,$G70=$G$12,L$12,$G70=$G$13,L$13,$G70=$G$15,L$15,$G70=$G$16,L$16,$G70=$G$17,L$17,$G70=$G$18,L$18,$G70=$G$19,L$19,$G70=$G$20,L$20,$G70=$G$21,L$21,$G70=$G$22,L$22,$G70=$G$25,L$25,$G70=$G$26,L$26,$G70=$G$27,L$27,$G70=$G$29,L$29,$G70=$G$31,L$31,$G70=$G$32,L$32,$G70=$G$248,L$248,$G70=$G$250,L$250)</f>
        <v>Urban habitat</v>
      </c>
      <c r="M70" s="48"/>
      <c r="N70" s="45"/>
      <c r="O70" s="45" t="str">
        <f t="shared" si="0"/>
        <v>A_SP_BCN_1_210527</v>
      </c>
      <c r="P70" s="49">
        <v>44343</v>
      </c>
      <c r="Q70" s="50"/>
      <c r="R70" s="71"/>
      <c r="S70" s="52">
        <v>44349</v>
      </c>
      <c r="T70" s="53"/>
      <c r="U70" s="51"/>
      <c r="V70" s="54" t="s">
        <v>66</v>
      </c>
      <c r="W70" s="55"/>
      <c r="X70" s="45">
        <f t="shared" ref="X70:X221" si="5">S70-P70</f>
        <v>6</v>
      </c>
      <c r="Y70" s="55"/>
      <c r="Z70" s="45" t="s">
        <v>69</v>
      </c>
      <c r="AA70" s="45">
        <f t="shared" si="2"/>
        <v>3</v>
      </c>
      <c r="AB70" t="str">
        <f t="shared" si="3"/>
        <v>Adult</v>
      </c>
      <c r="AC70" s="45">
        <v>2</v>
      </c>
      <c r="AD70" s="45">
        <v>1</v>
      </c>
      <c r="AE70" s="45" t="str">
        <f t="shared" si="4"/>
        <v>Morphological</v>
      </c>
      <c r="AF70" s="56">
        <v>4</v>
      </c>
      <c r="AG70" s="57"/>
    </row>
    <row r="71" spans="1:33" ht="18" customHeight="1" x14ac:dyDescent="0.25">
      <c r="A71" s="45">
        <v>67</v>
      </c>
      <c r="B71" s="45" t="s">
        <v>60</v>
      </c>
      <c r="C71" s="45" t="s">
        <v>61</v>
      </c>
      <c r="D71" s="45" t="s">
        <v>62</v>
      </c>
      <c r="E71" s="45" t="s">
        <v>62</v>
      </c>
      <c r="F71" s="46" cm="1">
        <f t="array" ref="F71">_xlfn.IFS($G71=$G$5,F$5,$G71=$G$6,F$6,$G71=$G$7,F$7,$G71=$G$8,F$8,$G71=$G$9,F$9,$G71=$G$10,F$10,$G71=$G$11,F$11,$G71=$G$12,F$12,$G71=$G$13,F$13,$G71=$G$15,F$15,$G71=$G$16,F$16,$G71=$G$17,F$17,$G71=$G$18,F$18,$G71=$G$19,F$19,$G71=$G$20,F$20,$G71=$G$21,F$21,$G71=$G$22,F$22,$G71=$G$25,F$25,$G71=$G$26,F$26,$G71=$G$27,F$27,$G71=$G$29,F$29,$G71=$G$31,F$31,$G71=$G$32,F$32,$G71=$G$248,F$248,$G71=$G$250,F$250)</f>
        <v>8035</v>
      </c>
      <c r="G71" t="s">
        <v>67</v>
      </c>
      <c r="H71" s="67" cm="1">
        <f t="array" ref="H71">_xlfn.IFS($G71=$G$5,H$5,$G71=$G$6,H$6,$G71=$G$7,H$7,$G71=$G$8,H$8,$G71=$G$9,H$9,$G71=$G$10,H$10,$G71=$G$11,H$11,$G71=$G$12,H$12,$G71=$G$13,H$13,$G71=$G$15,H$15,$G71=$G$16,H$16,$G71=$G$17,H$17,$G71=$G$18,H$18,$G71=$G$19,H$19,$G71=$G$20,H$20,$G71=$G$21,H$21,$G71=$G$22,H$22,$G71=$G$25,H$25,$G71=$G$26,H$26,$G71=$G$27,H$27,$G71=$G$29,H$29,$G71=$G$31,H$31,$G71=$G$32,H$32,$G71=$G$248,H$248,$G71=$G$250,H$250)</f>
        <v>41.424387000000003</v>
      </c>
      <c r="I71" s="67" cm="1">
        <f t="array" ref="I71">_xlfn.IFS($G71=$G$5,I$5,$G71=$G$6,I$6,$G71=$G$7,I$7,$G71=$G$8,I$8,$G71=$G$9,I$9,$G71=$G$10,I$10,$G71=$G$11,I$11,$G71=$G$12,I$12,$G71=$G$13,I$13,$G71=$G$15,I$15,$G71=$G$16,I$16,$G71=$G$17,I$17,$G71=$G$18,I$18,$G71=$G$19,I$19,$G71=$G$20,I$20,$G71=$G$21,I$21,$G71=$G$22,I$22,$G71=$G$25,I$25,$G71=$G$26,I$26,$G71=$G$27,I$27,$G71=$G$29,I$29,$G71=$G$31,I$31,$G71=$G$32,I$32,$G71=$G$248,I$248,$G71=$G$250,I$250)</f>
        <v>2.1431439999999999</v>
      </c>
      <c r="J71" s="48" cm="1">
        <f t="array" ref="J71">_xlfn.IFS($G71=$G$5,J$5,$G71=$G$6,J$6,$G71=$G$7,J$7,$G71=$G$8,J$8,$G71=$G$9,J$9,$G71=$G$10,J$10,$G71=$G$11,J$11,$G71=$G$12,J$12,$G71=$G$13,J$13,$G71=$G$15,J$15,$G71=$G$16,J$16,$G71=$G$17,J$17,$G71=$G$18,J$18,$G71=$G$19,J$19,$G71=$G$20,J$20,$G71=$G$21,J$21,$G71=$G$22,J$22,$G71=$G$25,J$25,$G71=$G$26,J$26,$G71=$G$27,J$27,$G71=$G$29,J$29,$G71=$G$31,J$31,$G71=$G$32,J$32,$G71=$G$248,J$248,$G71=$G$250,J$250)</f>
        <v>160</v>
      </c>
      <c r="K71" s="48" t="str" cm="1">
        <f t="array" ref="K71">_xlfn.IFS($G71=$G$5,K$5,$G71=$G$6,K$6,$G71=$G$7,K$7,$G71=$G$8,K$8,$G71=$G$9,K$9,$G71=$G$10,K$10,$G71=$G$11,K$11,$G71=$G$12,K$12,$G71=$G$13,K$13,$G71=$G$15,K$15,$G71=$G$16,K$16,$G71=$G$17,K$17,$G71=$G$18,K$18,$G71=$G$19,K$19,$G71=$G$20,K$20,$G71=$G$21,K$21,$G71=$G$22,K$22,$G71=$G$25,K$25,$G71=$G$26,K$26,$G71=$G$27,K$27,$G71=$G$29,K$29,$G71=$G$31,K$31,$G71=$G$32,K$32,$G71=$G$248,K$248,$G71=$G$250,K$250)</f>
        <v>BG sentinel + BG lure7</v>
      </c>
      <c r="L71" s="48" t="str" cm="1">
        <f t="array" ref="L71">_xlfn.IFS($G71=$G$5,L$5,$G71=$G$6,L$6,$G71=$G$7,L$7,$G71=$G$8,L$8,$G71=$G$9,L$9,$G71=$G$10,L$10,$G71=$G$11,L$11,$G71=$G$12,L$12,$G71=$G$13,L$13,$G71=$G$15,L$15,$G71=$G$16,L$16,$G71=$G$17,L$17,$G71=$G$18,L$18,$G71=$G$19,L$19,$G71=$G$20,L$20,$G71=$G$21,L$21,$G71=$G$22,L$22,$G71=$G$25,L$25,$G71=$G$26,L$26,$G71=$G$27,L$27,$G71=$G$29,L$29,$G71=$G$31,L$31,$G71=$G$32,L$32,$G71=$G$248,L$248,$G71=$G$250,L$250)</f>
        <v>Urban habitat</v>
      </c>
      <c r="M71" s="48"/>
      <c r="N71" s="45"/>
      <c r="O71" s="45" t="str">
        <f t="shared" si="0"/>
        <v>A_SP_BCN_2_210527</v>
      </c>
      <c r="P71" s="49">
        <v>44343</v>
      </c>
      <c r="Q71" s="50"/>
      <c r="R71" s="71"/>
      <c r="S71" s="52">
        <v>44349</v>
      </c>
      <c r="T71" s="53"/>
      <c r="U71" s="51"/>
      <c r="V71" s="54" t="s">
        <v>66</v>
      </c>
      <c r="W71" s="55"/>
      <c r="X71" s="45">
        <f t="shared" si="5"/>
        <v>6</v>
      </c>
      <c r="Y71" s="55"/>
      <c r="Z71" s="45" t="s">
        <v>69</v>
      </c>
      <c r="AA71" s="45">
        <f t="shared" si="2"/>
        <v>1</v>
      </c>
      <c r="AB71" t="str">
        <f t="shared" si="3"/>
        <v>Adult</v>
      </c>
      <c r="AC71" s="45">
        <v>1</v>
      </c>
      <c r="AD71" s="45">
        <v>0</v>
      </c>
      <c r="AE71" s="45" t="str">
        <f t="shared" si="4"/>
        <v>Morphological</v>
      </c>
      <c r="AF71" s="56">
        <v>4</v>
      </c>
      <c r="AG71" s="57"/>
    </row>
    <row r="72" spans="1:33" ht="18" customHeight="1" x14ac:dyDescent="0.25">
      <c r="A72" s="45">
        <v>68</v>
      </c>
      <c r="B72" s="45" t="s">
        <v>60</v>
      </c>
      <c r="C72" s="45" t="s">
        <v>61</v>
      </c>
      <c r="D72" s="45" t="s">
        <v>62</v>
      </c>
      <c r="E72" s="45" t="s">
        <v>62</v>
      </c>
      <c r="F72" s="46" cm="1">
        <f t="array" ref="F72">_xlfn.IFS($G72=$G$5,F$5,$G72=$G$6,F$6,$G72=$G$7,F$7,$G72=$G$8,F$8,$G72=$G$9,F$9,$G72=$G$10,F$10,$G72=$G$11,F$11,$G72=$G$12,F$12,$G72=$G$13,F$13,$G72=$G$15,F$15,$G72=$G$16,F$16,$G72=$G$17,F$17,$G72=$G$18,F$18,$G72=$G$19,F$19,$G72=$G$20,F$20,$G72=$G$21,F$21,$G72=$G$22,F$22,$G72=$G$25,F$25,$G72=$G$26,F$26,$G72=$G$27,F$27,$G72=$G$29,F$29,$G72=$G$31,F$31,$G72=$G$32,F$32,$G72=$G$248,F$248,$G72=$G$250,F$250)</f>
        <v>8035</v>
      </c>
      <c r="G72" t="s">
        <v>67</v>
      </c>
      <c r="H72" s="67" cm="1">
        <f t="array" ref="H72">_xlfn.IFS($G72=$G$5,H$5,$G72=$G$6,H$6,$G72=$G$7,H$7,$G72=$G$8,H$8,$G72=$G$9,H$9,$G72=$G$10,H$10,$G72=$G$11,H$11,$G72=$G$12,H$12,$G72=$G$13,H$13,$G72=$G$15,H$15,$G72=$G$16,H$16,$G72=$G$17,H$17,$G72=$G$18,H$18,$G72=$G$19,H$19,$G72=$G$20,H$20,$G72=$G$21,H$21,$G72=$G$22,H$22,$G72=$G$25,H$25,$G72=$G$26,H$26,$G72=$G$27,H$27,$G72=$G$29,H$29,$G72=$G$31,H$31,$G72=$G$32,H$32,$G72=$G$248,H$248,$G72=$G$250,H$250)</f>
        <v>41.424387000000003</v>
      </c>
      <c r="I72" s="67" cm="1">
        <f t="array" ref="I72">_xlfn.IFS($G72=$G$5,I$5,$G72=$G$6,I$6,$G72=$G$7,I$7,$G72=$G$8,I$8,$G72=$G$9,I$9,$G72=$G$10,I$10,$G72=$G$11,I$11,$G72=$G$12,I$12,$G72=$G$13,I$13,$G72=$G$15,I$15,$G72=$G$16,I$16,$G72=$G$17,I$17,$G72=$G$18,I$18,$G72=$G$19,I$19,$G72=$G$20,I$20,$G72=$G$21,I$21,$G72=$G$22,I$22,$G72=$G$25,I$25,$G72=$G$26,I$26,$G72=$G$27,I$27,$G72=$G$29,I$29,$G72=$G$31,I$31,$G72=$G$32,I$32,$G72=$G$248,I$248,$G72=$G$250,I$250)</f>
        <v>2.1431439999999999</v>
      </c>
      <c r="J72" s="48" cm="1">
        <f t="array" ref="J72">_xlfn.IFS($G72=$G$5,J$5,$G72=$G$6,J$6,$G72=$G$7,J$7,$G72=$G$8,J$8,$G72=$G$9,J$9,$G72=$G$10,J$10,$G72=$G$11,J$11,$G72=$G$12,J$12,$G72=$G$13,J$13,$G72=$G$15,J$15,$G72=$G$16,J$16,$G72=$G$17,J$17,$G72=$G$18,J$18,$G72=$G$19,J$19,$G72=$G$20,J$20,$G72=$G$21,J$21,$G72=$G$22,J$22,$G72=$G$25,J$25,$G72=$G$26,J$26,$G72=$G$27,J$27,$G72=$G$29,J$29,$G72=$G$31,J$31,$G72=$G$32,J$32,$G72=$G$248,J$248,$G72=$G$250,J$250)</f>
        <v>160</v>
      </c>
      <c r="K72" s="48" t="str" cm="1">
        <f t="array" ref="K72">_xlfn.IFS($G72=$G$5,K$5,$G72=$G$6,K$6,$G72=$G$7,K$7,$G72=$G$8,K$8,$G72=$G$9,K$9,$G72=$G$10,K$10,$G72=$G$11,K$11,$G72=$G$12,K$12,$G72=$G$13,K$13,$G72=$G$15,K$15,$G72=$G$16,K$16,$G72=$G$17,K$17,$G72=$G$18,K$18,$G72=$G$19,K$19,$G72=$G$20,K$20,$G72=$G$21,K$21,$G72=$G$22,K$22,$G72=$G$25,K$25,$G72=$G$26,K$26,$G72=$G$27,K$27,$G72=$G$29,K$29,$G72=$G$31,K$31,$G72=$G$32,K$32,$G72=$G$248,K$248,$G72=$G$250,K$250)</f>
        <v>BG sentinel + BG lure7</v>
      </c>
      <c r="L72" s="48" t="str" cm="1">
        <f t="array" ref="L72">_xlfn.IFS($G72=$G$5,L$5,$G72=$G$6,L$6,$G72=$G$7,L$7,$G72=$G$8,L$8,$G72=$G$9,L$9,$G72=$G$10,L$10,$G72=$G$11,L$11,$G72=$G$12,L$12,$G72=$G$13,L$13,$G72=$G$15,L$15,$G72=$G$16,L$16,$G72=$G$17,L$17,$G72=$G$18,L$18,$G72=$G$19,L$19,$G72=$G$20,L$20,$G72=$G$21,L$21,$G72=$G$22,L$22,$G72=$G$25,L$25,$G72=$G$26,L$26,$G72=$G$27,L$27,$G72=$G$29,L$29,$G72=$G$31,L$31,$G72=$G$32,L$32,$G72=$G$248,L$248,$G72=$G$250,L$250)</f>
        <v>Urban habitat</v>
      </c>
      <c r="M72" s="48"/>
      <c r="N72" s="45"/>
      <c r="O72" s="45" t="str">
        <f t="shared" si="0"/>
        <v>A_SP_BCN_2_210527</v>
      </c>
      <c r="P72" s="49">
        <v>44343</v>
      </c>
      <c r="Q72" s="50"/>
      <c r="R72" s="71"/>
      <c r="S72" s="52">
        <v>44349</v>
      </c>
      <c r="T72" s="53"/>
      <c r="U72" s="51"/>
      <c r="V72" s="54" t="s">
        <v>66</v>
      </c>
      <c r="W72" s="55"/>
      <c r="X72" s="45">
        <f t="shared" si="5"/>
        <v>6</v>
      </c>
      <c r="Y72" s="55"/>
      <c r="Z72" s="45" t="s">
        <v>70</v>
      </c>
      <c r="AA72" s="45">
        <f t="shared" ref="AA72:AA115" si="6">SUM(AC72:AD72)</f>
        <v>1</v>
      </c>
      <c r="AB72" t="str">
        <f t="shared" ref="AB72:AB135" si="7">IF(AA72=0,"",IF(AA72="","",IF(AA72&gt;0,"Adult")))</f>
        <v>Adult</v>
      </c>
      <c r="AC72" s="45">
        <v>0</v>
      </c>
      <c r="AD72" s="45">
        <v>1</v>
      </c>
      <c r="AE72" s="45" t="str">
        <f t="shared" ref="AE72:AE135" si="8">IF(AA72=0,"",IF(AA72="","",IF(AA72&gt;0,"Morphological")))</f>
        <v>Morphological</v>
      </c>
      <c r="AF72" s="56">
        <v>4</v>
      </c>
      <c r="AG72" s="57"/>
    </row>
    <row r="73" spans="1:33" ht="18" customHeight="1" x14ac:dyDescent="0.25">
      <c r="A73" s="45">
        <v>69</v>
      </c>
      <c r="B73" s="45" t="s">
        <v>60</v>
      </c>
      <c r="C73" s="45" t="s">
        <v>61</v>
      </c>
      <c r="D73" s="45" t="s">
        <v>62</v>
      </c>
      <c r="E73" s="45" t="s">
        <v>62</v>
      </c>
      <c r="F73" s="46" cm="1">
        <f t="array" ref="F73">_xlfn.IFS($G73=$G$5,F$5,$G73=$G$6,F$6,$G73=$G$7,F$7,$G73=$G$8,F$8,$G73=$G$9,F$9,$G73=$G$10,F$10,$G73=$G$11,F$11,$G73=$G$12,F$12,$G73=$G$13,F$13,$G73=$G$15,F$15,$G73=$G$16,F$16,$G73=$G$17,F$17,$G73=$G$18,F$18,$G73=$G$19,F$19,$G73=$G$20,F$20,$G73=$G$21,F$21,$G73=$G$22,F$22,$G73=$G$25,F$25,$G73=$G$26,F$26,$G73=$G$27,F$27,$G73=$G$29,F$29,$G73=$G$31,F$31,$G73=$G$32,F$32,$G73=$G$248,F$248,$G73=$G$250,F$250)</f>
        <v>8016</v>
      </c>
      <c r="G73" t="s">
        <v>68</v>
      </c>
      <c r="H73" s="67" cm="1">
        <f t="array" ref="H73">_xlfn.IFS($G73=$G$5,H$5,$G73=$G$6,H$6,$G73=$G$7,H$7,$G73=$G$8,H$8,$G73=$G$9,H$9,$G73=$G$10,H$10,$G73=$G$11,H$11,$G73=$G$12,H$12,$G73=$G$13,H$13,$G73=$G$15,H$15,$G73=$G$16,H$16,$G73=$G$17,H$17,$G73=$G$18,H$18,$G73=$G$19,H$19,$G73=$G$20,H$20,$G73=$G$21,H$21,$G73=$G$22,H$22,$G73=$G$25,H$25,$G73=$G$26,H$26,$G73=$G$27,H$27,$G73=$G$29,H$29,$G73=$G$31,H$31,$G73=$G$32,H$32,$G73=$G$248,H$248,$G73=$G$250,H$250)</f>
        <v>41.437435000000001</v>
      </c>
      <c r="I73" s="67" cm="1">
        <f t="array" ref="I73">_xlfn.IFS($G73=$G$5,I$5,$G73=$G$6,I$6,$G73=$G$7,I$7,$G73=$G$8,I$8,$G73=$G$9,I$9,$G73=$G$10,I$10,$G73=$G$11,I$11,$G73=$G$12,I$12,$G73=$G$13,I$13,$G73=$G$15,I$15,$G73=$G$16,I$16,$G73=$G$17,I$17,$G73=$G$18,I$18,$G73=$G$19,I$19,$G73=$G$20,I$20,$G73=$G$21,I$21,$G73=$G$22,I$22,$G73=$G$25,I$25,$G73=$G$26,I$26,$G73=$G$27,I$27,$G73=$G$29,I$29,$G73=$G$31,I$31,$G73=$G$32,I$32,$G73=$G$248,I$248,$G73=$G$250,I$250)</f>
        <v>2.1812779999999998</v>
      </c>
      <c r="J73" s="48" cm="1">
        <f t="array" ref="J73">_xlfn.IFS($G73=$G$5,J$5,$G73=$G$6,J$6,$G73=$G$7,J$7,$G73=$G$8,J$8,$G73=$G$9,J$9,$G73=$G$10,J$10,$G73=$G$11,J$11,$G73=$G$12,J$12,$G73=$G$13,J$13,$G73=$G$15,J$15,$G73=$G$16,J$16,$G73=$G$17,J$17,$G73=$G$18,J$18,$G73=$G$19,J$19,$G73=$G$20,J$20,$G73=$G$21,J$21,$G73=$G$22,J$22,$G73=$G$25,J$25,$G73=$G$26,J$26,$G73=$G$27,J$27,$G73=$G$29,J$29,$G73=$G$31,J$31,$G73=$G$32,J$32,$G73=$G$248,J$248,$G73=$G$250,J$250)</f>
        <v>47</v>
      </c>
      <c r="K73" s="48" t="str" cm="1">
        <f t="array" ref="K73">_xlfn.IFS($G73=$G$5,K$5,$G73=$G$6,K$6,$G73=$G$7,K$7,$G73=$G$8,K$8,$G73=$G$9,K$9,$G73=$G$10,K$10,$G73=$G$11,K$11,$G73=$G$12,K$12,$G73=$G$13,K$13,$G73=$G$15,K$15,$G73=$G$16,K$16,$G73=$G$17,K$17,$G73=$G$18,K$18,$G73=$G$19,K$19,$G73=$G$20,K$20,$G73=$G$21,K$21,$G73=$G$22,K$22,$G73=$G$25,K$25,$G73=$G$26,K$26,$G73=$G$27,K$27,$G73=$G$29,K$29,$G73=$G$31,K$31,$G73=$G$32,K$32,$G73=$G$248,K$248,$G73=$G$250,K$250)</f>
        <v>BG sentinel + BG lure7</v>
      </c>
      <c r="L73" s="48" t="str" cm="1">
        <f t="array" ref="L73">_xlfn.IFS($G73=$G$5,L$5,$G73=$G$6,L$6,$G73=$G$7,L$7,$G73=$G$8,L$8,$G73=$G$9,L$9,$G73=$G$10,L$10,$G73=$G$11,L$11,$G73=$G$12,L$12,$G73=$G$13,L$13,$G73=$G$15,L$15,$G73=$G$16,L$16,$G73=$G$17,L$17,$G73=$G$18,L$18,$G73=$G$19,L$19,$G73=$G$20,L$20,$G73=$G$21,L$21,$G73=$G$22,L$22,$G73=$G$25,L$25,$G73=$G$26,L$26,$G73=$G$27,L$27,$G73=$G$29,L$29,$G73=$G$31,L$31,$G73=$G$32,L$32,$G73=$G$248,L$248,$G73=$G$250,L$250)</f>
        <v>Urban habitat</v>
      </c>
      <c r="M73" s="48"/>
      <c r="N73" s="45"/>
      <c r="O73" s="45" t="str">
        <f t="shared" si="0"/>
        <v>A_SP_BCN_3_210527</v>
      </c>
      <c r="P73" s="49">
        <v>44343</v>
      </c>
      <c r="Q73" s="50"/>
      <c r="R73" s="51"/>
      <c r="S73" s="52">
        <v>44349</v>
      </c>
      <c r="T73" s="53"/>
      <c r="U73" s="51"/>
      <c r="V73" s="54" t="s">
        <v>66</v>
      </c>
      <c r="W73" s="55"/>
      <c r="X73" s="45">
        <f t="shared" si="5"/>
        <v>6</v>
      </c>
      <c r="Y73" s="55"/>
      <c r="Z73" s="45" t="s">
        <v>70</v>
      </c>
      <c r="AA73" s="45">
        <f t="shared" si="6"/>
        <v>1</v>
      </c>
      <c r="AB73" t="str">
        <f t="shared" si="7"/>
        <v>Adult</v>
      </c>
      <c r="AC73" s="45">
        <v>0</v>
      </c>
      <c r="AD73" s="45">
        <v>1</v>
      </c>
      <c r="AE73" s="45" t="str">
        <f t="shared" si="8"/>
        <v>Morphological</v>
      </c>
      <c r="AF73" s="56">
        <v>4</v>
      </c>
      <c r="AG73" s="57"/>
    </row>
    <row r="74" spans="1:33" ht="18" customHeight="1" x14ac:dyDescent="0.25">
      <c r="A74" s="45">
        <v>70</v>
      </c>
      <c r="B74" s="45" t="s">
        <v>60</v>
      </c>
      <c r="C74" s="45" t="s">
        <v>61</v>
      </c>
      <c r="D74" s="45" t="s">
        <v>62</v>
      </c>
      <c r="E74" s="45" t="s">
        <v>62</v>
      </c>
      <c r="F74" s="46" cm="1">
        <f t="array" ref="F74">_xlfn.IFS($G74=$G$5,F$5,$G74=$G$6,F$6,$G74=$G$7,F$7,$G74=$G$8,F$8,$G74=$G$9,F$9,$G74=$G$10,F$10,$G74=$G$11,F$11,$G74=$G$12,F$12,$G74=$G$13,F$13,$G74=$G$15,F$15,$G74=$G$16,F$16,$G74=$G$17,F$17,$G74=$G$18,F$18,$G74=$G$19,F$19,$G74=$G$20,F$20,$G74=$G$21,F$21,$G74=$G$22,F$22,$G74=$G$25,F$25,$G74=$G$26,F$26,$G74=$G$27,F$27,$G74=$G$29,F$29,$G74=$G$31,F$31,$G74=$G$32,F$32,$G74=$G$248,F$248,$G74=$G$250,F$250)</f>
        <v>8016</v>
      </c>
      <c r="G74" t="s">
        <v>68</v>
      </c>
      <c r="H74" s="67" cm="1">
        <f t="array" ref="H74">_xlfn.IFS($G74=$G$5,H$5,$G74=$G$6,H$6,$G74=$G$7,H$7,$G74=$G$8,H$8,$G74=$G$9,H$9,$G74=$G$10,H$10,$G74=$G$11,H$11,$G74=$G$12,H$12,$G74=$G$13,H$13,$G74=$G$15,H$15,$G74=$G$16,H$16,$G74=$G$17,H$17,$G74=$G$18,H$18,$G74=$G$19,H$19,$G74=$G$20,H$20,$G74=$G$21,H$21,$G74=$G$22,H$22,$G74=$G$25,H$25,$G74=$G$26,H$26,$G74=$G$27,H$27,$G74=$G$29,H$29,$G74=$G$31,H$31,$G74=$G$32,H$32,$G74=$G$248,H$248,$G74=$G$250,H$250)</f>
        <v>41.437435000000001</v>
      </c>
      <c r="I74" s="67" cm="1">
        <f t="array" ref="I74">_xlfn.IFS($G74=$G$5,I$5,$G74=$G$6,I$6,$G74=$G$7,I$7,$G74=$G$8,I$8,$G74=$G$9,I$9,$G74=$G$10,I$10,$G74=$G$11,I$11,$G74=$G$12,I$12,$G74=$G$13,I$13,$G74=$G$15,I$15,$G74=$G$16,I$16,$G74=$G$17,I$17,$G74=$G$18,I$18,$G74=$G$19,I$19,$G74=$G$20,I$20,$G74=$G$21,I$21,$G74=$G$22,I$22,$G74=$G$25,I$25,$G74=$G$26,I$26,$G74=$G$27,I$27,$G74=$G$29,I$29,$G74=$G$31,I$31,$G74=$G$32,I$32,$G74=$G$248,I$248,$G74=$G$250,I$250)</f>
        <v>2.1812779999999998</v>
      </c>
      <c r="J74" s="48" cm="1">
        <f t="array" ref="J74">_xlfn.IFS($G74=$G$5,J$5,$G74=$G$6,J$6,$G74=$G$7,J$7,$G74=$G$8,J$8,$G74=$G$9,J$9,$G74=$G$10,J$10,$G74=$G$11,J$11,$G74=$G$12,J$12,$G74=$G$13,J$13,$G74=$G$15,J$15,$G74=$G$16,J$16,$G74=$G$17,J$17,$G74=$G$18,J$18,$G74=$G$19,J$19,$G74=$G$20,J$20,$G74=$G$21,J$21,$G74=$G$22,J$22,$G74=$G$25,J$25,$G74=$G$26,J$26,$G74=$G$27,J$27,$G74=$G$29,J$29,$G74=$G$31,J$31,$G74=$G$32,J$32,$G74=$G$248,J$248,$G74=$G$250,J$250)</f>
        <v>47</v>
      </c>
      <c r="K74" s="48" t="str" cm="1">
        <f t="array" ref="K74">_xlfn.IFS($G74=$G$5,K$5,$G74=$G$6,K$6,$G74=$G$7,K$7,$G74=$G$8,K$8,$G74=$G$9,K$9,$G74=$G$10,K$10,$G74=$G$11,K$11,$G74=$G$12,K$12,$G74=$G$13,K$13,$G74=$G$15,K$15,$G74=$G$16,K$16,$G74=$G$17,K$17,$G74=$G$18,K$18,$G74=$G$19,K$19,$G74=$G$20,K$20,$G74=$G$21,K$21,$G74=$G$22,K$22,$G74=$G$25,K$25,$G74=$G$26,K$26,$G74=$G$27,K$27,$G74=$G$29,K$29,$G74=$G$31,K$31,$G74=$G$32,K$32,$G74=$G$248,K$248,$G74=$G$250,K$250)</f>
        <v>BG sentinel + BG lure7</v>
      </c>
      <c r="L74" s="48" t="str" cm="1">
        <f t="array" ref="L74">_xlfn.IFS($G74=$G$5,L$5,$G74=$G$6,L$6,$G74=$G$7,L$7,$G74=$G$8,L$8,$G74=$G$9,L$9,$G74=$G$10,L$10,$G74=$G$11,L$11,$G74=$G$12,L$12,$G74=$G$13,L$13,$G74=$G$15,L$15,$G74=$G$16,L$16,$G74=$G$17,L$17,$G74=$G$18,L$18,$G74=$G$19,L$19,$G74=$G$20,L$20,$G74=$G$21,L$21,$G74=$G$22,L$22,$G74=$G$25,L$25,$G74=$G$26,L$26,$G74=$G$27,L$27,$G74=$G$29,L$29,$G74=$G$31,L$31,$G74=$G$32,L$32,$G74=$G$248,L$248,$G74=$G$250,L$250)</f>
        <v>Urban habitat</v>
      </c>
      <c r="M74" s="48"/>
      <c r="O74" s="45" t="str">
        <f t="shared" si="0"/>
        <v>A_SP_BCN_3_210527</v>
      </c>
      <c r="P74" s="49">
        <v>44343</v>
      </c>
      <c r="Q74" s="50"/>
      <c r="R74" s="51"/>
      <c r="S74" s="52">
        <v>44349</v>
      </c>
      <c r="U74" s="72"/>
      <c r="V74" s="54" t="s">
        <v>66</v>
      </c>
      <c r="X74" s="45">
        <f t="shared" si="5"/>
        <v>6</v>
      </c>
      <c r="Z74" s="45" t="s">
        <v>80</v>
      </c>
      <c r="AA74" s="45">
        <f t="shared" si="6"/>
        <v>1</v>
      </c>
      <c r="AB74" t="str">
        <f t="shared" si="7"/>
        <v>Adult</v>
      </c>
      <c r="AC74" s="45">
        <v>0</v>
      </c>
      <c r="AD74" s="45">
        <v>1</v>
      </c>
      <c r="AE74" s="45" t="str">
        <f t="shared" si="8"/>
        <v>Morphological</v>
      </c>
      <c r="AF74" s="56">
        <v>4</v>
      </c>
    </row>
    <row r="75" spans="1:33" ht="18" customHeight="1" x14ac:dyDescent="0.25">
      <c r="A75" s="45">
        <v>71</v>
      </c>
      <c r="B75" s="45" t="s">
        <v>60</v>
      </c>
      <c r="C75" s="45" t="s">
        <v>61</v>
      </c>
      <c r="D75" s="45" t="s">
        <v>62</v>
      </c>
      <c r="E75" s="45" t="s">
        <v>62</v>
      </c>
      <c r="F75" s="46" cm="1">
        <f t="array" ref="F75">_xlfn.IFS($G75=$G$5,F$5,$G75=$G$6,F$6,$G75=$G$7,F$7,$G75=$G$8,F$8,$G75=$G$9,F$9,$G75=$G$10,F$10,$G75=$G$11,F$11,$G75=$G$12,F$12,$G75=$G$13,F$13,$G75=$G$15,F$15,$G75=$G$16,F$16,$G75=$G$17,F$17,$G75=$G$18,F$18,$G75=$G$19,F$19,$G75=$G$20,F$20,$G75=$G$21,F$21,$G75=$G$22,F$22,$G75=$G$25,F$25,$G75=$G$26,F$26,$G75=$G$27,F$27,$G75=$G$29,F$29,$G75=$G$31,F$31,$G75=$G$32,F$32,$G75=$G$248,F$248,$G75=$G$250,F$250)</f>
        <v>8018</v>
      </c>
      <c r="G75" t="s">
        <v>71</v>
      </c>
      <c r="H75" s="67" cm="1">
        <f t="array" ref="H75">_xlfn.IFS($G75=$G$5,H$5,$G75=$G$6,H$6,$G75=$G$7,H$7,$G75=$G$8,H$8,$G75=$G$9,H$9,$G75=$G$10,H$10,$G75=$G$11,H$11,$G75=$G$12,H$12,$G75=$G$13,H$13,$G75=$G$15,H$15,$G75=$G$16,H$16,$G75=$G$17,H$17,$G75=$G$18,H$18,$G75=$G$19,H$19,$G75=$G$20,H$20,$G75=$G$21,H$21,$G75=$G$22,H$22,$G75=$G$25,H$25,$G75=$G$26,H$26,$G75=$G$27,H$27,$G75=$G$29,H$29,$G75=$G$31,H$31,$G75=$G$32,H$32,$G75=$G$248,H$248,$G75=$G$250,H$250)</f>
        <v>41.410684000000003</v>
      </c>
      <c r="I75" s="67" cm="1">
        <f t="array" ref="I75">_xlfn.IFS($G75=$G$5,I$5,$G75=$G$6,I$6,$G75=$G$7,I$7,$G75=$G$8,I$8,$G75=$G$9,I$9,$G75=$G$10,I$10,$G75=$G$11,I$11,$G75=$G$12,I$12,$G75=$G$13,I$13,$G75=$G$15,I$15,$G75=$G$16,I$16,$G75=$G$17,I$17,$G75=$G$18,I$18,$G75=$G$19,I$19,$G75=$G$20,I$20,$G75=$G$21,I$21,$G75=$G$22,I$22,$G75=$G$25,I$25,$G75=$G$26,I$26,$G75=$G$27,I$27,$G75=$G$29,I$29,$G75=$G$31,I$31,$G75=$G$32,I$32,$G75=$G$248,I$248,$G75=$G$250,I$250)</f>
        <v>2.2208019999999999</v>
      </c>
      <c r="J75" s="48" cm="1">
        <f t="array" ref="J75">_xlfn.IFS($G75=$G$5,J$5,$G75=$G$6,J$6,$G75=$G$7,J$7,$G75=$G$8,J$8,$G75=$G$9,J$9,$G75=$G$10,J$10,$G75=$G$11,J$11,$G75=$G$12,J$12,$G75=$G$13,J$13,$G75=$G$15,J$15,$G75=$G$16,J$16,$G75=$G$17,J$17,$G75=$G$18,J$18,$G75=$G$19,J$19,$G75=$G$20,J$20,$G75=$G$21,J$21,$G75=$G$22,J$22,$G75=$G$25,J$25,$G75=$G$26,J$26,$G75=$G$27,J$27,$G75=$G$29,J$29,$G75=$G$31,J$31,$G75=$G$32,J$32,$G75=$G$248,J$248,$G75=$G$250,J$250)</f>
        <v>4</v>
      </c>
      <c r="K75" s="48" t="str" cm="1">
        <f t="array" ref="K75">_xlfn.IFS($G75=$G$5,K$5,$G75=$G$6,K$6,$G75=$G$7,K$7,$G75=$G$8,K$8,$G75=$G$9,K$9,$G75=$G$10,K$10,$G75=$G$11,K$11,$G75=$G$12,K$12,$G75=$G$13,K$13,$G75=$G$15,K$15,$G75=$G$16,K$16,$G75=$G$17,K$17,$G75=$G$18,K$18,$G75=$G$19,K$19,$G75=$G$20,K$20,$G75=$G$21,K$21,$G75=$G$22,K$22,$G75=$G$25,K$25,$G75=$G$26,K$26,$G75=$G$27,K$27,$G75=$G$29,K$29,$G75=$G$31,K$31,$G75=$G$32,K$32,$G75=$G$248,K$248,$G75=$G$250,K$250)</f>
        <v>BG sentinel + BG lure7</v>
      </c>
      <c r="L75" s="48" t="str" cm="1">
        <f t="array" ref="L75">_xlfn.IFS($G75=$G$5,L$5,$G75=$G$6,L$6,$G75=$G$7,L$7,$G75=$G$8,L$8,$G75=$G$9,L$9,$G75=$G$10,L$10,$G75=$G$11,L$11,$G75=$G$12,L$12,$G75=$G$13,L$13,$G75=$G$15,L$15,$G75=$G$16,L$16,$G75=$G$17,L$17,$G75=$G$18,L$18,$G75=$G$19,L$19,$G75=$G$20,L$20,$G75=$G$21,L$21,$G75=$G$22,L$22,$G75=$G$25,L$25,$G75=$G$26,L$26,$G75=$G$27,L$27,$G75=$G$29,L$29,$G75=$G$31,L$31,$G75=$G$32,L$32,$G75=$G$248,L$248,$G75=$G$250,L$250)</f>
        <v>Urban habitat</v>
      </c>
      <c r="M75" s="48"/>
      <c r="O75" s="45" t="str">
        <f t="shared" si="0"/>
        <v>A_SP_BCN_4_210528</v>
      </c>
      <c r="P75" s="64">
        <v>44344</v>
      </c>
      <c r="R75" s="72"/>
      <c r="S75" s="64">
        <v>44350</v>
      </c>
      <c r="U75" s="72"/>
      <c r="V75" s="54" t="s">
        <v>66</v>
      </c>
      <c r="X75" s="45">
        <f t="shared" si="5"/>
        <v>6</v>
      </c>
      <c r="Z75" s="45" t="s">
        <v>69</v>
      </c>
      <c r="AA75" s="45">
        <f t="shared" si="6"/>
        <v>1</v>
      </c>
      <c r="AB75" t="str">
        <f t="shared" si="7"/>
        <v>Adult</v>
      </c>
      <c r="AC75" s="45">
        <v>1</v>
      </c>
      <c r="AD75" s="45">
        <v>0</v>
      </c>
      <c r="AE75" s="45" t="str">
        <f t="shared" si="8"/>
        <v>Morphological</v>
      </c>
      <c r="AF75" s="56">
        <v>4</v>
      </c>
    </row>
    <row r="76" spans="1:33" ht="18" customHeight="1" x14ac:dyDescent="0.25">
      <c r="A76" s="45">
        <v>72</v>
      </c>
      <c r="B76" s="45" t="s">
        <v>60</v>
      </c>
      <c r="C76" s="45" t="s">
        <v>61</v>
      </c>
      <c r="D76" s="45" t="s">
        <v>62</v>
      </c>
      <c r="E76" s="45" t="s">
        <v>62</v>
      </c>
      <c r="F76" s="46" cm="1">
        <f t="array" ref="F76">_xlfn.IFS($G76=$G$5,F$5,$G76=$G$6,F$6,$G76=$G$7,F$7,$G76=$G$8,F$8,$G76=$G$9,F$9,$G76=$G$10,F$10,$G76=$G$11,F$11,$G76=$G$12,F$12,$G76=$G$13,F$13,$G76=$G$15,F$15,$G76=$G$16,F$16,$G76=$G$17,F$17,$G76=$G$18,F$18,$G76=$G$19,F$19,$G76=$G$20,F$20,$G76=$G$21,F$21,$G76=$G$22,F$22,$G76=$G$25,F$25,$G76=$G$26,F$26,$G76=$G$27,F$27,$G76=$G$29,F$29,$G76=$G$31,F$31,$G76=$G$32,F$32,$G76=$G$248,F$248,$G76=$G$250,F$250)</f>
        <v>8018</v>
      </c>
      <c r="G76" t="s">
        <v>71</v>
      </c>
      <c r="H76" s="67" cm="1">
        <f t="array" ref="H76">_xlfn.IFS($G76=$G$5,H$5,$G76=$G$6,H$6,$G76=$G$7,H$7,$G76=$G$8,H$8,$G76=$G$9,H$9,$G76=$G$10,H$10,$G76=$G$11,H$11,$G76=$G$12,H$12,$G76=$G$13,H$13,$G76=$G$15,H$15,$G76=$G$16,H$16,$G76=$G$17,H$17,$G76=$G$18,H$18,$G76=$G$19,H$19,$G76=$G$20,H$20,$G76=$G$21,H$21,$G76=$G$22,H$22,$G76=$G$25,H$25,$G76=$G$26,H$26,$G76=$G$27,H$27,$G76=$G$29,H$29,$G76=$G$31,H$31,$G76=$G$32,H$32,$G76=$G$248,H$248,$G76=$G$250,H$250)</f>
        <v>41.410684000000003</v>
      </c>
      <c r="I76" s="67" cm="1">
        <f t="array" ref="I76">_xlfn.IFS($G76=$G$5,I$5,$G76=$G$6,I$6,$G76=$G$7,I$7,$G76=$G$8,I$8,$G76=$G$9,I$9,$G76=$G$10,I$10,$G76=$G$11,I$11,$G76=$G$12,I$12,$G76=$G$13,I$13,$G76=$G$15,I$15,$G76=$G$16,I$16,$G76=$G$17,I$17,$G76=$G$18,I$18,$G76=$G$19,I$19,$G76=$G$20,I$20,$G76=$G$21,I$21,$G76=$G$22,I$22,$G76=$G$25,I$25,$G76=$G$26,I$26,$G76=$G$27,I$27,$G76=$G$29,I$29,$G76=$G$31,I$31,$G76=$G$32,I$32,$G76=$G$248,I$248,$G76=$G$250,I$250)</f>
        <v>2.2208019999999999</v>
      </c>
      <c r="J76" s="48" cm="1">
        <f t="array" ref="J76">_xlfn.IFS($G76=$G$5,J$5,$G76=$G$6,J$6,$G76=$G$7,J$7,$G76=$G$8,J$8,$G76=$G$9,J$9,$G76=$G$10,J$10,$G76=$G$11,J$11,$G76=$G$12,J$12,$G76=$G$13,J$13,$G76=$G$15,J$15,$G76=$G$16,J$16,$G76=$G$17,J$17,$G76=$G$18,J$18,$G76=$G$19,J$19,$G76=$G$20,J$20,$G76=$G$21,J$21,$G76=$G$22,J$22,$G76=$G$25,J$25,$G76=$G$26,J$26,$G76=$G$27,J$27,$G76=$G$29,J$29,$G76=$G$31,J$31,$G76=$G$32,J$32,$G76=$G$248,J$248,$G76=$G$250,J$250)</f>
        <v>4</v>
      </c>
      <c r="K76" s="48" t="str" cm="1">
        <f t="array" ref="K76">_xlfn.IFS($G76=$G$5,K$5,$G76=$G$6,K$6,$G76=$G$7,K$7,$G76=$G$8,K$8,$G76=$G$9,K$9,$G76=$G$10,K$10,$G76=$G$11,K$11,$G76=$G$12,K$12,$G76=$G$13,K$13,$G76=$G$15,K$15,$G76=$G$16,K$16,$G76=$G$17,K$17,$G76=$G$18,K$18,$G76=$G$19,K$19,$G76=$G$20,K$20,$G76=$G$21,K$21,$G76=$G$22,K$22,$G76=$G$25,K$25,$G76=$G$26,K$26,$G76=$G$27,K$27,$G76=$G$29,K$29,$G76=$G$31,K$31,$G76=$G$32,K$32,$G76=$G$248,K$248,$G76=$G$250,K$250)</f>
        <v>BG sentinel + BG lure7</v>
      </c>
      <c r="L76" s="48" t="str" cm="1">
        <f t="array" ref="L76">_xlfn.IFS($G76=$G$5,L$5,$G76=$G$6,L$6,$G76=$G$7,L$7,$G76=$G$8,L$8,$G76=$G$9,L$9,$G76=$G$10,L$10,$G76=$G$11,L$11,$G76=$G$12,L$12,$G76=$G$13,L$13,$G76=$G$15,L$15,$G76=$G$16,L$16,$G76=$G$17,L$17,$G76=$G$18,L$18,$G76=$G$19,L$19,$G76=$G$20,L$20,$G76=$G$21,L$21,$G76=$G$22,L$22,$G76=$G$25,L$25,$G76=$G$26,L$26,$G76=$G$27,L$27,$G76=$G$29,L$29,$G76=$G$31,L$31,$G76=$G$32,L$32,$G76=$G$248,L$248,$G76=$G$250,L$250)</f>
        <v>Urban habitat</v>
      </c>
      <c r="M76" s="48"/>
      <c r="O76" s="45" t="str">
        <f t="shared" si="0"/>
        <v>A_SP_BCN_4_210528</v>
      </c>
      <c r="P76" s="64">
        <v>44344</v>
      </c>
      <c r="R76" s="72"/>
      <c r="S76" s="64">
        <v>44350</v>
      </c>
      <c r="U76" s="72"/>
      <c r="V76" s="54" t="s">
        <v>66</v>
      </c>
      <c r="X76" s="45">
        <f t="shared" si="5"/>
        <v>6</v>
      </c>
      <c r="Z76" s="45" t="s">
        <v>70</v>
      </c>
      <c r="AA76" s="45">
        <f t="shared" si="6"/>
        <v>6</v>
      </c>
      <c r="AB76" t="str">
        <f t="shared" si="7"/>
        <v>Adult</v>
      </c>
      <c r="AC76" s="45">
        <v>2</v>
      </c>
      <c r="AD76" s="45">
        <v>4</v>
      </c>
      <c r="AE76" s="45" t="str">
        <f t="shared" si="8"/>
        <v>Morphological</v>
      </c>
      <c r="AF76" s="56">
        <v>4</v>
      </c>
    </row>
    <row r="77" spans="1:33" ht="18" customHeight="1" x14ac:dyDescent="0.25">
      <c r="A77" s="45">
        <v>73</v>
      </c>
      <c r="B77" s="45" t="s">
        <v>60</v>
      </c>
      <c r="C77" s="45" t="s">
        <v>61</v>
      </c>
      <c r="D77" s="45" t="s">
        <v>62</v>
      </c>
      <c r="E77" s="45" t="s">
        <v>62</v>
      </c>
      <c r="F77" s="46" cm="1">
        <f t="array" ref="F77">_xlfn.IFS($G77=$G$5,F$5,$G77=$G$6,F$6,$G77=$G$7,F$7,$G77=$G$8,F$8,$G77=$G$9,F$9,$G77=$G$10,F$10,$G77=$G$11,F$11,$G77=$G$12,F$12,$G77=$G$13,F$13,$G77=$G$15,F$15,$G77=$G$16,F$16,$G77=$G$17,F$17,$G77=$G$18,F$18,$G77=$G$19,F$19,$G77=$G$20,F$20,$G77=$G$21,F$21,$G77=$G$22,F$22,$G77=$G$25,F$25,$G77=$G$26,F$26,$G77=$G$27,F$27,$G77=$G$29,F$29,$G77=$G$31,F$31,$G77=$G$32,F$32,$G77=$G$248,F$248,$G77=$G$250,F$250)</f>
        <v>8019</v>
      </c>
      <c r="G77" t="s">
        <v>72</v>
      </c>
      <c r="H77" s="67" cm="1">
        <f t="array" ref="H77">_xlfn.IFS($G77=$G$5,H$5,$G77=$G$6,H$6,$G77=$G$7,H$7,$G77=$G$8,H$8,$G77=$G$9,H$9,$G77=$G$10,H$10,$G77=$G$11,H$11,$G77=$G$12,H$12,$G77=$G$13,H$13,$G77=$G$15,H$15,$G77=$G$16,H$16,$G77=$G$17,H$17,$G77=$G$18,H$18,$G77=$G$19,H$19,$G77=$G$20,H$20,$G77=$G$21,H$21,$G77=$G$22,H$22,$G77=$G$25,H$25,$G77=$G$26,H$26,$G77=$G$27,H$27,$G77=$G$29,H$29,$G77=$G$31,H$31,$G77=$G$32,H$32,$G77=$G$248,H$248,$G77=$G$250,H$250)</f>
        <v>41.382339999999999</v>
      </c>
      <c r="I77" s="67" cm="1">
        <f t="array" ref="I77">_xlfn.IFS($G77=$G$5,I$5,$G77=$G$6,I$6,$G77=$G$7,I$7,$G77=$G$8,I$8,$G77=$G$9,I$9,$G77=$G$10,I$10,$G77=$G$11,I$11,$G77=$G$12,I$12,$G77=$G$13,I$13,$G77=$G$15,I$15,$G77=$G$16,I$16,$G77=$G$17,I$17,$G77=$G$18,I$18,$G77=$G$19,I$19,$G77=$G$20,I$20,$G77=$G$21,I$21,$G77=$G$22,I$22,$G77=$G$25,I$25,$G77=$G$26,I$26,$G77=$G$27,I$27,$G77=$G$29,I$29,$G77=$G$31,I$31,$G77=$G$32,I$32,$G77=$G$248,I$248,$G77=$G$250,I$250)</f>
        <v>2.1714790000000002</v>
      </c>
      <c r="J77" s="48" cm="1">
        <f t="array" ref="J77">_xlfn.IFS($G77=$G$5,J$5,$G77=$G$6,J$6,$G77=$G$7,J$7,$G77=$G$8,J$8,$G77=$G$9,J$9,$G77=$G$10,J$10,$G77=$G$11,J$11,$G77=$G$12,J$12,$G77=$G$13,J$13,$G77=$G$15,J$15,$G77=$G$16,J$16,$G77=$G$17,J$17,$G77=$G$18,J$18,$G77=$G$19,J$19,$G77=$G$20,J$20,$G77=$G$21,J$21,$G77=$G$22,J$22,$G77=$G$25,J$25,$G77=$G$26,J$26,$G77=$G$27,J$27,$G77=$G$29,J$29,$G77=$G$31,J$31,$G77=$G$32,J$32,$G77=$G$248,J$248,$G77=$G$250,J$250)</f>
        <v>18</v>
      </c>
      <c r="K77" s="48" t="str" cm="1">
        <f t="array" ref="K77">_xlfn.IFS($G77=$G$5,K$5,$G77=$G$6,K$6,$G77=$G$7,K$7,$G77=$G$8,K$8,$G77=$G$9,K$9,$G77=$G$10,K$10,$G77=$G$11,K$11,$G77=$G$12,K$12,$G77=$G$13,K$13,$G77=$G$15,K$15,$G77=$G$16,K$16,$G77=$G$17,K$17,$G77=$G$18,K$18,$G77=$G$19,K$19,$G77=$G$20,K$20,$G77=$G$21,K$21,$G77=$G$22,K$22,$G77=$G$25,K$25,$G77=$G$26,K$26,$G77=$G$27,K$27,$G77=$G$29,K$29,$G77=$G$31,K$31,$G77=$G$32,K$32,$G77=$G$248,K$248,$G77=$G$250,K$250)</f>
        <v>BG sentinel + BG lure7</v>
      </c>
      <c r="L77" s="48" t="str" cm="1">
        <f t="array" ref="L77">_xlfn.IFS($G77=$G$5,L$5,$G77=$G$6,L$6,$G77=$G$7,L$7,$G77=$G$8,L$8,$G77=$G$9,L$9,$G77=$G$10,L$10,$G77=$G$11,L$11,$G77=$G$12,L$12,$G77=$G$13,L$13,$G77=$G$15,L$15,$G77=$G$16,L$16,$G77=$G$17,L$17,$G77=$G$18,L$18,$G77=$G$19,L$19,$G77=$G$20,L$20,$G77=$G$21,L$21,$G77=$G$22,L$22,$G77=$G$25,L$25,$G77=$G$26,L$26,$G77=$G$27,L$27,$G77=$G$29,L$29,$G77=$G$31,L$31,$G77=$G$32,L$32,$G77=$G$248,L$248,$G77=$G$250,L$250)</f>
        <v>Urban habitat</v>
      </c>
      <c r="M77" s="48"/>
      <c r="O77" s="45" t="str">
        <f t="shared" si="0"/>
        <v>A_SP_BCN_5_210528</v>
      </c>
      <c r="P77" s="64">
        <v>44344</v>
      </c>
      <c r="R77" s="72"/>
      <c r="S77" s="64">
        <v>44350</v>
      </c>
      <c r="U77" s="72"/>
      <c r="V77" s="54" t="s">
        <v>66</v>
      </c>
      <c r="X77" s="45">
        <f t="shared" si="5"/>
        <v>6</v>
      </c>
      <c r="Z77" s="45" t="s">
        <v>70</v>
      </c>
      <c r="AA77" s="45">
        <f t="shared" si="6"/>
        <v>3</v>
      </c>
      <c r="AB77" t="str">
        <f t="shared" si="7"/>
        <v>Adult</v>
      </c>
      <c r="AC77" s="45">
        <v>2</v>
      </c>
      <c r="AD77" s="45">
        <v>1</v>
      </c>
      <c r="AE77" s="45" t="str">
        <f t="shared" si="8"/>
        <v>Morphological</v>
      </c>
      <c r="AF77" s="56">
        <v>4</v>
      </c>
    </row>
    <row r="78" spans="1:33" ht="18" customHeight="1" x14ac:dyDescent="0.25">
      <c r="A78" s="45">
        <v>74</v>
      </c>
      <c r="B78" s="45" t="s">
        <v>60</v>
      </c>
      <c r="C78" s="45" t="s">
        <v>61</v>
      </c>
      <c r="D78" s="45" t="s">
        <v>62</v>
      </c>
      <c r="E78" s="45" t="s">
        <v>62</v>
      </c>
      <c r="F78" s="46" cm="1">
        <f t="array" ref="F78">_xlfn.IFS($G78=$G$5,F$5,$G78=$G$6,F$6,$G78=$G$7,F$7,$G78=$G$8,F$8,$G78=$G$9,F$9,$G78=$G$10,F$10,$G78=$G$11,F$11,$G78=$G$12,F$12,$G78=$G$13,F$13,$G78=$G$15,F$15,$G78=$G$16,F$16,$G78=$G$17,F$17,$G78=$G$18,F$18,$G78=$G$19,F$19,$G78=$G$20,F$20,$G78=$G$21,F$21,$G78=$G$22,F$22,$G78=$G$25,F$25,$G78=$G$26,F$26,$G78=$G$27,F$27,$G78=$G$29,F$29,$G78=$G$31,F$31,$G78=$G$32,F$32,$G78=$G$248,F$248,$G78=$G$250,F$250)</f>
        <v>8002</v>
      </c>
      <c r="G78" t="s">
        <v>73</v>
      </c>
      <c r="H78" s="67" cm="1">
        <f t="array" ref="H78">_xlfn.IFS($G78=$G$5,H$5,$G78=$G$6,H$6,$G78=$G$7,H$7,$G78=$G$8,H$8,$G78=$G$9,H$9,$G78=$G$10,H$10,$G78=$G$11,H$11,$G78=$G$12,H$12,$G78=$G$13,H$13,$G78=$G$15,H$15,$G78=$G$16,H$16,$G78=$G$17,H$17,$G78=$G$18,H$18,$G78=$G$19,H$19,$G78=$G$20,H$20,$G78=$G$21,H$21,$G78=$G$22,H$22,$G78=$G$25,H$25,$G78=$G$26,H$26,$G78=$G$27,H$27,$G78=$G$29,H$29,$G78=$G$31,H$31,$G78=$G$32,H$32,$G78=$G$248,H$248,$G78=$G$250,H$250)</f>
        <v>41.371864000000002</v>
      </c>
      <c r="I78" s="67" cm="1">
        <f t="array" ref="I78">_xlfn.IFS($G78=$G$5,I$5,$G78=$G$6,I$6,$G78=$G$7,I$7,$G78=$G$8,I$8,$G78=$G$9,I$9,$G78=$G$10,I$10,$G78=$G$11,I$11,$G78=$G$12,I$12,$G78=$G$13,I$13,$G78=$G$15,I$15,$G78=$G$16,I$16,$G78=$G$17,I$17,$G78=$G$18,I$18,$G78=$G$19,I$19,$G78=$G$20,I$20,$G78=$G$21,I$21,$G78=$G$22,I$22,$G78=$G$25,I$25,$G78=$G$26,I$26,$G78=$G$27,I$27,$G78=$G$29,I$29,$G78=$G$31,I$31,$G78=$G$32,I$32,$G78=$G$248,I$248,$G78=$G$250,I$250)</f>
        <v>2.173899</v>
      </c>
      <c r="J78" s="48" cm="1">
        <f t="array" ref="J78">_xlfn.IFS($G78=$G$5,J$5,$G78=$G$6,J$6,$G78=$G$7,J$7,$G78=$G$8,J$8,$G78=$G$9,J$9,$G78=$G$10,J$10,$G78=$G$11,J$11,$G78=$G$12,J$12,$G78=$G$13,J$13,$G78=$G$15,J$15,$G78=$G$16,J$16,$G78=$G$17,J$17,$G78=$G$18,J$18,$G78=$G$19,J$19,$G78=$G$20,J$20,$G78=$G$21,J$21,$G78=$G$22,J$22,$G78=$G$25,J$25,$G78=$G$26,J$26,$G78=$G$27,J$27,$G78=$G$29,J$29,$G78=$G$31,J$31,$G78=$G$32,J$32,$G78=$G$248,J$248,$G78=$G$250,J$250)</f>
        <v>19</v>
      </c>
      <c r="K78" s="48" t="str" cm="1">
        <f t="array" ref="K78">_xlfn.IFS($G78=$G$5,K$5,$G78=$G$6,K$6,$G78=$G$7,K$7,$G78=$G$8,K$8,$G78=$G$9,K$9,$G78=$G$10,K$10,$G78=$G$11,K$11,$G78=$G$12,K$12,$G78=$G$13,K$13,$G78=$G$15,K$15,$G78=$G$16,K$16,$G78=$G$17,K$17,$G78=$G$18,K$18,$G78=$G$19,K$19,$G78=$G$20,K$20,$G78=$G$21,K$21,$G78=$G$22,K$22,$G78=$G$25,K$25,$G78=$G$26,K$26,$G78=$G$27,K$27,$G78=$G$29,K$29,$G78=$G$31,K$31,$G78=$G$32,K$32,$G78=$G$248,K$248,$G78=$G$250,K$250)</f>
        <v>BG sentinel + BG lure7</v>
      </c>
      <c r="L78" s="48" t="str" cm="1">
        <f t="array" ref="L78">_xlfn.IFS($G78=$G$5,L$5,$G78=$G$6,L$6,$G78=$G$7,L$7,$G78=$G$8,L$8,$G78=$G$9,L$9,$G78=$G$10,L$10,$G78=$G$11,L$11,$G78=$G$12,L$12,$G78=$G$13,L$13,$G78=$G$15,L$15,$G78=$G$16,L$16,$G78=$G$17,L$17,$G78=$G$18,L$18,$G78=$G$19,L$19,$G78=$G$20,L$20,$G78=$G$21,L$21,$G78=$G$22,L$22,$G78=$G$25,L$25,$G78=$G$26,L$26,$G78=$G$27,L$27,$G78=$G$29,L$29,$G78=$G$31,L$31,$G78=$G$32,L$32,$G78=$G$248,L$248,$G78=$G$250,L$250)</f>
        <v>Urban habitat</v>
      </c>
      <c r="M78" s="48"/>
      <c r="O78" s="45" t="str">
        <f t="shared" si="0"/>
        <v>A_SP_BCN_6_210528</v>
      </c>
      <c r="P78" s="64">
        <v>44344</v>
      </c>
      <c r="R78" s="72"/>
      <c r="S78" s="64">
        <v>44350</v>
      </c>
      <c r="U78" s="72"/>
      <c r="V78" s="54" t="s">
        <v>66</v>
      </c>
      <c r="W78" t="s">
        <v>100</v>
      </c>
      <c r="X78" s="45">
        <f t="shared" si="5"/>
        <v>6</v>
      </c>
      <c r="Z78" s="45" t="s">
        <v>69</v>
      </c>
      <c r="AA78" s="45">
        <f t="shared" si="6"/>
        <v>1</v>
      </c>
      <c r="AB78" t="str">
        <f t="shared" si="7"/>
        <v>Adult</v>
      </c>
      <c r="AC78" s="45">
        <v>1</v>
      </c>
      <c r="AD78" s="45">
        <v>0</v>
      </c>
      <c r="AE78" s="45" t="str">
        <f t="shared" si="8"/>
        <v>Morphological</v>
      </c>
      <c r="AF78" s="56">
        <v>4</v>
      </c>
    </row>
    <row r="79" spans="1:33" ht="18" customHeight="1" x14ac:dyDescent="0.25">
      <c r="A79" s="45">
        <v>75</v>
      </c>
      <c r="B79" s="45" t="s">
        <v>60</v>
      </c>
      <c r="C79" s="45" t="s">
        <v>61</v>
      </c>
      <c r="D79" s="45" t="s">
        <v>62</v>
      </c>
      <c r="E79" s="45" t="s">
        <v>62</v>
      </c>
      <c r="F79" s="46" cm="1">
        <f t="array" ref="F79">_xlfn.IFS($G79=$G$5,F$5,$G79=$G$6,F$6,$G79=$G$7,F$7,$G79=$G$8,F$8,$G79=$G$9,F$9,$G79=$G$10,F$10,$G79=$G$11,F$11,$G79=$G$12,F$12,$G79=$G$13,F$13,$G79=$G$15,F$15,$G79=$G$16,F$16,$G79=$G$17,F$17,$G79=$G$18,F$18,$G79=$G$19,F$19,$G79=$G$20,F$20,$G79=$G$21,F$21,$G79=$G$22,F$22,$G79=$G$25,F$25,$G79=$G$26,F$26,$G79=$G$27,F$27,$G79=$G$29,F$29,$G79=$G$31,F$31,$G79=$G$32,F$32,$G79=$G$248,F$248,$G79=$G$250,F$250)</f>
        <v>8002</v>
      </c>
      <c r="G79" t="s">
        <v>73</v>
      </c>
      <c r="H79" s="67" cm="1">
        <f t="array" ref="H79">_xlfn.IFS($G79=$G$5,H$5,$G79=$G$6,H$6,$G79=$G$7,H$7,$G79=$G$8,H$8,$G79=$G$9,H$9,$G79=$G$10,H$10,$G79=$G$11,H$11,$G79=$G$12,H$12,$G79=$G$13,H$13,$G79=$G$15,H$15,$G79=$G$16,H$16,$G79=$G$17,H$17,$G79=$G$18,H$18,$G79=$G$19,H$19,$G79=$G$20,H$20,$G79=$G$21,H$21,$G79=$G$22,H$22,$G79=$G$25,H$25,$G79=$G$26,H$26,$G79=$G$27,H$27,$G79=$G$29,H$29,$G79=$G$31,H$31,$G79=$G$32,H$32,$G79=$G$248,H$248,$G79=$G$250,H$250)</f>
        <v>41.371864000000002</v>
      </c>
      <c r="I79" s="67" cm="1">
        <f t="array" ref="I79">_xlfn.IFS($G79=$G$5,I$5,$G79=$G$6,I$6,$G79=$G$7,I$7,$G79=$G$8,I$8,$G79=$G$9,I$9,$G79=$G$10,I$10,$G79=$G$11,I$11,$G79=$G$12,I$12,$G79=$G$13,I$13,$G79=$G$15,I$15,$G79=$G$16,I$16,$G79=$G$17,I$17,$G79=$G$18,I$18,$G79=$G$19,I$19,$G79=$G$20,I$20,$G79=$G$21,I$21,$G79=$G$22,I$22,$G79=$G$25,I$25,$G79=$G$26,I$26,$G79=$G$27,I$27,$G79=$G$29,I$29,$G79=$G$31,I$31,$G79=$G$32,I$32,$G79=$G$248,I$248,$G79=$G$250,I$250)</f>
        <v>2.173899</v>
      </c>
      <c r="J79" s="48" cm="1">
        <f t="array" ref="J79">_xlfn.IFS($G79=$G$5,J$5,$G79=$G$6,J$6,$G79=$G$7,J$7,$G79=$G$8,J$8,$G79=$G$9,J$9,$G79=$G$10,J$10,$G79=$G$11,J$11,$G79=$G$12,J$12,$G79=$G$13,J$13,$G79=$G$15,J$15,$G79=$G$16,J$16,$G79=$G$17,J$17,$G79=$G$18,J$18,$G79=$G$19,J$19,$G79=$G$20,J$20,$G79=$G$21,J$21,$G79=$G$22,J$22,$G79=$G$25,J$25,$G79=$G$26,J$26,$G79=$G$27,J$27,$G79=$G$29,J$29,$G79=$G$31,J$31,$G79=$G$32,J$32,$G79=$G$248,J$248,$G79=$G$250,J$250)</f>
        <v>19</v>
      </c>
      <c r="K79" s="48" t="str" cm="1">
        <f t="array" ref="K79">_xlfn.IFS($G79=$G$5,K$5,$G79=$G$6,K$6,$G79=$G$7,K$7,$G79=$G$8,K$8,$G79=$G$9,K$9,$G79=$G$10,K$10,$G79=$G$11,K$11,$G79=$G$12,K$12,$G79=$G$13,K$13,$G79=$G$15,K$15,$G79=$G$16,K$16,$G79=$G$17,K$17,$G79=$G$18,K$18,$G79=$G$19,K$19,$G79=$G$20,K$20,$G79=$G$21,K$21,$G79=$G$22,K$22,$G79=$G$25,K$25,$G79=$G$26,K$26,$G79=$G$27,K$27,$G79=$G$29,K$29,$G79=$G$31,K$31,$G79=$G$32,K$32,$G79=$G$248,K$248,$G79=$G$250,K$250)</f>
        <v>BG sentinel + BG lure7</v>
      </c>
      <c r="L79" s="48" t="str" cm="1">
        <f t="array" ref="L79">_xlfn.IFS($G79=$G$5,L$5,$G79=$G$6,L$6,$G79=$G$7,L$7,$G79=$G$8,L$8,$G79=$G$9,L$9,$G79=$G$10,L$10,$G79=$G$11,L$11,$G79=$G$12,L$12,$G79=$G$13,L$13,$G79=$G$15,L$15,$G79=$G$16,L$16,$G79=$G$17,L$17,$G79=$G$18,L$18,$G79=$G$19,L$19,$G79=$G$20,L$20,$G79=$G$21,L$21,$G79=$G$22,L$22,$G79=$G$25,L$25,$G79=$G$26,L$26,$G79=$G$27,L$27,$G79=$G$29,L$29,$G79=$G$31,L$31,$G79=$G$32,L$32,$G79=$G$248,L$248,$G79=$G$250,L$250)</f>
        <v>Urban habitat</v>
      </c>
      <c r="M79" s="48"/>
      <c r="O79" s="45" t="str">
        <f t="shared" si="0"/>
        <v>A_SP_BCN_6_210528</v>
      </c>
      <c r="P79" s="64">
        <v>44344</v>
      </c>
      <c r="R79" s="72"/>
      <c r="S79" s="64">
        <v>44350</v>
      </c>
      <c r="U79" s="72"/>
      <c r="V79" s="54" t="s">
        <v>66</v>
      </c>
      <c r="W79" t="s">
        <v>100</v>
      </c>
      <c r="X79" s="45">
        <f t="shared" si="5"/>
        <v>6</v>
      </c>
      <c r="Z79" s="45" t="s">
        <v>70</v>
      </c>
      <c r="AA79" s="45">
        <f t="shared" si="6"/>
        <v>1</v>
      </c>
      <c r="AB79" t="str">
        <f t="shared" si="7"/>
        <v>Adult</v>
      </c>
      <c r="AC79" s="45">
        <v>1</v>
      </c>
      <c r="AD79" s="45">
        <v>0</v>
      </c>
      <c r="AE79" s="45" t="str">
        <f t="shared" si="8"/>
        <v>Morphological</v>
      </c>
      <c r="AF79" s="56">
        <v>4</v>
      </c>
    </row>
    <row r="80" spans="1:33" ht="18" customHeight="1" x14ac:dyDescent="0.25">
      <c r="A80" s="45">
        <v>76</v>
      </c>
      <c r="B80" s="45" t="s">
        <v>60</v>
      </c>
      <c r="C80" s="45" t="s">
        <v>61</v>
      </c>
      <c r="D80" s="45" t="s">
        <v>62</v>
      </c>
      <c r="E80" s="45" t="s">
        <v>62</v>
      </c>
      <c r="F80" s="46" cm="1">
        <f t="array" ref="F80">_xlfn.IFS($G80=$G$5,F$5,$G80=$G$6,F$6,$G80=$G$7,F$7,$G80=$G$8,F$8,$G80=$G$9,F$9,$G80=$G$10,F$10,$G80=$G$11,F$11,$G80=$G$12,F$12,$G80=$G$13,F$13,$G80=$G$15,F$15,$G80=$G$16,F$16,$G80=$G$17,F$17,$G80=$G$18,F$18,$G80=$G$19,F$19,$G80=$G$20,F$20,$G80=$G$21,F$21,$G80=$G$22,F$22,$G80=$G$25,F$25,$G80=$G$26,F$26,$G80=$G$27,F$27,$G80=$G$29,F$29,$G80=$G$31,F$31,$G80=$G$32,F$32,$G80=$G$248,F$248,$G80=$G$250,F$250)</f>
        <v>8038</v>
      </c>
      <c r="G80" t="s">
        <v>74</v>
      </c>
      <c r="H80" s="67" cm="1">
        <f t="array" ref="H80">_xlfn.IFS($G80=$G$5,H$5,$G80=$G$6,H$6,$G80=$G$7,H$7,$G80=$G$8,H$8,$G80=$G$9,H$9,$G80=$G$10,H$10,$G80=$G$11,H$11,$G80=$G$12,H$12,$G80=$G$13,H$13,$G80=$G$15,H$15,$G80=$G$16,H$16,$G80=$G$17,H$17,$G80=$G$18,H$18,$G80=$G$19,H$19,$G80=$G$20,H$20,$G80=$G$21,H$21,$G80=$G$22,H$22,$G80=$G$25,H$25,$G80=$G$26,H$26,$G80=$G$27,H$27,$G80=$G$29,H$29,$G80=$G$31,H$31,$G80=$G$32,H$32,$G80=$G$248,H$248,$G80=$G$250,H$250)</f>
        <v>41.371864000000002</v>
      </c>
      <c r="I80" s="67" cm="1">
        <f t="array" ref="I80">_xlfn.IFS($G80=$G$5,I$5,$G80=$G$6,I$6,$G80=$G$7,I$7,$G80=$G$8,I$8,$G80=$G$9,I$9,$G80=$G$10,I$10,$G80=$G$11,I$11,$G80=$G$12,I$12,$G80=$G$13,I$13,$G80=$G$15,I$15,$G80=$G$16,I$16,$G80=$G$17,I$17,$G80=$G$18,I$18,$G80=$G$19,I$19,$G80=$G$20,I$20,$G80=$G$21,I$21,$G80=$G$22,I$22,$G80=$G$25,I$25,$G80=$G$26,I$26,$G80=$G$27,I$27,$G80=$G$29,I$29,$G80=$G$31,I$31,$G80=$G$32,I$32,$G80=$G$248,I$248,$G80=$G$250,I$250)</f>
        <v>2.173899</v>
      </c>
      <c r="J80" s="48" cm="1">
        <f t="array" ref="J80">_xlfn.IFS($G80=$G$5,J$5,$G80=$G$6,J$6,$G80=$G$7,J$7,$G80=$G$8,J$8,$G80=$G$9,J$9,$G80=$G$10,J$10,$G80=$G$11,J$11,$G80=$G$12,J$12,$G80=$G$13,J$13,$G80=$G$15,J$15,$G80=$G$16,J$16,$G80=$G$17,J$17,$G80=$G$18,J$18,$G80=$G$19,J$19,$G80=$G$20,J$20,$G80=$G$21,J$21,$G80=$G$22,J$22,$G80=$G$25,J$25,$G80=$G$26,J$26,$G80=$G$27,J$27,$G80=$G$29,J$29,$G80=$G$31,J$31,$G80=$G$32,J$32,$G80=$G$248,J$248,$G80=$G$250,J$250)</f>
        <v>5</v>
      </c>
      <c r="K80" s="48" t="str" cm="1">
        <f t="array" ref="K80">_xlfn.IFS($G80=$G$5,K$5,$G80=$G$6,K$6,$G80=$G$7,K$7,$G80=$G$8,K$8,$G80=$G$9,K$9,$G80=$G$10,K$10,$G80=$G$11,K$11,$G80=$G$12,K$12,$G80=$G$13,K$13,$G80=$G$15,K$15,$G80=$G$16,K$16,$G80=$G$17,K$17,$G80=$G$18,K$18,$G80=$G$19,K$19,$G80=$G$20,K$20,$G80=$G$21,K$21,$G80=$G$22,K$22,$G80=$G$25,K$25,$G80=$G$26,K$26,$G80=$G$27,K$27,$G80=$G$29,K$29,$G80=$G$31,K$31,$G80=$G$32,K$32,$G80=$G$248,K$248,$G80=$G$250,K$250)</f>
        <v>BG sentinel + BG lure7</v>
      </c>
      <c r="L80" s="48" t="str" cm="1">
        <f t="array" ref="L80">_xlfn.IFS($G80=$G$5,L$5,$G80=$G$6,L$6,$G80=$G$7,L$7,$G80=$G$8,L$8,$G80=$G$9,L$9,$G80=$G$10,L$10,$G80=$G$11,L$11,$G80=$G$12,L$12,$G80=$G$13,L$13,$G80=$G$15,L$15,$G80=$G$16,L$16,$G80=$G$17,L$17,$G80=$G$18,L$18,$G80=$G$19,L$19,$G80=$G$20,L$20,$G80=$G$21,L$21,$G80=$G$22,L$22,$G80=$G$25,L$25,$G80=$G$26,L$26,$G80=$G$27,L$27,$G80=$G$29,L$29,$G80=$G$31,L$31,$G80=$G$32,L$32,$G80=$G$248,L$248,$G80=$G$250,L$250)</f>
        <v>Urban habitat</v>
      </c>
      <c r="M80" s="48"/>
      <c r="O80" s="45" t="str">
        <f t="shared" si="0"/>
        <v>A_SP_BCN_7_210528</v>
      </c>
      <c r="P80" s="64">
        <v>44344</v>
      </c>
      <c r="R80" s="72"/>
      <c r="S80" s="64">
        <v>44350</v>
      </c>
      <c r="U80" s="72"/>
      <c r="V80" s="54" t="s">
        <v>66</v>
      </c>
      <c r="X80" s="45">
        <f t="shared" si="5"/>
        <v>6</v>
      </c>
      <c r="Z80" s="45" t="s">
        <v>69</v>
      </c>
      <c r="AA80" s="45">
        <f t="shared" si="6"/>
        <v>3</v>
      </c>
      <c r="AB80" t="str">
        <f t="shared" si="7"/>
        <v>Adult</v>
      </c>
      <c r="AC80" s="45">
        <v>3</v>
      </c>
      <c r="AD80" s="45">
        <v>0</v>
      </c>
      <c r="AE80" s="45" t="str">
        <f t="shared" si="8"/>
        <v>Morphological</v>
      </c>
      <c r="AF80" s="56">
        <v>4</v>
      </c>
    </row>
    <row r="81" spans="1:32" ht="18" customHeight="1" x14ac:dyDescent="0.25">
      <c r="A81" s="45">
        <v>77</v>
      </c>
      <c r="B81" s="45" t="s">
        <v>60</v>
      </c>
      <c r="C81" s="45" t="s">
        <v>61</v>
      </c>
      <c r="D81" s="45" t="s">
        <v>62</v>
      </c>
      <c r="E81" s="45" t="s">
        <v>62</v>
      </c>
      <c r="F81" s="46" cm="1">
        <f t="array" ref="F81">_xlfn.IFS($G81=$G$5,F$5,$G81=$G$6,F$6,$G81=$G$7,F$7,$G81=$G$8,F$8,$G81=$G$9,F$9,$G81=$G$10,F$10,$G81=$G$11,F$11,$G81=$G$12,F$12,$G81=$G$13,F$13,$G81=$G$15,F$15,$G81=$G$16,F$16,$G81=$G$17,F$17,$G81=$G$18,F$18,$G81=$G$19,F$19,$G81=$G$20,F$20,$G81=$G$21,F$21,$G81=$G$22,F$22,$G81=$G$25,F$25,$G81=$G$26,F$26,$G81=$G$27,F$27,$G81=$G$29,F$29,$G81=$G$31,F$31,$G81=$G$32,F$32,$G81=$G$248,F$248,$G81=$G$250,F$250)</f>
        <v>8038</v>
      </c>
      <c r="G81" t="s">
        <v>75</v>
      </c>
      <c r="H81" s="67" cm="1">
        <f t="array" ref="H81">_xlfn.IFS($G81=$G$5,H$5,$G81=$G$6,H$6,$G81=$G$7,H$7,$G81=$G$8,H$8,$G81=$G$9,H$9,$G81=$G$10,H$10,$G81=$G$11,H$11,$G81=$G$12,H$12,$G81=$G$13,H$13,$G81=$G$15,H$15,$G81=$G$16,H$16,$G81=$G$17,H$17,$G81=$G$18,H$18,$G81=$G$19,H$19,$G81=$G$20,H$20,$G81=$G$21,H$21,$G81=$G$22,H$22,$G81=$G$25,H$25,$G81=$G$26,H$26,$G81=$G$27,H$27,$G81=$G$29,H$29,$G81=$G$31,H$31,$G81=$G$32,H$32,$G81=$G$248,H$248,$G81=$G$250,H$250)</f>
        <v>41.368589</v>
      </c>
      <c r="I81" s="67" cm="1">
        <f t="array" ref="I81">_xlfn.IFS($G81=$G$5,I$5,$G81=$G$6,I$6,$G81=$G$7,I$7,$G81=$G$8,I$8,$G81=$G$9,I$9,$G81=$G$10,I$10,$G81=$G$11,I$11,$G81=$G$12,I$12,$G81=$G$13,I$13,$G81=$G$15,I$15,$G81=$G$16,I$16,$G81=$G$17,I$17,$G81=$G$18,I$18,$G81=$G$19,I$19,$G81=$G$20,I$20,$G81=$G$21,I$21,$G81=$G$22,I$22,$G81=$G$25,I$25,$G81=$G$26,I$26,$G81=$G$27,I$27,$G81=$G$29,I$29,$G81=$G$31,I$31,$G81=$G$32,I$32,$G81=$G$248,I$248,$G81=$G$250,I$250)</f>
        <v>2.1620900000000001</v>
      </c>
      <c r="J81" s="48" cm="1">
        <f t="array" ref="J81">_xlfn.IFS($G81=$G$5,J$5,$G81=$G$6,J$6,$G81=$G$7,J$7,$G81=$G$8,J$8,$G81=$G$9,J$9,$G81=$G$10,J$10,$G81=$G$11,J$11,$G81=$G$12,J$12,$G81=$G$13,J$13,$G81=$G$15,J$15,$G81=$G$16,J$16,$G81=$G$17,J$17,$G81=$G$18,J$18,$G81=$G$19,J$19,$G81=$G$20,J$20,$G81=$G$21,J$21,$G81=$G$22,J$22,$G81=$G$25,J$25,$G81=$G$26,J$26,$G81=$G$27,J$27,$G81=$G$29,J$29,$G81=$G$31,J$31,$G81=$G$32,J$32,$G81=$G$248,J$248,$G81=$G$250,J$250)</f>
        <v>95</v>
      </c>
      <c r="K81" s="48" t="str" cm="1">
        <f t="array" ref="K81">_xlfn.IFS($G81=$G$5,K$5,$G81=$G$6,K$6,$G81=$G$7,K$7,$G81=$G$8,K$8,$G81=$G$9,K$9,$G81=$G$10,K$10,$G81=$G$11,K$11,$G81=$G$12,K$12,$G81=$G$13,K$13,$G81=$G$15,K$15,$G81=$G$16,K$16,$G81=$G$17,K$17,$G81=$G$18,K$18,$G81=$G$19,K$19,$G81=$G$20,K$20,$G81=$G$21,K$21,$G81=$G$22,K$22,$G81=$G$25,K$25,$G81=$G$26,K$26,$G81=$G$27,K$27,$G81=$G$29,K$29,$G81=$G$31,K$31,$G81=$G$32,K$32,$G81=$G$248,K$248,$G81=$G$250,K$250)</f>
        <v>BG sentinel + BG lure7</v>
      </c>
      <c r="L81" s="48" t="str" cm="1">
        <f t="array" ref="L81">_xlfn.IFS($G81=$G$5,L$5,$G81=$G$6,L$6,$G81=$G$7,L$7,$G81=$G$8,L$8,$G81=$G$9,L$9,$G81=$G$10,L$10,$G81=$G$11,L$11,$G81=$G$12,L$12,$G81=$G$13,L$13,$G81=$G$15,L$15,$G81=$G$16,L$16,$G81=$G$17,L$17,$G81=$G$18,L$18,$G81=$G$19,L$19,$G81=$G$20,L$20,$G81=$G$21,L$21,$G81=$G$22,L$22,$G81=$G$25,L$25,$G81=$G$26,L$26,$G81=$G$27,L$27,$G81=$G$29,L$29,$G81=$G$31,L$31,$G81=$G$32,L$32,$G81=$G$248,L$248,$G81=$G$250,L$250)</f>
        <v>Other</v>
      </c>
      <c r="M81" s="48"/>
      <c r="O81" s="45" t="str">
        <f t="shared" si="0"/>
        <v>A_SP_BCN_8_210528</v>
      </c>
      <c r="P81" s="64">
        <v>44344</v>
      </c>
      <c r="R81" s="72"/>
      <c r="S81" s="64">
        <v>44350</v>
      </c>
      <c r="U81" s="72"/>
      <c r="V81" s="54" t="s">
        <v>66</v>
      </c>
      <c r="X81" s="45">
        <f t="shared" si="5"/>
        <v>6</v>
      </c>
      <c r="Z81" s="45" t="s">
        <v>69</v>
      </c>
      <c r="AA81" s="45">
        <f t="shared" si="6"/>
        <v>8</v>
      </c>
      <c r="AB81" t="str">
        <f t="shared" si="7"/>
        <v>Adult</v>
      </c>
      <c r="AC81" s="45">
        <v>8</v>
      </c>
      <c r="AD81" s="45">
        <v>0</v>
      </c>
      <c r="AE81" s="45" t="str">
        <f t="shared" si="8"/>
        <v>Morphological</v>
      </c>
      <c r="AF81" s="56">
        <v>4</v>
      </c>
    </row>
    <row r="82" spans="1:32" ht="18" customHeight="1" x14ac:dyDescent="0.25">
      <c r="A82" s="45">
        <v>78</v>
      </c>
      <c r="B82" s="45" t="s">
        <v>60</v>
      </c>
      <c r="C82" s="45" t="s">
        <v>61</v>
      </c>
      <c r="D82" s="45" t="s">
        <v>62</v>
      </c>
      <c r="E82" s="45" t="s">
        <v>62</v>
      </c>
      <c r="F82" s="46" cm="1">
        <f t="array" ref="F82">_xlfn.IFS($G82=$G$5,F$5,$G82=$G$6,F$6,$G82=$G$7,F$7,$G82=$G$8,F$8,$G82=$G$9,F$9,$G82=$G$10,F$10,$G82=$G$11,F$11,$G82=$G$12,F$12,$G82=$G$13,F$13,$G82=$G$15,F$15,$G82=$G$16,F$16,$G82=$G$17,F$17,$G82=$G$18,F$18,$G82=$G$19,F$19,$G82=$G$20,F$20,$G82=$G$21,F$21,$G82=$G$22,F$22,$G82=$G$25,F$25,$G82=$G$26,F$26,$G82=$G$27,F$27,$G82=$G$29,F$29,$G82=$G$31,F$31,$G82=$G$32,F$32,$G82=$G$248,F$248,$G82=$G$250,F$250)</f>
        <v>8038</v>
      </c>
      <c r="G82" t="s">
        <v>75</v>
      </c>
      <c r="H82" s="67" cm="1">
        <f t="array" ref="H82">_xlfn.IFS($G82=$G$5,H$5,$G82=$G$6,H$6,$G82=$G$7,H$7,$G82=$G$8,H$8,$G82=$G$9,H$9,$G82=$G$10,H$10,$G82=$G$11,H$11,$G82=$G$12,H$12,$G82=$G$13,H$13,$G82=$G$15,H$15,$G82=$G$16,H$16,$G82=$G$17,H$17,$G82=$G$18,H$18,$G82=$G$19,H$19,$G82=$G$20,H$20,$G82=$G$21,H$21,$G82=$G$22,H$22,$G82=$G$25,H$25,$G82=$G$26,H$26,$G82=$G$27,H$27,$G82=$G$29,H$29,$G82=$G$31,H$31,$G82=$G$32,H$32,$G82=$G$248,H$248,$G82=$G$250,H$250)</f>
        <v>41.368589</v>
      </c>
      <c r="I82" s="67" cm="1">
        <f t="array" ref="I82">_xlfn.IFS($G82=$G$5,I$5,$G82=$G$6,I$6,$G82=$G$7,I$7,$G82=$G$8,I$8,$G82=$G$9,I$9,$G82=$G$10,I$10,$G82=$G$11,I$11,$G82=$G$12,I$12,$G82=$G$13,I$13,$G82=$G$15,I$15,$G82=$G$16,I$16,$G82=$G$17,I$17,$G82=$G$18,I$18,$G82=$G$19,I$19,$G82=$G$20,I$20,$G82=$G$21,I$21,$G82=$G$22,I$22,$G82=$G$25,I$25,$G82=$G$26,I$26,$G82=$G$27,I$27,$G82=$G$29,I$29,$G82=$G$31,I$31,$G82=$G$32,I$32,$G82=$G$248,I$248,$G82=$G$250,I$250)</f>
        <v>2.1620900000000001</v>
      </c>
      <c r="J82" s="48" cm="1">
        <f t="array" ref="J82">_xlfn.IFS($G82=$G$5,J$5,$G82=$G$6,J$6,$G82=$G$7,J$7,$G82=$G$8,J$8,$G82=$G$9,J$9,$G82=$G$10,J$10,$G82=$G$11,J$11,$G82=$G$12,J$12,$G82=$G$13,J$13,$G82=$G$15,J$15,$G82=$G$16,J$16,$G82=$G$17,J$17,$G82=$G$18,J$18,$G82=$G$19,J$19,$G82=$G$20,J$20,$G82=$G$21,J$21,$G82=$G$22,J$22,$G82=$G$25,J$25,$G82=$G$26,J$26,$G82=$G$27,J$27,$G82=$G$29,J$29,$G82=$G$31,J$31,$G82=$G$32,J$32,$G82=$G$248,J$248,$G82=$G$250,J$250)</f>
        <v>95</v>
      </c>
      <c r="K82" s="48" t="str" cm="1">
        <f t="array" ref="K82">_xlfn.IFS($G82=$G$5,K$5,$G82=$G$6,K$6,$G82=$G$7,K$7,$G82=$G$8,K$8,$G82=$G$9,K$9,$G82=$G$10,K$10,$G82=$G$11,K$11,$G82=$G$12,K$12,$G82=$G$13,K$13,$G82=$G$15,K$15,$G82=$G$16,K$16,$G82=$G$17,K$17,$G82=$G$18,K$18,$G82=$G$19,K$19,$G82=$G$20,K$20,$G82=$G$21,K$21,$G82=$G$22,K$22,$G82=$G$25,K$25,$G82=$G$26,K$26,$G82=$G$27,K$27,$G82=$G$29,K$29,$G82=$G$31,K$31,$G82=$G$32,K$32,$G82=$G$248,K$248,$G82=$G$250,K$250)</f>
        <v>BG sentinel + BG lure7</v>
      </c>
      <c r="L82" s="48" t="str" cm="1">
        <f t="array" ref="L82">_xlfn.IFS($G82=$G$5,L$5,$G82=$G$6,L$6,$G82=$G$7,L$7,$G82=$G$8,L$8,$G82=$G$9,L$9,$G82=$G$10,L$10,$G82=$G$11,L$11,$G82=$G$12,L$12,$G82=$G$13,L$13,$G82=$G$15,L$15,$G82=$G$16,L$16,$G82=$G$17,L$17,$G82=$G$18,L$18,$G82=$G$19,L$19,$G82=$G$20,L$20,$G82=$G$21,L$21,$G82=$G$22,L$22,$G82=$G$25,L$25,$G82=$G$26,L$26,$G82=$G$27,L$27,$G82=$G$29,L$29,$G82=$G$31,L$31,$G82=$G$32,L$32,$G82=$G$248,L$248,$G82=$G$250,L$250)</f>
        <v>Other</v>
      </c>
      <c r="M82" s="48"/>
      <c r="O82" s="45" t="str">
        <f t="shared" si="0"/>
        <v>A_SP_BCN_8_210528</v>
      </c>
      <c r="P82" s="64">
        <v>44344</v>
      </c>
      <c r="R82" s="72"/>
      <c r="S82" s="64">
        <v>44350</v>
      </c>
      <c r="U82" s="72"/>
      <c r="V82" s="54" t="s">
        <v>66</v>
      </c>
      <c r="X82" s="45">
        <f t="shared" si="5"/>
        <v>6</v>
      </c>
      <c r="Z82" s="45" t="s">
        <v>70</v>
      </c>
      <c r="AA82" s="45">
        <f t="shared" si="6"/>
        <v>1</v>
      </c>
      <c r="AB82" t="str">
        <f t="shared" si="7"/>
        <v>Adult</v>
      </c>
      <c r="AC82" s="45">
        <v>1</v>
      </c>
      <c r="AD82" s="45">
        <v>0</v>
      </c>
      <c r="AE82" s="45" t="str">
        <f t="shared" si="8"/>
        <v>Morphological</v>
      </c>
      <c r="AF82" s="56">
        <v>4</v>
      </c>
    </row>
    <row r="83" spans="1:32" ht="18" customHeight="1" x14ac:dyDescent="0.25">
      <c r="A83" s="45">
        <v>79</v>
      </c>
      <c r="B83" s="45" t="s">
        <v>60</v>
      </c>
      <c r="C83" s="45" t="s">
        <v>61</v>
      </c>
      <c r="D83" s="45" t="s">
        <v>62</v>
      </c>
      <c r="E83" s="45" t="s">
        <v>62</v>
      </c>
      <c r="F83" s="46" cm="1">
        <f t="array" ref="F83">_xlfn.IFS($G83=$G$5,F$5,$G83=$G$6,F$6,$G83=$G$7,F$7,$G83=$G$8,F$8,$G83=$G$9,F$9,$G83=$G$10,F$10,$G83=$G$11,F$11,$G83=$G$12,F$12,$G83=$G$13,F$13,$G83=$G$15,F$15,$G83=$G$16,F$16,$G83=$G$17,F$17,$G83=$G$18,F$18,$G83=$G$19,F$19,$G83=$G$20,F$20,$G83=$G$21,F$21,$G83=$G$22,F$22,$G83=$G$25,F$25,$G83=$G$26,F$26,$G83=$G$27,F$27,$G83=$G$29,F$29,$G83=$G$31,F$31,$G83=$G$32,F$32,$G83=$G$248,F$248,$G83=$G$250,F$250)</f>
        <v>8034</v>
      </c>
      <c r="G83" t="s">
        <v>78</v>
      </c>
      <c r="H83" s="67" cm="1">
        <f t="array" ref="H83">_xlfn.IFS($G83=$G$5,H$5,$G83=$G$6,H$6,$G83=$G$7,H$7,$G83=$G$8,H$8,$G83=$G$9,H$9,$G83=$G$10,H$10,$G83=$G$11,H$11,$G83=$G$12,H$12,$G83=$G$13,H$13,$G83=$G$15,H$15,$G83=$G$16,H$16,$G83=$G$17,H$17,$G83=$G$18,H$18,$G83=$G$19,H$19,$G83=$G$20,H$20,$G83=$G$21,H$21,$G83=$G$22,H$22,$G83=$G$25,H$25,$G83=$G$26,H$26,$G83=$G$27,H$27,$G83=$G$29,H$29,$G83=$G$31,H$31,$G83=$G$32,H$32,$G83=$G$248,H$248,$G83=$G$250,H$250)</f>
        <v>41.393644999999999</v>
      </c>
      <c r="I83" s="67" cm="1">
        <f t="array" ref="I83">_xlfn.IFS($G83=$G$5,I$5,$G83=$G$6,I$6,$G83=$G$7,I$7,$G83=$G$8,I$8,$G83=$G$9,I$9,$G83=$G$10,I$10,$G83=$G$11,I$11,$G83=$G$12,I$12,$G83=$G$13,I$13,$G83=$G$15,I$15,$G83=$G$16,I$16,$G83=$G$17,I$17,$G83=$G$18,I$18,$G83=$G$19,I$19,$G83=$G$20,I$20,$G83=$G$21,I$21,$G83=$G$22,I$22,$G83=$G$25,I$25,$G83=$G$26,I$26,$G83=$G$27,I$27,$G83=$G$29,I$29,$G83=$G$31,I$31,$G83=$G$32,I$32,$G83=$G$248,I$248,$G83=$G$250,I$250)</f>
        <v>2.1216780000000002</v>
      </c>
      <c r="J83" s="48" cm="1">
        <f t="array" ref="J83">_xlfn.IFS($G83=$G$5,J$5,$G83=$G$6,J$6,$G83=$G$7,J$7,$G83=$G$8,J$8,$G83=$G$9,J$9,$G83=$G$10,J$10,$G83=$G$11,J$11,$G83=$G$12,J$12,$G83=$G$13,J$13,$G83=$G$15,J$15,$G83=$G$16,J$16,$G83=$G$17,J$17,$G83=$G$18,J$18,$G83=$G$19,J$19,$G83=$G$20,J$20,$G83=$G$21,J$21,$G83=$G$22,J$22,$G83=$G$25,J$25,$G83=$G$26,J$26,$G83=$G$27,J$27,$G83=$G$29,J$29,$G83=$G$31,J$31,$G83=$G$32,J$32,$G83=$G$248,J$248,$G83=$G$250,J$250)</f>
        <v>98</v>
      </c>
      <c r="K83" s="48" t="str" cm="1">
        <f t="array" ref="K83">_xlfn.IFS($G83=$G$5,K$5,$G83=$G$6,K$6,$G83=$G$7,K$7,$G83=$G$8,K$8,$G83=$G$9,K$9,$G83=$G$10,K$10,$G83=$G$11,K$11,$G83=$G$12,K$12,$G83=$G$13,K$13,$G83=$G$15,K$15,$G83=$G$16,K$16,$G83=$G$17,K$17,$G83=$G$18,K$18,$G83=$G$19,K$19,$G83=$G$20,K$20,$G83=$G$21,K$21,$G83=$G$22,K$22,$G83=$G$25,K$25,$G83=$G$26,K$26,$G83=$G$27,K$27,$G83=$G$29,K$29,$G83=$G$31,K$31,$G83=$G$32,K$32,$G83=$G$248,K$248,$G83=$G$250,K$250)</f>
        <v>BG sentinel + BG lure7</v>
      </c>
      <c r="L83" s="48" t="str" cm="1">
        <f t="array" ref="L83">_xlfn.IFS($G83=$G$5,L$5,$G83=$G$6,L$6,$G83=$G$7,L$7,$G83=$G$8,L$8,$G83=$G$9,L$9,$G83=$G$10,L$10,$G83=$G$11,L$11,$G83=$G$12,L$12,$G83=$G$13,L$13,$G83=$G$15,L$15,$G83=$G$16,L$16,$G83=$G$17,L$17,$G83=$G$18,L$18,$G83=$G$19,L$19,$G83=$G$20,L$20,$G83=$G$21,L$21,$G83=$G$22,L$22,$G83=$G$25,L$25,$G83=$G$26,L$26,$G83=$G$27,L$27,$G83=$G$29,L$29,$G83=$G$31,L$31,$G83=$G$32,L$32,$G83=$G$248,L$248,$G83=$G$250,L$250)</f>
        <v>Other</v>
      </c>
      <c r="M83" s="48"/>
      <c r="O83" s="45" t="str">
        <f t="shared" si="0"/>
        <v>A_SP_BCN_9_210528</v>
      </c>
      <c r="P83" s="64">
        <v>44344</v>
      </c>
      <c r="R83" s="72"/>
      <c r="S83" s="64">
        <v>44349</v>
      </c>
      <c r="U83" s="72"/>
      <c r="V83" t="s">
        <v>101</v>
      </c>
      <c r="X83" s="45">
        <f t="shared" si="5"/>
        <v>5</v>
      </c>
      <c r="Z83" s="45" t="s">
        <v>70</v>
      </c>
      <c r="AA83" s="45">
        <f t="shared" si="6"/>
        <v>1</v>
      </c>
      <c r="AB83" t="str">
        <f t="shared" si="7"/>
        <v>Adult</v>
      </c>
      <c r="AC83" s="45">
        <v>1</v>
      </c>
      <c r="AD83" s="45">
        <v>0</v>
      </c>
      <c r="AE83" s="45" t="str">
        <f t="shared" si="8"/>
        <v>Morphological</v>
      </c>
      <c r="AF83">
        <v>1</v>
      </c>
    </row>
    <row r="84" spans="1:32" ht="18" customHeight="1" x14ac:dyDescent="0.25">
      <c r="A84" s="45">
        <v>80</v>
      </c>
      <c r="B84" s="45" t="s">
        <v>60</v>
      </c>
      <c r="C84" s="45" t="s">
        <v>61</v>
      </c>
      <c r="D84" s="45" t="s">
        <v>62</v>
      </c>
      <c r="E84" s="45" t="s">
        <v>62</v>
      </c>
      <c r="F84" s="46" cm="1">
        <f t="array" ref="F84">_xlfn.IFS($G84=$G$5,F$5,$G84=$G$6,F$6,$G84=$G$7,F$7,$G84=$G$8,F$8,$G84=$G$9,F$9,$G84=$G$10,F$10,$G84=$G$11,F$11,$G84=$G$12,F$12,$G84=$G$13,F$13,$G84=$G$15,F$15,$G84=$G$16,F$16,$G84=$G$17,F$17,$G84=$G$18,F$18,$G84=$G$19,F$19,$G84=$G$20,F$20,$G84=$G$21,F$21,$G84=$G$22,F$22,$G84=$G$25,F$25,$G84=$G$26,F$26,$G84=$G$27,F$27,$G84=$G$29,F$29,$G84=$G$31,F$31,$G84=$G$32,F$32,$G84=$G$248,F$248,$G84=$G$250,F$250)</f>
        <v>8034</v>
      </c>
      <c r="G84" t="s">
        <v>78</v>
      </c>
      <c r="H84" s="67" cm="1">
        <f t="array" ref="H84">_xlfn.IFS($G84=$G$5,H$5,$G84=$G$6,H$6,$G84=$G$7,H$7,$G84=$G$8,H$8,$G84=$G$9,H$9,$G84=$G$10,H$10,$G84=$G$11,H$11,$G84=$G$12,H$12,$G84=$G$13,H$13,$G84=$G$15,H$15,$G84=$G$16,H$16,$G84=$G$17,H$17,$G84=$G$18,H$18,$G84=$G$19,H$19,$G84=$G$20,H$20,$G84=$G$21,H$21,$G84=$G$22,H$22,$G84=$G$25,H$25,$G84=$G$26,H$26,$G84=$G$27,H$27,$G84=$G$29,H$29,$G84=$G$31,H$31,$G84=$G$32,H$32,$G84=$G$248,H$248,$G84=$G$250,H$250)</f>
        <v>41.393644999999999</v>
      </c>
      <c r="I84" s="67" cm="1">
        <f t="array" ref="I84">_xlfn.IFS($G84=$G$5,I$5,$G84=$G$6,I$6,$G84=$G$7,I$7,$G84=$G$8,I$8,$G84=$G$9,I$9,$G84=$G$10,I$10,$G84=$G$11,I$11,$G84=$G$12,I$12,$G84=$G$13,I$13,$G84=$G$15,I$15,$G84=$G$16,I$16,$G84=$G$17,I$17,$G84=$G$18,I$18,$G84=$G$19,I$19,$G84=$G$20,I$20,$G84=$G$21,I$21,$G84=$G$22,I$22,$G84=$G$25,I$25,$G84=$G$26,I$26,$G84=$G$27,I$27,$G84=$G$29,I$29,$G84=$G$31,I$31,$G84=$G$32,I$32,$G84=$G$248,I$248,$G84=$G$250,I$250)</f>
        <v>2.1216780000000002</v>
      </c>
      <c r="J84" s="48" cm="1">
        <f t="array" ref="J84">_xlfn.IFS($G84=$G$5,J$5,$G84=$G$6,J$6,$G84=$G$7,J$7,$G84=$G$8,J$8,$G84=$G$9,J$9,$G84=$G$10,J$10,$G84=$G$11,J$11,$G84=$G$12,J$12,$G84=$G$13,J$13,$G84=$G$15,J$15,$G84=$G$16,J$16,$G84=$G$17,J$17,$G84=$G$18,J$18,$G84=$G$19,J$19,$G84=$G$20,J$20,$G84=$G$21,J$21,$G84=$G$22,J$22,$G84=$G$25,J$25,$G84=$G$26,J$26,$G84=$G$27,J$27,$G84=$G$29,J$29,$G84=$G$31,J$31,$G84=$G$32,J$32,$G84=$G$248,J$248,$G84=$G$250,J$250)</f>
        <v>98</v>
      </c>
      <c r="K84" s="48" t="str" cm="1">
        <f t="array" ref="K84">_xlfn.IFS($G84=$G$5,K$5,$G84=$G$6,K$6,$G84=$G$7,K$7,$G84=$G$8,K$8,$G84=$G$9,K$9,$G84=$G$10,K$10,$G84=$G$11,K$11,$G84=$G$12,K$12,$G84=$G$13,K$13,$G84=$G$15,K$15,$G84=$G$16,K$16,$G84=$G$17,K$17,$G84=$G$18,K$18,$G84=$G$19,K$19,$G84=$G$20,K$20,$G84=$G$21,K$21,$G84=$G$22,K$22,$G84=$G$25,K$25,$G84=$G$26,K$26,$G84=$G$27,K$27,$G84=$G$29,K$29,$G84=$G$31,K$31,$G84=$G$32,K$32,$G84=$G$248,K$248,$G84=$G$250,K$250)</f>
        <v>BG sentinel + BG lure7</v>
      </c>
      <c r="L84" s="48" t="str" cm="1">
        <f t="array" ref="L84">_xlfn.IFS($G84=$G$5,L$5,$G84=$G$6,L$6,$G84=$G$7,L$7,$G84=$G$8,L$8,$G84=$G$9,L$9,$G84=$G$10,L$10,$G84=$G$11,L$11,$G84=$G$12,L$12,$G84=$G$13,L$13,$G84=$G$15,L$15,$G84=$G$16,L$16,$G84=$G$17,L$17,$G84=$G$18,L$18,$G84=$G$19,L$19,$G84=$G$20,L$20,$G84=$G$21,L$21,$G84=$G$22,L$22,$G84=$G$25,L$25,$G84=$G$26,L$26,$G84=$G$27,L$27,$G84=$G$29,L$29,$G84=$G$31,L$31,$G84=$G$32,L$32,$G84=$G$248,L$248,$G84=$G$250,L$250)</f>
        <v>Other</v>
      </c>
      <c r="M84" s="48"/>
      <c r="O84" s="45" t="str">
        <f t="shared" si="0"/>
        <v>A_SP_BCN_9_210528</v>
      </c>
      <c r="P84" s="64">
        <v>44344</v>
      </c>
      <c r="R84" s="72"/>
      <c r="S84" s="64">
        <v>44349</v>
      </c>
      <c r="U84" s="72"/>
      <c r="V84" t="s">
        <v>101</v>
      </c>
      <c r="X84" s="45">
        <f t="shared" si="5"/>
        <v>5</v>
      </c>
      <c r="Z84" s="45" t="s">
        <v>80</v>
      </c>
      <c r="AA84" s="45">
        <f t="shared" si="6"/>
        <v>1</v>
      </c>
      <c r="AB84" t="str">
        <f t="shared" si="7"/>
        <v>Adult</v>
      </c>
      <c r="AC84" s="45">
        <v>1</v>
      </c>
      <c r="AD84" s="45">
        <v>0</v>
      </c>
      <c r="AE84" s="45" t="str">
        <f t="shared" si="8"/>
        <v>Morphological</v>
      </c>
      <c r="AF84">
        <v>1</v>
      </c>
    </row>
    <row r="85" spans="1:32" ht="18" customHeight="1" x14ac:dyDescent="0.25">
      <c r="A85" s="45">
        <v>81</v>
      </c>
      <c r="B85" s="45" t="s">
        <v>60</v>
      </c>
      <c r="C85" s="45" t="s">
        <v>61</v>
      </c>
      <c r="D85" s="45" t="s">
        <v>62</v>
      </c>
      <c r="E85" s="45" t="s">
        <v>62</v>
      </c>
      <c r="F85" s="46" cm="1">
        <f t="array" ref="F85">_xlfn.IFS($G85=$G$5,F$5,$G85=$G$6,F$6,$G85=$G$7,F$7,$G85=$G$8,F$8,$G85=$G$9,F$9,$G85=$G$10,F$10,$G85=$G$11,F$11,$G85=$G$12,F$12,$G85=$G$13,F$13,$G85=$G$15,F$15,$G85=$G$16,F$16,$G85=$G$17,F$17,$G85=$G$18,F$18,$G85=$G$19,F$19,$G85=$G$20,F$20,$G85=$G$21,F$21,$G85=$G$22,F$22,$G85=$G$25,F$25,$G85=$G$26,F$26,$G85=$G$27,F$27,$G85=$G$29,F$29,$G85=$G$31,F$31,$G85=$G$32,F$32,$G85=$G$248,F$248,$G85=$G$250,F$250)</f>
        <v>8040</v>
      </c>
      <c r="G85" t="s">
        <v>81</v>
      </c>
      <c r="H85" s="67" cm="1">
        <f t="array" ref="H85">_xlfn.IFS($G85=$G$5,H$5,$G85=$G$6,H$6,$G85=$G$7,H$7,$G85=$G$8,H$8,$G85=$G$9,H$9,$G85=$G$10,H$10,$G85=$G$11,H$11,$G85=$G$12,H$12,$G85=$G$13,H$13,$G85=$G$15,H$15,$G85=$G$16,H$16,$G85=$G$17,H$17,$G85=$G$18,H$18,$G85=$G$19,H$19,$G85=$G$20,H$20,$G85=$G$21,H$21,$G85=$G$22,H$22,$G85=$G$25,H$25,$G85=$G$26,H$26,$G85=$G$27,H$27,$G85=$G$29,H$29,$G85=$G$31,H$31,$G85=$G$32,H$32,$G85=$G$248,H$248,$G85=$G$250,H$250)</f>
        <v>41.343685000000001</v>
      </c>
      <c r="I85" s="67" cm="1">
        <f t="array" ref="I85">_xlfn.IFS($G85=$G$5,I$5,$G85=$G$6,I$6,$G85=$G$7,I$7,$G85=$G$8,I$8,$G85=$G$9,I$9,$G85=$G$10,I$10,$G85=$G$11,I$11,$G85=$G$12,I$12,$G85=$G$13,I$13,$G85=$G$15,I$15,$G85=$G$16,I$16,$G85=$G$17,I$17,$G85=$G$18,I$18,$G85=$G$19,I$19,$G85=$G$20,I$20,$G85=$G$21,I$21,$G85=$G$22,I$22,$G85=$G$25,I$25,$G85=$G$26,I$26,$G85=$G$27,I$27,$G85=$G$29,I$29,$G85=$G$31,I$31,$G85=$G$32,I$32,$G85=$G$248,I$248,$G85=$G$250,I$250)</f>
        <v>2.1441490000000001</v>
      </c>
      <c r="J85" s="48" cm="1">
        <f t="array" ref="J85">_xlfn.IFS($G85=$G$5,J$5,$G85=$G$6,J$6,$G85=$G$7,J$7,$G85=$G$8,J$8,$G85=$G$9,J$9,$G85=$G$10,J$10,$G85=$G$11,J$11,$G85=$G$12,J$12,$G85=$G$13,J$13,$G85=$G$15,J$15,$G85=$G$16,J$16,$G85=$G$17,J$17,$G85=$G$18,J$18,$G85=$G$19,J$19,$G85=$G$20,J$20,$G85=$G$21,J$21,$G85=$G$22,J$22,$G85=$G$25,J$25,$G85=$G$26,J$26,$G85=$G$27,J$27,$G85=$G$29,J$29,$G85=$G$31,J$31,$G85=$G$32,J$32,$G85=$G$248,J$248,$G85=$G$250,J$250)</f>
        <v>4</v>
      </c>
      <c r="K85" s="48" t="str" cm="1">
        <f t="array" ref="K85">_xlfn.IFS($G85=$G$5,K$5,$G85=$G$6,K$6,$G85=$G$7,K$7,$G85=$G$8,K$8,$G85=$G$9,K$9,$G85=$G$10,K$10,$G85=$G$11,K$11,$G85=$G$12,K$12,$G85=$G$13,K$13,$G85=$G$15,K$15,$G85=$G$16,K$16,$G85=$G$17,K$17,$G85=$G$18,K$18,$G85=$G$19,K$19,$G85=$G$20,K$20,$G85=$G$21,K$21,$G85=$G$22,K$22,$G85=$G$25,K$25,$G85=$G$26,K$26,$G85=$G$27,K$27,$G85=$G$29,K$29,$G85=$G$31,K$31,$G85=$G$32,K$32,$G85=$G$248,K$248,$G85=$G$250,K$250)</f>
        <v>BG sentinel + BG lure7</v>
      </c>
      <c r="L85" s="48" t="str" cm="1">
        <f t="array" ref="L85">_xlfn.IFS($G85=$G$5,L$5,$G85=$G$6,L$6,$G85=$G$7,L$7,$G85=$G$8,L$8,$G85=$G$9,L$9,$G85=$G$10,L$10,$G85=$G$11,L$11,$G85=$G$12,L$12,$G85=$G$13,L$13,$G85=$G$15,L$15,$G85=$G$16,L$16,$G85=$G$17,L$17,$G85=$G$18,L$18,$G85=$G$19,L$19,$G85=$G$20,L$20,$G85=$G$21,L$21,$G85=$G$22,L$22,$G85=$G$25,L$25,$G85=$G$26,L$26,$G85=$G$27,L$27,$G85=$G$29,L$29,$G85=$G$31,L$31,$G85=$G$32,L$32,$G85=$G$248,L$248,$G85=$G$250,L$250)</f>
        <v>Urban habitat</v>
      </c>
      <c r="M85" s="48"/>
      <c r="O85" s="45" t="str">
        <f t="shared" si="0"/>
        <v>A_SP_BCN_10_210528</v>
      </c>
      <c r="P85" s="64">
        <v>44344</v>
      </c>
      <c r="R85" s="72"/>
      <c r="S85" s="64">
        <v>44350</v>
      </c>
      <c r="U85" s="72"/>
      <c r="V85" s="54" t="s">
        <v>66</v>
      </c>
      <c r="X85" s="45">
        <f t="shared" si="5"/>
        <v>6</v>
      </c>
      <c r="Z85" s="45" t="s">
        <v>69</v>
      </c>
      <c r="AA85" s="45">
        <f t="shared" si="6"/>
        <v>2</v>
      </c>
      <c r="AB85" t="str">
        <f t="shared" si="7"/>
        <v>Adult</v>
      </c>
      <c r="AC85" s="45">
        <v>2</v>
      </c>
      <c r="AD85" s="45">
        <v>0</v>
      </c>
      <c r="AE85" s="45" t="str">
        <f t="shared" si="8"/>
        <v>Morphological</v>
      </c>
      <c r="AF85" s="56">
        <v>4</v>
      </c>
    </row>
    <row r="86" spans="1:32" ht="18" customHeight="1" x14ac:dyDescent="0.25">
      <c r="A86" s="45">
        <v>82</v>
      </c>
      <c r="B86" s="45" t="s">
        <v>60</v>
      </c>
      <c r="C86" s="45" t="s">
        <v>61</v>
      </c>
      <c r="D86" s="45" t="s">
        <v>62</v>
      </c>
      <c r="E86" s="45" t="s">
        <v>62</v>
      </c>
      <c r="F86" s="46" cm="1">
        <f t="array" ref="F86">_xlfn.IFS($G86=$G$5,F$5,$G86=$G$6,F$6,$G86=$G$7,F$7,$G86=$G$8,F$8,$G86=$G$9,F$9,$G86=$G$10,F$10,$G86=$G$11,F$11,$G86=$G$12,F$12,$G86=$G$13,F$13,$G86=$G$15,F$15,$G86=$G$16,F$16,$G86=$G$17,F$17,$G86=$G$18,F$18,$G86=$G$19,F$19,$G86=$G$20,F$20,$G86=$G$21,F$21,$G86=$G$22,F$22,$G86=$G$25,F$25,$G86=$G$26,F$26,$G86=$G$27,F$27,$G86=$G$29,F$29,$G86=$G$31,F$31,$G86=$G$32,F$32,$G86=$G$248,F$248,$G86=$G$250,F$250)</f>
        <v>8040</v>
      </c>
      <c r="G86" t="s">
        <v>81</v>
      </c>
      <c r="H86" s="67" cm="1">
        <f t="array" ref="H86">_xlfn.IFS($G86=$G$5,H$5,$G86=$G$6,H$6,$G86=$G$7,H$7,$G86=$G$8,H$8,$G86=$G$9,H$9,$G86=$G$10,H$10,$G86=$G$11,H$11,$G86=$G$12,H$12,$G86=$G$13,H$13,$G86=$G$15,H$15,$G86=$G$16,H$16,$G86=$G$17,H$17,$G86=$G$18,H$18,$G86=$G$19,H$19,$G86=$G$20,H$20,$G86=$G$21,H$21,$G86=$G$22,H$22,$G86=$G$25,H$25,$G86=$G$26,H$26,$G86=$G$27,H$27,$G86=$G$29,H$29,$G86=$G$31,H$31,$G86=$G$32,H$32,$G86=$G$248,H$248,$G86=$G$250,H$250)</f>
        <v>41.343685000000001</v>
      </c>
      <c r="I86" s="67" cm="1">
        <f t="array" ref="I86">_xlfn.IFS($G86=$G$5,I$5,$G86=$G$6,I$6,$G86=$G$7,I$7,$G86=$G$8,I$8,$G86=$G$9,I$9,$G86=$G$10,I$10,$G86=$G$11,I$11,$G86=$G$12,I$12,$G86=$G$13,I$13,$G86=$G$15,I$15,$G86=$G$16,I$16,$G86=$G$17,I$17,$G86=$G$18,I$18,$G86=$G$19,I$19,$G86=$G$20,I$20,$G86=$G$21,I$21,$G86=$G$22,I$22,$G86=$G$25,I$25,$G86=$G$26,I$26,$G86=$G$27,I$27,$G86=$G$29,I$29,$G86=$G$31,I$31,$G86=$G$32,I$32,$G86=$G$248,I$248,$G86=$G$250,I$250)</f>
        <v>2.1441490000000001</v>
      </c>
      <c r="J86" s="48" cm="1">
        <f t="array" ref="J86">_xlfn.IFS($G86=$G$5,J$5,$G86=$G$6,J$6,$G86=$G$7,J$7,$G86=$G$8,J$8,$G86=$G$9,J$9,$G86=$G$10,J$10,$G86=$G$11,J$11,$G86=$G$12,J$12,$G86=$G$13,J$13,$G86=$G$15,J$15,$G86=$G$16,J$16,$G86=$G$17,J$17,$G86=$G$18,J$18,$G86=$G$19,J$19,$G86=$G$20,J$20,$G86=$G$21,J$21,$G86=$G$22,J$22,$G86=$G$25,J$25,$G86=$G$26,J$26,$G86=$G$27,J$27,$G86=$G$29,J$29,$G86=$G$31,J$31,$G86=$G$32,J$32,$G86=$G$248,J$248,$G86=$G$250,J$250)</f>
        <v>4</v>
      </c>
      <c r="K86" s="48" t="str" cm="1">
        <f t="array" ref="K86">_xlfn.IFS($G86=$G$5,K$5,$G86=$G$6,K$6,$G86=$G$7,K$7,$G86=$G$8,K$8,$G86=$G$9,K$9,$G86=$G$10,K$10,$G86=$G$11,K$11,$G86=$G$12,K$12,$G86=$G$13,K$13,$G86=$G$15,K$15,$G86=$G$16,K$16,$G86=$G$17,K$17,$G86=$G$18,K$18,$G86=$G$19,K$19,$G86=$G$20,K$20,$G86=$G$21,K$21,$G86=$G$22,K$22,$G86=$G$25,K$25,$G86=$G$26,K$26,$G86=$G$27,K$27,$G86=$G$29,K$29,$G86=$G$31,K$31,$G86=$G$32,K$32,$G86=$G$248,K$248,$G86=$G$250,K$250)</f>
        <v>BG sentinel + BG lure7</v>
      </c>
      <c r="L86" s="48" t="str" cm="1">
        <f t="array" ref="L86">_xlfn.IFS($G86=$G$5,L$5,$G86=$G$6,L$6,$G86=$G$7,L$7,$G86=$G$8,L$8,$G86=$G$9,L$9,$G86=$G$10,L$10,$G86=$G$11,L$11,$G86=$G$12,L$12,$G86=$G$13,L$13,$G86=$G$15,L$15,$G86=$G$16,L$16,$G86=$G$17,L$17,$G86=$G$18,L$18,$G86=$G$19,L$19,$G86=$G$20,L$20,$G86=$G$21,L$21,$G86=$G$22,L$22,$G86=$G$25,L$25,$G86=$G$26,L$26,$G86=$G$27,L$27,$G86=$G$29,L$29,$G86=$G$31,L$31,$G86=$G$32,L$32,$G86=$G$248,L$248,$G86=$G$250,L$250)</f>
        <v>Urban habitat</v>
      </c>
      <c r="M86" s="48"/>
      <c r="O86" s="45" t="str">
        <f t="shared" si="0"/>
        <v>A_SP_BCN_10_210528</v>
      </c>
      <c r="P86" s="64">
        <v>44344</v>
      </c>
      <c r="R86" s="72"/>
      <c r="S86" s="64">
        <v>44350</v>
      </c>
      <c r="U86" s="72"/>
      <c r="V86" s="54" t="s">
        <v>66</v>
      </c>
      <c r="X86" s="45">
        <f t="shared" si="5"/>
        <v>6</v>
      </c>
      <c r="Z86" s="45" t="s">
        <v>70</v>
      </c>
      <c r="AA86" s="45">
        <f t="shared" si="6"/>
        <v>24</v>
      </c>
      <c r="AB86" t="str">
        <f t="shared" si="7"/>
        <v>Adult</v>
      </c>
      <c r="AC86" s="45">
        <v>22</v>
      </c>
      <c r="AD86" s="45">
        <v>2</v>
      </c>
      <c r="AE86" s="45" t="str">
        <f t="shared" si="8"/>
        <v>Morphological</v>
      </c>
      <c r="AF86" s="56">
        <v>4</v>
      </c>
    </row>
    <row r="87" spans="1:32" ht="18" customHeight="1" x14ac:dyDescent="0.25">
      <c r="A87" s="45">
        <v>83</v>
      </c>
      <c r="B87" s="45" t="s">
        <v>60</v>
      </c>
      <c r="C87" s="45" t="s">
        <v>61</v>
      </c>
      <c r="D87" s="45" t="s">
        <v>62</v>
      </c>
      <c r="E87" s="45" t="s">
        <v>62</v>
      </c>
      <c r="F87" s="46" cm="1">
        <f t="array" ref="F87">_xlfn.IFS($G87=$G$5,F$5,$G87=$G$6,F$6,$G87=$G$7,F$7,$G87=$G$8,F$8,$G87=$G$9,F$9,$G87=$G$10,F$10,$G87=$G$11,F$11,$G87=$G$12,F$12,$G87=$G$13,F$13,$G87=$G$15,F$15,$G87=$G$16,F$16,$G87=$G$17,F$17,$G87=$G$18,F$18,$G87=$G$19,F$19,$G87=$G$20,F$20,$G87=$G$21,F$21,$G87=$G$22,F$22,$G87=$G$25,F$25,$G87=$G$26,F$26,$G87=$G$27,F$27,$G87=$G$29,F$29,$G87=$G$31,F$31,$G87=$G$32,F$32,$G87=$G$248,F$248,$G87=$G$250,F$250)</f>
        <v>8040</v>
      </c>
      <c r="G87" t="s">
        <v>81</v>
      </c>
      <c r="H87" s="67" cm="1">
        <f t="array" ref="H87">_xlfn.IFS($G87=$G$5,H$5,$G87=$G$6,H$6,$G87=$G$7,H$7,$G87=$G$8,H$8,$G87=$G$9,H$9,$G87=$G$10,H$10,$G87=$G$11,H$11,$G87=$G$12,H$12,$G87=$G$13,H$13,$G87=$G$15,H$15,$G87=$G$16,H$16,$G87=$G$17,H$17,$G87=$G$18,H$18,$G87=$G$19,H$19,$G87=$G$20,H$20,$G87=$G$21,H$21,$G87=$G$22,H$22,$G87=$G$25,H$25,$G87=$G$26,H$26,$G87=$G$27,H$27,$G87=$G$29,H$29,$G87=$G$31,H$31,$G87=$G$32,H$32,$G87=$G$248,H$248,$G87=$G$250,H$250)</f>
        <v>41.343685000000001</v>
      </c>
      <c r="I87" s="67" cm="1">
        <f t="array" ref="I87">_xlfn.IFS($G87=$G$5,I$5,$G87=$G$6,I$6,$G87=$G$7,I$7,$G87=$G$8,I$8,$G87=$G$9,I$9,$G87=$G$10,I$10,$G87=$G$11,I$11,$G87=$G$12,I$12,$G87=$G$13,I$13,$G87=$G$15,I$15,$G87=$G$16,I$16,$G87=$G$17,I$17,$G87=$G$18,I$18,$G87=$G$19,I$19,$G87=$G$20,I$20,$G87=$G$21,I$21,$G87=$G$22,I$22,$G87=$G$25,I$25,$G87=$G$26,I$26,$G87=$G$27,I$27,$G87=$G$29,I$29,$G87=$G$31,I$31,$G87=$G$32,I$32,$G87=$G$248,I$248,$G87=$G$250,I$250)</f>
        <v>2.1441490000000001</v>
      </c>
      <c r="J87" s="48" cm="1">
        <f t="array" ref="J87">_xlfn.IFS($G87=$G$5,J$5,$G87=$G$6,J$6,$G87=$G$7,J$7,$G87=$G$8,J$8,$G87=$G$9,J$9,$G87=$G$10,J$10,$G87=$G$11,J$11,$G87=$G$12,J$12,$G87=$G$13,J$13,$G87=$G$15,J$15,$G87=$G$16,J$16,$G87=$G$17,J$17,$G87=$G$18,J$18,$G87=$G$19,J$19,$G87=$G$20,J$20,$G87=$G$21,J$21,$G87=$G$22,J$22,$G87=$G$25,J$25,$G87=$G$26,J$26,$G87=$G$27,J$27,$G87=$G$29,J$29,$G87=$G$31,J$31,$G87=$G$32,J$32,$G87=$G$248,J$248,$G87=$G$250,J$250)</f>
        <v>4</v>
      </c>
      <c r="K87" s="48" t="str" cm="1">
        <f t="array" ref="K87">_xlfn.IFS($G87=$G$5,K$5,$G87=$G$6,K$6,$G87=$G$7,K$7,$G87=$G$8,K$8,$G87=$G$9,K$9,$G87=$G$10,K$10,$G87=$G$11,K$11,$G87=$G$12,K$12,$G87=$G$13,K$13,$G87=$G$15,K$15,$G87=$G$16,K$16,$G87=$G$17,K$17,$G87=$G$18,K$18,$G87=$G$19,K$19,$G87=$G$20,K$20,$G87=$G$21,K$21,$G87=$G$22,K$22,$G87=$G$25,K$25,$G87=$G$26,K$26,$G87=$G$27,K$27,$G87=$G$29,K$29,$G87=$G$31,K$31,$G87=$G$32,K$32,$G87=$G$248,K$248,$G87=$G$250,K$250)</f>
        <v>BG sentinel + BG lure7</v>
      </c>
      <c r="L87" s="48" t="str" cm="1">
        <f t="array" ref="L87">_xlfn.IFS($G87=$G$5,L$5,$G87=$G$6,L$6,$G87=$G$7,L$7,$G87=$G$8,L$8,$G87=$G$9,L$9,$G87=$G$10,L$10,$G87=$G$11,L$11,$G87=$G$12,L$12,$G87=$G$13,L$13,$G87=$G$15,L$15,$G87=$G$16,L$16,$G87=$G$17,L$17,$G87=$G$18,L$18,$G87=$G$19,L$19,$G87=$G$20,L$20,$G87=$G$21,L$21,$G87=$G$22,L$22,$G87=$G$25,L$25,$G87=$G$26,L$26,$G87=$G$27,L$27,$G87=$G$29,L$29,$G87=$G$31,L$31,$G87=$G$32,L$32,$G87=$G$248,L$248,$G87=$G$250,L$250)</f>
        <v>Urban habitat</v>
      </c>
      <c r="M87" s="48"/>
      <c r="O87" s="45" t="str">
        <f t="shared" si="0"/>
        <v>A_SP_BCN_10_210528</v>
      </c>
      <c r="P87" s="64">
        <v>44344</v>
      </c>
      <c r="R87" s="72"/>
      <c r="S87" s="64">
        <v>44350</v>
      </c>
      <c r="U87" s="72"/>
      <c r="V87" s="54" t="s">
        <v>66</v>
      </c>
      <c r="X87" s="45">
        <f t="shared" si="5"/>
        <v>6</v>
      </c>
      <c r="Z87" s="45" t="s">
        <v>80</v>
      </c>
      <c r="AA87" s="45">
        <f t="shared" si="6"/>
        <v>2</v>
      </c>
      <c r="AB87" t="str">
        <f t="shared" si="7"/>
        <v>Adult</v>
      </c>
      <c r="AC87" s="45">
        <v>1</v>
      </c>
      <c r="AD87" s="45">
        <v>1</v>
      </c>
      <c r="AE87" s="45" t="str">
        <f t="shared" si="8"/>
        <v>Morphological</v>
      </c>
      <c r="AF87" s="56">
        <v>4</v>
      </c>
    </row>
    <row r="88" spans="1:32" ht="18" customHeight="1" x14ac:dyDescent="0.25">
      <c r="A88" s="45">
        <v>84</v>
      </c>
      <c r="B88" s="45" t="s">
        <v>60</v>
      </c>
      <c r="C88" s="45" t="s">
        <v>61</v>
      </c>
      <c r="D88" s="45" t="s">
        <v>62</v>
      </c>
      <c r="E88" s="45" t="s">
        <v>62</v>
      </c>
      <c r="F88" s="46" cm="1">
        <f t="array" ref="F88">_xlfn.IFS($G88=$G$5,F$5,$G88=$G$6,F$6,$G88=$G$7,F$7,$G88=$G$8,F$8,$G88=$G$9,F$9,$G88=$G$10,F$10,$G88=$G$11,F$11,$G88=$G$12,F$12,$G88=$G$13,F$13,$G88=$G$15,F$15,$G88=$G$16,F$16,$G88=$G$17,F$17,$G88=$G$18,F$18,$G88=$G$19,F$19,$G88=$G$20,F$20,$G88=$G$21,F$21,$G88=$G$22,F$22,$G88=$G$25,F$25,$G88=$G$26,F$26,$G88=$G$27,F$27,$G88=$G$29,F$29,$G88=$G$31,F$31,$G88=$G$32,F$32,$G88=$G$248,F$248,$G88=$G$250,F$250)</f>
        <v>8038</v>
      </c>
      <c r="G88" t="s">
        <v>82</v>
      </c>
      <c r="H88" s="67" cm="1">
        <f t="array" ref="H88">_xlfn.IFS($G88=$G$5,H$5,$G88=$G$6,H$6,$G88=$G$7,H$7,$G88=$G$8,H$8,$G88=$G$9,H$9,$G88=$G$10,H$10,$G88=$G$11,H$11,$G88=$G$12,H$12,$G88=$G$13,H$13,$G88=$G$15,H$15,$G88=$G$16,H$16,$G88=$G$17,H$17,$G88=$G$18,H$18,$G88=$G$19,H$19,$G88=$G$20,H$20,$G88=$G$21,H$21,$G88=$G$22,H$22,$G88=$G$25,H$25,$G88=$G$26,H$26,$G88=$G$27,H$27,$G88=$G$29,H$29,$G88=$G$31,H$31,$G88=$G$32,H$32,$G88=$G$248,H$248,$G88=$G$250,H$250)</f>
        <v>41.367429999999999</v>
      </c>
      <c r="I88" s="67" cm="1">
        <f t="array" ref="I88">_xlfn.IFS($G88=$G$5,I$5,$G88=$G$6,I$6,$G88=$G$7,I$7,$G88=$G$8,I$8,$G88=$G$9,I$9,$G88=$G$10,I$10,$G88=$G$11,I$11,$G88=$G$12,I$12,$G88=$G$13,I$13,$G88=$G$15,I$15,$G88=$G$16,I$16,$G88=$G$17,I$17,$G88=$G$18,I$18,$G88=$G$19,I$19,$G88=$G$20,I$20,$G88=$G$21,I$21,$G88=$G$22,I$22,$G88=$G$25,I$25,$G88=$G$26,I$26,$G88=$G$27,I$27,$G88=$G$29,I$29,$G88=$G$31,I$31,$G88=$G$32,I$32,$G88=$G$248,I$248,$G88=$G$250,I$250)</f>
        <v>2.1569609999999999</v>
      </c>
      <c r="J88" s="48" cm="1">
        <f t="array" ref="J88">_xlfn.IFS($G88=$G$5,J$5,$G88=$G$6,J$6,$G88=$G$7,J$7,$G88=$G$8,J$8,$G88=$G$9,J$9,$G88=$G$10,J$10,$G88=$G$11,J$11,$G88=$G$12,J$12,$G88=$G$13,J$13,$G88=$G$15,J$15,$G88=$G$16,J$16,$G88=$G$17,J$17,$G88=$G$18,J$18,$G88=$G$19,J$19,$G88=$G$20,J$20,$G88=$G$21,J$21,$G88=$G$22,J$22,$G88=$G$25,J$25,$G88=$G$26,J$26,$G88=$G$27,J$27,$G88=$G$29,J$29,$G88=$G$31,J$31,$G88=$G$32,J$32,$G88=$G$248,J$248,$G88=$G$250,J$250)</f>
        <v>91</v>
      </c>
      <c r="K88" s="48" t="str" cm="1">
        <f t="array" ref="K88">_xlfn.IFS($G88=$G$5,K$5,$G88=$G$6,K$6,$G88=$G$7,K$7,$G88=$G$8,K$8,$G88=$G$9,K$9,$G88=$G$10,K$10,$G88=$G$11,K$11,$G88=$G$12,K$12,$G88=$G$13,K$13,$G88=$G$15,K$15,$G88=$G$16,K$16,$G88=$G$17,K$17,$G88=$G$18,K$18,$G88=$G$19,K$19,$G88=$G$20,K$20,$G88=$G$21,K$21,$G88=$G$22,K$22,$G88=$G$25,K$25,$G88=$G$26,K$26,$G88=$G$27,K$27,$G88=$G$29,K$29,$G88=$G$31,K$31,$G88=$G$32,K$32,$G88=$G$248,K$248,$G88=$G$250,K$250)</f>
        <v>BG sentinel + BG lure7</v>
      </c>
      <c r="L88" s="48" t="str" cm="1">
        <f t="array" ref="L88">_xlfn.IFS($G88=$G$5,L$5,$G88=$G$6,L$6,$G88=$G$7,L$7,$G88=$G$8,L$8,$G88=$G$9,L$9,$G88=$G$10,L$10,$G88=$G$11,L$11,$G88=$G$12,L$12,$G88=$G$13,L$13,$G88=$G$15,L$15,$G88=$G$16,L$16,$G88=$G$17,L$17,$G88=$G$18,L$18,$G88=$G$19,L$19,$G88=$G$20,L$20,$G88=$G$21,L$21,$G88=$G$22,L$22,$G88=$G$25,L$25,$G88=$G$26,L$26,$G88=$G$27,L$27,$G88=$G$29,L$29,$G88=$G$31,L$31,$G88=$G$32,L$32,$G88=$G$248,L$248,$G88=$G$250,L$250)</f>
        <v>Other</v>
      </c>
      <c r="M88" s="48"/>
      <c r="O88" s="45" t="str">
        <f t="shared" si="0"/>
        <v>A_SP_BCN_11_210528</v>
      </c>
      <c r="P88" s="64">
        <v>44344</v>
      </c>
      <c r="R88" s="72"/>
      <c r="S88" s="64">
        <v>44350</v>
      </c>
      <c r="U88" s="72"/>
      <c r="V88" s="54" t="s">
        <v>66</v>
      </c>
      <c r="X88" s="45">
        <f t="shared" si="5"/>
        <v>6</v>
      </c>
      <c r="Z88" s="45" t="s">
        <v>69</v>
      </c>
      <c r="AA88" s="45">
        <f t="shared" si="6"/>
        <v>5</v>
      </c>
      <c r="AB88" t="str">
        <f t="shared" si="7"/>
        <v>Adult</v>
      </c>
      <c r="AC88" s="45">
        <v>5</v>
      </c>
      <c r="AD88" s="45">
        <v>0</v>
      </c>
      <c r="AE88" s="45" t="str">
        <f t="shared" si="8"/>
        <v>Morphological</v>
      </c>
      <c r="AF88" s="56">
        <v>4</v>
      </c>
    </row>
    <row r="89" spans="1:32" ht="18" customHeight="1" x14ac:dyDescent="0.25">
      <c r="A89" s="45">
        <v>85</v>
      </c>
      <c r="B89" s="45" t="s">
        <v>60</v>
      </c>
      <c r="C89" s="45" t="s">
        <v>61</v>
      </c>
      <c r="D89" s="45" t="s">
        <v>62</v>
      </c>
      <c r="E89" s="45" t="s">
        <v>62</v>
      </c>
      <c r="F89" s="46" cm="1">
        <f t="array" ref="F89">_xlfn.IFS($G89=$G$5,F$5,$G89=$G$6,F$6,$G89=$G$7,F$7,$G89=$G$8,F$8,$G89=$G$9,F$9,$G89=$G$10,F$10,$G89=$G$11,F$11,$G89=$G$12,F$12,$G89=$G$13,F$13,$G89=$G$15,F$15,$G89=$G$16,F$16,$G89=$G$17,F$17,$G89=$G$18,F$18,$G89=$G$19,F$19,$G89=$G$20,F$20,$G89=$G$21,F$21,$G89=$G$22,F$22,$G89=$G$25,F$25,$G89=$G$26,F$26,$G89=$G$27,F$27,$G89=$G$29,F$29,$G89=$G$31,F$31,$G89=$G$32,F$32,$G89=$G$248,F$248,$G89=$G$250,F$250)</f>
        <v>8038</v>
      </c>
      <c r="G89" t="s">
        <v>82</v>
      </c>
      <c r="H89" s="67" cm="1">
        <f t="array" ref="H89">_xlfn.IFS($G89=$G$5,H$5,$G89=$G$6,H$6,$G89=$G$7,H$7,$G89=$G$8,H$8,$G89=$G$9,H$9,$G89=$G$10,H$10,$G89=$G$11,H$11,$G89=$G$12,H$12,$G89=$G$13,H$13,$G89=$G$15,H$15,$G89=$G$16,H$16,$G89=$G$17,H$17,$G89=$G$18,H$18,$G89=$G$19,H$19,$G89=$G$20,H$20,$G89=$G$21,H$21,$G89=$G$22,H$22,$G89=$G$25,H$25,$G89=$G$26,H$26,$G89=$G$27,H$27,$G89=$G$29,H$29,$G89=$G$31,H$31,$G89=$G$32,H$32,$G89=$G$248,H$248,$G89=$G$250,H$250)</f>
        <v>41.367429999999999</v>
      </c>
      <c r="I89" s="67" cm="1">
        <f t="array" ref="I89">_xlfn.IFS($G89=$G$5,I$5,$G89=$G$6,I$6,$G89=$G$7,I$7,$G89=$G$8,I$8,$G89=$G$9,I$9,$G89=$G$10,I$10,$G89=$G$11,I$11,$G89=$G$12,I$12,$G89=$G$13,I$13,$G89=$G$15,I$15,$G89=$G$16,I$16,$G89=$G$17,I$17,$G89=$G$18,I$18,$G89=$G$19,I$19,$G89=$G$20,I$20,$G89=$G$21,I$21,$G89=$G$22,I$22,$G89=$G$25,I$25,$G89=$G$26,I$26,$G89=$G$27,I$27,$G89=$G$29,I$29,$G89=$G$31,I$31,$G89=$G$32,I$32,$G89=$G$248,I$248,$G89=$G$250,I$250)</f>
        <v>2.1569609999999999</v>
      </c>
      <c r="J89" s="48" cm="1">
        <f t="array" ref="J89">_xlfn.IFS($G89=$G$5,J$5,$G89=$G$6,J$6,$G89=$G$7,J$7,$G89=$G$8,J$8,$G89=$G$9,J$9,$G89=$G$10,J$10,$G89=$G$11,J$11,$G89=$G$12,J$12,$G89=$G$13,J$13,$G89=$G$15,J$15,$G89=$G$16,J$16,$G89=$G$17,J$17,$G89=$G$18,J$18,$G89=$G$19,J$19,$G89=$G$20,J$20,$G89=$G$21,J$21,$G89=$G$22,J$22,$G89=$G$25,J$25,$G89=$G$26,J$26,$G89=$G$27,J$27,$G89=$G$29,J$29,$G89=$G$31,J$31,$G89=$G$32,J$32,$G89=$G$248,J$248,$G89=$G$250,J$250)</f>
        <v>91</v>
      </c>
      <c r="K89" s="48" t="str" cm="1">
        <f t="array" ref="K89">_xlfn.IFS($G89=$G$5,K$5,$G89=$G$6,K$6,$G89=$G$7,K$7,$G89=$G$8,K$8,$G89=$G$9,K$9,$G89=$G$10,K$10,$G89=$G$11,K$11,$G89=$G$12,K$12,$G89=$G$13,K$13,$G89=$G$15,K$15,$G89=$G$16,K$16,$G89=$G$17,K$17,$G89=$G$18,K$18,$G89=$G$19,K$19,$G89=$G$20,K$20,$G89=$G$21,K$21,$G89=$G$22,K$22,$G89=$G$25,K$25,$G89=$G$26,K$26,$G89=$G$27,K$27,$G89=$G$29,K$29,$G89=$G$31,K$31,$G89=$G$32,K$32,$G89=$G$248,K$248,$G89=$G$250,K$250)</f>
        <v>BG sentinel + BG lure7</v>
      </c>
      <c r="L89" s="48" t="str" cm="1">
        <f t="array" ref="L89">_xlfn.IFS($G89=$G$5,L$5,$G89=$G$6,L$6,$G89=$G$7,L$7,$G89=$G$8,L$8,$G89=$G$9,L$9,$G89=$G$10,L$10,$G89=$G$11,L$11,$G89=$G$12,L$12,$G89=$G$13,L$13,$G89=$G$15,L$15,$G89=$G$16,L$16,$G89=$G$17,L$17,$G89=$G$18,L$18,$G89=$G$19,L$19,$G89=$G$20,L$20,$G89=$G$21,L$21,$G89=$G$22,L$22,$G89=$G$25,L$25,$G89=$G$26,L$26,$G89=$G$27,L$27,$G89=$G$29,L$29,$G89=$G$31,L$31,$G89=$G$32,L$32,$G89=$G$248,L$248,$G89=$G$250,L$250)</f>
        <v>Other</v>
      </c>
      <c r="M89" s="48"/>
      <c r="O89" s="45" t="str">
        <f t="shared" si="0"/>
        <v>A_SP_BCN_11_210528</v>
      </c>
      <c r="P89" s="64">
        <v>44344</v>
      </c>
      <c r="R89" s="72"/>
      <c r="S89" s="64">
        <v>44350</v>
      </c>
      <c r="U89" s="72"/>
      <c r="V89" s="54" t="s">
        <v>66</v>
      </c>
      <c r="X89" s="45">
        <f t="shared" si="5"/>
        <v>6</v>
      </c>
      <c r="Z89" s="45" t="s">
        <v>80</v>
      </c>
      <c r="AA89" s="45">
        <f t="shared" si="6"/>
        <v>1</v>
      </c>
      <c r="AB89" t="str">
        <f t="shared" si="7"/>
        <v>Adult</v>
      </c>
      <c r="AC89" s="45">
        <v>1</v>
      </c>
      <c r="AD89" s="45">
        <v>0</v>
      </c>
      <c r="AE89" s="45" t="str">
        <f t="shared" si="8"/>
        <v>Morphological</v>
      </c>
      <c r="AF89" s="56">
        <v>4</v>
      </c>
    </row>
    <row r="90" spans="1:32" ht="18" customHeight="1" x14ac:dyDescent="0.25">
      <c r="A90" s="45">
        <v>86</v>
      </c>
      <c r="B90" s="45" t="s">
        <v>60</v>
      </c>
      <c r="C90" s="45" t="s">
        <v>61</v>
      </c>
      <c r="D90" s="45" t="s">
        <v>62</v>
      </c>
      <c r="E90" s="45" t="s">
        <v>62</v>
      </c>
      <c r="F90" s="46" cm="1">
        <f t="array" ref="F90">_xlfn.IFS($G90=$G$5,F$5,$G90=$G$6,F$6,$G90=$G$7,F$7,$G90=$G$8,F$8,$G90=$G$9,F$9,$G90=$G$10,F$10,$G90=$G$11,F$11,$G90=$G$12,F$12,$G90=$G$13,F$13,$G90=$G$15,F$15,$G90=$G$16,F$16,$G90=$G$17,F$17,$G90=$G$18,F$18,$G90=$G$19,F$19,$G90=$G$20,F$20,$G90=$G$21,F$21,$G90=$G$22,F$22,$G90=$G$25,F$25,$G90=$G$26,F$26,$G90=$G$27,F$27,$G90=$G$29,F$29,$G90=$G$31,F$31,$G90=$G$32,F$32,$G90=$G$248,F$248,$G90=$G$250,F$250)</f>
        <v>8038</v>
      </c>
      <c r="G90" t="s">
        <v>84</v>
      </c>
      <c r="H90" s="67" cm="1">
        <f t="array" ref="H90">_xlfn.IFS($G90=$G$5,H$5,$G90=$G$6,H$6,$G90=$G$7,H$7,$G90=$G$8,H$8,$G90=$G$9,H$9,$G90=$G$10,H$10,$G90=$G$11,H$11,$G90=$G$12,H$12,$G90=$G$13,H$13,$G90=$G$15,H$15,$G90=$G$16,H$16,$G90=$G$17,H$17,$G90=$G$18,H$18,$G90=$G$19,H$19,$G90=$G$20,H$20,$G90=$G$21,H$21,$G90=$G$22,H$22,$G90=$G$25,H$25,$G90=$G$26,H$26,$G90=$G$27,H$27,$G90=$G$29,H$29,$G90=$G$31,H$31,$G90=$G$32,H$32,$G90=$G$248,H$248,$G90=$G$250,H$250)</f>
        <v>41.363377999999997</v>
      </c>
      <c r="I90" s="67" cm="1">
        <f t="array" ref="I90">_xlfn.IFS($G90=$G$5,I$5,$G90=$G$6,I$6,$G90=$G$7,I$7,$G90=$G$8,I$8,$G90=$G$9,I$9,$G90=$G$10,I$10,$G90=$G$11,I$11,$G90=$G$12,I$12,$G90=$G$13,I$13,$G90=$G$15,I$15,$G90=$G$16,I$16,$G90=$G$17,I$17,$G90=$G$18,I$18,$G90=$G$19,I$19,$G90=$G$20,I$20,$G90=$G$21,I$21,$G90=$G$22,I$22,$G90=$G$25,I$25,$G90=$G$26,I$26,$G90=$G$27,I$27,$G90=$G$29,I$29,$G90=$G$31,I$31,$G90=$G$32,I$32,$G90=$G$248,I$248,$G90=$G$250,I$250)</f>
        <v>2.164879</v>
      </c>
      <c r="J90" s="48" cm="1">
        <f t="array" ref="J90">_xlfn.IFS($G90=$G$5,J$5,$G90=$G$6,J$6,$G90=$G$7,J$7,$G90=$G$8,J$8,$G90=$G$9,J$9,$G90=$G$10,J$10,$G90=$G$11,J$11,$G90=$G$12,J$12,$G90=$G$13,J$13,$G90=$G$15,J$15,$G90=$G$16,J$16,$G90=$G$17,J$17,$G90=$G$18,J$18,$G90=$G$19,J$19,$G90=$G$20,J$20,$G90=$G$21,J$21,$G90=$G$22,J$22,$G90=$G$25,J$25,$G90=$G$26,J$26,$G90=$G$27,J$27,$G90=$G$29,J$29,$G90=$G$31,J$31,$G90=$G$32,J$32,$G90=$G$248,J$248,$G90=$G$250,J$250)</f>
        <v>185</v>
      </c>
      <c r="K90" s="48" t="str" cm="1">
        <f t="array" ref="K90">_xlfn.IFS($G90=$G$5,K$5,$G90=$G$6,K$6,$G90=$G$7,K$7,$G90=$G$8,K$8,$G90=$G$9,K$9,$G90=$G$10,K$10,$G90=$G$11,K$11,$G90=$G$12,K$12,$G90=$G$13,K$13,$G90=$G$15,K$15,$G90=$G$16,K$16,$G90=$G$17,K$17,$G90=$G$18,K$18,$G90=$G$19,K$19,$G90=$G$20,K$20,$G90=$G$21,K$21,$G90=$G$22,K$22,$G90=$G$25,K$25,$G90=$G$26,K$26,$G90=$G$27,K$27,$G90=$G$29,K$29,$G90=$G$31,K$31,$G90=$G$32,K$32,$G90=$G$248,K$248,$G90=$G$250,K$250)</f>
        <v>BG sentinel + BG lure7</v>
      </c>
      <c r="L90" s="48" t="str" cm="1">
        <f t="array" ref="L90">_xlfn.IFS($G90=$G$5,L$5,$G90=$G$6,L$6,$G90=$G$7,L$7,$G90=$G$8,L$8,$G90=$G$9,L$9,$G90=$G$10,L$10,$G90=$G$11,L$11,$G90=$G$12,L$12,$G90=$G$13,L$13,$G90=$G$15,L$15,$G90=$G$16,L$16,$G90=$G$17,L$17,$G90=$G$18,L$18,$G90=$G$19,L$19,$G90=$G$20,L$20,$G90=$G$21,L$21,$G90=$G$22,L$22,$G90=$G$25,L$25,$G90=$G$26,L$26,$G90=$G$27,L$27,$G90=$G$29,L$29,$G90=$G$31,L$31,$G90=$G$32,L$32,$G90=$G$248,L$248,$G90=$G$250,L$250)</f>
        <v>Other</v>
      </c>
      <c r="M90" s="48"/>
      <c r="O90" s="45" t="str">
        <f t="shared" si="0"/>
        <v>A_SP_BCN_12_210528</v>
      </c>
      <c r="P90" s="64">
        <v>44344</v>
      </c>
      <c r="R90" s="72"/>
      <c r="S90" s="64">
        <v>44350</v>
      </c>
      <c r="U90" s="72"/>
      <c r="V90" s="54" t="s">
        <v>66</v>
      </c>
      <c r="X90" s="45">
        <f t="shared" si="5"/>
        <v>6</v>
      </c>
      <c r="Z90" s="45" t="s">
        <v>70</v>
      </c>
      <c r="AA90" s="45">
        <f t="shared" si="6"/>
        <v>14</v>
      </c>
      <c r="AB90" t="str">
        <f t="shared" si="7"/>
        <v>Adult</v>
      </c>
      <c r="AC90" s="45">
        <v>14</v>
      </c>
      <c r="AD90" s="45">
        <v>0</v>
      </c>
      <c r="AE90" s="45" t="str">
        <f t="shared" si="8"/>
        <v>Morphological</v>
      </c>
      <c r="AF90" s="56">
        <v>4</v>
      </c>
    </row>
    <row r="91" spans="1:32" ht="18" customHeight="1" x14ac:dyDescent="0.25">
      <c r="A91" s="45">
        <v>87</v>
      </c>
      <c r="B91" s="45" t="s">
        <v>60</v>
      </c>
      <c r="C91" s="45" t="s">
        <v>61</v>
      </c>
      <c r="D91" s="45" t="s">
        <v>62</v>
      </c>
      <c r="E91" s="45" t="s">
        <v>62</v>
      </c>
      <c r="F91" s="46" cm="1">
        <f t="array" ref="F91">_xlfn.IFS($G91=$G$5,F$5,$G91=$G$6,F$6,$G91=$G$7,F$7,$G91=$G$8,F$8,$G91=$G$9,F$9,$G91=$G$10,F$10,$G91=$G$11,F$11,$G91=$G$12,F$12,$G91=$G$13,F$13,$G91=$G$15,F$15,$G91=$G$16,F$16,$G91=$G$17,F$17,$G91=$G$18,F$18,$G91=$G$19,F$19,$G91=$G$20,F$20,$G91=$G$21,F$21,$G91=$G$22,F$22,$G91=$G$25,F$25,$G91=$G$26,F$26,$G91=$G$27,F$27,$G91=$G$29,F$29,$G91=$G$31,F$31,$G91=$G$32,F$32,$G91=$G$248,F$248,$G91=$G$250,F$250)</f>
        <v>8038</v>
      </c>
      <c r="G91" t="s">
        <v>84</v>
      </c>
      <c r="H91" s="67" cm="1">
        <f t="array" ref="H91">_xlfn.IFS($G91=$G$5,H$5,$G91=$G$6,H$6,$G91=$G$7,H$7,$G91=$G$8,H$8,$G91=$G$9,H$9,$G91=$G$10,H$10,$G91=$G$11,H$11,$G91=$G$12,H$12,$G91=$G$13,H$13,$G91=$G$15,H$15,$G91=$G$16,H$16,$G91=$G$17,H$17,$G91=$G$18,H$18,$G91=$G$19,H$19,$G91=$G$20,H$20,$G91=$G$21,H$21,$G91=$G$22,H$22,$G91=$G$25,H$25,$G91=$G$26,H$26,$G91=$G$27,H$27,$G91=$G$29,H$29,$G91=$G$31,H$31,$G91=$G$32,H$32,$G91=$G$248,H$248,$G91=$G$250,H$250)</f>
        <v>41.363377999999997</v>
      </c>
      <c r="I91" s="67" cm="1">
        <f t="array" ref="I91">_xlfn.IFS($G91=$G$5,I$5,$G91=$G$6,I$6,$G91=$G$7,I$7,$G91=$G$8,I$8,$G91=$G$9,I$9,$G91=$G$10,I$10,$G91=$G$11,I$11,$G91=$G$12,I$12,$G91=$G$13,I$13,$G91=$G$15,I$15,$G91=$G$16,I$16,$G91=$G$17,I$17,$G91=$G$18,I$18,$G91=$G$19,I$19,$G91=$G$20,I$20,$G91=$G$21,I$21,$G91=$G$22,I$22,$G91=$G$25,I$25,$G91=$G$26,I$26,$G91=$G$27,I$27,$G91=$G$29,I$29,$G91=$G$31,I$31,$G91=$G$32,I$32,$G91=$G$248,I$248,$G91=$G$250,I$250)</f>
        <v>2.164879</v>
      </c>
      <c r="J91" s="48" cm="1">
        <f t="array" ref="J91">_xlfn.IFS($G91=$G$5,J$5,$G91=$G$6,J$6,$G91=$G$7,J$7,$G91=$G$8,J$8,$G91=$G$9,J$9,$G91=$G$10,J$10,$G91=$G$11,J$11,$G91=$G$12,J$12,$G91=$G$13,J$13,$G91=$G$15,J$15,$G91=$G$16,J$16,$G91=$G$17,J$17,$G91=$G$18,J$18,$G91=$G$19,J$19,$G91=$G$20,J$20,$G91=$G$21,J$21,$G91=$G$22,J$22,$G91=$G$25,J$25,$G91=$G$26,J$26,$G91=$G$27,J$27,$G91=$G$29,J$29,$G91=$G$31,J$31,$G91=$G$32,J$32,$G91=$G$248,J$248,$G91=$G$250,J$250)</f>
        <v>185</v>
      </c>
      <c r="K91" s="48" t="str" cm="1">
        <f t="array" ref="K91">_xlfn.IFS($G91=$G$5,K$5,$G91=$G$6,K$6,$G91=$G$7,K$7,$G91=$G$8,K$8,$G91=$G$9,K$9,$G91=$G$10,K$10,$G91=$G$11,K$11,$G91=$G$12,K$12,$G91=$G$13,K$13,$G91=$G$15,K$15,$G91=$G$16,K$16,$G91=$G$17,K$17,$G91=$G$18,K$18,$G91=$G$19,K$19,$G91=$G$20,K$20,$G91=$G$21,K$21,$G91=$G$22,K$22,$G91=$G$25,K$25,$G91=$G$26,K$26,$G91=$G$27,K$27,$G91=$G$29,K$29,$G91=$G$31,K$31,$G91=$G$32,K$32,$G91=$G$248,K$248,$G91=$G$250,K$250)</f>
        <v>BG sentinel + BG lure7</v>
      </c>
      <c r="L91" s="48" t="str" cm="1">
        <f t="array" ref="L91">_xlfn.IFS($G91=$G$5,L$5,$G91=$G$6,L$6,$G91=$G$7,L$7,$G91=$G$8,L$8,$G91=$G$9,L$9,$G91=$G$10,L$10,$G91=$G$11,L$11,$G91=$G$12,L$12,$G91=$G$13,L$13,$G91=$G$15,L$15,$G91=$G$16,L$16,$G91=$G$17,L$17,$G91=$G$18,L$18,$G91=$G$19,L$19,$G91=$G$20,L$20,$G91=$G$21,L$21,$G91=$G$22,L$22,$G91=$G$25,L$25,$G91=$G$26,L$26,$G91=$G$27,L$27,$G91=$G$29,L$29,$G91=$G$31,L$31,$G91=$G$32,L$32,$G91=$G$248,L$248,$G91=$G$250,L$250)</f>
        <v>Other</v>
      </c>
      <c r="M91" s="48"/>
      <c r="O91" s="45" t="str">
        <f t="shared" si="0"/>
        <v>A_SP_BCN_12_210528</v>
      </c>
      <c r="P91" s="64">
        <v>44344</v>
      </c>
      <c r="R91" s="72"/>
      <c r="S91" s="64">
        <v>44350</v>
      </c>
      <c r="U91" s="72"/>
      <c r="V91" s="54" t="s">
        <v>66</v>
      </c>
      <c r="X91" s="45">
        <f t="shared" si="5"/>
        <v>6</v>
      </c>
      <c r="Z91" s="45" t="s">
        <v>80</v>
      </c>
      <c r="AA91" s="45">
        <f t="shared" si="6"/>
        <v>1</v>
      </c>
      <c r="AB91" t="str">
        <f t="shared" si="7"/>
        <v>Adult</v>
      </c>
      <c r="AC91" s="45">
        <v>0</v>
      </c>
      <c r="AD91" s="45">
        <v>1</v>
      </c>
      <c r="AE91" s="45" t="str">
        <f t="shared" si="8"/>
        <v>Morphological</v>
      </c>
      <c r="AF91" s="56">
        <v>4</v>
      </c>
    </row>
    <row r="92" spans="1:32" ht="18" customHeight="1" x14ac:dyDescent="0.25">
      <c r="A92" s="45">
        <v>88</v>
      </c>
      <c r="B92" s="45" t="s">
        <v>60</v>
      </c>
      <c r="C92" s="45" t="s">
        <v>61</v>
      </c>
      <c r="D92" s="45" t="s">
        <v>62</v>
      </c>
      <c r="E92" s="45" t="s">
        <v>62</v>
      </c>
      <c r="F92" s="46" cm="1">
        <f t="array" ref="F92">_xlfn.IFS($G92=$G$5,F$5,$G92=$G$6,F$6,$G92=$G$7,F$7,$G92=$G$8,F$8,$G92=$G$9,F$9,$G92=$G$10,F$10,$G92=$G$11,F$11,$G92=$G$12,F$12,$G92=$G$13,F$13,$G92=$G$15,F$15,$G92=$G$16,F$16,$G92=$G$17,F$17,$G92=$G$18,F$18,$G92=$G$19,F$19,$G92=$G$20,F$20,$G92=$G$21,F$21,$G92=$G$22,F$22,$G92=$G$25,F$25,$G92=$G$26,F$26,$G92=$G$27,F$27,$G92=$G$29,F$29,$G92=$G$31,F$31,$G92=$G$32,F$32,$G92=$G$248,F$248,$G92=$G$250,F$250)</f>
        <v>8035</v>
      </c>
      <c r="G92" t="s">
        <v>85</v>
      </c>
      <c r="H92" s="67" cm="1">
        <f t="array" ref="H92">_xlfn.IFS($G92=$G$5,H$5,$G92=$G$6,H$6,$G92=$G$7,H$7,$G92=$G$8,H$8,$G92=$G$9,H$9,$G92=$G$10,H$10,$G92=$G$11,H$11,$G92=$G$12,H$12,$G92=$G$13,H$13,$G92=$G$15,H$15,$G92=$G$16,H$16,$G92=$G$17,H$17,$G92=$G$18,H$18,$G92=$G$19,H$19,$G92=$G$20,H$20,$G92=$G$21,H$21,$G92=$G$22,H$22,$G92=$G$25,H$25,$G92=$G$26,H$26,$G92=$G$27,H$27,$G92=$G$29,H$29,$G92=$G$31,H$31,$G92=$G$32,H$32,$G92=$G$248,H$248,$G92=$G$250,H$250)</f>
        <v>41.434472</v>
      </c>
      <c r="I92" s="67" cm="1">
        <f t="array" ref="I92">_xlfn.IFS($G92=$G$5,I$5,$G92=$G$6,I$6,$G92=$G$7,I$7,$G92=$G$8,I$8,$G92=$G$9,I$9,$G92=$G$10,I$10,$G92=$G$11,I$11,$G92=$G$12,I$12,$G92=$G$13,I$13,$G92=$G$15,I$15,$G92=$G$16,I$16,$G92=$G$17,I$17,$G92=$G$18,I$18,$G92=$G$19,I$19,$G92=$G$20,I$20,$G92=$G$21,I$21,$G92=$G$22,I$22,$G92=$G$25,I$25,$G92=$G$26,I$26,$G92=$G$27,I$27,$G92=$G$29,I$29,$G92=$G$31,I$31,$G92=$G$32,I$32,$G92=$G$248,I$248,$G92=$G$250,I$250)</f>
        <v>2.1315789999999999</v>
      </c>
      <c r="J92" s="48" cm="1">
        <f t="array" ref="J92">_xlfn.IFS($G92=$G$5,J$5,$G92=$G$6,J$6,$G92=$G$7,J$7,$G92=$G$8,J$8,$G92=$G$9,J$9,$G92=$G$10,J$10,$G92=$G$11,J$11,$G92=$G$12,J$12,$G92=$G$13,J$13,$G92=$G$15,J$15,$G92=$G$16,J$16,$G92=$G$17,J$17,$G92=$G$18,J$18,$G92=$G$19,J$19,$G92=$G$20,J$20,$G92=$G$21,J$21,$G92=$G$22,J$22,$G92=$G$25,J$25,$G92=$G$26,J$26,$G92=$G$27,J$27,$G92=$G$29,J$29,$G92=$G$31,J$31,$G92=$G$32,J$32,$G92=$G$248,J$248,$G92=$G$250,J$250)</f>
        <v>365</v>
      </c>
      <c r="K92" s="48" t="str" cm="1">
        <f t="array" ref="K92">_xlfn.IFS($G92=$G$5,K$5,$G92=$G$6,K$6,$G92=$G$7,K$7,$G92=$G$8,K$8,$G92=$G$9,K$9,$G92=$G$10,K$10,$G92=$G$11,K$11,$G92=$G$12,K$12,$G92=$G$13,K$13,$G92=$G$15,K$15,$G92=$G$16,K$16,$G92=$G$17,K$17,$G92=$G$18,K$18,$G92=$G$19,K$19,$G92=$G$20,K$20,$G92=$G$21,K$21,$G92=$G$22,K$22,$G92=$G$25,K$25,$G92=$G$26,K$26,$G92=$G$27,K$27,$G92=$G$29,K$29,$G92=$G$31,K$31,$G92=$G$32,K$32,$G92=$G$248,K$248,$G92=$G$250,K$250)</f>
        <v>BG sentinel + BG lure7</v>
      </c>
      <c r="L92" s="48" t="str" cm="1">
        <f t="array" ref="L92">_xlfn.IFS($G92=$G$5,L$5,$G92=$G$6,L$6,$G92=$G$7,L$7,$G92=$G$8,L$8,$G92=$G$9,L$9,$G92=$G$10,L$10,$G92=$G$11,L$11,$G92=$G$12,L$12,$G92=$G$13,L$13,$G92=$G$15,L$15,$G92=$G$16,L$16,$G92=$G$17,L$17,$G92=$G$18,L$18,$G92=$G$19,L$19,$G92=$G$20,L$20,$G92=$G$21,L$21,$G92=$G$22,L$22,$G92=$G$25,L$25,$G92=$G$26,L$26,$G92=$G$27,L$27,$G92=$G$29,L$29,$G92=$G$31,L$31,$G92=$G$32,L$32,$G92=$G$248,L$248,$G92=$G$250,L$250)</f>
        <v>Other</v>
      </c>
      <c r="M92" s="48"/>
      <c r="O92" s="45" t="str">
        <f t="shared" si="0"/>
        <v>A_SP_BCN_13_210527</v>
      </c>
      <c r="P92" s="49">
        <v>44343</v>
      </c>
      <c r="Q92" s="50"/>
      <c r="R92" s="51"/>
      <c r="S92" s="52">
        <v>44349</v>
      </c>
      <c r="U92" s="72"/>
      <c r="V92" s="54" t="s">
        <v>66</v>
      </c>
      <c r="W92" t="s">
        <v>102</v>
      </c>
      <c r="X92" s="45">
        <f t="shared" si="5"/>
        <v>6</v>
      </c>
      <c r="Z92" s="45" t="s">
        <v>80</v>
      </c>
      <c r="AA92" s="45">
        <f t="shared" si="6"/>
        <v>3</v>
      </c>
      <c r="AB92" t="str">
        <f t="shared" si="7"/>
        <v>Adult</v>
      </c>
      <c r="AC92" s="45">
        <v>3</v>
      </c>
      <c r="AD92" s="45">
        <v>0</v>
      </c>
      <c r="AE92" s="45" t="str">
        <f t="shared" si="8"/>
        <v>Morphological</v>
      </c>
      <c r="AF92" s="56">
        <v>4</v>
      </c>
    </row>
    <row r="93" spans="1:32" ht="18" customHeight="1" x14ac:dyDescent="0.25">
      <c r="A93" s="45">
        <v>89</v>
      </c>
      <c r="B93" s="45" t="s">
        <v>60</v>
      </c>
      <c r="C93" s="45" t="s">
        <v>61</v>
      </c>
      <c r="D93" s="45" t="s">
        <v>62</v>
      </c>
      <c r="E93" s="45" t="s">
        <v>62</v>
      </c>
      <c r="F93" s="46" cm="1">
        <f t="array" ref="F93">_xlfn.IFS($G93=$G$5,F$5,$G93=$G$6,F$6,$G93=$G$7,F$7,$G93=$G$8,F$8,$G93=$G$9,F$9,$G93=$G$10,F$10,$G93=$G$11,F$11,$G93=$G$12,F$12,$G93=$G$13,F$13,$G93=$G$15,F$15,$G93=$G$16,F$16,$G93=$G$17,F$17,$G93=$G$18,F$18,$G93=$G$19,F$19,$G93=$G$20,F$20,$G93=$G$21,F$21,$G93=$G$22,F$22,$G93=$G$25,F$25,$G93=$G$26,F$26,$G93=$G$27,F$27,$G93=$G$29,F$29,$G93=$G$31,F$31,$G93=$G$32,F$32,$G93=$G$248,F$248,$G93=$G$250,F$250)</f>
        <v>8017</v>
      </c>
      <c r="G93" s="45" t="s">
        <v>86</v>
      </c>
      <c r="H93" s="67" cm="1">
        <f t="array" ref="H93">_xlfn.IFS($G93=$G$5,H$5,$G93=$G$6,H$6,$G93=$G$7,H$7,$G93=$G$8,H$8,$G93=$G$9,H$9,$G93=$G$10,H$10,$G93=$G$11,H$11,$G93=$G$12,H$12,$G93=$G$13,H$13,$G93=$G$15,H$15,$G93=$G$16,H$16,$G93=$G$17,H$17,$G93=$G$18,H$18,$G93=$G$19,H$19,$G93=$G$20,H$20,$G93=$G$21,H$21,$G93=$G$22,H$22,$G93=$G$25,H$25,$G93=$G$26,H$26,$G93=$G$27,H$27,$G93=$G$29,H$29,$G93=$G$31,H$31,$G93=$G$32,H$32,$G93=$G$248,H$248,$G93=$G$250,H$250)</f>
        <v>41.428533999999999</v>
      </c>
      <c r="I93" s="67" cm="1">
        <f t="array" ref="I93">_xlfn.IFS($G93=$G$5,I$5,$G93=$G$6,I$6,$G93=$G$7,I$7,$G93=$G$8,I$8,$G93=$G$9,I$9,$G93=$G$10,I$10,$G93=$G$11,I$11,$G93=$G$12,I$12,$G93=$G$13,I$13,$G93=$G$15,I$15,$G93=$G$16,I$16,$G93=$G$17,I$17,$G93=$G$18,I$18,$G93=$G$19,I$19,$G93=$G$20,I$20,$G93=$G$21,I$21,$G93=$G$22,I$22,$G93=$G$25,I$25,$G93=$G$26,I$26,$G93=$G$27,I$27,$G93=$G$29,I$29,$G93=$G$31,I$31,$G93=$G$32,I$32,$G93=$G$248,I$248,$G93=$G$250,I$250)</f>
        <v>2.090954</v>
      </c>
      <c r="J93" s="48" cm="1">
        <f t="array" ref="J93">_xlfn.IFS($G93=$G$5,J$5,$G93=$G$6,J$6,$G93=$G$7,J$7,$G93=$G$8,J$8,$G93=$G$9,J$9,$G93=$G$10,J$10,$G93=$G$11,J$11,$G93=$G$12,J$12,$G93=$G$13,J$13,$G93=$G$15,J$15,$G93=$G$16,J$16,$G93=$G$17,J$17,$G93=$G$18,J$18,$G93=$G$19,J$19,$G93=$G$20,J$20,$G93=$G$21,J$21,$G93=$G$22,J$22,$G93=$G$25,J$25,$G93=$G$26,J$26,$G93=$G$27,J$27,$G93=$G$29,J$29,$G93=$G$31,J$31,$G93=$G$32,J$32,$G93=$G$248,J$248,$G93=$G$250,J$250)</f>
        <v>215</v>
      </c>
      <c r="K93" s="48" t="str" cm="1">
        <f t="array" ref="K93">_xlfn.IFS($G93=$G$5,K$5,$G93=$G$6,K$6,$G93=$G$7,K$7,$G93=$G$8,K$8,$G93=$G$9,K$9,$G93=$G$10,K$10,$G93=$G$11,K$11,$G93=$G$12,K$12,$G93=$G$13,K$13,$G93=$G$15,K$15,$G93=$G$16,K$16,$G93=$G$17,K$17,$G93=$G$18,K$18,$G93=$G$19,K$19,$G93=$G$20,K$20,$G93=$G$21,K$21,$G93=$G$22,K$22,$G93=$G$25,K$25,$G93=$G$26,K$26,$G93=$G$27,K$27,$G93=$G$29,K$29,$G93=$G$31,K$31,$G93=$G$32,K$32,$G93=$G$248,K$248,$G93=$G$250,K$250)</f>
        <v>BG sentinel + BG lure7</v>
      </c>
      <c r="L93" s="48"/>
      <c r="M93" s="48"/>
      <c r="O93" s="45" t="str">
        <f t="shared" si="0"/>
        <v>A_SP_BCN_14_210527</v>
      </c>
      <c r="P93" s="49">
        <v>44343</v>
      </c>
      <c r="Q93" s="50"/>
      <c r="R93" s="51"/>
      <c r="S93" s="52">
        <v>44349</v>
      </c>
      <c r="U93" s="72"/>
      <c r="V93" s="54" t="s">
        <v>66</v>
      </c>
      <c r="X93" s="45">
        <f t="shared" si="5"/>
        <v>6</v>
      </c>
      <c r="Z93" s="45" t="s">
        <v>80</v>
      </c>
      <c r="AA93" s="45">
        <f t="shared" si="6"/>
        <v>1</v>
      </c>
      <c r="AB93" t="str">
        <f t="shared" si="7"/>
        <v>Adult</v>
      </c>
      <c r="AC93" s="45">
        <v>0</v>
      </c>
      <c r="AD93" s="45">
        <v>1</v>
      </c>
      <c r="AE93" s="45" t="str">
        <f t="shared" si="8"/>
        <v>Morphological</v>
      </c>
      <c r="AF93" s="56">
        <v>4</v>
      </c>
    </row>
    <row r="94" spans="1:32" ht="18" customHeight="1" x14ac:dyDescent="0.25">
      <c r="A94" s="45">
        <v>90</v>
      </c>
      <c r="B94" s="45" t="s">
        <v>60</v>
      </c>
      <c r="C94" s="45" t="s">
        <v>61</v>
      </c>
      <c r="D94" s="45" t="s">
        <v>62</v>
      </c>
      <c r="E94" s="45" t="s">
        <v>62</v>
      </c>
      <c r="F94" s="46" cm="1">
        <f t="array" ref="F94">_xlfn.IFS($G94=$G$5,F$5,$G94=$G$6,F$6,$G94=$G$7,F$7,$G94=$G$8,F$8,$G94=$G$9,F$9,$G94=$G$10,F$10,$G94=$G$11,F$11,$G94=$G$12,F$12,$G94=$G$13,F$13,$G94=$G$15,F$15,$G94=$G$16,F$16,$G94=$G$17,F$17,$G94=$G$18,F$18,$G94=$G$19,F$19,$G94=$G$20,F$20,$G94=$G$21,F$21,$G94=$G$22,F$22,$G94=$G$25,F$25,$G94=$G$26,F$26,$G94=$G$27,F$27,$G94=$G$29,F$29,$G94=$G$31,F$31,$G94=$G$32,F$32,$G94=$G$248,F$248,$G94=$G$250,F$250)</f>
        <v>8017</v>
      </c>
      <c r="G94" s="45" t="s">
        <v>87</v>
      </c>
      <c r="H94" s="67" cm="1">
        <f t="array" ref="H94">_xlfn.IFS($G94=$G$5,H$5,$G94=$G$6,H$6,$G94=$G$7,H$7,$G94=$G$8,H$8,$G94=$G$9,H$9,$G94=$G$10,H$10,$G94=$G$11,H$11,$G94=$G$12,H$12,$G94=$G$13,H$13,$G94=$G$15,H$15,$G94=$G$16,H$16,$G94=$G$17,H$17,$G94=$G$18,H$18,$G94=$G$19,H$19,$G94=$G$20,H$20,$G94=$G$21,H$21,$G94=$G$22,H$22,$G94=$G$25,H$25,$G94=$G$26,H$26,$G94=$G$27,H$27,$G94=$G$29,H$29,$G94=$G$31,H$31,$G94=$G$32,H$32,$G94=$G$248,H$248,$G94=$G$250,H$250)</f>
        <v>41.419471000000001</v>
      </c>
      <c r="I94" s="67" cm="1">
        <f t="array" ref="I94">_xlfn.IFS($G94=$G$5,I$5,$G94=$G$6,I$6,$G94=$G$7,I$7,$G94=$G$8,I$8,$G94=$G$9,I$9,$G94=$G$10,I$10,$G94=$G$11,I$11,$G94=$G$12,I$12,$G94=$G$13,I$13,$G94=$G$15,I$15,$G94=$G$16,I$16,$G94=$G$17,I$17,$G94=$G$18,I$18,$G94=$G$19,I$19,$G94=$G$20,I$20,$G94=$G$21,I$21,$G94=$G$22,I$22,$G94=$G$25,I$25,$G94=$G$26,I$26,$G94=$G$27,I$27,$G94=$G$29,I$29,$G94=$G$31,I$31,$G94=$G$32,I$32,$G94=$G$248,I$248,$G94=$G$250,I$250)</f>
        <v>2.1010149999999999</v>
      </c>
      <c r="J94" s="48" cm="1">
        <f t="array" ref="J94">_xlfn.IFS($G94=$G$5,J$5,$G94=$G$6,J$6,$G94=$G$7,J$7,$G94=$G$8,J$8,$G94=$G$9,J$9,$G94=$G$10,J$10,$G94=$G$11,J$11,$G94=$G$12,J$12,$G94=$G$13,J$13,$G94=$G$15,J$15,$G94=$G$16,J$16,$G94=$G$17,J$17,$G94=$G$18,J$18,$G94=$G$19,J$19,$G94=$G$20,J$20,$G94=$G$21,J$21,$G94=$G$22,J$22,$G94=$G$25,J$25,$G94=$G$26,J$26,$G94=$G$27,J$27,$G94=$G$29,J$29,$G94=$G$31,J$31,$G94=$G$32,J$32,$G94=$G$248,J$248,$G94=$G$250,J$250)</f>
        <v>284</v>
      </c>
      <c r="K94" s="48" t="str" cm="1">
        <f t="array" ref="K94">_xlfn.IFS($G94=$G$5,K$5,$G94=$G$6,K$6,$G94=$G$7,K$7,$G94=$G$8,K$8,$G94=$G$9,K$9,$G94=$G$10,K$10,$G94=$G$11,K$11,$G94=$G$12,K$12,$G94=$G$13,K$13,$G94=$G$15,K$15,$G94=$G$16,K$16,$G94=$G$17,K$17,$G94=$G$18,K$18,$G94=$G$19,K$19,$G94=$G$20,K$20,$G94=$G$21,K$21,$G94=$G$22,K$22,$G94=$G$25,K$25,$G94=$G$26,K$26,$G94=$G$27,K$27,$G94=$G$29,K$29,$G94=$G$31,K$31,$G94=$G$32,K$32,$G94=$G$248,K$248,$G94=$G$250,K$250)</f>
        <v>BG sentinel + BG lure7</v>
      </c>
      <c r="L94" s="48"/>
      <c r="M94" s="48"/>
      <c r="O94" s="45" t="str">
        <f t="shared" si="0"/>
        <v>A_SP_BCN_15_210527</v>
      </c>
      <c r="P94" s="49">
        <v>44343</v>
      </c>
      <c r="Q94" s="50"/>
      <c r="R94" s="51"/>
      <c r="S94" s="52">
        <v>44349</v>
      </c>
      <c r="U94" s="72"/>
      <c r="V94" s="54" t="s">
        <v>66</v>
      </c>
      <c r="X94" s="45">
        <f t="shared" si="5"/>
        <v>6</v>
      </c>
      <c r="Z94" s="45"/>
      <c r="AA94" s="45">
        <f t="shared" si="6"/>
        <v>0</v>
      </c>
      <c r="AB94" t="str">
        <f t="shared" si="7"/>
        <v/>
      </c>
      <c r="AC94" s="45"/>
      <c r="AD94" s="45"/>
      <c r="AE94" s="45" t="str">
        <f t="shared" si="8"/>
        <v/>
      </c>
      <c r="AF94" s="56">
        <v>4</v>
      </c>
    </row>
    <row r="95" spans="1:32" ht="18" customHeight="1" x14ac:dyDescent="0.25">
      <c r="A95" s="45">
        <v>91</v>
      </c>
      <c r="B95" s="45" t="s">
        <v>60</v>
      </c>
      <c r="C95" s="45" t="s">
        <v>61</v>
      </c>
      <c r="D95" s="45" t="s">
        <v>62</v>
      </c>
      <c r="E95" s="45" t="s">
        <v>62</v>
      </c>
      <c r="F95" s="46" cm="1">
        <f t="array" ref="F95">_xlfn.IFS($G95=$G$5,F$5,$G95=$G$6,F$6,$G95=$G$7,F$7,$G95=$G$8,F$8,$G95=$G$9,F$9,$G95=$G$10,F$10,$G95=$G$11,F$11,$G95=$G$12,F$12,$G95=$G$13,F$13,$G95=$G$15,F$15,$G95=$G$16,F$16,$G95=$G$17,F$17,$G95=$G$18,F$18,$G95=$G$19,F$19,$G95=$G$20,F$20,$G95=$G$21,F$21,$G95=$G$22,F$22,$G95=$G$25,F$25,$G95=$G$26,F$26,$G95=$G$27,F$27,$G95=$G$29,F$29,$G95=$G$31,F$31,$G95=$G$32,F$32,$G95=$G$248,F$248,$G95=$G$250,F$250)</f>
        <v>8017</v>
      </c>
      <c r="G95" s="45" t="s">
        <v>88</v>
      </c>
      <c r="H95" s="67" cm="1">
        <f t="array" ref="H95">_xlfn.IFS($G95=$G$5,H$5,$G95=$G$6,H$6,$G95=$G$7,H$7,$G95=$G$8,H$8,$G95=$G$9,H$9,$G95=$G$10,H$10,$G95=$G$11,H$11,$G95=$G$12,H$12,$G95=$G$13,H$13,$G95=$G$15,H$15,$G95=$G$16,H$16,$G95=$G$17,H$17,$G95=$G$18,H$18,$G95=$G$19,H$19,$G95=$G$20,H$20,$G95=$G$21,H$21,$G95=$G$22,H$22,$G95=$G$25,H$25,$G95=$G$26,H$26,$G95=$G$27,H$27,$G95=$G$29,H$29,$G95=$G$31,H$31,$G95=$G$32,H$32,$G95=$G$248,H$248,$G95=$G$250,H$250)</f>
        <v>41.398387</v>
      </c>
      <c r="I95" s="67" cm="1">
        <f t="array" ref="I95">_xlfn.IFS($G95=$G$5,I$5,$G95=$G$6,I$6,$G95=$G$7,I$7,$G95=$G$8,I$8,$G95=$G$9,I$9,$G95=$G$10,I$10,$G95=$G$11,I$11,$G95=$G$12,I$12,$G95=$G$13,I$13,$G95=$G$15,I$15,$G95=$G$16,I$16,$G95=$G$17,I$17,$G95=$G$18,I$18,$G95=$G$19,I$19,$G95=$G$20,I$20,$G95=$G$21,I$21,$G95=$G$22,I$22,$G95=$G$25,I$25,$G95=$G$26,I$26,$G95=$G$27,I$27,$G95=$G$29,I$29,$G95=$G$31,I$31,$G95=$G$32,I$32,$G95=$G$248,I$248,$G95=$G$250,I$250)</f>
        <v>2.1244429999999999</v>
      </c>
      <c r="J95" s="48" cm="1">
        <f t="array" ref="J95">_xlfn.IFS($G95=$G$5,J$5,$G95=$G$6,J$6,$G95=$G$7,J$7,$G95=$G$8,J$8,$G95=$G$9,J$9,$G95=$G$10,J$10,$G95=$G$11,J$11,$G95=$G$12,J$12,$G95=$G$13,J$13,$G95=$G$15,J$15,$G95=$G$16,J$16,$G95=$G$17,J$17,$G95=$G$18,J$18,$G95=$G$19,J$19,$G95=$G$20,J$20,$G95=$G$21,J$21,$G95=$G$22,J$22,$G95=$G$25,J$25,$G95=$G$26,J$26,$G95=$G$27,J$27,$G95=$G$29,J$29,$G95=$G$31,J$31,$G95=$G$32,J$32,$G95=$G$248,J$248,$G95=$G$250,J$250)</f>
        <v>106</v>
      </c>
      <c r="K95" s="48" t="str" cm="1">
        <f t="array" ref="K95">_xlfn.IFS($G95=$G$5,K$5,$G95=$G$6,K$6,$G95=$G$7,K$7,$G95=$G$8,K$8,$G95=$G$9,K$9,$G95=$G$10,K$10,$G95=$G$11,K$11,$G95=$G$12,K$12,$G95=$G$13,K$13,$G95=$G$15,K$15,$G95=$G$16,K$16,$G95=$G$17,K$17,$G95=$G$18,K$18,$G95=$G$19,K$19,$G95=$G$20,K$20,$G95=$G$21,K$21,$G95=$G$22,K$22,$G95=$G$25,K$25,$G95=$G$26,K$26,$G95=$G$27,K$27,$G95=$G$29,K$29,$G95=$G$31,K$31,$G95=$G$32,K$32,$G95=$G$248,K$248,$G95=$G$250,K$250)</f>
        <v>BG sentinel + BG lure7</v>
      </c>
      <c r="L95" s="48"/>
      <c r="M95" s="48"/>
      <c r="O95" s="45" t="str">
        <f t="shared" si="0"/>
        <v>A_SP_BCN_16_210528</v>
      </c>
      <c r="P95" s="64">
        <v>44344</v>
      </c>
      <c r="R95" s="72"/>
      <c r="S95" s="52">
        <v>44349</v>
      </c>
      <c r="U95" s="72"/>
      <c r="V95" s="54" t="s">
        <v>66</v>
      </c>
      <c r="X95" s="45">
        <f t="shared" si="5"/>
        <v>5</v>
      </c>
      <c r="Z95" s="45" t="s">
        <v>69</v>
      </c>
      <c r="AA95" s="45">
        <f t="shared" si="6"/>
        <v>1</v>
      </c>
      <c r="AB95" t="str">
        <f t="shared" si="7"/>
        <v>Adult</v>
      </c>
      <c r="AC95" s="45">
        <v>0</v>
      </c>
      <c r="AD95" s="45">
        <v>1</v>
      </c>
      <c r="AE95" s="45" t="str">
        <f t="shared" si="8"/>
        <v>Morphological</v>
      </c>
      <c r="AF95" s="56">
        <v>4</v>
      </c>
    </row>
    <row r="96" spans="1:32" ht="18" customHeight="1" x14ac:dyDescent="0.25">
      <c r="A96" s="45">
        <v>92</v>
      </c>
      <c r="B96" s="45" t="s">
        <v>60</v>
      </c>
      <c r="C96" s="45" t="s">
        <v>61</v>
      </c>
      <c r="D96" s="45" t="s">
        <v>62</v>
      </c>
      <c r="E96" s="45" t="s">
        <v>62</v>
      </c>
      <c r="F96" s="46" cm="1">
        <f t="array" ref="F96">_xlfn.IFS($G96=$G$5,F$5,$G96=$G$6,F$6,$G96=$G$7,F$7,$G96=$G$8,F$8,$G96=$G$9,F$9,$G96=$G$10,F$10,$G96=$G$11,F$11,$G96=$G$12,F$12,$G96=$G$13,F$13,$G96=$G$15,F$15,$G96=$G$16,F$16,$G96=$G$17,F$17,$G96=$G$18,F$18,$G96=$G$19,F$19,$G96=$G$20,F$20,$G96=$G$21,F$21,$G96=$G$22,F$22,$G96=$G$25,F$25,$G96=$G$26,F$26,$G96=$G$27,F$27,$G96=$G$29,F$29,$G96=$G$31,F$31,$G96=$G$32,F$32,$G96=$G$248,F$248,$G96=$G$250,F$250)</f>
        <v>8017</v>
      </c>
      <c r="G96" s="45" t="s">
        <v>88</v>
      </c>
      <c r="H96" s="67" cm="1">
        <f t="array" ref="H96">_xlfn.IFS($G96=$G$5,H$5,$G96=$G$6,H$6,$G96=$G$7,H$7,$G96=$G$8,H$8,$G96=$G$9,H$9,$G96=$G$10,H$10,$G96=$G$11,H$11,$G96=$G$12,H$12,$G96=$G$13,H$13,$G96=$G$15,H$15,$G96=$G$16,H$16,$G96=$G$17,H$17,$G96=$G$18,H$18,$G96=$G$19,H$19,$G96=$G$20,H$20,$G96=$G$21,H$21,$G96=$G$22,H$22,$G96=$G$25,H$25,$G96=$G$26,H$26,$G96=$G$27,H$27,$G96=$G$29,H$29,$G96=$G$31,H$31,$G96=$G$32,H$32,$G96=$G$248,H$248,$G96=$G$250,H$250)</f>
        <v>41.398387</v>
      </c>
      <c r="I96" s="67" cm="1">
        <f t="array" ref="I96">_xlfn.IFS($G96=$G$5,I$5,$G96=$G$6,I$6,$G96=$G$7,I$7,$G96=$G$8,I$8,$G96=$G$9,I$9,$G96=$G$10,I$10,$G96=$G$11,I$11,$G96=$G$12,I$12,$G96=$G$13,I$13,$G96=$G$15,I$15,$G96=$G$16,I$16,$G96=$G$17,I$17,$G96=$G$18,I$18,$G96=$G$19,I$19,$G96=$G$20,I$20,$G96=$G$21,I$21,$G96=$G$22,I$22,$G96=$G$25,I$25,$G96=$G$26,I$26,$G96=$G$27,I$27,$G96=$G$29,I$29,$G96=$G$31,I$31,$G96=$G$32,I$32,$G96=$G$248,I$248,$G96=$G$250,I$250)</f>
        <v>2.1244429999999999</v>
      </c>
      <c r="J96" s="48" cm="1">
        <f t="array" ref="J96">_xlfn.IFS($G96=$G$5,J$5,$G96=$G$6,J$6,$G96=$G$7,J$7,$G96=$G$8,J$8,$G96=$G$9,J$9,$G96=$G$10,J$10,$G96=$G$11,J$11,$G96=$G$12,J$12,$G96=$G$13,J$13,$G96=$G$15,J$15,$G96=$G$16,J$16,$G96=$G$17,J$17,$G96=$G$18,J$18,$G96=$G$19,J$19,$G96=$G$20,J$20,$G96=$G$21,J$21,$G96=$G$22,J$22,$G96=$G$25,J$25,$G96=$G$26,J$26,$G96=$G$27,J$27,$G96=$G$29,J$29,$G96=$G$31,J$31,$G96=$G$32,J$32,$G96=$G$248,J$248,$G96=$G$250,J$250)</f>
        <v>106</v>
      </c>
      <c r="K96" s="48" t="str" cm="1">
        <f t="array" ref="K96">_xlfn.IFS($G96=$G$5,K$5,$G96=$G$6,K$6,$G96=$G$7,K$7,$G96=$G$8,K$8,$G96=$G$9,K$9,$G96=$G$10,K$10,$G96=$G$11,K$11,$G96=$G$12,K$12,$G96=$G$13,K$13,$G96=$G$15,K$15,$G96=$G$16,K$16,$G96=$G$17,K$17,$G96=$G$18,K$18,$G96=$G$19,K$19,$G96=$G$20,K$20,$G96=$G$21,K$21,$G96=$G$22,K$22,$G96=$G$25,K$25,$G96=$G$26,K$26,$G96=$G$27,K$27,$G96=$G$29,K$29,$G96=$G$31,K$31,$G96=$G$32,K$32,$G96=$G$248,K$248,$G96=$G$250,K$250)</f>
        <v>BG sentinel + BG lure7</v>
      </c>
      <c r="L96" s="48"/>
      <c r="M96" s="48"/>
      <c r="O96" s="45" t="str">
        <f t="shared" si="0"/>
        <v>A_SP_BCN_16_210528</v>
      </c>
      <c r="P96" s="64">
        <v>44344</v>
      </c>
      <c r="R96" s="72"/>
      <c r="S96" s="52">
        <v>44349</v>
      </c>
      <c r="U96" s="72"/>
      <c r="V96" s="54" t="s">
        <v>66</v>
      </c>
      <c r="X96" s="45">
        <f t="shared" si="5"/>
        <v>5</v>
      </c>
      <c r="Z96" s="45" t="s">
        <v>70</v>
      </c>
      <c r="AA96" s="45">
        <f t="shared" si="6"/>
        <v>6</v>
      </c>
      <c r="AB96" t="str">
        <f t="shared" si="7"/>
        <v>Adult</v>
      </c>
      <c r="AC96" s="45">
        <v>4</v>
      </c>
      <c r="AD96" s="45">
        <v>2</v>
      </c>
      <c r="AE96" s="45" t="str">
        <f t="shared" si="8"/>
        <v>Morphological</v>
      </c>
      <c r="AF96" s="56">
        <v>4</v>
      </c>
    </row>
    <row r="97" spans="1:32" ht="18" customHeight="1" x14ac:dyDescent="0.25">
      <c r="A97" s="45">
        <v>93</v>
      </c>
      <c r="B97" s="45" t="s">
        <v>60</v>
      </c>
      <c r="C97" s="45" t="s">
        <v>61</v>
      </c>
      <c r="D97" s="45" t="s">
        <v>62</v>
      </c>
      <c r="E97" s="45" t="s">
        <v>62</v>
      </c>
      <c r="F97" s="46" cm="1">
        <f t="array" ref="F97">_xlfn.IFS($G97=$G$5,F$5,$G97=$G$6,F$6,$G97=$G$7,F$7,$G97=$G$8,F$8,$G97=$G$9,F$9,$G97=$G$10,F$10,$G97=$G$11,F$11,$G97=$G$12,F$12,$G97=$G$13,F$13,$G97=$G$15,F$15,$G97=$G$16,F$16,$G97=$G$17,F$17,$G97=$G$18,F$18,$G97=$G$19,F$19,$G97=$G$20,F$20,$G97=$G$21,F$21,$G97=$G$22,F$22,$G97=$G$25,F$25,$G97=$G$26,F$26,$G97=$G$27,F$27,$G97=$G$29,F$29,$G97=$G$31,F$31,$G97=$G$32,F$32,$G97=$G$248,F$248,$G97=$G$250,F$250)</f>
        <v>8017</v>
      </c>
      <c r="G97" s="45" t="s">
        <v>88</v>
      </c>
      <c r="H97" s="67" cm="1">
        <f t="array" ref="H97">_xlfn.IFS($G97=$G$5,H$5,$G97=$G$6,H$6,$G97=$G$7,H$7,$G97=$G$8,H$8,$G97=$G$9,H$9,$G97=$G$10,H$10,$G97=$G$11,H$11,$G97=$G$12,H$12,$G97=$G$13,H$13,$G97=$G$15,H$15,$G97=$G$16,H$16,$G97=$G$17,H$17,$G97=$G$18,H$18,$G97=$G$19,H$19,$G97=$G$20,H$20,$G97=$G$21,H$21,$G97=$G$22,H$22,$G97=$G$25,H$25,$G97=$G$26,H$26,$G97=$G$27,H$27,$G97=$G$29,H$29,$G97=$G$31,H$31,$G97=$G$32,H$32,$G97=$G$248,H$248,$G97=$G$250,H$250)</f>
        <v>41.398387</v>
      </c>
      <c r="I97" s="67" cm="1">
        <f t="array" ref="I97">_xlfn.IFS($G97=$G$5,I$5,$G97=$G$6,I$6,$G97=$G$7,I$7,$G97=$G$8,I$8,$G97=$G$9,I$9,$G97=$G$10,I$10,$G97=$G$11,I$11,$G97=$G$12,I$12,$G97=$G$13,I$13,$G97=$G$15,I$15,$G97=$G$16,I$16,$G97=$G$17,I$17,$G97=$G$18,I$18,$G97=$G$19,I$19,$G97=$G$20,I$20,$G97=$G$21,I$21,$G97=$G$22,I$22,$G97=$G$25,I$25,$G97=$G$26,I$26,$G97=$G$27,I$27,$G97=$G$29,I$29,$G97=$G$31,I$31,$G97=$G$32,I$32,$G97=$G$248,I$248,$G97=$G$250,I$250)</f>
        <v>2.1244429999999999</v>
      </c>
      <c r="J97" s="48" cm="1">
        <f t="array" ref="J97">_xlfn.IFS($G97=$G$5,J$5,$G97=$G$6,J$6,$G97=$G$7,J$7,$G97=$G$8,J$8,$G97=$G$9,J$9,$G97=$G$10,J$10,$G97=$G$11,J$11,$G97=$G$12,J$12,$G97=$G$13,J$13,$G97=$G$15,J$15,$G97=$G$16,J$16,$G97=$G$17,J$17,$G97=$G$18,J$18,$G97=$G$19,J$19,$G97=$G$20,J$20,$G97=$G$21,J$21,$G97=$G$22,J$22,$G97=$G$25,J$25,$G97=$G$26,J$26,$G97=$G$27,J$27,$G97=$G$29,J$29,$G97=$G$31,J$31,$G97=$G$32,J$32,$G97=$G$248,J$248,$G97=$G$250,J$250)</f>
        <v>106</v>
      </c>
      <c r="K97" s="48" t="str" cm="1">
        <f t="array" ref="K97">_xlfn.IFS($G97=$G$5,K$5,$G97=$G$6,K$6,$G97=$G$7,K$7,$G97=$G$8,K$8,$G97=$G$9,K$9,$G97=$G$10,K$10,$G97=$G$11,K$11,$G97=$G$12,K$12,$G97=$G$13,K$13,$G97=$G$15,K$15,$G97=$G$16,K$16,$G97=$G$17,K$17,$G97=$G$18,K$18,$G97=$G$19,K$19,$G97=$G$20,K$20,$G97=$G$21,K$21,$G97=$G$22,K$22,$G97=$G$25,K$25,$G97=$G$26,K$26,$G97=$G$27,K$27,$G97=$G$29,K$29,$G97=$G$31,K$31,$G97=$G$32,K$32,$G97=$G$248,K$248,$G97=$G$250,K$250)</f>
        <v>BG sentinel + BG lure7</v>
      </c>
      <c r="L97" s="48"/>
      <c r="M97" s="48"/>
      <c r="O97" s="45" t="str">
        <f t="shared" ref="O97:O115" si="9">G97&amp;"_"&amp;TEXT(P97, "AAMMDD")</f>
        <v>A_SP_BCN_16_210528</v>
      </c>
      <c r="P97" s="64">
        <v>44344</v>
      </c>
      <c r="R97" s="72"/>
      <c r="S97" s="52">
        <v>44349</v>
      </c>
      <c r="U97" s="72"/>
      <c r="V97" s="54" t="s">
        <v>66</v>
      </c>
      <c r="X97" s="45">
        <f t="shared" si="5"/>
        <v>5</v>
      </c>
      <c r="Z97" s="45" t="s">
        <v>80</v>
      </c>
      <c r="AA97" s="45">
        <f t="shared" si="6"/>
        <v>3</v>
      </c>
      <c r="AB97" t="str">
        <f t="shared" si="7"/>
        <v>Adult</v>
      </c>
      <c r="AC97" s="45">
        <v>0</v>
      </c>
      <c r="AD97" s="45">
        <v>3</v>
      </c>
      <c r="AE97" s="45" t="str">
        <f t="shared" si="8"/>
        <v>Morphological</v>
      </c>
      <c r="AF97" s="56">
        <v>4</v>
      </c>
    </row>
    <row r="98" spans="1:32" ht="18" customHeight="1" x14ac:dyDescent="0.25">
      <c r="A98" s="45">
        <v>94</v>
      </c>
      <c r="B98" s="45" t="s">
        <v>60</v>
      </c>
      <c r="C98" s="45" t="s">
        <v>61</v>
      </c>
      <c r="D98" s="45" t="s">
        <v>62</v>
      </c>
      <c r="E98" s="45" t="s">
        <v>62</v>
      </c>
      <c r="F98" s="46" cm="1">
        <f t="array" ref="F98">_xlfn.IFS($G98=$G$5,F$5,$G98=$G$6,F$6,$G98=$G$7,F$7,$G98=$G$8,F$8,$G98=$G$9,F$9,$G98=$G$10,F$10,$G98=$G$11,F$11,$G98=$G$12,F$12,$G98=$G$13,F$13,$G98=$G$15,F$15,$G98=$G$16,F$16,$G98=$G$17,F$17,$G98=$G$18,F$18,$G98=$G$19,F$19,$G98=$G$20,F$20,$G98=$G$21,F$21,$G98=$G$22,F$22,$G98=$G$25,F$25,$G98=$G$26,F$26,$G98=$G$27,F$27,$G98=$G$29,F$29,$G98=$G$31,F$31,$G98=$G$32,F$32,$G98=$G$248,F$248,$G98=$G$250,F$250)</f>
        <v>8023</v>
      </c>
      <c r="G98" s="45" t="s">
        <v>89</v>
      </c>
      <c r="H98" s="67" cm="1">
        <f t="array" ref="H98">_xlfn.IFS($G98=$G$5,H$5,$G98=$G$6,H$6,$G98=$G$7,H$7,$G98=$G$8,H$8,$G98=$G$9,H$9,$G98=$G$10,H$10,$G98=$G$11,H$11,$G98=$G$12,H$12,$G98=$G$13,H$13,$G98=$G$15,H$15,$G98=$G$16,H$16,$G98=$G$17,H$17,$G98=$G$18,H$18,$G98=$G$19,H$19,$G98=$G$20,H$20,$G98=$G$21,H$21,$G98=$G$22,H$22,$G98=$G$25,H$25,$G98=$G$26,H$26,$G98=$G$27,H$27,$G98=$G$29,H$29,$G98=$G$31,H$31,$G98=$G$32,H$32,$G98=$G$248,H$248,$G98=$G$250,H$250)</f>
        <v>41.417256000000002</v>
      </c>
      <c r="I98" s="67" cm="1">
        <f t="array" ref="I98">_xlfn.IFS($G98=$G$5,I$5,$G98=$G$6,I$6,$G98=$G$7,I$7,$G98=$G$8,I$8,$G98=$G$9,I$9,$G98=$G$10,I$10,$G98=$G$11,I$11,$G98=$G$12,I$12,$G98=$G$13,I$13,$G98=$G$15,I$15,$G98=$G$16,I$16,$G98=$G$17,I$17,$G98=$G$18,I$18,$G98=$G$19,I$19,$G98=$G$20,I$20,$G98=$G$21,I$21,$G98=$G$22,I$22,$G98=$G$25,I$25,$G98=$G$26,I$26,$G98=$G$27,I$27,$G98=$G$29,I$29,$G98=$G$31,I$31,$G98=$G$32,I$32,$G98=$G$248,I$248,$G98=$G$250,I$250)</f>
        <v>2.1455709999999999</v>
      </c>
      <c r="J98" s="48" cm="1">
        <f t="array" ref="J98">_xlfn.IFS($G98=$G$5,J$5,$G98=$G$6,J$6,$G98=$G$7,J$7,$G98=$G$8,J$8,$G98=$G$9,J$9,$G98=$G$10,J$10,$G98=$G$11,J$11,$G98=$G$12,J$12,$G98=$G$13,J$13,$G98=$G$15,J$15,$G98=$G$16,J$16,$G98=$G$17,J$17,$G98=$G$18,J$18,$G98=$G$19,J$19,$G98=$G$20,J$20,$G98=$G$21,J$21,$G98=$G$22,J$22,$G98=$G$25,J$25,$G98=$G$26,J$26,$G98=$G$27,J$27,$G98=$G$29,J$29,$G98=$G$31,J$31,$G98=$G$32,J$32,$G98=$G$248,J$248,$G98=$G$250,J$250)</f>
        <v>186</v>
      </c>
      <c r="K98" s="48" t="str" cm="1">
        <f t="array" ref="K98">_xlfn.IFS($G98=$G$5,K$5,$G98=$G$6,K$6,$G98=$G$7,K$7,$G98=$G$8,K$8,$G98=$G$9,K$9,$G98=$G$10,K$10,$G98=$G$11,K$11,$G98=$G$12,K$12,$G98=$G$13,K$13,$G98=$G$15,K$15,$G98=$G$16,K$16,$G98=$G$17,K$17,$G98=$G$18,K$18,$G98=$G$19,K$19,$G98=$G$20,K$20,$G98=$G$21,K$21,$G98=$G$22,K$22,$G98=$G$25,K$25,$G98=$G$26,K$26,$G98=$G$27,K$27,$G98=$G$29,K$29,$G98=$G$31,K$31,$G98=$G$32,K$32,$G98=$G$248,K$248,$G98=$G$250,K$250)</f>
        <v>BG sentinel + BG lure7</v>
      </c>
      <c r="L98" s="48"/>
      <c r="M98" s="48"/>
      <c r="O98" s="45" t="str">
        <f t="shared" si="9"/>
        <v>A_SP_BCN_17_210527</v>
      </c>
      <c r="P98" s="64">
        <v>44343</v>
      </c>
      <c r="R98" s="72"/>
      <c r="S98" s="52">
        <v>44349</v>
      </c>
      <c r="U98" s="72"/>
      <c r="V98" s="54" t="s">
        <v>66</v>
      </c>
      <c r="X98" s="45">
        <f t="shared" si="5"/>
        <v>6</v>
      </c>
      <c r="Z98" s="45" t="s">
        <v>69</v>
      </c>
      <c r="AA98" s="45">
        <f t="shared" si="6"/>
        <v>3</v>
      </c>
      <c r="AB98" t="str">
        <f t="shared" si="7"/>
        <v>Adult</v>
      </c>
      <c r="AC98" s="69">
        <v>2</v>
      </c>
      <c r="AD98" s="69">
        <v>1</v>
      </c>
      <c r="AE98" s="45" t="str">
        <f t="shared" si="8"/>
        <v>Morphological</v>
      </c>
      <c r="AF98" s="56">
        <v>4</v>
      </c>
    </row>
    <row r="99" spans="1:32" ht="18" customHeight="1" x14ac:dyDescent="0.25">
      <c r="A99" s="45">
        <v>95</v>
      </c>
      <c r="B99" s="45" t="s">
        <v>60</v>
      </c>
      <c r="C99" s="45" t="s">
        <v>61</v>
      </c>
      <c r="D99" s="45" t="s">
        <v>62</v>
      </c>
      <c r="E99" s="45" t="s">
        <v>62</v>
      </c>
      <c r="F99" s="46" cm="1">
        <f t="array" ref="F99">_xlfn.IFS($G99=$G$5,F$5,$G99=$G$6,F$6,$G99=$G$7,F$7,$G99=$G$8,F$8,$G99=$G$9,F$9,$G99=$G$10,F$10,$G99=$G$11,F$11,$G99=$G$12,F$12,$G99=$G$13,F$13,$G99=$G$15,F$15,$G99=$G$16,F$16,$G99=$G$17,F$17,$G99=$G$18,F$18,$G99=$G$19,F$19,$G99=$G$20,F$20,$G99=$G$21,F$21,$G99=$G$22,F$22,$G99=$G$25,F$25,$G99=$G$26,F$26,$G99=$G$27,F$27,$G99=$G$29,F$29,$G99=$G$31,F$31,$G99=$G$32,F$32,$G99=$G$248,F$248,$G99=$G$250,F$250)</f>
        <v>8023</v>
      </c>
      <c r="G99" s="45" t="s">
        <v>89</v>
      </c>
      <c r="H99" s="67" cm="1">
        <f t="array" ref="H99">_xlfn.IFS($G99=$G$5,H$5,$G99=$G$6,H$6,$G99=$G$7,H$7,$G99=$G$8,H$8,$G99=$G$9,H$9,$G99=$G$10,H$10,$G99=$G$11,H$11,$G99=$G$12,H$12,$G99=$G$13,H$13,$G99=$G$15,H$15,$G99=$G$16,H$16,$G99=$G$17,H$17,$G99=$G$18,H$18,$G99=$G$19,H$19,$G99=$G$20,H$20,$G99=$G$21,H$21,$G99=$G$22,H$22,$G99=$G$25,H$25,$G99=$G$26,H$26,$G99=$G$27,H$27,$G99=$G$29,H$29,$G99=$G$31,H$31,$G99=$G$32,H$32,$G99=$G$248,H$248,$G99=$G$250,H$250)</f>
        <v>41.417256000000002</v>
      </c>
      <c r="I99" s="67" cm="1">
        <f t="array" ref="I99">_xlfn.IFS($G99=$G$5,I$5,$G99=$G$6,I$6,$G99=$G$7,I$7,$G99=$G$8,I$8,$G99=$G$9,I$9,$G99=$G$10,I$10,$G99=$G$11,I$11,$G99=$G$12,I$12,$G99=$G$13,I$13,$G99=$G$15,I$15,$G99=$G$16,I$16,$G99=$G$17,I$17,$G99=$G$18,I$18,$G99=$G$19,I$19,$G99=$G$20,I$20,$G99=$G$21,I$21,$G99=$G$22,I$22,$G99=$G$25,I$25,$G99=$G$26,I$26,$G99=$G$27,I$27,$G99=$G$29,I$29,$G99=$G$31,I$31,$G99=$G$32,I$32,$G99=$G$248,I$248,$G99=$G$250,I$250)</f>
        <v>2.1455709999999999</v>
      </c>
      <c r="J99" s="48" cm="1">
        <f t="array" ref="J99">_xlfn.IFS($G99=$G$5,J$5,$G99=$G$6,J$6,$G99=$G$7,J$7,$G99=$G$8,J$8,$G99=$G$9,J$9,$G99=$G$10,J$10,$G99=$G$11,J$11,$G99=$G$12,J$12,$G99=$G$13,J$13,$G99=$G$15,J$15,$G99=$G$16,J$16,$G99=$G$17,J$17,$G99=$G$18,J$18,$G99=$G$19,J$19,$G99=$G$20,J$20,$G99=$G$21,J$21,$G99=$G$22,J$22,$G99=$G$25,J$25,$G99=$G$26,J$26,$G99=$G$27,J$27,$G99=$G$29,J$29,$G99=$G$31,J$31,$G99=$G$32,J$32,$G99=$G$248,J$248,$G99=$G$250,J$250)</f>
        <v>186</v>
      </c>
      <c r="K99" s="48" t="str" cm="1">
        <f t="array" ref="K99">_xlfn.IFS($G99=$G$5,K$5,$G99=$G$6,K$6,$G99=$G$7,K$7,$G99=$G$8,K$8,$G99=$G$9,K$9,$G99=$G$10,K$10,$G99=$G$11,K$11,$G99=$G$12,K$12,$G99=$G$13,K$13,$G99=$G$15,K$15,$G99=$G$16,K$16,$G99=$G$17,K$17,$G99=$G$18,K$18,$G99=$G$19,K$19,$G99=$G$20,K$20,$G99=$G$21,K$21,$G99=$G$22,K$22,$G99=$G$25,K$25,$G99=$G$26,K$26,$G99=$G$27,K$27,$G99=$G$29,K$29,$G99=$G$31,K$31,$G99=$G$32,K$32,$G99=$G$248,K$248,$G99=$G$250,K$250)</f>
        <v>BG sentinel + BG lure7</v>
      </c>
      <c r="L99" s="48"/>
      <c r="M99" s="48"/>
      <c r="O99" s="45" t="str">
        <f t="shared" si="9"/>
        <v>A_SP_BCN_17_210527</v>
      </c>
      <c r="P99" s="64">
        <v>44343</v>
      </c>
      <c r="R99" s="72"/>
      <c r="S99" s="52">
        <v>44349</v>
      </c>
      <c r="U99" s="72"/>
      <c r="V99" s="54" t="s">
        <v>66</v>
      </c>
      <c r="W99" t="s">
        <v>102</v>
      </c>
      <c r="X99" s="45">
        <f t="shared" si="5"/>
        <v>6</v>
      </c>
      <c r="Z99" s="45" t="s">
        <v>70</v>
      </c>
      <c r="AA99" s="45">
        <f t="shared" si="6"/>
        <v>2</v>
      </c>
      <c r="AB99" t="str">
        <f t="shared" si="7"/>
        <v>Adult</v>
      </c>
      <c r="AC99" s="69">
        <v>2</v>
      </c>
      <c r="AD99" s="69">
        <v>0</v>
      </c>
      <c r="AE99" s="45" t="str">
        <f t="shared" si="8"/>
        <v>Morphological</v>
      </c>
      <c r="AF99" s="56">
        <v>4</v>
      </c>
    </row>
    <row r="100" spans="1:32" ht="18" customHeight="1" x14ac:dyDescent="0.25">
      <c r="A100" s="45">
        <v>96</v>
      </c>
      <c r="B100" s="45" t="s">
        <v>60</v>
      </c>
      <c r="C100" s="45" t="s">
        <v>61</v>
      </c>
      <c r="D100" s="45" t="s">
        <v>62</v>
      </c>
      <c r="E100" s="45" t="s">
        <v>62</v>
      </c>
      <c r="F100" s="46" cm="1">
        <f t="array" ref="F100">_xlfn.IFS($G100=$G$5,F$5,$G100=$G$6,F$6,$G100=$G$7,F$7,$G100=$G$8,F$8,$G100=$G$9,F$9,$G100=$G$10,F$10,$G100=$G$11,F$11,$G100=$G$12,F$12,$G100=$G$13,F$13,$G100=$G$15,F$15,$G100=$G$16,F$16,$G100=$G$17,F$17,$G100=$G$18,F$18,$G100=$G$19,F$19,$G100=$G$20,F$20,$G100=$G$21,F$21,$G100=$G$22,F$22,$G100=$G$25,F$25,$G100=$G$26,F$26,$G100=$G$27,F$27,$G100=$G$29,F$29,$G100=$G$31,F$31,$G100=$G$32,F$32,$G100=$G$248,F$248,$G100=$G$250,F$250)</f>
        <v>8023</v>
      </c>
      <c r="G100" s="45" t="s">
        <v>89</v>
      </c>
      <c r="H100" s="67" cm="1">
        <f t="array" ref="H100">_xlfn.IFS($G100=$G$5,H$5,$G100=$G$6,H$6,$G100=$G$7,H$7,$G100=$G$8,H$8,$G100=$G$9,H$9,$G100=$G$10,H$10,$G100=$G$11,H$11,$G100=$G$12,H$12,$G100=$G$13,H$13,$G100=$G$15,H$15,$G100=$G$16,H$16,$G100=$G$17,H$17,$G100=$G$18,H$18,$G100=$G$19,H$19,$G100=$G$20,H$20,$G100=$G$21,H$21,$G100=$G$22,H$22,$G100=$G$25,H$25,$G100=$G$26,H$26,$G100=$G$27,H$27,$G100=$G$29,H$29,$G100=$G$31,H$31,$G100=$G$32,H$32,$G100=$G$248,H$248,$G100=$G$250,H$250)</f>
        <v>41.417256000000002</v>
      </c>
      <c r="I100" s="67" cm="1">
        <f t="array" ref="I100">_xlfn.IFS($G100=$G$5,I$5,$G100=$G$6,I$6,$G100=$G$7,I$7,$G100=$G$8,I$8,$G100=$G$9,I$9,$G100=$G$10,I$10,$G100=$G$11,I$11,$G100=$G$12,I$12,$G100=$G$13,I$13,$G100=$G$15,I$15,$G100=$G$16,I$16,$G100=$G$17,I$17,$G100=$G$18,I$18,$G100=$G$19,I$19,$G100=$G$20,I$20,$G100=$G$21,I$21,$G100=$G$22,I$22,$G100=$G$25,I$25,$G100=$G$26,I$26,$G100=$G$27,I$27,$G100=$G$29,I$29,$G100=$G$31,I$31,$G100=$G$32,I$32,$G100=$G$248,I$248,$G100=$G$250,I$250)</f>
        <v>2.1455709999999999</v>
      </c>
      <c r="J100" s="48" cm="1">
        <f t="array" ref="J100">_xlfn.IFS($G100=$G$5,J$5,$G100=$G$6,J$6,$G100=$G$7,J$7,$G100=$G$8,J$8,$G100=$G$9,J$9,$G100=$G$10,J$10,$G100=$G$11,J$11,$G100=$G$12,J$12,$G100=$G$13,J$13,$G100=$G$15,J$15,$G100=$G$16,J$16,$G100=$G$17,J$17,$G100=$G$18,J$18,$G100=$G$19,J$19,$G100=$G$20,J$20,$G100=$G$21,J$21,$G100=$G$22,J$22,$G100=$G$25,J$25,$G100=$G$26,J$26,$G100=$G$27,J$27,$G100=$G$29,J$29,$G100=$G$31,J$31,$G100=$G$32,J$32,$G100=$G$248,J$248,$G100=$G$250,J$250)</f>
        <v>186</v>
      </c>
      <c r="K100" s="48" t="str" cm="1">
        <f t="array" ref="K100">_xlfn.IFS($G100=$G$5,K$5,$G100=$G$6,K$6,$G100=$G$7,K$7,$G100=$G$8,K$8,$G100=$G$9,K$9,$G100=$G$10,K$10,$G100=$G$11,K$11,$G100=$G$12,K$12,$G100=$G$13,K$13,$G100=$G$15,K$15,$G100=$G$16,K$16,$G100=$G$17,K$17,$G100=$G$18,K$18,$G100=$G$19,K$19,$G100=$G$20,K$20,$G100=$G$21,K$21,$G100=$G$22,K$22,$G100=$G$25,K$25,$G100=$G$26,K$26,$G100=$G$27,K$27,$G100=$G$29,K$29,$G100=$G$31,K$31,$G100=$G$32,K$32,$G100=$G$248,K$248,$G100=$G$250,K$250)</f>
        <v>BG sentinel + BG lure7</v>
      </c>
      <c r="L100" s="48"/>
      <c r="M100" s="48"/>
      <c r="O100" s="45" t="str">
        <f t="shared" si="9"/>
        <v>A_SP_BCN_17_210527</v>
      </c>
      <c r="P100" s="64">
        <v>44343</v>
      </c>
      <c r="R100" s="72"/>
      <c r="S100" s="52">
        <v>44349</v>
      </c>
      <c r="U100" s="72"/>
      <c r="V100" s="54" t="s">
        <v>66</v>
      </c>
      <c r="W100" t="s">
        <v>102</v>
      </c>
      <c r="X100" s="45">
        <f t="shared" si="5"/>
        <v>6</v>
      </c>
      <c r="Z100" s="45" t="s">
        <v>80</v>
      </c>
      <c r="AA100" s="45">
        <f t="shared" si="6"/>
        <v>1</v>
      </c>
      <c r="AB100" t="str">
        <f t="shared" si="7"/>
        <v>Adult</v>
      </c>
      <c r="AC100" s="69">
        <v>1</v>
      </c>
      <c r="AD100" s="69">
        <v>0</v>
      </c>
      <c r="AE100" s="45" t="str">
        <f t="shared" si="8"/>
        <v>Morphological</v>
      </c>
      <c r="AF100" s="56">
        <v>4</v>
      </c>
    </row>
    <row r="101" spans="1:32" ht="18" customHeight="1" x14ac:dyDescent="0.25">
      <c r="A101" s="45">
        <v>97</v>
      </c>
      <c r="B101" s="45" t="s">
        <v>60</v>
      </c>
      <c r="C101" s="45" t="s">
        <v>61</v>
      </c>
      <c r="D101" s="45" t="s">
        <v>62</v>
      </c>
      <c r="E101" s="45" t="s">
        <v>62</v>
      </c>
      <c r="F101" s="46" cm="1">
        <f t="array" ref="F101">_xlfn.IFS($G101=$G$5,F$5,$G101=$G$6,F$6,$G101=$G$7,F$7,$G101=$G$8,F$8,$G101=$G$9,F$9,$G101=$G$10,F$10,$G101=$G$11,F$11,$G101=$G$12,F$12,$G101=$G$13,F$13,$G101=$G$15,F$15,$G101=$G$16,F$16,$G101=$G$17,F$17,$G101=$G$18,F$18,$G101=$G$19,F$19,$G101=$G$20,F$20,$G101=$G$21,F$21,$G101=$G$22,F$22,$G101=$G$25,F$25,$G101=$G$26,F$26,$G101=$G$27,F$27,$G101=$G$29,F$29,$G101=$G$31,F$31,$G101=$G$32,F$32,$G101=$G$248,F$248,$G101=$G$250,F$250)</f>
        <v>8031</v>
      </c>
      <c r="G101" s="45" t="s">
        <v>92</v>
      </c>
      <c r="H101" s="67" cm="1">
        <f t="array" ref="H101">_xlfn.IFS($G101=$G$5,H$5,$G101=$G$6,H$6,$G101=$G$7,H$7,$G101=$G$8,H$8,$G101=$G$9,H$9,$G101=$G$10,H$10,$G101=$G$11,H$11,$G101=$G$12,H$12,$G101=$G$13,H$13,$G101=$G$15,H$15,$G101=$G$16,H$16,$G101=$G$17,H$17,$G101=$G$18,H$18,$G101=$G$19,H$19,$G101=$G$20,H$20,$G101=$G$21,H$21,$G101=$G$22,H$22,$G101=$G$25,H$25,$G101=$G$26,H$26,$G101=$G$27,H$27,$G101=$G$29,H$29,$G101=$G$31,H$31,$G101=$G$32,H$32,$G101=$G$248,H$248,$G101=$G$250,H$250)</f>
        <v>41.433618000000003</v>
      </c>
      <c r="I101" s="67" cm="1">
        <f t="array" ref="I101">_xlfn.IFS($G101=$G$5,I$5,$G101=$G$6,I$6,$G101=$G$7,I$7,$G101=$G$8,I$8,$G101=$G$9,I$9,$G101=$G$10,I$10,$G101=$G$11,I$11,$G101=$G$12,I$12,$G101=$G$13,I$13,$G101=$G$15,I$15,$G101=$G$16,I$16,$G101=$G$17,I$17,$G101=$G$18,I$18,$G101=$G$19,I$19,$G101=$G$20,I$20,$G101=$G$21,I$21,$G101=$G$22,I$22,$G101=$G$25,I$25,$G101=$G$26,I$26,$G101=$G$27,I$27,$G101=$G$29,I$29,$G101=$G$31,I$31,$G101=$G$32,I$32,$G101=$G$248,I$248,$G101=$G$250,I$250)</f>
        <v>2.1677469999999999</v>
      </c>
      <c r="J101" s="48" cm="1">
        <f t="array" ref="J101">_xlfn.IFS($G101=$G$5,J$5,$G101=$G$6,J$6,$G101=$G$7,J$7,$G101=$G$8,J$8,$G101=$G$9,J$9,$G101=$G$10,J$10,$G101=$G$11,J$11,$G101=$G$12,J$12,$G101=$G$13,J$13,$G101=$G$15,J$15,$G101=$G$16,J$16,$G101=$G$17,J$17,$G101=$G$18,J$18,$G101=$G$19,J$19,$G101=$G$20,J$20,$G101=$G$21,J$21,$G101=$G$22,J$22,$G101=$G$25,J$25,$G101=$G$26,J$26,$G101=$G$27,J$27,$G101=$G$29,J$29,$G101=$G$31,J$31,$G101=$G$32,J$32,$G101=$G$248,J$248,$G101=$G$250,J$250)</f>
        <v>96.85</v>
      </c>
      <c r="K101" s="48" t="str" cm="1">
        <f t="array" ref="K101">_xlfn.IFS($G101=$G$5,K$5,$G101=$G$6,K$6,$G101=$G$7,K$7,$G101=$G$8,K$8,$G101=$G$9,K$9,$G101=$G$10,K$10,$G101=$G$11,K$11,$G101=$G$12,K$12,$G101=$G$13,K$13,$G101=$G$15,K$15,$G101=$G$16,K$16,$G101=$G$17,K$17,$G101=$G$18,K$18,$G101=$G$19,K$19,$G101=$G$20,K$20,$G101=$G$21,K$21,$G101=$G$22,K$22,$G101=$G$25,K$25,$G101=$G$26,K$26,$G101=$G$27,K$27,$G101=$G$29,K$29,$G101=$G$31,K$31,$G101=$G$32,K$32,$G101=$G$248,K$248,$G101=$G$250,K$250)</f>
        <v>BG sentinel + BG lure7</v>
      </c>
      <c r="L101" s="48"/>
      <c r="M101" s="48"/>
      <c r="O101" s="45" t="str">
        <f t="shared" si="9"/>
        <v>A_SP_BCN_18_210527</v>
      </c>
      <c r="P101" s="64">
        <v>44343</v>
      </c>
      <c r="R101" s="72"/>
      <c r="S101" s="52">
        <v>44349</v>
      </c>
      <c r="U101" s="72"/>
      <c r="V101" s="54" t="s">
        <v>66</v>
      </c>
      <c r="X101" s="45">
        <f t="shared" si="5"/>
        <v>6</v>
      </c>
      <c r="Z101" s="45" t="s">
        <v>69</v>
      </c>
      <c r="AA101" s="45">
        <f t="shared" si="6"/>
        <v>3</v>
      </c>
      <c r="AB101" t="str">
        <f t="shared" si="7"/>
        <v>Adult</v>
      </c>
      <c r="AC101" s="69">
        <v>3</v>
      </c>
      <c r="AD101" s="69">
        <v>0</v>
      </c>
      <c r="AE101" s="45" t="str">
        <f t="shared" si="8"/>
        <v>Morphological</v>
      </c>
      <c r="AF101" s="56">
        <v>4</v>
      </c>
    </row>
    <row r="102" spans="1:32" ht="18" customHeight="1" x14ac:dyDescent="0.25">
      <c r="A102" s="45">
        <v>98</v>
      </c>
      <c r="B102" s="45" t="s">
        <v>60</v>
      </c>
      <c r="C102" s="45" t="s">
        <v>61</v>
      </c>
      <c r="D102" s="45" t="s">
        <v>62</v>
      </c>
      <c r="E102" s="45" t="s">
        <v>62</v>
      </c>
      <c r="F102" s="46" cm="1">
        <f t="array" ref="F102">_xlfn.IFS($G102=$G$5,F$5,$G102=$G$6,F$6,$G102=$G$7,F$7,$G102=$G$8,F$8,$G102=$G$9,F$9,$G102=$G$10,F$10,$G102=$G$11,F$11,$G102=$G$12,F$12,$G102=$G$13,F$13,$G102=$G$15,F$15,$G102=$G$16,F$16,$G102=$G$17,F$17,$G102=$G$18,F$18,$G102=$G$19,F$19,$G102=$G$20,F$20,$G102=$G$21,F$21,$G102=$G$22,F$22,$G102=$G$25,F$25,$G102=$G$26,F$26,$G102=$G$27,F$27,$G102=$G$29,F$29,$G102=$G$31,F$31,$G102=$G$32,F$32,$G102=$G$248,F$248,$G102=$G$250,F$250)</f>
        <v>8031</v>
      </c>
      <c r="G102" s="45" t="s">
        <v>92</v>
      </c>
      <c r="H102" s="67" cm="1">
        <f t="array" ref="H102">_xlfn.IFS($G102=$G$5,H$5,$G102=$G$6,H$6,$G102=$G$7,H$7,$G102=$G$8,H$8,$G102=$G$9,H$9,$G102=$G$10,H$10,$G102=$G$11,H$11,$G102=$G$12,H$12,$G102=$G$13,H$13,$G102=$G$15,H$15,$G102=$G$16,H$16,$G102=$G$17,H$17,$G102=$G$18,H$18,$G102=$G$19,H$19,$G102=$G$20,H$20,$G102=$G$21,H$21,$G102=$G$22,H$22,$G102=$G$25,H$25,$G102=$G$26,H$26,$G102=$G$27,H$27,$G102=$G$29,H$29,$G102=$G$31,H$31,$G102=$G$32,H$32,$G102=$G$248,H$248,$G102=$G$250,H$250)</f>
        <v>41.433618000000003</v>
      </c>
      <c r="I102" s="67" cm="1">
        <f t="array" ref="I102">_xlfn.IFS($G102=$G$5,I$5,$G102=$G$6,I$6,$G102=$G$7,I$7,$G102=$G$8,I$8,$G102=$G$9,I$9,$G102=$G$10,I$10,$G102=$G$11,I$11,$G102=$G$12,I$12,$G102=$G$13,I$13,$G102=$G$15,I$15,$G102=$G$16,I$16,$G102=$G$17,I$17,$G102=$G$18,I$18,$G102=$G$19,I$19,$G102=$G$20,I$20,$G102=$G$21,I$21,$G102=$G$22,I$22,$G102=$G$25,I$25,$G102=$G$26,I$26,$G102=$G$27,I$27,$G102=$G$29,I$29,$G102=$G$31,I$31,$G102=$G$32,I$32,$G102=$G$248,I$248,$G102=$G$250,I$250)</f>
        <v>2.1677469999999999</v>
      </c>
      <c r="J102" s="48" cm="1">
        <f t="array" ref="J102">_xlfn.IFS($G102=$G$5,J$5,$G102=$G$6,J$6,$G102=$G$7,J$7,$G102=$G$8,J$8,$G102=$G$9,J$9,$G102=$G$10,J$10,$G102=$G$11,J$11,$G102=$G$12,J$12,$G102=$G$13,J$13,$G102=$G$15,J$15,$G102=$G$16,J$16,$G102=$G$17,J$17,$G102=$G$18,J$18,$G102=$G$19,J$19,$G102=$G$20,J$20,$G102=$G$21,J$21,$G102=$G$22,J$22,$G102=$G$25,J$25,$G102=$G$26,J$26,$G102=$G$27,J$27,$G102=$G$29,J$29,$G102=$G$31,J$31,$G102=$G$32,J$32,$G102=$G$248,J$248,$G102=$G$250,J$250)</f>
        <v>96.85</v>
      </c>
      <c r="K102" s="48" t="str" cm="1">
        <f t="array" ref="K102">_xlfn.IFS($G102=$G$5,K$5,$G102=$G$6,K$6,$G102=$G$7,K$7,$G102=$G$8,K$8,$G102=$G$9,K$9,$G102=$G$10,K$10,$G102=$G$11,K$11,$G102=$G$12,K$12,$G102=$G$13,K$13,$G102=$G$15,K$15,$G102=$G$16,K$16,$G102=$G$17,K$17,$G102=$G$18,K$18,$G102=$G$19,K$19,$G102=$G$20,K$20,$G102=$G$21,K$21,$G102=$G$22,K$22,$G102=$G$25,K$25,$G102=$G$26,K$26,$G102=$G$27,K$27,$G102=$G$29,K$29,$G102=$G$31,K$31,$G102=$G$32,K$32,$G102=$G$248,K$248,$G102=$G$250,K$250)</f>
        <v>BG sentinel + BG lure7</v>
      </c>
      <c r="L102" s="48"/>
      <c r="M102" s="48"/>
      <c r="O102" s="45" t="str">
        <f t="shared" si="9"/>
        <v>A_SP_BCN_18_210527</v>
      </c>
      <c r="P102" s="64">
        <v>44343</v>
      </c>
      <c r="R102" s="72"/>
      <c r="S102" s="52">
        <v>44349</v>
      </c>
      <c r="U102" s="72"/>
      <c r="V102" s="54" t="s">
        <v>66</v>
      </c>
      <c r="X102" s="45">
        <f t="shared" si="5"/>
        <v>6</v>
      </c>
      <c r="Z102" s="45" t="s">
        <v>70</v>
      </c>
      <c r="AA102" s="45">
        <f t="shared" si="6"/>
        <v>1</v>
      </c>
      <c r="AB102" t="str">
        <f t="shared" si="7"/>
        <v>Adult</v>
      </c>
      <c r="AC102" s="69">
        <v>1</v>
      </c>
      <c r="AD102" s="69">
        <v>0</v>
      </c>
      <c r="AE102" s="45" t="str">
        <f t="shared" si="8"/>
        <v>Morphological</v>
      </c>
      <c r="AF102" s="56">
        <v>4</v>
      </c>
    </row>
    <row r="103" spans="1:32" ht="18" customHeight="1" x14ac:dyDescent="0.25">
      <c r="A103" s="45">
        <v>99</v>
      </c>
      <c r="B103" s="45" t="s">
        <v>60</v>
      </c>
      <c r="C103" s="45" t="s">
        <v>61</v>
      </c>
      <c r="D103" s="45" t="s">
        <v>62</v>
      </c>
      <c r="E103" s="45" t="s">
        <v>62</v>
      </c>
      <c r="F103" s="46" cm="1">
        <f t="array" ref="F103">_xlfn.IFS($G103=$G$5,F$5,$G103=$G$6,F$6,$G103=$G$7,F$7,$G103=$G$8,F$8,$G103=$G$9,F$9,$G103=$G$10,F$10,$G103=$G$11,F$11,$G103=$G$12,F$12,$G103=$G$13,F$13,$G103=$G$15,F$15,$G103=$G$16,F$16,$G103=$G$17,F$17,$G103=$G$18,F$18,$G103=$G$19,F$19,$G103=$G$20,F$20,$G103=$G$21,F$21,$G103=$G$22,F$22,$G103=$G$25,F$25,$G103=$G$26,F$26,$G103=$G$27,F$27,$G103=$G$29,F$29,$G103=$G$31,F$31,$G103=$G$32,F$32,$G103=$G$248,F$248,$G103=$G$250,F$250)</f>
        <v>8038</v>
      </c>
      <c r="G103" s="45" t="s">
        <v>93</v>
      </c>
      <c r="H103" s="67" cm="1">
        <f t="array" ref="H103">_xlfn.IFS($G103=$G$5,H$5,$G103=$G$6,H$6,$G103=$G$7,H$7,$G103=$G$8,H$8,$G103=$G$9,H$9,$G103=$G$10,H$10,$G103=$G$11,H$11,$G103=$G$12,H$12,$G103=$G$13,H$13,$G103=$G$15,H$15,$G103=$G$16,H$16,$G103=$G$17,H$17,$G103=$G$18,H$18,$G103=$G$19,H$19,$G103=$G$20,H$20,$G103=$G$21,H$21,$G103=$G$22,H$22,$G103=$G$25,H$25,$G103=$G$26,H$26,$G103=$G$27,H$27,$G103=$G$29,H$29,$G103=$G$31,H$31,$G103=$G$32,H$32,$G103=$G$248,H$248,$G103=$G$250,H$250)</f>
        <v>41.359864999999999</v>
      </c>
      <c r="I103" s="67" cm="1">
        <f t="array" ref="I103">_xlfn.IFS($G103=$G$5,I$5,$G103=$G$6,I$6,$G103=$G$7,I$7,$G103=$G$8,I$8,$G103=$G$9,I$9,$G103=$G$10,I$10,$G103=$G$11,I$11,$G103=$G$12,I$12,$G103=$G$13,I$13,$G103=$G$15,I$15,$G103=$G$16,I$16,$G103=$G$17,I$17,$G103=$G$18,I$18,$G103=$G$19,I$19,$G103=$G$20,I$20,$G103=$G$21,I$21,$G103=$G$22,I$22,$G103=$G$25,I$25,$G103=$G$26,I$26,$G103=$G$27,I$27,$G103=$G$29,I$29,$G103=$G$31,I$31,$G103=$G$32,I$32,$G103=$G$248,I$248,$G103=$G$250,I$250)</f>
        <v>2.1445430000000001</v>
      </c>
      <c r="J103" s="48" cm="1">
        <f t="array" ref="J103">_xlfn.IFS($G103=$G$5,J$5,$G103=$G$6,J$6,$G103=$G$7,J$7,$G103=$G$8,J$8,$G103=$G$9,J$9,$G103=$G$10,J$10,$G103=$G$11,J$11,$G103=$G$12,J$12,$G103=$G$13,J$13,$G103=$G$15,J$15,$G103=$G$16,J$16,$G103=$G$17,J$17,$G103=$G$18,J$18,$G103=$G$19,J$19,$G103=$G$20,J$20,$G103=$G$21,J$21,$G103=$G$22,J$22,$G103=$G$25,J$25,$G103=$G$26,J$26,$G103=$G$27,J$27,$G103=$G$29,J$29,$G103=$G$31,J$31,$G103=$G$32,J$32,$G103=$G$248,J$248,$G103=$G$250,J$250)</f>
        <v>11.4</v>
      </c>
      <c r="K103" s="48" t="str" cm="1">
        <f t="array" ref="K103">_xlfn.IFS($G103=$G$5,K$5,$G103=$G$6,K$6,$G103=$G$7,K$7,$G103=$G$8,K$8,$G103=$G$9,K$9,$G103=$G$10,K$10,$G103=$G$11,K$11,$G103=$G$12,K$12,$G103=$G$13,K$13,$G103=$G$15,K$15,$G103=$G$16,K$16,$G103=$G$17,K$17,$G103=$G$18,K$18,$G103=$G$19,K$19,$G103=$G$20,K$20,$G103=$G$21,K$21,$G103=$G$22,K$22,$G103=$G$25,K$25,$G103=$G$26,K$26,$G103=$G$27,K$27,$G103=$G$29,K$29,$G103=$G$31,K$31,$G103=$G$32,K$32,$G103=$G$248,K$248,$G103=$G$250,K$250)</f>
        <v>BG sentinel + BG lure7</v>
      </c>
      <c r="L103" s="48"/>
      <c r="M103" s="48"/>
      <c r="O103" s="45" t="str">
        <f t="shared" si="9"/>
        <v>A_SP_BCN_19_210528</v>
      </c>
      <c r="P103" s="64">
        <v>44344</v>
      </c>
      <c r="R103" s="72"/>
      <c r="S103" s="64">
        <v>44350</v>
      </c>
      <c r="U103" s="72"/>
      <c r="V103" s="54" t="s">
        <v>66</v>
      </c>
      <c r="X103" s="45">
        <f t="shared" si="5"/>
        <v>6</v>
      </c>
      <c r="Z103" s="45" t="s">
        <v>69</v>
      </c>
      <c r="AA103" s="45">
        <f t="shared" si="6"/>
        <v>16</v>
      </c>
      <c r="AB103" t="str">
        <f t="shared" si="7"/>
        <v>Adult</v>
      </c>
      <c r="AC103" s="69">
        <v>14</v>
      </c>
      <c r="AD103" s="69">
        <v>2</v>
      </c>
      <c r="AE103" s="45" t="str">
        <f t="shared" si="8"/>
        <v>Morphological</v>
      </c>
      <c r="AF103" s="56">
        <v>4</v>
      </c>
    </row>
    <row r="104" spans="1:32" ht="18" customHeight="1" x14ac:dyDescent="0.25">
      <c r="A104" s="45">
        <v>100</v>
      </c>
      <c r="B104" s="45" t="s">
        <v>60</v>
      </c>
      <c r="C104" s="45" t="s">
        <v>61</v>
      </c>
      <c r="D104" s="45" t="s">
        <v>62</v>
      </c>
      <c r="E104" s="45" t="s">
        <v>62</v>
      </c>
      <c r="F104" s="46" cm="1">
        <f t="array" ref="F104">_xlfn.IFS($G104=$G$5,F$5,$G104=$G$6,F$6,$G104=$G$7,F$7,$G104=$G$8,F$8,$G104=$G$9,F$9,$G104=$G$10,F$10,$G104=$G$11,F$11,$G104=$G$12,F$12,$G104=$G$13,F$13,$G104=$G$15,F$15,$G104=$G$16,F$16,$G104=$G$17,F$17,$G104=$G$18,F$18,$G104=$G$19,F$19,$G104=$G$20,F$20,$G104=$G$21,F$21,$G104=$G$22,F$22,$G104=$G$25,F$25,$G104=$G$26,F$26,$G104=$G$27,F$27,$G104=$G$29,F$29,$G104=$G$31,F$31,$G104=$G$32,F$32,$G104=$G$248,F$248,$G104=$G$250,F$250)</f>
        <v>8038</v>
      </c>
      <c r="G104" s="45" t="s">
        <v>93</v>
      </c>
      <c r="H104" s="67" cm="1">
        <f t="array" ref="H104">_xlfn.IFS($G104=$G$5,H$5,$G104=$G$6,H$6,$G104=$G$7,H$7,$G104=$G$8,H$8,$G104=$G$9,H$9,$G104=$G$10,H$10,$G104=$G$11,H$11,$G104=$G$12,H$12,$G104=$G$13,H$13,$G104=$G$15,H$15,$G104=$G$16,H$16,$G104=$G$17,H$17,$G104=$G$18,H$18,$G104=$G$19,H$19,$G104=$G$20,H$20,$G104=$G$21,H$21,$G104=$G$22,H$22,$G104=$G$25,H$25,$G104=$G$26,H$26,$G104=$G$27,H$27,$G104=$G$29,H$29,$G104=$G$31,H$31,$G104=$G$32,H$32,$G104=$G$248,H$248,$G104=$G$250,H$250)</f>
        <v>41.359864999999999</v>
      </c>
      <c r="I104" s="67" cm="1">
        <f t="array" ref="I104">_xlfn.IFS($G104=$G$5,I$5,$G104=$G$6,I$6,$G104=$G$7,I$7,$G104=$G$8,I$8,$G104=$G$9,I$9,$G104=$G$10,I$10,$G104=$G$11,I$11,$G104=$G$12,I$12,$G104=$G$13,I$13,$G104=$G$15,I$15,$G104=$G$16,I$16,$G104=$G$17,I$17,$G104=$G$18,I$18,$G104=$G$19,I$19,$G104=$G$20,I$20,$G104=$G$21,I$21,$G104=$G$22,I$22,$G104=$G$25,I$25,$G104=$G$26,I$26,$G104=$G$27,I$27,$G104=$G$29,I$29,$G104=$G$31,I$31,$G104=$G$32,I$32,$G104=$G$248,I$248,$G104=$G$250,I$250)</f>
        <v>2.1445430000000001</v>
      </c>
      <c r="J104" s="48" cm="1">
        <f t="array" ref="J104">_xlfn.IFS($G104=$G$5,J$5,$G104=$G$6,J$6,$G104=$G$7,J$7,$G104=$G$8,J$8,$G104=$G$9,J$9,$G104=$G$10,J$10,$G104=$G$11,J$11,$G104=$G$12,J$12,$G104=$G$13,J$13,$G104=$G$15,J$15,$G104=$G$16,J$16,$G104=$G$17,J$17,$G104=$G$18,J$18,$G104=$G$19,J$19,$G104=$G$20,J$20,$G104=$G$21,J$21,$G104=$G$22,J$22,$G104=$G$25,J$25,$G104=$G$26,J$26,$G104=$G$27,J$27,$G104=$G$29,J$29,$G104=$G$31,J$31,$G104=$G$32,J$32,$G104=$G$248,J$248,$G104=$G$250,J$250)</f>
        <v>11.4</v>
      </c>
      <c r="K104" s="48" t="str" cm="1">
        <f t="array" ref="K104">_xlfn.IFS($G104=$G$5,K$5,$G104=$G$6,K$6,$G104=$G$7,K$7,$G104=$G$8,K$8,$G104=$G$9,K$9,$G104=$G$10,K$10,$G104=$G$11,K$11,$G104=$G$12,K$12,$G104=$G$13,K$13,$G104=$G$15,K$15,$G104=$G$16,K$16,$G104=$G$17,K$17,$G104=$G$18,K$18,$G104=$G$19,K$19,$G104=$G$20,K$20,$G104=$G$21,K$21,$G104=$G$22,K$22,$G104=$G$25,K$25,$G104=$G$26,K$26,$G104=$G$27,K$27,$G104=$G$29,K$29,$G104=$G$31,K$31,$G104=$G$32,K$32,$G104=$G$248,K$248,$G104=$G$250,K$250)</f>
        <v>BG sentinel + BG lure7</v>
      </c>
      <c r="L104" s="48"/>
      <c r="M104" s="48"/>
      <c r="O104" s="45" t="str">
        <f t="shared" si="9"/>
        <v>A_SP_BCN_19_210528</v>
      </c>
      <c r="P104" s="64">
        <v>44344</v>
      </c>
      <c r="R104" s="72"/>
      <c r="S104" s="64">
        <v>44350</v>
      </c>
      <c r="U104" s="72"/>
      <c r="V104" s="54" t="s">
        <v>66</v>
      </c>
      <c r="X104" s="45">
        <f t="shared" si="5"/>
        <v>6</v>
      </c>
      <c r="Z104" s="45" t="s">
        <v>70</v>
      </c>
      <c r="AA104" s="45">
        <f t="shared" si="6"/>
        <v>4</v>
      </c>
      <c r="AB104" t="str">
        <f t="shared" si="7"/>
        <v>Adult</v>
      </c>
      <c r="AC104" s="69">
        <v>4</v>
      </c>
      <c r="AD104" s="69">
        <v>0</v>
      </c>
      <c r="AE104" s="45" t="str">
        <f t="shared" si="8"/>
        <v>Morphological</v>
      </c>
      <c r="AF104" s="56">
        <v>4</v>
      </c>
    </row>
    <row r="105" spans="1:32" ht="18" customHeight="1" x14ac:dyDescent="0.25">
      <c r="A105" s="45">
        <v>101</v>
      </c>
      <c r="B105" s="45" t="s">
        <v>60</v>
      </c>
      <c r="C105" s="45" t="s">
        <v>61</v>
      </c>
      <c r="D105" s="45" t="s">
        <v>62</v>
      </c>
      <c r="E105" s="45" t="s">
        <v>62</v>
      </c>
      <c r="F105" s="46" cm="1">
        <f t="array" ref="F105">_xlfn.IFS($G105=$G$5,F$5,$G105=$G$6,F$6,$G105=$G$7,F$7,$G105=$G$8,F$8,$G105=$G$9,F$9,$G105=$G$10,F$10,$G105=$G$11,F$11,$G105=$G$12,F$12,$G105=$G$13,F$13,$G105=$G$15,F$15,$G105=$G$16,F$16,$G105=$G$17,F$17,$G105=$G$18,F$18,$G105=$G$19,F$19,$G105=$G$20,F$20,$G105=$G$21,F$21,$G105=$G$22,F$22,$G105=$G$25,F$25,$G105=$G$26,F$26,$G105=$G$27,F$27,$G105=$G$29,F$29,$G105=$G$31,F$31,$G105=$G$32,F$32,$G105=$G$248,F$248,$G105=$G$250,F$250)</f>
        <v>8002</v>
      </c>
      <c r="G105" s="45" t="s">
        <v>94</v>
      </c>
      <c r="H105" s="67" cm="1">
        <f t="array" ref="H105">_xlfn.IFS($G105=$G$5,H$5,$G105=$G$6,H$6,$G105=$G$7,H$7,$G105=$G$8,H$8,$G105=$G$9,H$9,$G105=$G$10,H$10,$G105=$G$11,H$11,$G105=$G$12,H$12,$G105=$G$13,H$13,$G105=$G$15,H$15,$G105=$G$16,H$16,$G105=$G$17,H$17,$G105=$G$18,H$18,$G105=$G$19,H$19,$G105=$G$20,H$20,$G105=$G$21,H$21,$G105=$G$22,H$22,$G105=$G$25,H$25,$G105=$G$26,H$26,$G105=$G$27,H$27,$G105=$G$29,H$29,$G105=$G$31,H$31,$G105=$G$32,H$32,$G105=$G$248,H$248,$G105=$G$250,H$250)</f>
        <v>41.385213</v>
      </c>
      <c r="I105" s="67" cm="1">
        <f t="array" ref="I105">_xlfn.IFS($G105=$G$5,I$5,$G105=$G$6,I$6,$G105=$G$7,I$7,$G105=$G$8,I$8,$G105=$G$9,I$9,$G105=$G$10,I$10,$G105=$G$11,I$11,$G105=$G$12,I$12,$G105=$G$13,I$13,$G105=$G$15,I$15,$G105=$G$16,I$16,$G105=$G$17,I$17,$G105=$G$18,I$18,$G105=$G$19,I$19,$G105=$G$20,I$20,$G105=$G$21,I$21,$G105=$G$22,I$22,$G105=$G$25,I$25,$G105=$G$26,I$26,$G105=$G$27,I$27,$G105=$G$29,I$29,$G105=$G$31,I$31,$G105=$G$32,I$32,$G105=$G$248,I$248,$G105=$G$250,I$250)</f>
        <v>2.174852</v>
      </c>
      <c r="J105" s="48" cm="1">
        <f t="array" ref="J105">_xlfn.IFS($G105=$G$5,J$5,$G105=$G$6,J$6,$G105=$G$7,J$7,$G105=$G$8,J$8,$G105=$G$9,J$9,$G105=$G$10,J$10,$G105=$G$11,J$11,$G105=$G$12,J$12,$G105=$G$13,J$13,$G105=$G$15,J$15,$G105=$G$16,J$16,$G105=$G$17,J$17,$G105=$G$18,J$18,$G105=$G$19,J$19,$G105=$G$20,J$20,$G105=$G$21,J$21,$G105=$G$22,J$22,$G105=$G$25,J$25,$G105=$G$26,J$26,$G105=$G$27,J$27,$G105=$G$29,J$29,$G105=$G$31,J$31,$G105=$G$32,J$32,$G105=$G$248,J$248,$G105=$G$250,J$250)</f>
        <v>14</v>
      </c>
      <c r="K105" s="48" t="str" cm="1">
        <f t="array" ref="K105">_xlfn.IFS($G105=$G$5,K$5,$G105=$G$6,K$6,$G105=$G$7,K$7,$G105=$G$8,K$8,$G105=$G$9,K$9,$G105=$G$10,K$10,$G105=$G$11,K$11,$G105=$G$12,K$12,$G105=$G$13,K$13,$G105=$G$15,K$15,$G105=$G$16,K$16,$G105=$G$17,K$17,$G105=$G$18,K$18,$G105=$G$19,K$19,$G105=$G$20,K$20,$G105=$G$21,K$21,$G105=$G$22,K$22,$G105=$G$25,K$25,$G105=$G$26,K$26,$G105=$G$27,K$27,$G105=$G$29,K$29,$G105=$G$31,K$31,$G105=$G$32,K$32,$G105=$G$248,K$248,$G105=$G$250,K$250)</f>
        <v>BG sentinel + BG lure7</v>
      </c>
      <c r="L105" s="48"/>
      <c r="M105" s="48"/>
      <c r="O105" s="45" t="str">
        <f t="shared" si="9"/>
        <v>A_SP_BCN_20_210528</v>
      </c>
      <c r="P105" s="64">
        <v>44344</v>
      </c>
      <c r="R105" s="72"/>
      <c r="S105" s="64">
        <v>44350</v>
      </c>
      <c r="U105" s="72"/>
      <c r="V105" s="54" t="s">
        <v>66</v>
      </c>
      <c r="X105" s="45">
        <f t="shared" si="5"/>
        <v>6</v>
      </c>
      <c r="Z105" s="45" t="s">
        <v>70</v>
      </c>
      <c r="AA105" s="45">
        <f t="shared" si="6"/>
        <v>10</v>
      </c>
      <c r="AB105" t="str">
        <f t="shared" si="7"/>
        <v>Adult</v>
      </c>
      <c r="AC105" s="69">
        <v>5</v>
      </c>
      <c r="AD105" s="69">
        <v>5</v>
      </c>
      <c r="AE105" s="45" t="str">
        <f t="shared" si="8"/>
        <v>Morphological</v>
      </c>
      <c r="AF105" s="56">
        <v>4</v>
      </c>
    </row>
    <row r="106" spans="1:32" ht="18" customHeight="1" x14ac:dyDescent="0.25">
      <c r="A106" s="45">
        <v>102</v>
      </c>
      <c r="B106" s="45" t="s">
        <v>60</v>
      </c>
      <c r="C106" s="45" t="s">
        <v>61</v>
      </c>
      <c r="D106" s="45" t="s">
        <v>62</v>
      </c>
      <c r="E106" s="45" t="s">
        <v>62</v>
      </c>
      <c r="F106" s="46" cm="1">
        <f t="array" ref="F106">_xlfn.IFS($G106=$G$5,F$5,$G106=$G$6,F$6,$G106=$G$7,F$7,$G106=$G$8,F$8,$G106=$G$9,F$9,$G106=$G$10,F$10,$G106=$G$11,F$11,$G106=$G$12,F$12,$G106=$G$13,F$13,$G106=$G$15,F$15,$G106=$G$16,F$16,$G106=$G$17,F$17,$G106=$G$18,F$18,$G106=$G$19,F$19,$G106=$G$20,F$20,$G106=$G$21,F$21,$G106=$G$22,F$22,$G106=$G$25,F$25,$G106=$G$26,F$26,$G106=$G$27,F$27,$G106=$G$29,F$29,$G106=$G$31,F$31,$G106=$G$32,F$32,$G106=$G$248,F$248,$G106=$G$250,F$250)</f>
        <v>8002</v>
      </c>
      <c r="G106" s="45" t="s">
        <v>94</v>
      </c>
      <c r="H106" s="67" cm="1">
        <f t="array" ref="H106">_xlfn.IFS($G106=$G$5,H$5,$G106=$G$6,H$6,$G106=$G$7,H$7,$G106=$G$8,H$8,$G106=$G$9,H$9,$G106=$G$10,H$10,$G106=$G$11,H$11,$G106=$G$12,H$12,$G106=$G$13,H$13,$G106=$G$15,H$15,$G106=$G$16,H$16,$G106=$G$17,H$17,$G106=$G$18,H$18,$G106=$G$19,H$19,$G106=$G$20,H$20,$G106=$G$21,H$21,$G106=$G$22,H$22,$G106=$G$25,H$25,$G106=$G$26,H$26,$G106=$G$27,H$27,$G106=$G$29,H$29,$G106=$G$31,H$31,$G106=$G$32,H$32,$G106=$G$248,H$248,$G106=$G$250,H$250)</f>
        <v>41.385213</v>
      </c>
      <c r="I106" s="67" cm="1">
        <f t="array" ref="I106">_xlfn.IFS($G106=$G$5,I$5,$G106=$G$6,I$6,$G106=$G$7,I$7,$G106=$G$8,I$8,$G106=$G$9,I$9,$G106=$G$10,I$10,$G106=$G$11,I$11,$G106=$G$12,I$12,$G106=$G$13,I$13,$G106=$G$15,I$15,$G106=$G$16,I$16,$G106=$G$17,I$17,$G106=$G$18,I$18,$G106=$G$19,I$19,$G106=$G$20,I$20,$G106=$G$21,I$21,$G106=$G$22,I$22,$G106=$G$25,I$25,$G106=$G$26,I$26,$G106=$G$27,I$27,$G106=$G$29,I$29,$G106=$G$31,I$31,$G106=$G$32,I$32,$G106=$G$248,I$248,$G106=$G$250,I$250)</f>
        <v>2.174852</v>
      </c>
      <c r="J106" s="48" cm="1">
        <f t="array" ref="J106">_xlfn.IFS($G106=$G$5,J$5,$G106=$G$6,J$6,$G106=$G$7,J$7,$G106=$G$8,J$8,$G106=$G$9,J$9,$G106=$G$10,J$10,$G106=$G$11,J$11,$G106=$G$12,J$12,$G106=$G$13,J$13,$G106=$G$15,J$15,$G106=$G$16,J$16,$G106=$G$17,J$17,$G106=$G$18,J$18,$G106=$G$19,J$19,$G106=$G$20,J$20,$G106=$G$21,J$21,$G106=$G$22,J$22,$G106=$G$25,J$25,$G106=$G$26,J$26,$G106=$G$27,J$27,$G106=$G$29,J$29,$G106=$G$31,J$31,$G106=$G$32,J$32,$G106=$G$248,J$248,$G106=$G$250,J$250)</f>
        <v>14</v>
      </c>
      <c r="K106" s="48" t="str" cm="1">
        <f t="array" ref="K106">_xlfn.IFS($G106=$G$5,K$5,$G106=$G$6,K$6,$G106=$G$7,K$7,$G106=$G$8,K$8,$G106=$G$9,K$9,$G106=$G$10,K$10,$G106=$G$11,K$11,$G106=$G$12,K$12,$G106=$G$13,K$13,$G106=$G$15,K$15,$G106=$G$16,K$16,$G106=$G$17,K$17,$G106=$G$18,K$18,$G106=$G$19,K$19,$G106=$G$20,K$20,$G106=$G$21,K$21,$G106=$G$22,K$22,$G106=$G$25,K$25,$G106=$G$26,K$26,$G106=$G$27,K$27,$G106=$G$29,K$29,$G106=$G$31,K$31,$G106=$G$32,K$32,$G106=$G$248,K$248,$G106=$G$250,K$250)</f>
        <v>BG sentinel + BG lure7</v>
      </c>
      <c r="L106" s="48"/>
      <c r="M106" s="48"/>
      <c r="O106" s="45" t="str">
        <f t="shared" si="9"/>
        <v>A_SP_BCN_20_210528</v>
      </c>
      <c r="P106" s="64">
        <v>44344</v>
      </c>
      <c r="R106" s="72"/>
      <c r="S106" s="64">
        <v>44350</v>
      </c>
      <c r="U106" s="72"/>
      <c r="V106" s="54" t="s">
        <v>66</v>
      </c>
      <c r="X106" s="45">
        <f t="shared" si="5"/>
        <v>6</v>
      </c>
      <c r="Z106" s="45" t="s">
        <v>80</v>
      </c>
      <c r="AA106" s="45">
        <f t="shared" si="6"/>
        <v>12</v>
      </c>
      <c r="AB106" t="str">
        <f t="shared" si="7"/>
        <v>Adult</v>
      </c>
      <c r="AC106" s="69">
        <v>1</v>
      </c>
      <c r="AD106" s="69">
        <v>11</v>
      </c>
      <c r="AE106" s="45" t="str">
        <f t="shared" si="8"/>
        <v>Morphological</v>
      </c>
      <c r="AF106" s="56">
        <v>4</v>
      </c>
    </row>
    <row r="107" spans="1:32" ht="18" customHeight="1" x14ac:dyDescent="0.25">
      <c r="A107" s="45">
        <v>103</v>
      </c>
      <c r="B107" s="45" t="s">
        <v>60</v>
      </c>
      <c r="C107" s="45" t="s">
        <v>61</v>
      </c>
      <c r="D107" s="45" t="s">
        <v>62</v>
      </c>
      <c r="E107" s="45" t="s">
        <v>62</v>
      </c>
      <c r="F107" s="46" cm="1">
        <f t="array" ref="F107">_xlfn.IFS($G107=$G$5,F$5,$G107=$G$6,F$6,$G107=$G$7,F$7,$G107=$G$8,F$8,$G107=$G$9,F$9,$G107=$G$10,F$10,$G107=$G$11,F$11,$G107=$G$12,F$12,$G107=$G$13,F$13,$G107=$G$15,F$15,$G107=$G$16,F$16,$G107=$G$17,F$17,$G107=$G$18,F$18,$G107=$G$19,F$19,$G107=$G$20,F$20,$G107=$G$21,F$21,$G107=$G$22,F$22,$G107=$G$25,F$25,$G107=$G$26,F$26,$G107=$G$27,F$27,$G107=$G$29,F$29,$G107=$G$31,F$31,$G107=$G$32,F$32,$G107=$G$248,F$248,$G107=$G$250,F$250)</f>
        <v>8001</v>
      </c>
      <c r="G107" s="45" t="s">
        <v>96</v>
      </c>
      <c r="H107" s="67" cm="1">
        <f t="array" ref="H107">_xlfn.IFS($G107=$G$5,H$5,$G107=$G$6,H$6,$G107=$G$7,H$7,$G107=$G$8,H$8,$G107=$G$9,H$9,$G107=$G$10,H$10,$G107=$G$11,H$11,$G107=$G$12,H$12,$G107=$G$13,H$13,$G107=$G$15,H$15,$G107=$G$16,H$16,$G107=$G$17,H$17,$G107=$G$18,H$18,$G107=$G$19,H$19,$G107=$G$20,H$20,$G107=$G$21,H$21,$G107=$G$22,H$22,$G107=$G$25,H$25,$G107=$G$26,H$26,$G107=$G$27,H$27,$G107=$G$29,H$29,$G107=$G$31,H$31,$G107=$G$32,H$32,$G107=$G$248,H$248,$G107=$G$250,H$250)</f>
        <v>41.377169000000002</v>
      </c>
      <c r="I107" s="67" cm="1">
        <f t="array" ref="I107">_xlfn.IFS($G107=$G$5,I$5,$G107=$G$6,I$6,$G107=$G$7,I$7,$G107=$G$8,I$8,$G107=$G$9,I$9,$G107=$G$10,I$10,$G107=$G$11,I$11,$G107=$G$12,I$12,$G107=$G$13,I$13,$G107=$G$15,I$15,$G107=$G$16,I$16,$G107=$G$17,I$17,$G107=$G$18,I$18,$G107=$G$19,I$19,$G107=$G$20,I$20,$G107=$G$21,I$21,$G107=$G$22,I$22,$G107=$G$25,I$25,$G107=$G$26,I$26,$G107=$G$27,I$27,$G107=$G$29,I$29,$G107=$G$31,I$31,$G107=$G$32,I$32,$G107=$G$248,I$248,$G107=$G$250,I$250)</f>
        <v>2.1674190000000002</v>
      </c>
      <c r="J107" s="48" cm="1">
        <f t="array" ref="J107">_xlfn.IFS($G107=$G$5,J$5,$G107=$G$6,J$6,$G107=$G$7,J$7,$G107=$G$8,J$8,$G107=$G$9,J$9,$G107=$G$10,J$10,$G107=$G$11,J$11,$G107=$G$12,J$12,$G107=$G$13,J$13,$G107=$G$15,J$15,$G107=$G$16,J$16,$G107=$G$17,J$17,$G107=$G$18,J$18,$G107=$G$19,J$19,$G107=$G$20,J$20,$G107=$G$21,J$21,$G107=$G$22,J$22,$G107=$G$25,J$25,$G107=$G$26,J$26,$G107=$G$27,J$27,$G107=$G$29,J$29,$G107=$G$31,J$31,$G107=$G$32,J$32,$G107=$G$248,J$248,$G107=$G$250,J$250)</f>
        <v>11</v>
      </c>
      <c r="K107" s="48" t="str" cm="1">
        <f t="array" ref="K107">_xlfn.IFS($G107=$G$5,K$5,$G107=$G$6,K$6,$G107=$G$7,K$7,$G107=$G$8,K$8,$G107=$G$9,K$9,$G107=$G$10,K$10,$G107=$G$11,K$11,$G107=$G$12,K$12,$G107=$G$13,K$13,$G107=$G$15,K$15,$G107=$G$16,K$16,$G107=$G$17,K$17,$G107=$G$18,K$18,$G107=$G$19,K$19,$G107=$G$20,K$20,$G107=$G$21,K$21,$G107=$G$22,K$22,$G107=$G$25,K$25,$G107=$G$26,K$26,$G107=$G$27,K$27,$G107=$G$29,K$29,$G107=$G$31,K$31,$G107=$G$32,K$32,$G107=$G$248,K$248,$G107=$G$250,K$250)</f>
        <v>BG sentinel + BG lure7</v>
      </c>
      <c r="L107" s="48"/>
      <c r="M107" s="48"/>
      <c r="O107" s="45" t="str">
        <f t="shared" si="9"/>
        <v>A_SP_BCN_21_210528</v>
      </c>
      <c r="P107" s="64">
        <v>44344</v>
      </c>
      <c r="R107" s="72"/>
      <c r="S107" s="64">
        <v>44350</v>
      </c>
      <c r="U107" s="72"/>
      <c r="V107" s="54" t="s">
        <v>66</v>
      </c>
      <c r="X107" s="45">
        <f t="shared" si="5"/>
        <v>6</v>
      </c>
      <c r="Z107" s="45" t="s">
        <v>70</v>
      </c>
      <c r="AA107" s="45">
        <f t="shared" si="6"/>
        <v>5</v>
      </c>
      <c r="AB107" t="str">
        <f t="shared" si="7"/>
        <v>Adult</v>
      </c>
      <c r="AC107" s="69">
        <v>5</v>
      </c>
      <c r="AD107" s="69">
        <v>0</v>
      </c>
      <c r="AE107" s="45" t="str">
        <f t="shared" si="8"/>
        <v>Morphological</v>
      </c>
      <c r="AF107" s="56">
        <v>4</v>
      </c>
    </row>
    <row r="108" spans="1:32" ht="18" customHeight="1" x14ac:dyDescent="0.25">
      <c r="A108" s="45">
        <v>104</v>
      </c>
      <c r="B108" s="45" t="s">
        <v>60</v>
      </c>
      <c r="C108" s="45" t="s">
        <v>61</v>
      </c>
      <c r="D108" s="45" t="s">
        <v>62</v>
      </c>
      <c r="E108" s="45" t="s">
        <v>62</v>
      </c>
      <c r="F108" s="46" cm="1">
        <f t="array" ref="F108">_xlfn.IFS($G108=$G$5,F$5,$G108=$G$6,F$6,$G108=$G$7,F$7,$G108=$G$8,F$8,$G108=$G$9,F$9,$G108=$G$10,F$10,$G108=$G$11,F$11,$G108=$G$12,F$12,$G108=$G$13,F$13,$G108=$G$15,F$15,$G108=$G$16,F$16,$G108=$G$17,F$17,$G108=$G$18,F$18,$G108=$G$19,F$19,$G108=$G$20,F$20,$G108=$G$21,F$21,$G108=$G$22,F$22,$G108=$G$25,F$25,$G108=$G$26,F$26,$G108=$G$27,F$27,$G108=$G$29,F$29,$G108=$G$31,F$31,$G108=$G$32,F$32,$G108=$G$248,F$248,$G108=$G$250,F$250)</f>
        <v>8017</v>
      </c>
      <c r="G108" s="45" t="s">
        <v>98</v>
      </c>
      <c r="H108" s="67" cm="1">
        <f t="array" ref="H108">_xlfn.IFS($G108=$G$5,H$5,$G108=$G$6,H$6,$G108=$G$7,H$7,$G108=$G$8,H$8,$G108=$G$9,H$9,$G108=$G$10,H$10,$G108=$G$11,H$11,$G108=$G$12,H$12,$G108=$G$13,H$13,$G108=$G$15,H$15,$G108=$G$16,H$16,$G108=$G$17,H$17,$G108=$G$18,H$18,$G108=$G$19,H$19,$G108=$G$20,H$20,$G108=$G$21,H$21,$G108=$G$22,H$22,$G108=$G$25,H$25,$G108=$G$26,H$26,$G108=$G$27,H$27,$G108=$G$29,H$29,$G108=$G$31,H$31,$G108=$G$32,H$32,$G108=$G$248,H$248,$G108=$G$250,H$250)</f>
        <v>41.430058000000002</v>
      </c>
      <c r="I108" s="67" cm="1">
        <f t="array" ref="I108">_xlfn.IFS($G108=$G$5,I$5,$G108=$G$6,I$6,$G108=$G$7,I$7,$G108=$G$8,I$8,$G108=$G$9,I$9,$G108=$G$10,I$10,$G108=$G$11,I$11,$G108=$G$12,I$12,$G108=$G$13,I$13,$G108=$G$15,I$15,$G108=$G$16,I$16,$G108=$G$17,I$17,$G108=$G$18,I$18,$G108=$G$19,I$19,$G108=$G$20,I$20,$G108=$G$21,I$21,$G108=$G$22,I$22,$G108=$G$25,I$25,$G108=$G$26,I$26,$G108=$G$27,I$27,$G108=$G$29,I$29,$G108=$G$31,I$31,$G108=$G$32,I$32,$G108=$G$248,I$248,$G108=$G$250,I$250)</f>
        <v>2.0783459999999998</v>
      </c>
      <c r="J108" s="48" cm="1">
        <f t="array" ref="J108">_xlfn.IFS($G108=$G$5,J$5,$G108=$G$6,J$6,$G108=$G$7,J$7,$G108=$G$8,J$8,$G108=$G$9,J$9,$G108=$G$10,J$10,$G108=$G$11,J$11,$G108=$G$12,J$12,$G108=$G$13,J$13,$G108=$G$15,J$15,$G108=$G$16,J$16,$G108=$G$17,J$17,$G108=$G$18,J$18,$G108=$G$19,J$19,$G108=$G$20,J$20,$G108=$G$21,J$21,$G108=$G$22,J$22,$G108=$G$25,J$25,$G108=$G$26,J$26,$G108=$G$27,J$27,$G108=$G$29,J$29,$G108=$G$31,J$31,$G108=$G$32,J$32,$G108=$G$248,J$248,$G108=$G$250,J$250)</f>
        <v>241</v>
      </c>
      <c r="K108" s="48" t="str" cm="1">
        <f t="array" ref="K108">_xlfn.IFS($G108=$G$5,K$5,$G108=$G$6,K$6,$G108=$G$7,K$7,$G108=$G$8,K$8,$G108=$G$9,K$9,$G108=$G$10,K$10,$G108=$G$11,K$11,$G108=$G$12,K$12,$G108=$G$13,K$13,$G108=$G$15,K$15,$G108=$G$16,K$16,$G108=$G$17,K$17,$G108=$G$18,K$18,$G108=$G$19,K$19,$G108=$G$20,K$20,$G108=$G$21,K$21,$G108=$G$22,K$22,$G108=$G$25,K$25,$G108=$G$26,K$26,$G108=$G$27,K$27,$G108=$G$29,K$29,$G108=$G$31,K$31,$G108=$G$32,K$32,$G108=$G$248,K$248,$G108=$G$250,K$250)</f>
        <v>BG sentinel + BG lure7</v>
      </c>
      <c r="L108" s="48"/>
      <c r="M108" s="48"/>
      <c r="O108" s="45" t="str">
        <f t="shared" si="9"/>
        <v>A_SP_BCN_22_210528</v>
      </c>
      <c r="P108" s="52">
        <v>44344</v>
      </c>
      <c r="R108" s="72"/>
      <c r="S108" s="64">
        <v>44350</v>
      </c>
      <c r="U108" s="72"/>
      <c r="V108" s="54" t="s">
        <v>66</v>
      </c>
      <c r="X108" s="45">
        <f t="shared" si="5"/>
        <v>6</v>
      </c>
      <c r="Z108" s="45" t="s">
        <v>80</v>
      </c>
      <c r="AA108" s="45">
        <f t="shared" si="6"/>
        <v>2</v>
      </c>
      <c r="AB108" t="str">
        <f t="shared" si="7"/>
        <v>Adult</v>
      </c>
      <c r="AC108" s="69">
        <v>2</v>
      </c>
      <c r="AD108" s="69">
        <v>0</v>
      </c>
      <c r="AE108" s="45" t="str">
        <f t="shared" si="8"/>
        <v>Morphological</v>
      </c>
      <c r="AF108" s="56">
        <v>4</v>
      </c>
    </row>
    <row r="109" spans="1:32" ht="18" customHeight="1" x14ac:dyDescent="0.25">
      <c r="A109" s="45">
        <v>105</v>
      </c>
      <c r="B109" s="45" t="s">
        <v>60</v>
      </c>
      <c r="C109" s="45" t="s">
        <v>61</v>
      </c>
      <c r="D109" s="45" t="s">
        <v>62</v>
      </c>
      <c r="E109" s="45" t="s">
        <v>62</v>
      </c>
      <c r="F109" s="46" cm="1">
        <f t="array" ref="F109">_xlfn.IFS($G109=$G$5,F$5,$G109=$G$6,F$6,$G109=$G$7,F$7,$G109=$G$8,F$8,$G109=$G$9,F$9,$G109=$G$10,F$10,$G109=$G$11,F$11,$G109=$G$12,F$12,$G109=$G$13,F$13,$G109=$G$15,F$15,$G109=$G$16,F$16,$G109=$G$17,F$17,$G109=$G$18,F$18,$G109=$G$19,F$19,$G109=$G$20,F$20,$G109=$G$21,F$21,$G109=$G$22,F$22,$G109=$G$25,F$25,$G109=$G$26,F$26,$G109=$G$27,F$27,$G109=$G$29,F$29,$G109=$G$31,F$31,$G109=$G$32,F$32,$G109=$G$248,F$248,$G109=$G$250,F$250)</f>
        <v>8038</v>
      </c>
      <c r="G109" s="45" t="s">
        <v>103</v>
      </c>
      <c r="H109" s="67" cm="1">
        <f t="array" ref="H109">_xlfn.IFS($G109=$G$5,H$5,$G109=$G$6,H$6,$G109=$G$7,H$7,$G109=$G$8,H$8,$G109=$G$9,H$9,$G109=$G$10,H$10,$G109=$G$11,H$11,$G109=$G$12,H$12,$G109=$G$13,H$13,$G109=$G$15,H$15,$G109=$G$16,H$16,$G109=$G$17,H$17,$G109=$G$18,H$18,$G109=$G$19,H$19,$G109=$G$20,H$20,$G109=$G$21,H$21,$G109=$G$22,H$22,$G109=$G$25,H$25,$G109=$G$26,H$26,$G109=$G$27,H$27,$G109=$G$29,H$29,$G109=$G$31,H$31,$G109=$G$32,H$32,$G109=$G$248,H$248,$G109=$G$250,H$250)</f>
        <v>41.367100000000001</v>
      </c>
      <c r="I109" s="67" cm="1">
        <f t="array" ref="I109">_xlfn.IFS($G109=$G$5,I$5,$G109=$G$6,I$6,$G109=$G$7,I$7,$G109=$G$8,I$8,$G109=$G$9,I$9,$G109=$G$10,I$10,$G109=$G$11,I$11,$G109=$G$12,I$12,$G109=$G$13,I$13,$G109=$G$15,I$15,$G109=$G$16,I$16,$G109=$G$17,I$17,$G109=$G$18,I$18,$G109=$G$19,I$19,$G109=$G$20,I$20,$G109=$G$21,I$21,$G109=$G$22,I$22,$G109=$G$25,I$25,$G109=$G$26,I$26,$G109=$G$27,I$27,$G109=$G$29,I$29,$G109=$G$31,I$31,$G109=$G$32,I$32,$G109=$G$248,I$248,$G109=$G$250,I$250)</f>
        <v>2.1539079999999999</v>
      </c>
      <c r="J109" s="48" cm="1">
        <f t="array" ref="J109">_xlfn.IFS($G109=$G$5,J$5,$G109=$G$6,J$6,$G109=$G$7,J$7,$G109=$G$8,J$8,$G109=$G$9,J$9,$G109=$G$10,J$10,$G109=$G$11,J$11,$G109=$G$12,J$12,$G109=$G$13,J$13,$G109=$G$15,J$15,$G109=$G$16,J$16,$G109=$G$17,J$17,$G109=$G$18,J$18,$G109=$G$19,J$19,$G109=$G$20,J$20,$G109=$G$21,J$21,$G109=$G$22,J$22,$G109=$G$25,J$25,$G109=$G$26,J$26,$G109=$G$27,J$27,$G109=$G$29,J$29,$G109=$G$31,J$31,$G109=$G$32,J$32,$G109=$G$248,J$248,$G109=$G$250,J$250)</f>
        <v>68</v>
      </c>
      <c r="K109" s="48" t="str" cm="1">
        <f t="array" ref="K109">_xlfn.IFS($G109=$G$5,K$5,$G109=$G$6,K$6,$G109=$G$7,K$7,$G109=$G$8,K$8,$G109=$G$9,K$9,$G109=$G$10,K$10,$G109=$G$11,K$11,$G109=$G$12,K$12,$G109=$G$13,K$13,$G109=$G$15,K$15,$G109=$G$16,K$16,$G109=$G$17,K$17,$G109=$G$18,K$18,$G109=$G$19,K$19,$G109=$G$20,K$20,$G109=$G$21,K$21,$G109=$G$22,K$22,$G109=$G$25,K$25,$G109=$G$26,K$26,$G109=$G$27,K$27,$G109=$G$29,K$29,$G109=$G$31,K$31,$G109=$G$32,K$32,$G109=$G$248,K$248,$G109=$G$250,K$250)</f>
        <v>BG sentinel + BG lure7</v>
      </c>
      <c r="L109" s="48"/>
      <c r="M109" s="48"/>
      <c r="O109" s="45" t="str">
        <f t="shared" si="9"/>
        <v>A_SP_BCN_23_210528</v>
      </c>
      <c r="P109" s="64">
        <v>44344</v>
      </c>
      <c r="R109" s="72"/>
      <c r="S109" s="64">
        <v>44350</v>
      </c>
      <c r="U109" s="72"/>
      <c r="V109" s="54" t="s">
        <v>66</v>
      </c>
      <c r="X109" s="45">
        <f t="shared" si="5"/>
        <v>6</v>
      </c>
      <c r="Z109" s="45" t="s">
        <v>69</v>
      </c>
      <c r="AA109" s="45">
        <f t="shared" si="6"/>
        <v>5</v>
      </c>
      <c r="AB109" t="str">
        <f t="shared" si="7"/>
        <v>Adult</v>
      </c>
      <c r="AC109" s="69">
        <v>4</v>
      </c>
      <c r="AD109" s="69">
        <v>1</v>
      </c>
      <c r="AE109" s="45" t="str">
        <f t="shared" si="8"/>
        <v>Morphological</v>
      </c>
      <c r="AF109" s="56">
        <v>4</v>
      </c>
    </row>
    <row r="110" spans="1:32" ht="18" customHeight="1" x14ac:dyDescent="0.25">
      <c r="A110" s="45">
        <v>106</v>
      </c>
      <c r="B110" s="45" t="s">
        <v>60</v>
      </c>
      <c r="C110" s="45" t="s">
        <v>61</v>
      </c>
      <c r="D110" s="45" t="s">
        <v>62</v>
      </c>
      <c r="E110" s="45" t="s">
        <v>62</v>
      </c>
      <c r="F110" s="46" cm="1">
        <f t="array" ref="F110">_xlfn.IFS($G110=$G$5,F$5,$G110=$G$6,F$6,$G110=$G$7,F$7,$G110=$G$8,F$8,$G110=$G$9,F$9,$G110=$G$10,F$10,$G110=$G$11,F$11,$G110=$G$12,F$12,$G110=$G$13,F$13,$G110=$G$15,F$15,$G110=$G$16,F$16,$G110=$G$17,F$17,$G110=$G$18,F$18,$G110=$G$19,F$19,$G110=$G$20,F$20,$G110=$G$21,F$21,$G110=$G$22,F$22,$G110=$G$25,F$25,$G110=$G$26,F$26,$G110=$G$27,F$27,$G110=$G$29,F$29,$G110=$G$31,F$31,$G110=$G$32,F$32,$G110=$G$248,F$248,$G110=$G$250,F$250)</f>
        <v>8038</v>
      </c>
      <c r="G110" s="45" t="s">
        <v>103</v>
      </c>
      <c r="H110" s="67" cm="1">
        <f t="array" ref="H110">_xlfn.IFS($G110=$G$5,H$5,$G110=$G$6,H$6,$G110=$G$7,H$7,$G110=$G$8,H$8,$G110=$G$9,H$9,$G110=$G$10,H$10,$G110=$G$11,H$11,$G110=$G$12,H$12,$G110=$G$13,H$13,$G110=$G$15,H$15,$G110=$G$16,H$16,$G110=$G$17,H$17,$G110=$G$18,H$18,$G110=$G$19,H$19,$G110=$G$20,H$20,$G110=$G$21,H$21,$G110=$G$22,H$22,$G110=$G$25,H$25,$G110=$G$26,H$26,$G110=$G$27,H$27,$G110=$G$29,H$29,$G110=$G$31,H$31,$G110=$G$32,H$32,$G110=$G$248,H$248,$G110=$G$250,H$250)</f>
        <v>41.367100000000001</v>
      </c>
      <c r="I110" s="67" cm="1">
        <f t="array" ref="I110">_xlfn.IFS($G110=$G$5,I$5,$G110=$G$6,I$6,$G110=$G$7,I$7,$G110=$G$8,I$8,$G110=$G$9,I$9,$G110=$G$10,I$10,$G110=$G$11,I$11,$G110=$G$12,I$12,$G110=$G$13,I$13,$G110=$G$15,I$15,$G110=$G$16,I$16,$G110=$G$17,I$17,$G110=$G$18,I$18,$G110=$G$19,I$19,$G110=$G$20,I$20,$G110=$G$21,I$21,$G110=$G$22,I$22,$G110=$G$25,I$25,$G110=$G$26,I$26,$G110=$G$27,I$27,$G110=$G$29,I$29,$G110=$G$31,I$31,$G110=$G$32,I$32,$G110=$G$248,I$248,$G110=$G$250,I$250)</f>
        <v>2.1539079999999999</v>
      </c>
      <c r="J110" s="48" cm="1">
        <f t="array" ref="J110">_xlfn.IFS($G110=$G$5,J$5,$G110=$G$6,J$6,$G110=$G$7,J$7,$G110=$G$8,J$8,$G110=$G$9,J$9,$G110=$G$10,J$10,$G110=$G$11,J$11,$G110=$G$12,J$12,$G110=$G$13,J$13,$G110=$G$15,J$15,$G110=$G$16,J$16,$G110=$G$17,J$17,$G110=$G$18,J$18,$G110=$G$19,J$19,$G110=$G$20,J$20,$G110=$G$21,J$21,$G110=$G$22,J$22,$G110=$G$25,J$25,$G110=$G$26,J$26,$G110=$G$27,J$27,$G110=$G$29,J$29,$G110=$G$31,J$31,$G110=$G$32,J$32,$G110=$G$248,J$248,$G110=$G$250,J$250)</f>
        <v>68</v>
      </c>
      <c r="K110" s="48" t="str" cm="1">
        <f t="array" ref="K110">_xlfn.IFS($G110=$G$5,K$5,$G110=$G$6,K$6,$G110=$G$7,K$7,$G110=$G$8,K$8,$G110=$G$9,K$9,$G110=$G$10,K$10,$G110=$G$11,K$11,$G110=$G$12,K$12,$G110=$G$13,K$13,$G110=$G$15,K$15,$G110=$G$16,K$16,$G110=$G$17,K$17,$G110=$G$18,K$18,$G110=$G$19,K$19,$G110=$G$20,K$20,$G110=$G$21,K$21,$G110=$G$22,K$22,$G110=$G$25,K$25,$G110=$G$26,K$26,$G110=$G$27,K$27,$G110=$G$29,K$29,$G110=$G$31,K$31,$G110=$G$32,K$32,$G110=$G$248,K$248,$G110=$G$250,K$250)</f>
        <v>BG sentinel + BG lure7</v>
      </c>
      <c r="L110" s="48"/>
      <c r="M110" s="48"/>
      <c r="O110" s="45" t="str">
        <f t="shared" si="9"/>
        <v>A_SP_BCN_23_210528</v>
      </c>
      <c r="P110" s="64">
        <v>44344</v>
      </c>
      <c r="R110" s="72"/>
      <c r="S110" s="64">
        <v>44350</v>
      </c>
      <c r="U110" s="72"/>
      <c r="V110" s="54" t="s">
        <v>66</v>
      </c>
      <c r="X110" s="45">
        <f t="shared" si="5"/>
        <v>6</v>
      </c>
      <c r="Z110" s="45" t="s">
        <v>70</v>
      </c>
      <c r="AA110" s="45">
        <f t="shared" si="6"/>
        <v>1</v>
      </c>
      <c r="AB110" t="str">
        <f t="shared" si="7"/>
        <v>Adult</v>
      </c>
      <c r="AC110" s="69">
        <v>0</v>
      </c>
      <c r="AD110" s="69">
        <v>1</v>
      </c>
      <c r="AE110" s="45" t="str">
        <f t="shared" si="8"/>
        <v>Morphological</v>
      </c>
      <c r="AF110" s="56">
        <v>4</v>
      </c>
    </row>
    <row r="111" spans="1:32" ht="18" customHeight="1" x14ac:dyDescent="0.25">
      <c r="A111" s="45">
        <v>107</v>
      </c>
      <c r="B111" s="45" t="s">
        <v>60</v>
      </c>
      <c r="C111" s="45" t="s">
        <v>61</v>
      </c>
      <c r="D111" s="45" t="s">
        <v>62</v>
      </c>
      <c r="E111" s="45" t="s">
        <v>62</v>
      </c>
      <c r="F111" s="46" cm="1">
        <f t="array" ref="F111">_xlfn.IFS($G111=$G$5,F$5,$G111=$G$6,F$6,$G111=$G$7,F$7,$G111=$G$8,F$8,$G111=$G$9,F$9,$G111=$G$10,F$10,$G111=$G$11,F$11,$G111=$G$12,F$12,$G111=$G$13,F$13,$G111=$G$15,F$15,$G111=$G$16,F$16,$G111=$G$17,F$17,$G111=$G$18,F$18,$G111=$G$19,F$19,$G111=$G$20,F$20,$G111=$G$21,F$21,$G111=$G$22,F$22,$G111=$G$25,F$25,$G111=$G$26,F$26,$G111=$G$27,F$27,$G111=$G$29,F$29,$G111=$G$31,F$31,$G111=$G$32,F$32,$G111=$G$248,F$248,$G111=$G$250,F$250)</f>
        <v>8024</v>
      </c>
      <c r="G111" t="s">
        <v>63</v>
      </c>
      <c r="H111" s="67" cm="1">
        <f t="array" ref="H111">_xlfn.IFS($G111=$G$5,H$5,$G111=$G$6,H$6,$G111=$G$7,H$7,$G111=$G$8,H$8,$G111=$G$9,H$9,$G111=$G$10,H$10,$G111=$G$11,H$11,$G111=$G$12,H$12,$G111=$G$13,H$13,$G111=$G$15,H$15,$G111=$G$16,H$16,$G111=$G$17,H$17,$G111=$G$18,H$18,$G111=$G$19,H$19,$G111=$G$20,H$20,$G111=$G$21,H$21,$G111=$G$22,H$22,$G111=$G$25,H$25,$G111=$G$26,H$26,$G111=$G$27,H$27,$G111=$G$29,H$29,$G111=$G$31,H$31,$G111=$G$32,H$32,$G111=$G$248,H$248,$G111=$G$250,H$250)</f>
        <v>41.413573999999997</v>
      </c>
      <c r="I111" s="67" cm="1">
        <f t="array" ref="I111">_xlfn.IFS($G111=$G$5,I$5,$G111=$G$6,I$6,$G111=$G$7,I$7,$G111=$G$8,I$8,$G111=$G$9,I$9,$G111=$G$10,I$10,$G111=$G$11,I$11,$G111=$G$12,I$12,$G111=$G$13,I$13,$G111=$G$15,I$15,$G111=$G$16,I$16,$G111=$G$17,I$17,$G111=$G$18,I$18,$G111=$G$19,I$19,$G111=$G$20,I$20,$G111=$G$21,I$21,$G111=$G$22,I$22,$G111=$G$25,I$25,$G111=$G$26,I$26,$G111=$G$27,I$27,$G111=$G$29,I$29,$G111=$G$31,I$31,$G111=$G$32,I$32,$G111=$G$248,I$248,$G111=$G$250,I$250)</f>
        <v>2.1520730000000001</v>
      </c>
      <c r="J111" s="48" cm="1">
        <f t="array" ref="J111">_xlfn.IFS($G111=$G$5,J$5,$G111=$G$6,J$6,$G111=$G$7,J$7,$G111=$G$8,J$8,$G111=$G$9,J$9,$G111=$G$10,J$10,$G111=$G$11,J$11,$G111=$G$12,J$12,$G111=$G$13,J$13,$G111=$G$15,J$15,$G111=$G$16,J$16,$G111=$G$17,J$17,$G111=$G$18,J$18,$G111=$G$19,J$19,$G111=$G$20,J$20,$G111=$G$21,J$21,$G111=$G$22,J$22,$G111=$G$25,J$25,$G111=$G$26,J$26,$G111=$G$27,J$27,$G111=$G$29,J$29,$G111=$G$31,J$31,$G111=$G$32,J$32,$G111=$G$248,J$248,$G111=$G$250,J$250)</f>
        <v>141</v>
      </c>
      <c r="K111" s="48" t="str" cm="1">
        <f t="array" ref="K111">_xlfn.IFS($G111=$G$5,K$5,$G111=$G$6,K$6,$G111=$G$7,K$7,$G111=$G$8,K$8,$G111=$G$9,K$9,$G111=$G$10,K$10,$G111=$G$11,K$11,$G111=$G$12,K$12,$G111=$G$13,K$13,$G111=$G$15,K$15,$G111=$G$16,K$16,$G111=$G$17,K$17,$G111=$G$18,K$18,$G111=$G$19,K$19,$G111=$G$20,K$20,$G111=$G$21,K$21,$G111=$G$22,K$22,$G111=$G$25,K$25,$G111=$G$26,K$26,$G111=$G$27,K$27,$G111=$G$29,K$29,$G111=$G$31,K$31,$G111=$G$32,K$32,$G111=$G$248,K$248,$G111=$G$250,K$250)</f>
        <v>BG sentinel + BG lure7</v>
      </c>
      <c r="L111" s="48" t="str" cm="1">
        <f t="array" ref="L111">_xlfn.IFS($G111=$G$5,L$5,$G111=$G$6,L$6,$G111=$G$7,L$7,$G111=$G$8,L$8,$G111=$G$9,L$9,$G111=$G$10,L$10,$G111=$G$11,L$11,$G111=$G$12,L$12,$G111=$G$13,L$13,$G111=$G$15,L$15,$G111=$G$16,L$16,$G111=$G$17,L$17,$G111=$G$18,L$18,$G111=$G$19,L$19,$G111=$G$20,L$20,$G111=$G$21,L$21,$G111=$G$22,L$22,$G111=$G$25,L$25,$G111=$G$26,L$26,$G111=$G$27,L$27,$G111=$G$29,L$29,$G111=$G$31,L$31,$G111=$G$32,L$32,$G111=$G$248,L$248,$G111=$G$250,L$250)</f>
        <v>Urban habitat</v>
      </c>
      <c r="M111" s="48"/>
      <c r="O111" s="45" t="str">
        <f t="shared" si="9"/>
        <v>A_SP_BCN_1_210602</v>
      </c>
      <c r="P111" s="64">
        <v>44349</v>
      </c>
      <c r="R111" s="72"/>
      <c r="S111" s="64">
        <v>44356</v>
      </c>
      <c r="U111" s="72"/>
      <c r="V111" s="54" t="s">
        <v>66</v>
      </c>
      <c r="W111" t="s">
        <v>104</v>
      </c>
      <c r="X111" s="45">
        <f t="shared" si="5"/>
        <v>7</v>
      </c>
      <c r="Z111" s="69" t="s">
        <v>69</v>
      </c>
      <c r="AA111" s="45">
        <f t="shared" si="6"/>
        <v>1</v>
      </c>
      <c r="AB111" t="str">
        <f t="shared" si="7"/>
        <v>Adult</v>
      </c>
      <c r="AC111" s="69">
        <v>1</v>
      </c>
      <c r="AD111" s="69">
        <v>0</v>
      </c>
      <c r="AE111" s="45" t="str">
        <f t="shared" si="8"/>
        <v>Morphological</v>
      </c>
      <c r="AF111" s="56">
        <v>3</v>
      </c>
    </row>
    <row r="112" spans="1:32" ht="18" customHeight="1" x14ac:dyDescent="0.25">
      <c r="A112" s="45">
        <v>108</v>
      </c>
      <c r="B112" s="45" t="s">
        <v>60</v>
      </c>
      <c r="C112" s="45" t="s">
        <v>61</v>
      </c>
      <c r="D112" s="45" t="s">
        <v>62</v>
      </c>
      <c r="E112" s="45" t="s">
        <v>62</v>
      </c>
      <c r="F112" s="46" cm="1">
        <f t="array" ref="F112">_xlfn.IFS($G112=$G$5,F$5,$G112=$G$6,F$6,$G112=$G$7,F$7,$G112=$G$8,F$8,$G112=$G$9,F$9,$G112=$G$10,F$10,$G112=$G$11,F$11,$G112=$G$12,F$12,$G112=$G$13,F$13,$G112=$G$15,F$15,$G112=$G$16,F$16,$G112=$G$17,F$17,$G112=$G$18,F$18,$G112=$G$19,F$19,$G112=$G$20,F$20,$G112=$G$21,F$21,$G112=$G$22,F$22,$G112=$G$25,F$25,$G112=$G$26,F$26,$G112=$G$27,F$27,$G112=$G$29,F$29,$G112=$G$31,F$31,$G112=$G$32,F$32,$G112=$G$248,F$248,$G112=$G$250,F$250)</f>
        <v>8024</v>
      </c>
      <c r="G112" t="s">
        <v>63</v>
      </c>
      <c r="H112" s="67" cm="1">
        <f t="array" ref="H112">_xlfn.IFS($G112=$G$5,H$5,$G112=$G$6,H$6,$G112=$G$7,H$7,$G112=$G$8,H$8,$G112=$G$9,H$9,$G112=$G$10,H$10,$G112=$G$11,H$11,$G112=$G$12,H$12,$G112=$G$13,H$13,$G112=$G$15,H$15,$G112=$G$16,H$16,$G112=$G$17,H$17,$G112=$G$18,H$18,$G112=$G$19,H$19,$G112=$G$20,H$20,$G112=$G$21,H$21,$G112=$G$22,H$22,$G112=$G$25,H$25,$G112=$G$26,H$26,$G112=$G$27,H$27,$G112=$G$29,H$29,$G112=$G$31,H$31,$G112=$G$32,H$32,$G112=$G$248,H$248,$G112=$G$250,H$250)</f>
        <v>41.413573999999997</v>
      </c>
      <c r="I112" s="67" cm="1">
        <f t="array" ref="I112">_xlfn.IFS($G112=$G$5,I$5,$G112=$G$6,I$6,$G112=$G$7,I$7,$G112=$G$8,I$8,$G112=$G$9,I$9,$G112=$G$10,I$10,$G112=$G$11,I$11,$G112=$G$12,I$12,$G112=$G$13,I$13,$G112=$G$15,I$15,$G112=$G$16,I$16,$G112=$G$17,I$17,$G112=$G$18,I$18,$G112=$G$19,I$19,$G112=$G$20,I$20,$G112=$G$21,I$21,$G112=$G$22,I$22,$G112=$G$25,I$25,$G112=$G$26,I$26,$G112=$G$27,I$27,$G112=$G$29,I$29,$G112=$G$31,I$31,$G112=$G$32,I$32,$G112=$G$248,I$248,$G112=$G$250,I$250)</f>
        <v>2.1520730000000001</v>
      </c>
      <c r="J112" s="48" cm="1">
        <f t="array" ref="J112">_xlfn.IFS($G112=$G$5,J$5,$G112=$G$6,J$6,$G112=$G$7,J$7,$G112=$G$8,J$8,$G112=$G$9,J$9,$G112=$G$10,J$10,$G112=$G$11,J$11,$G112=$G$12,J$12,$G112=$G$13,J$13,$G112=$G$15,J$15,$G112=$G$16,J$16,$G112=$G$17,J$17,$G112=$G$18,J$18,$G112=$G$19,J$19,$G112=$G$20,J$20,$G112=$G$21,J$21,$G112=$G$22,J$22,$G112=$G$25,J$25,$G112=$G$26,J$26,$G112=$G$27,J$27,$G112=$G$29,J$29,$G112=$G$31,J$31,$G112=$G$32,J$32,$G112=$G$248,J$248,$G112=$G$250,J$250)</f>
        <v>141</v>
      </c>
      <c r="K112" s="48" t="str" cm="1">
        <f t="array" ref="K112">_xlfn.IFS($G112=$G$5,K$5,$G112=$G$6,K$6,$G112=$G$7,K$7,$G112=$G$8,K$8,$G112=$G$9,K$9,$G112=$G$10,K$10,$G112=$G$11,K$11,$G112=$G$12,K$12,$G112=$G$13,K$13,$G112=$G$15,K$15,$G112=$G$16,K$16,$G112=$G$17,K$17,$G112=$G$18,K$18,$G112=$G$19,K$19,$G112=$G$20,K$20,$G112=$G$21,K$21,$G112=$G$22,K$22,$G112=$G$25,K$25,$G112=$G$26,K$26,$G112=$G$27,K$27,$G112=$G$29,K$29,$G112=$G$31,K$31,$G112=$G$32,K$32,$G112=$G$248,K$248,$G112=$G$250,K$250)</f>
        <v>BG sentinel + BG lure7</v>
      </c>
      <c r="L112" s="48" t="str" cm="1">
        <f t="array" ref="L112">_xlfn.IFS($G112=$G$5,L$5,$G112=$G$6,L$6,$G112=$G$7,L$7,$G112=$G$8,L$8,$G112=$G$9,L$9,$G112=$G$10,L$10,$G112=$G$11,L$11,$G112=$G$12,L$12,$G112=$G$13,L$13,$G112=$G$15,L$15,$G112=$G$16,L$16,$G112=$G$17,L$17,$G112=$G$18,L$18,$G112=$G$19,L$19,$G112=$G$20,L$20,$G112=$G$21,L$21,$G112=$G$22,L$22,$G112=$G$25,L$25,$G112=$G$26,L$26,$G112=$G$27,L$27,$G112=$G$29,L$29,$G112=$G$31,L$31,$G112=$G$32,L$32,$G112=$G$248,L$248,$G112=$G$250,L$250)</f>
        <v>Urban habitat</v>
      </c>
      <c r="M112" s="48"/>
      <c r="O112" s="45" t="str">
        <f t="shared" si="9"/>
        <v>A_SP_BCN_1_210602</v>
      </c>
      <c r="P112" s="64">
        <v>44349</v>
      </c>
      <c r="R112" s="72"/>
      <c r="S112" s="64">
        <v>44356</v>
      </c>
      <c r="U112" s="72"/>
      <c r="V112" s="54" t="s">
        <v>66</v>
      </c>
      <c r="W112" t="s">
        <v>104</v>
      </c>
      <c r="X112" s="45">
        <f t="shared" si="5"/>
        <v>7</v>
      </c>
      <c r="Z112" s="45" t="s">
        <v>70</v>
      </c>
      <c r="AA112" s="45">
        <f t="shared" si="6"/>
        <v>1</v>
      </c>
      <c r="AB112" t="str">
        <f t="shared" si="7"/>
        <v>Adult</v>
      </c>
      <c r="AC112" s="69">
        <v>1</v>
      </c>
      <c r="AD112" s="69">
        <v>0</v>
      </c>
      <c r="AE112" s="45" t="str">
        <f t="shared" si="8"/>
        <v>Morphological</v>
      </c>
      <c r="AF112" s="56">
        <v>3</v>
      </c>
    </row>
    <row r="113" spans="1:32" ht="18" customHeight="1" x14ac:dyDescent="0.25">
      <c r="A113" s="45">
        <v>109</v>
      </c>
      <c r="B113" s="45" t="s">
        <v>60</v>
      </c>
      <c r="C113" s="45" t="s">
        <v>61</v>
      </c>
      <c r="D113" s="45" t="s">
        <v>62</v>
      </c>
      <c r="E113" s="45" t="s">
        <v>62</v>
      </c>
      <c r="F113" s="46" cm="1">
        <f t="array" ref="F113">_xlfn.IFS($G113=$G$5,F$5,$G113=$G$6,F$6,$G113=$G$7,F$7,$G113=$G$8,F$8,$G113=$G$9,F$9,$G113=$G$10,F$10,$G113=$G$11,F$11,$G113=$G$12,F$12,$G113=$G$13,F$13,$G113=$G$15,F$15,$G113=$G$16,F$16,$G113=$G$17,F$17,$G113=$G$18,F$18,$G113=$G$19,F$19,$G113=$G$20,F$20,$G113=$G$21,F$21,$G113=$G$22,F$22,$G113=$G$25,F$25,$G113=$G$26,F$26,$G113=$G$27,F$27,$G113=$G$29,F$29,$G113=$G$31,F$31,$G113=$G$32,F$32,$G113=$G$248,F$248,$G113=$G$250,F$250)</f>
        <v>8035</v>
      </c>
      <c r="G113" t="s">
        <v>67</v>
      </c>
      <c r="H113" s="67" cm="1">
        <f t="array" ref="H113">_xlfn.IFS($G113=$G$5,H$5,$G113=$G$6,H$6,$G113=$G$7,H$7,$G113=$G$8,H$8,$G113=$G$9,H$9,$G113=$G$10,H$10,$G113=$G$11,H$11,$G113=$G$12,H$12,$G113=$G$13,H$13,$G113=$G$15,H$15,$G113=$G$16,H$16,$G113=$G$17,H$17,$G113=$G$18,H$18,$G113=$G$19,H$19,$G113=$G$20,H$20,$G113=$G$21,H$21,$G113=$G$22,H$22,$G113=$G$25,H$25,$G113=$G$26,H$26,$G113=$G$27,H$27,$G113=$G$29,H$29,$G113=$G$31,H$31,$G113=$G$32,H$32,$G113=$G$248,H$248,$G113=$G$250,H$250)</f>
        <v>41.424387000000003</v>
      </c>
      <c r="I113" s="67" cm="1">
        <f t="array" ref="I113">_xlfn.IFS($G113=$G$5,I$5,$G113=$G$6,I$6,$G113=$G$7,I$7,$G113=$G$8,I$8,$G113=$G$9,I$9,$G113=$G$10,I$10,$G113=$G$11,I$11,$G113=$G$12,I$12,$G113=$G$13,I$13,$G113=$G$15,I$15,$G113=$G$16,I$16,$G113=$G$17,I$17,$G113=$G$18,I$18,$G113=$G$19,I$19,$G113=$G$20,I$20,$G113=$G$21,I$21,$G113=$G$22,I$22,$G113=$G$25,I$25,$G113=$G$26,I$26,$G113=$G$27,I$27,$G113=$G$29,I$29,$G113=$G$31,I$31,$G113=$G$32,I$32,$G113=$G$248,I$248,$G113=$G$250,I$250)</f>
        <v>2.1431439999999999</v>
      </c>
      <c r="J113" s="48" cm="1">
        <f t="array" ref="J113">_xlfn.IFS($G113=$G$5,J$5,$G113=$G$6,J$6,$G113=$G$7,J$7,$G113=$G$8,J$8,$G113=$G$9,J$9,$G113=$G$10,J$10,$G113=$G$11,J$11,$G113=$G$12,J$12,$G113=$G$13,J$13,$G113=$G$15,J$15,$G113=$G$16,J$16,$G113=$G$17,J$17,$G113=$G$18,J$18,$G113=$G$19,J$19,$G113=$G$20,J$20,$G113=$G$21,J$21,$G113=$G$22,J$22,$G113=$G$25,J$25,$G113=$G$26,J$26,$G113=$G$27,J$27,$G113=$G$29,J$29,$G113=$G$31,J$31,$G113=$G$32,J$32,$G113=$G$248,J$248,$G113=$G$250,J$250)</f>
        <v>160</v>
      </c>
      <c r="K113" s="48" t="str" cm="1">
        <f t="array" ref="K113">_xlfn.IFS($G113=$G$5,K$5,$G113=$G$6,K$6,$G113=$G$7,K$7,$G113=$G$8,K$8,$G113=$G$9,K$9,$G113=$G$10,K$10,$G113=$G$11,K$11,$G113=$G$12,K$12,$G113=$G$13,K$13,$G113=$G$15,K$15,$G113=$G$16,K$16,$G113=$G$17,K$17,$G113=$G$18,K$18,$G113=$G$19,K$19,$G113=$G$20,K$20,$G113=$G$21,K$21,$G113=$G$22,K$22,$G113=$G$25,K$25,$G113=$G$26,K$26,$G113=$G$27,K$27,$G113=$G$29,K$29,$G113=$G$31,K$31,$G113=$G$32,K$32,$G113=$G$248,K$248,$G113=$G$250,K$250)</f>
        <v>BG sentinel + BG lure7</v>
      </c>
      <c r="L113" s="48" t="str" cm="1">
        <f t="array" ref="L113">_xlfn.IFS($G113=$G$5,L$5,$G113=$G$6,L$6,$G113=$G$7,L$7,$G113=$G$8,L$8,$G113=$G$9,L$9,$G113=$G$10,L$10,$G113=$G$11,L$11,$G113=$G$12,L$12,$G113=$G$13,L$13,$G113=$G$15,L$15,$G113=$G$16,L$16,$G113=$G$17,L$17,$G113=$G$18,L$18,$G113=$G$19,L$19,$G113=$G$20,L$20,$G113=$G$21,L$21,$G113=$G$22,L$22,$G113=$G$25,L$25,$G113=$G$26,L$26,$G113=$G$27,L$27,$G113=$G$29,L$29,$G113=$G$31,L$31,$G113=$G$32,L$32,$G113=$G$248,L$248,$G113=$G$250,L$250)</f>
        <v>Urban habitat</v>
      </c>
      <c r="M113" s="48"/>
      <c r="O113" s="45" t="str">
        <f t="shared" si="9"/>
        <v>A_SP_BCN_2_210602</v>
      </c>
      <c r="P113" s="64">
        <v>44349</v>
      </c>
      <c r="R113" s="72"/>
      <c r="S113" s="64">
        <v>44356</v>
      </c>
      <c r="U113" s="72"/>
      <c r="V113" s="54" t="s">
        <v>66</v>
      </c>
      <c r="X113" s="45">
        <f t="shared" si="5"/>
        <v>7</v>
      </c>
      <c r="Z113" s="69" t="s">
        <v>69</v>
      </c>
      <c r="AA113" s="45">
        <f t="shared" si="6"/>
        <v>1</v>
      </c>
      <c r="AB113" t="str">
        <f t="shared" si="7"/>
        <v>Adult</v>
      </c>
      <c r="AC113" s="69">
        <v>1</v>
      </c>
      <c r="AD113" s="69">
        <v>0</v>
      </c>
      <c r="AE113" s="45" t="str">
        <f t="shared" si="8"/>
        <v>Morphological</v>
      </c>
      <c r="AF113" s="56">
        <v>4</v>
      </c>
    </row>
    <row r="114" spans="1:32" ht="18" customHeight="1" x14ac:dyDescent="0.25">
      <c r="A114" s="45">
        <v>110</v>
      </c>
      <c r="B114" s="45" t="s">
        <v>60</v>
      </c>
      <c r="C114" s="45" t="s">
        <v>61</v>
      </c>
      <c r="D114" s="45" t="s">
        <v>62</v>
      </c>
      <c r="E114" s="45" t="s">
        <v>62</v>
      </c>
      <c r="F114" s="46" cm="1">
        <f t="array" ref="F114">_xlfn.IFS($G114=$G$5,F$5,$G114=$G$6,F$6,$G114=$G$7,F$7,$G114=$G$8,F$8,$G114=$G$9,F$9,$G114=$G$10,F$10,$G114=$G$11,F$11,$G114=$G$12,F$12,$G114=$G$13,F$13,$G114=$G$15,F$15,$G114=$G$16,F$16,$G114=$G$17,F$17,$G114=$G$18,F$18,$G114=$G$19,F$19,$G114=$G$20,F$20,$G114=$G$21,F$21,$G114=$G$22,F$22,$G114=$G$25,F$25,$G114=$G$26,F$26,$G114=$G$27,F$27,$G114=$G$29,F$29,$G114=$G$31,F$31,$G114=$G$32,F$32,$G114=$G$248,F$248,$G114=$G$250,F$250)</f>
        <v>8016</v>
      </c>
      <c r="G114" t="s">
        <v>68</v>
      </c>
      <c r="H114" s="67" cm="1">
        <f t="array" ref="H114">_xlfn.IFS($G114=$G$5,H$5,$G114=$G$6,H$6,$G114=$G$7,H$7,$G114=$G$8,H$8,$G114=$G$9,H$9,$G114=$G$10,H$10,$G114=$G$11,H$11,$G114=$G$12,H$12,$G114=$G$13,H$13,$G114=$G$15,H$15,$G114=$G$16,H$16,$G114=$G$17,H$17,$G114=$G$18,H$18,$G114=$G$19,H$19,$G114=$G$20,H$20,$G114=$G$21,H$21,$G114=$G$22,H$22,$G114=$G$25,H$25,$G114=$G$26,H$26,$G114=$G$27,H$27,$G114=$G$29,H$29,$G114=$G$31,H$31,$G114=$G$32,H$32,$G114=$G$248,H$248,$G114=$G$250,H$250)</f>
        <v>41.437435000000001</v>
      </c>
      <c r="I114" s="67" cm="1">
        <f t="array" ref="I114">_xlfn.IFS($G114=$G$5,I$5,$G114=$G$6,I$6,$G114=$G$7,I$7,$G114=$G$8,I$8,$G114=$G$9,I$9,$G114=$G$10,I$10,$G114=$G$11,I$11,$G114=$G$12,I$12,$G114=$G$13,I$13,$G114=$G$15,I$15,$G114=$G$16,I$16,$G114=$G$17,I$17,$G114=$G$18,I$18,$G114=$G$19,I$19,$G114=$G$20,I$20,$G114=$G$21,I$21,$G114=$G$22,I$22,$G114=$G$25,I$25,$G114=$G$26,I$26,$G114=$G$27,I$27,$G114=$G$29,I$29,$G114=$G$31,I$31,$G114=$G$32,I$32,$G114=$G$248,I$248,$G114=$G$250,I$250)</f>
        <v>2.1812779999999998</v>
      </c>
      <c r="J114" s="48" cm="1">
        <f t="array" ref="J114">_xlfn.IFS($G114=$G$5,J$5,$G114=$G$6,J$6,$G114=$G$7,J$7,$G114=$G$8,J$8,$G114=$G$9,J$9,$G114=$G$10,J$10,$G114=$G$11,J$11,$G114=$G$12,J$12,$G114=$G$13,J$13,$G114=$G$15,J$15,$G114=$G$16,J$16,$G114=$G$17,J$17,$G114=$G$18,J$18,$G114=$G$19,J$19,$G114=$G$20,J$20,$G114=$G$21,J$21,$G114=$G$22,J$22,$G114=$G$25,J$25,$G114=$G$26,J$26,$G114=$G$27,J$27,$G114=$G$29,J$29,$G114=$G$31,J$31,$G114=$G$32,J$32,$G114=$G$248,J$248,$G114=$G$250,J$250)</f>
        <v>47</v>
      </c>
      <c r="K114" s="48" t="str" cm="1">
        <f t="array" ref="K114">_xlfn.IFS($G114=$G$5,K$5,$G114=$G$6,K$6,$G114=$G$7,K$7,$G114=$G$8,K$8,$G114=$G$9,K$9,$G114=$G$10,K$10,$G114=$G$11,K$11,$G114=$G$12,K$12,$G114=$G$13,K$13,$G114=$G$15,K$15,$G114=$G$16,K$16,$G114=$G$17,K$17,$G114=$G$18,K$18,$G114=$G$19,K$19,$G114=$G$20,K$20,$G114=$G$21,K$21,$G114=$G$22,K$22,$G114=$G$25,K$25,$G114=$G$26,K$26,$G114=$G$27,K$27,$G114=$G$29,K$29,$G114=$G$31,K$31,$G114=$G$32,K$32,$G114=$G$248,K$248,$G114=$G$250,K$250)</f>
        <v>BG sentinel + BG lure7</v>
      </c>
      <c r="L114" s="48" t="str" cm="1">
        <f t="array" ref="L114">_xlfn.IFS($G114=$G$5,L$5,$G114=$G$6,L$6,$G114=$G$7,L$7,$G114=$G$8,L$8,$G114=$G$9,L$9,$G114=$G$10,L$10,$G114=$G$11,L$11,$G114=$G$12,L$12,$G114=$G$13,L$13,$G114=$G$15,L$15,$G114=$G$16,L$16,$G114=$G$17,L$17,$G114=$G$18,L$18,$G114=$G$19,L$19,$G114=$G$20,L$20,$G114=$G$21,L$21,$G114=$G$22,L$22,$G114=$G$25,L$25,$G114=$G$26,L$26,$G114=$G$27,L$27,$G114=$G$29,L$29,$G114=$G$31,L$31,$G114=$G$32,L$32,$G114=$G$248,L$248,$G114=$G$250,L$250)</f>
        <v>Urban habitat</v>
      </c>
      <c r="M114" s="48"/>
      <c r="O114" s="45" t="str">
        <f t="shared" si="9"/>
        <v>A_SP_BCN_3_210602</v>
      </c>
      <c r="P114" s="64">
        <v>44349</v>
      </c>
      <c r="R114" s="72"/>
      <c r="S114" s="64">
        <v>44356</v>
      </c>
      <c r="U114" s="72"/>
      <c r="V114" s="54" t="s">
        <v>66</v>
      </c>
      <c r="X114" s="45">
        <f t="shared" si="5"/>
        <v>7</v>
      </c>
      <c r="Z114" s="45" t="s">
        <v>70</v>
      </c>
      <c r="AA114" s="45">
        <f t="shared" si="6"/>
        <v>1</v>
      </c>
      <c r="AB114" t="str">
        <f t="shared" si="7"/>
        <v>Adult</v>
      </c>
      <c r="AC114" s="69">
        <v>1</v>
      </c>
      <c r="AD114" s="69">
        <v>0</v>
      </c>
      <c r="AE114" s="45" t="str">
        <f t="shared" si="8"/>
        <v>Morphological</v>
      </c>
      <c r="AF114" s="56">
        <v>4</v>
      </c>
    </row>
    <row r="115" spans="1:32" ht="18" customHeight="1" x14ac:dyDescent="0.25">
      <c r="A115" s="45">
        <v>111</v>
      </c>
      <c r="B115" s="45" t="s">
        <v>60</v>
      </c>
      <c r="C115" s="45" t="s">
        <v>61</v>
      </c>
      <c r="D115" s="45" t="s">
        <v>62</v>
      </c>
      <c r="E115" s="45" t="s">
        <v>62</v>
      </c>
      <c r="F115" s="46" cm="1">
        <f t="array" ref="F115">_xlfn.IFS($G115=$G$5,F$5,$G115=$G$6,F$6,$G115=$G$7,F$7,$G115=$G$8,F$8,$G115=$G$9,F$9,$G115=$G$10,F$10,$G115=$G$11,F$11,$G115=$G$12,F$12,$G115=$G$13,F$13,$G115=$G$15,F$15,$G115=$G$16,F$16,$G115=$G$17,F$17,$G115=$G$18,F$18,$G115=$G$19,F$19,$G115=$G$20,F$20,$G115=$G$21,F$21,$G115=$G$22,F$22,$G115=$G$25,F$25,$G115=$G$26,F$26,$G115=$G$27,F$27,$G115=$G$29,F$29,$G115=$G$31,F$31,$G115=$G$32,F$32,$G115=$G$248,F$248,$G115=$G$250,F$250)</f>
        <v>8016</v>
      </c>
      <c r="G115" t="s">
        <v>68</v>
      </c>
      <c r="H115" s="67" cm="1">
        <f t="array" ref="H115">_xlfn.IFS($G115=$G$5,H$5,$G115=$G$6,H$6,$G115=$G$7,H$7,$G115=$G$8,H$8,$G115=$G$9,H$9,$G115=$G$10,H$10,$G115=$G$11,H$11,$G115=$G$12,H$12,$G115=$G$13,H$13,$G115=$G$15,H$15,$G115=$G$16,H$16,$G115=$G$17,H$17,$G115=$G$18,H$18,$G115=$G$19,H$19,$G115=$G$20,H$20,$G115=$G$21,H$21,$G115=$G$22,H$22,$G115=$G$25,H$25,$G115=$G$26,H$26,$G115=$G$27,H$27,$G115=$G$29,H$29,$G115=$G$31,H$31,$G115=$G$32,H$32,$G115=$G$248,H$248,$G115=$G$250,H$250)</f>
        <v>41.437435000000001</v>
      </c>
      <c r="I115" s="67" cm="1">
        <f t="array" ref="I115">_xlfn.IFS($G115=$G$5,I$5,$G115=$G$6,I$6,$G115=$G$7,I$7,$G115=$G$8,I$8,$G115=$G$9,I$9,$G115=$G$10,I$10,$G115=$G$11,I$11,$G115=$G$12,I$12,$G115=$G$13,I$13,$G115=$G$15,I$15,$G115=$G$16,I$16,$G115=$G$17,I$17,$G115=$G$18,I$18,$G115=$G$19,I$19,$G115=$G$20,I$20,$G115=$G$21,I$21,$G115=$G$22,I$22,$G115=$G$25,I$25,$G115=$G$26,I$26,$G115=$G$27,I$27,$G115=$G$29,I$29,$G115=$G$31,I$31,$G115=$G$32,I$32,$G115=$G$248,I$248,$G115=$G$250,I$250)</f>
        <v>2.1812779999999998</v>
      </c>
      <c r="J115" s="48" cm="1">
        <f t="array" ref="J115">_xlfn.IFS($G115=$G$5,J$5,$G115=$G$6,J$6,$G115=$G$7,J$7,$G115=$G$8,J$8,$G115=$G$9,J$9,$G115=$G$10,J$10,$G115=$G$11,J$11,$G115=$G$12,J$12,$G115=$G$13,J$13,$G115=$G$15,J$15,$G115=$G$16,J$16,$G115=$G$17,J$17,$G115=$G$18,J$18,$G115=$G$19,J$19,$G115=$G$20,J$20,$G115=$G$21,J$21,$G115=$G$22,J$22,$G115=$G$25,J$25,$G115=$G$26,J$26,$G115=$G$27,J$27,$G115=$G$29,J$29,$G115=$G$31,J$31,$G115=$G$32,J$32,$G115=$G$248,J$248,$G115=$G$250,J$250)</f>
        <v>47</v>
      </c>
      <c r="K115" s="48" t="str" cm="1">
        <f t="array" ref="K115">_xlfn.IFS($G115=$G$5,K$5,$G115=$G$6,K$6,$G115=$G$7,K$7,$G115=$G$8,K$8,$G115=$G$9,K$9,$G115=$G$10,K$10,$G115=$G$11,K$11,$G115=$G$12,K$12,$G115=$G$13,K$13,$G115=$G$15,K$15,$G115=$G$16,K$16,$G115=$G$17,K$17,$G115=$G$18,K$18,$G115=$G$19,K$19,$G115=$G$20,K$20,$G115=$G$21,K$21,$G115=$G$22,K$22,$G115=$G$25,K$25,$G115=$G$26,K$26,$G115=$G$27,K$27,$G115=$G$29,K$29,$G115=$G$31,K$31,$G115=$G$32,K$32,$G115=$G$248,K$248,$G115=$G$250,K$250)</f>
        <v>BG sentinel + BG lure7</v>
      </c>
      <c r="L115" s="48" t="str" cm="1">
        <f t="array" ref="L115">_xlfn.IFS($G115=$G$5,L$5,$G115=$G$6,L$6,$G115=$G$7,L$7,$G115=$G$8,L$8,$G115=$G$9,L$9,$G115=$G$10,L$10,$G115=$G$11,L$11,$G115=$G$12,L$12,$G115=$G$13,L$13,$G115=$G$15,L$15,$G115=$G$16,L$16,$G115=$G$17,L$17,$G115=$G$18,L$18,$G115=$G$19,L$19,$G115=$G$20,L$20,$G115=$G$21,L$21,$G115=$G$22,L$22,$G115=$G$25,L$25,$G115=$G$26,L$26,$G115=$G$27,L$27,$G115=$G$29,L$29,$G115=$G$31,L$31,$G115=$G$32,L$32,$G115=$G$248,L$248,$G115=$G$250,L$250)</f>
        <v>Urban habitat</v>
      </c>
      <c r="M115" s="48"/>
      <c r="O115" s="45" t="str">
        <f t="shared" si="9"/>
        <v>A_SP_BCN_3_210602</v>
      </c>
      <c r="P115" s="64">
        <v>44349</v>
      </c>
      <c r="R115" s="72"/>
      <c r="S115" s="64">
        <v>44356</v>
      </c>
      <c r="U115" s="72"/>
      <c r="V115" s="54" t="s">
        <v>66</v>
      </c>
      <c r="X115" s="45">
        <f t="shared" si="5"/>
        <v>7</v>
      </c>
      <c r="Z115" s="45" t="s">
        <v>80</v>
      </c>
      <c r="AA115" s="45">
        <f t="shared" si="6"/>
        <v>1</v>
      </c>
      <c r="AB115" t="str">
        <f t="shared" si="7"/>
        <v>Adult</v>
      </c>
      <c r="AC115" s="69">
        <v>1</v>
      </c>
      <c r="AD115" s="69">
        <v>0</v>
      </c>
      <c r="AE115" s="45" t="str">
        <f t="shared" si="8"/>
        <v>Morphological</v>
      </c>
      <c r="AF115" s="56">
        <v>4</v>
      </c>
    </row>
    <row r="116" spans="1:32" ht="18" customHeight="1" x14ac:dyDescent="0.25">
      <c r="A116" s="45">
        <v>112</v>
      </c>
      <c r="B116" s="45" t="s">
        <v>60</v>
      </c>
      <c r="C116" s="45" t="s">
        <v>61</v>
      </c>
      <c r="D116" s="45" t="s">
        <v>62</v>
      </c>
      <c r="E116" s="45" t="s">
        <v>62</v>
      </c>
      <c r="F116" s="46" cm="1">
        <f t="array" ref="F116">_xlfn.IFS($G116=$G$5,F$5,$G116=$G$6,F$6,$G116=$G$7,F$7,$G116=$G$8,F$8,$G116=$G$9,F$9,$G116=$G$10,F$10,$G116=$G$11,F$11,$G116=$G$12,F$12,$G116=$G$13,F$13,$G116=$G$15,F$15,$G116=$G$16,F$16,$G116=$G$17,F$17,$G116=$G$18,F$18,$G116=$G$19,F$19,$G116=$G$20,F$20,$G116=$G$21,F$21,$G116=$G$22,F$22,$G116=$G$25,F$25,$G116=$G$26,F$26,$G116=$G$27,F$27,$G116=$G$29,F$29,$G116=$G$31,F$31,$G116=$G$32,F$32,$G116=$G$248,F$248,$G116=$G$250,F$250)</f>
        <v>8018</v>
      </c>
      <c r="G116" t="s">
        <v>71</v>
      </c>
      <c r="H116" s="67" cm="1">
        <f t="array" ref="H116">_xlfn.IFS($G116=$G$5,H$5,$G116=$G$6,H$6,$G116=$G$7,H$7,$G116=$G$8,H$8,$G116=$G$9,H$9,$G116=$G$10,H$10,$G116=$G$11,H$11,$G116=$G$12,H$12,$G116=$G$13,H$13,$G116=$G$15,H$15,$G116=$G$16,H$16,$G116=$G$17,H$17,$G116=$G$18,H$18,$G116=$G$19,H$19,$G116=$G$20,H$20,$G116=$G$21,H$21,$G116=$G$22,H$22,$G116=$G$25,H$25,$G116=$G$26,H$26,$G116=$G$27,H$27,$G116=$G$29,H$29,$G116=$G$31,H$31,$G116=$G$32,H$32,$G116=$G$248,H$248,$G116=$G$250,H$250)</f>
        <v>41.410684000000003</v>
      </c>
      <c r="I116" s="67" cm="1">
        <f t="array" ref="I116">_xlfn.IFS($G116=$G$5,I$5,$G116=$G$6,I$6,$G116=$G$7,I$7,$G116=$G$8,I$8,$G116=$G$9,I$9,$G116=$G$10,I$10,$G116=$G$11,I$11,$G116=$G$12,I$12,$G116=$G$13,I$13,$G116=$G$15,I$15,$G116=$G$16,I$16,$G116=$G$17,I$17,$G116=$G$18,I$18,$G116=$G$19,I$19,$G116=$G$20,I$20,$G116=$G$21,I$21,$G116=$G$22,I$22,$G116=$G$25,I$25,$G116=$G$26,I$26,$G116=$G$27,I$27,$G116=$G$29,I$29,$G116=$G$31,I$31,$G116=$G$32,I$32,$G116=$G$248,I$248,$G116=$G$250,I$250)</f>
        <v>2.2208019999999999</v>
      </c>
      <c r="J116" s="48" cm="1">
        <f t="array" ref="J116">_xlfn.IFS($G116=$G$5,J$5,$G116=$G$6,J$6,$G116=$G$7,J$7,$G116=$G$8,J$8,$G116=$G$9,J$9,$G116=$G$10,J$10,$G116=$G$11,J$11,$G116=$G$12,J$12,$G116=$G$13,J$13,$G116=$G$15,J$15,$G116=$G$16,J$16,$G116=$G$17,J$17,$G116=$G$18,J$18,$G116=$G$19,J$19,$G116=$G$20,J$20,$G116=$G$21,J$21,$G116=$G$22,J$22,$G116=$G$25,J$25,$G116=$G$26,J$26,$G116=$G$27,J$27,$G116=$G$29,J$29,$G116=$G$31,J$31,$G116=$G$32,J$32,$G116=$G$248,J$248,$G116=$G$250,J$250)</f>
        <v>4</v>
      </c>
      <c r="K116" s="48" t="str" cm="1">
        <f t="array" ref="K116">_xlfn.IFS($G116=$G$5,K$5,$G116=$G$6,K$6,$G116=$G$7,K$7,$G116=$G$8,K$8,$G116=$G$9,K$9,$G116=$G$10,K$10,$G116=$G$11,K$11,$G116=$G$12,K$12,$G116=$G$13,K$13,$G116=$G$15,K$15,$G116=$G$16,K$16,$G116=$G$17,K$17,$G116=$G$18,K$18,$G116=$G$19,K$19,$G116=$G$20,K$20,$G116=$G$21,K$21,$G116=$G$22,K$22,$G116=$G$25,K$25,$G116=$G$26,K$26,$G116=$G$27,K$27,$G116=$G$29,K$29,$G116=$G$31,K$31,$G116=$G$32,K$32,$G116=$G$248,K$248,$G116=$G$250,K$250)</f>
        <v>BG sentinel + BG lure7</v>
      </c>
      <c r="L116" s="48" t="str" cm="1">
        <f t="array" ref="L116">_xlfn.IFS($G116=$G$5,L$5,$G116=$G$6,L$6,$G116=$G$7,L$7,$G116=$G$8,L$8,$G116=$G$9,L$9,$G116=$G$10,L$10,$G116=$G$11,L$11,$G116=$G$12,L$12,$G116=$G$13,L$13,$G116=$G$15,L$15,$G116=$G$16,L$16,$G116=$G$17,L$17,$G116=$G$18,L$18,$G116=$G$19,L$19,$G116=$G$20,L$20,$G116=$G$21,L$21,$G116=$G$22,L$22,$G116=$G$25,L$25,$G116=$G$26,L$26,$G116=$G$27,L$27,$G116=$G$29,L$29,$G116=$G$31,L$31,$G116=$G$32,L$32,$G116=$G$248,L$248,$G116=$G$250,L$250)</f>
        <v>Urban habitat</v>
      </c>
      <c r="M116" s="48"/>
      <c r="O116" s="45" t="str">
        <f>G116&amp;"_"&amp;TEXT(P116, "AAMMDD")</f>
        <v>A_SP_BCN_4_210603</v>
      </c>
      <c r="P116" s="64">
        <v>44350</v>
      </c>
      <c r="R116" s="72"/>
      <c r="S116" s="64">
        <v>44357</v>
      </c>
      <c r="U116" s="72"/>
      <c r="V116" s="54" t="s">
        <v>66</v>
      </c>
      <c r="X116" s="45">
        <f t="shared" si="5"/>
        <v>7</v>
      </c>
      <c r="Z116" s="45" t="s">
        <v>70</v>
      </c>
      <c r="AA116" s="45">
        <f>SUM(AC116:AD116)</f>
        <v>8</v>
      </c>
      <c r="AB116" t="str">
        <f t="shared" si="7"/>
        <v>Adult</v>
      </c>
      <c r="AC116" s="45">
        <v>6</v>
      </c>
      <c r="AD116" s="45">
        <v>2</v>
      </c>
      <c r="AE116" s="45" t="str">
        <f t="shared" si="8"/>
        <v>Morphological</v>
      </c>
      <c r="AF116" s="56">
        <v>4</v>
      </c>
    </row>
    <row r="117" spans="1:32" ht="18" customHeight="1" x14ac:dyDescent="0.25">
      <c r="A117" s="45">
        <v>113</v>
      </c>
      <c r="B117" s="45" t="s">
        <v>60</v>
      </c>
      <c r="C117" s="45" t="s">
        <v>61</v>
      </c>
      <c r="D117" s="45" t="s">
        <v>62</v>
      </c>
      <c r="E117" s="45" t="s">
        <v>62</v>
      </c>
      <c r="F117" s="46" cm="1">
        <f t="array" ref="F117">_xlfn.IFS($G117=$G$5,F$5,$G117=$G$6,F$6,$G117=$G$7,F$7,$G117=$G$8,F$8,$G117=$G$9,F$9,$G117=$G$10,F$10,$G117=$G$11,F$11,$G117=$G$12,F$12,$G117=$G$13,F$13,$G117=$G$15,F$15,$G117=$G$16,F$16,$G117=$G$17,F$17,$G117=$G$18,F$18,$G117=$G$19,F$19,$G117=$G$20,F$20,$G117=$G$21,F$21,$G117=$G$22,F$22,$G117=$G$25,F$25,$G117=$G$26,F$26,$G117=$G$27,F$27,$G117=$G$29,F$29,$G117=$G$31,F$31,$G117=$G$32,F$32,$G117=$G$248,F$248,$G117=$G$250,F$250)</f>
        <v>8019</v>
      </c>
      <c r="G117" t="s">
        <v>72</v>
      </c>
      <c r="H117" s="67" cm="1">
        <f t="array" ref="H117">_xlfn.IFS($G117=$G$5,H$5,$G117=$G$6,H$6,$G117=$G$7,H$7,$G117=$G$8,H$8,$G117=$G$9,H$9,$G117=$G$10,H$10,$G117=$G$11,H$11,$G117=$G$12,H$12,$G117=$G$13,H$13,$G117=$G$15,H$15,$G117=$G$16,H$16,$G117=$G$17,H$17,$G117=$G$18,H$18,$G117=$G$19,H$19,$G117=$G$20,H$20,$G117=$G$21,H$21,$G117=$G$22,H$22,$G117=$G$25,H$25,$G117=$G$26,H$26,$G117=$G$27,H$27,$G117=$G$29,H$29,$G117=$G$31,H$31,$G117=$G$32,H$32,$G117=$G$248,H$248,$G117=$G$250,H$250)</f>
        <v>41.382339999999999</v>
      </c>
      <c r="I117" s="67" cm="1">
        <f t="array" ref="I117">_xlfn.IFS($G117=$G$5,I$5,$G117=$G$6,I$6,$G117=$G$7,I$7,$G117=$G$8,I$8,$G117=$G$9,I$9,$G117=$G$10,I$10,$G117=$G$11,I$11,$G117=$G$12,I$12,$G117=$G$13,I$13,$G117=$G$15,I$15,$G117=$G$16,I$16,$G117=$G$17,I$17,$G117=$G$18,I$18,$G117=$G$19,I$19,$G117=$G$20,I$20,$G117=$G$21,I$21,$G117=$G$22,I$22,$G117=$G$25,I$25,$G117=$G$26,I$26,$G117=$G$27,I$27,$G117=$G$29,I$29,$G117=$G$31,I$31,$G117=$G$32,I$32,$G117=$G$248,I$248,$G117=$G$250,I$250)</f>
        <v>2.1714790000000002</v>
      </c>
      <c r="J117" s="48" cm="1">
        <f t="array" ref="J117">_xlfn.IFS($G117=$G$5,J$5,$G117=$G$6,J$6,$G117=$G$7,J$7,$G117=$G$8,J$8,$G117=$G$9,J$9,$G117=$G$10,J$10,$G117=$G$11,J$11,$G117=$G$12,J$12,$G117=$G$13,J$13,$G117=$G$15,J$15,$G117=$G$16,J$16,$G117=$G$17,J$17,$G117=$G$18,J$18,$G117=$G$19,J$19,$G117=$G$20,J$20,$G117=$G$21,J$21,$G117=$G$22,J$22,$G117=$G$25,J$25,$G117=$G$26,J$26,$G117=$G$27,J$27,$G117=$G$29,J$29,$G117=$G$31,J$31,$G117=$G$32,J$32,$G117=$G$248,J$248,$G117=$G$250,J$250)</f>
        <v>18</v>
      </c>
      <c r="K117" s="48" t="str" cm="1">
        <f t="array" ref="K117">_xlfn.IFS($G117=$G$5,K$5,$G117=$G$6,K$6,$G117=$G$7,K$7,$G117=$G$8,K$8,$G117=$G$9,K$9,$G117=$G$10,K$10,$G117=$G$11,K$11,$G117=$G$12,K$12,$G117=$G$13,K$13,$G117=$G$15,K$15,$G117=$G$16,K$16,$G117=$G$17,K$17,$G117=$G$18,K$18,$G117=$G$19,K$19,$G117=$G$20,K$20,$G117=$G$21,K$21,$G117=$G$22,K$22,$G117=$G$25,K$25,$G117=$G$26,K$26,$G117=$G$27,K$27,$G117=$G$29,K$29,$G117=$G$31,K$31,$G117=$G$32,K$32,$G117=$G$248,K$248,$G117=$G$250,K$250)</f>
        <v>BG sentinel + BG lure7</v>
      </c>
      <c r="L117" s="48" t="str" cm="1">
        <f t="array" ref="L117">_xlfn.IFS($G117=$G$5,L$5,$G117=$G$6,L$6,$G117=$G$7,L$7,$G117=$G$8,L$8,$G117=$G$9,L$9,$G117=$G$10,L$10,$G117=$G$11,L$11,$G117=$G$12,L$12,$G117=$G$13,L$13,$G117=$G$15,L$15,$G117=$G$16,L$16,$G117=$G$17,L$17,$G117=$G$18,L$18,$G117=$G$19,L$19,$G117=$G$20,L$20,$G117=$G$21,L$21,$G117=$G$22,L$22,$G117=$G$25,L$25,$G117=$G$26,L$26,$G117=$G$27,L$27,$G117=$G$29,L$29,$G117=$G$31,L$31,$G117=$G$32,L$32,$G117=$G$248,L$248,$G117=$G$250,L$250)</f>
        <v>Urban habitat</v>
      </c>
      <c r="M117" s="48"/>
      <c r="O117" s="45" t="str">
        <f t="shared" ref="O117:O229" si="10">G117&amp;"_"&amp;TEXT(P117, "AAMMDD")</f>
        <v>A_SP_BCN_5_210603</v>
      </c>
      <c r="P117" s="64">
        <v>44350</v>
      </c>
      <c r="R117" s="72"/>
      <c r="S117" s="64">
        <v>44357</v>
      </c>
      <c r="U117" s="72"/>
      <c r="V117" s="54" t="s">
        <v>66</v>
      </c>
      <c r="X117" s="45">
        <f t="shared" si="5"/>
        <v>7</v>
      </c>
      <c r="AA117" s="45">
        <f t="shared" ref="AA117:AA118" si="11">SUM(AC117:AD117)</f>
        <v>0</v>
      </c>
      <c r="AB117" t="str">
        <f t="shared" si="7"/>
        <v/>
      </c>
      <c r="AE117" s="45" t="str">
        <f t="shared" si="8"/>
        <v/>
      </c>
      <c r="AF117" s="56">
        <v>4</v>
      </c>
    </row>
    <row r="118" spans="1:32" ht="18" customHeight="1" x14ac:dyDescent="0.25">
      <c r="A118" s="45">
        <v>114</v>
      </c>
      <c r="B118" s="45" t="s">
        <v>60</v>
      </c>
      <c r="C118" s="45" t="s">
        <v>61</v>
      </c>
      <c r="D118" s="45" t="s">
        <v>62</v>
      </c>
      <c r="E118" s="45" t="s">
        <v>62</v>
      </c>
      <c r="F118" s="46" cm="1">
        <f t="array" ref="F118">_xlfn.IFS($G118=$G$5,F$5,$G118=$G$6,F$6,$G118=$G$7,F$7,$G118=$G$8,F$8,$G118=$G$9,F$9,$G118=$G$10,F$10,$G118=$G$11,F$11,$G118=$G$12,F$12,$G118=$G$13,F$13,$G118=$G$15,F$15,$G118=$G$16,F$16,$G118=$G$17,F$17,$G118=$G$18,F$18,$G118=$G$19,F$19,$G118=$G$20,F$20,$G118=$G$21,F$21,$G118=$G$22,F$22,$G118=$G$25,F$25,$G118=$G$26,F$26,$G118=$G$27,F$27,$G118=$G$29,F$29,$G118=$G$31,F$31,$G118=$G$32,F$32,$G118=$G$248,F$248,$G118=$G$250,F$250)</f>
        <v>8002</v>
      </c>
      <c r="G118" t="s">
        <v>73</v>
      </c>
      <c r="H118" s="67" cm="1">
        <f t="array" ref="H118">_xlfn.IFS($G118=$G$5,H$5,$G118=$G$6,H$6,$G118=$G$7,H$7,$G118=$G$8,H$8,$G118=$G$9,H$9,$G118=$G$10,H$10,$G118=$G$11,H$11,$G118=$G$12,H$12,$G118=$G$13,H$13,$G118=$G$15,H$15,$G118=$G$16,H$16,$G118=$G$17,H$17,$G118=$G$18,H$18,$G118=$G$19,H$19,$G118=$G$20,H$20,$G118=$G$21,H$21,$G118=$G$22,H$22,$G118=$G$25,H$25,$G118=$G$26,H$26,$G118=$G$27,H$27,$G118=$G$29,H$29,$G118=$G$31,H$31,$G118=$G$32,H$32,$G118=$G$248,H$248,$G118=$G$250,H$250)</f>
        <v>41.371864000000002</v>
      </c>
      <c r="I118" s="67" cm="1">
        <f t="array" ref="I118">_xlfn.IFS($G118=$G$5,I$5,$G118=$G$6,I$6,$G118=$G$7,I$7,$G118=$G$8,I$8,$G118=$G$9,I$9,$G118=$G$10,I$10,$G118=$G$11,I$11,$G118=$G$12,I$12,$G118=$G$13,I$13,$G118=$G$15,I$15,$G118=$G$16,I$16,$G118=$G$17,I$17,$G118=$G$18,I$18,$G118=$G$19,I$19,$G118=$G$20,I$20,$G118=$G$21,I$21,$G118=$G$22,I$22,$G118=$G$25,I$25,$G118=$G$26,I$26,$G118=$G$27,I$27,$G118=$G$29,I$29,$G118=$G$31,I$31,$G118=$G$32,I$32,$G118=$G$248,I$248,$G118=$G$250,I$250)</f>
        <v>2.173899</v>
      </c>
      <c r="J118" s="48" cm="1">
        <f t="array" ref="J118">_xlfn.IFS($G118=$G$5,J$5,$G118=$G$6,J$6,$G118=$G$7,J$7,$G118=$G$8,J$8,$G118=$G$9,J$9,$G118=$G$10,J$10,$G118=$G$11,J$11,$G118=$G$12,J$12,$G118=$G$13,J$13,$G118=$G$15,J$15,$G118=$G$16,J$16,$G118=$G$17,J$17,$G118=$G$18,J$18,$G118=$G$19,J$19,$G118=$G$20,J$20,$G118=$G$21,J$21,$G118=$G$22,J$22,$G118=$G$25,J$25,$G118=$G$26,J$26,$G118=$G$27,J$27,$G118=$G$29,J$29,$G118=$G$31,J$31,$G118=$G$32,J$32,$G118=$G$248,J$248,$G118=$G$250,J$250)</f>
        <v>19</v>
      </c>
      <c r="K118" s="48" t="str" cm="1">
        <f t="array" ref="K118">_xlfn.IFS($G118=$G$5,K$5,$G118=$G$6,K$6,$G118=$G$7,K$7,$G118=$G$8,K$8,$G118=$G$9,K$9,$G118=$G$10,K$10,$G118=$G$11,K$11,$G118=$G$12,K$12,$G118=$G$13,K$13,$G118=$G$15,K$15,$G118=$G$16,K$16,$G118=$G$17,K$17,$G118=$G$18,K$18,$G118=$G$19,K$19,$G118=$G$20,K$20,$G118=$G$21,K$21,$G118=$G$22,K$22,$G118=$G$25,K$25,$G118=$G$26,K$26,$G118=$G$27,K$27,$G118=$G$29,K$29,$G118=$G$31,K$31,$G118=$G$32,K$32,$G118=$G$248,K$248,$G118=$G$250,K$250)</f>
        <v>BG sentinel + BG lure7</v>
      </c>
      <c r="L118" s="48" t="str" cm="1">
        <f t="array" ref="L118">_xlfn.IFS($G118=$G$5,L$5,$G118=$G$6,L$6,$G118=$G$7,L$7,$G118=$G$8,L$8,$G118=$G$9,L$9,$G118=$G$10,L$10,$G118=$G$11,L$11,$G118=$G$12,L$12,$G118=$G$13,L$13,$G118=$G$15,L$15,$G118=$G$16,L$16,$G118=$G$17,L$17,$G118=$G$18,L$18,$G118=$G$19,L$19,$G118=$G$20,L$20,$G118=$G$21,L$21,$G118=$G$22,L$22,$G118=$G$25,L$25,$G118=$G$26,L$26,$G118=$G$27,L$27,$G118=$G$29,L$29,$G118=$G$31,L$31,$G118=$G$32,L$32,$G118=$G$248,L$248,$G118=$G$250,L$250)</f>
        <v>Urban habitat</v>
      </c>
      <c r="M118" s="48"/>
      <c r="O118" s="45" t="str">
        <f t="shared" si="10"/>
        <v>A_SP_BCN_6_210603</v>
      </c>
      <c r="P118" s="64">
        <v>44350</v>
      </c>
      <c r="R118" s="72"/>
      <c r="S118" s="64">
        <v>44357</v>
      </c>
      <c r="U118" s="72"/>
      <c r="V118" s="54" t="s">
        <v>66</v>
      </c>
      <c r="X118" s="45">
        <f t="shared" si="5"/>
        <v>7</v>
      </c>
      <c r="AA118" s="45">
        <f t="shared" si="11"/>
        <v>0</v>
      </c>
      <c r="AB118" t="str">
        <f t="shared" si="7"/>
        <v/>
      </c>
      <c r="AE118" s="45" t="str">
        <f t="shared" si="8"/>
        <v/>
      </c>
      <c r="AF118" s="56">
        <v>4</v>
      </c>
    </row>
    <row r="119" spans="1:32" ht="18" customHeight="1" x14ac:dyDescent="0.25">
      <c r="A119" s="45">
        <v>115</v>
      </c>
      <c r="B119" s="45" t="s">
        <v>60</v>
      </c>
      <c r="C119" s="45" t="s">
        <v>61</v>
      </c>
      <c r="D119" s="45" t="s">
        <v>62</v>
      </c>
      <c r="E119" s="45" t="s">
        <v>62</v>
      </c>
      <c r="F119" s="46" cm="1">
        <f t="array" ref="F119">_xlfn.IFS($G119=$G$5,F$5,$G119=$G$6,F$6,$G119=$G$7,F$7,$G119=$G$8,F$8,$G119=$G$9,F$9,$G119=$G$10,F$10,$G119=$G$11,F$11,$G119=$G$12,F$12,$G119=$G$13,F$13,$G119=$G$15,F$15,$G119=$G$16,F$16,$G119=$G$17,F$17,$G119=$G$18,F$18,$G119=$G$19,F$19,$G119=$G$20,F$20,$G119=$G$21,F$21,$G119=$G$22,F$22,$G119=$G$25,F$25,$G119=$G$26,F$26,$G119=$G$27,F$27,$G119=$G$29,F$29,$G119=$G$31,F$31,$G119=$G$32,F$32,$G119=$G$248,F$248,$G119=$G$250,F$250)</f>
        <v>8038</v>
      </c>
      <c r="G119" t="s">
        <v>74</v>
      </c>
      <c r="H119" s="67" cm="1">
        <f t="array" ref="H119">_xlfn.IFS($G119=$G$5,H$5,$G119=$G$6,H$6,$G119=$G$7,H$7,$G119=$G$8,H$8,$G119=$G$9,H$9,$G119=$G$10,H$10,$G119=$G$11,H$11,$G119=$G$12,H$12,$G119=$G$13,H$13,$G119=$G$15,H$15,$G119=$G$16,H$16,$G119=$G$17,H$17,$G119=$G$18,H$18,$G119=$G$19,H$19,$G119=$G$20,H$20,$G119=$G$21,H$21,$G119=$G$22,H$22,$G119=$G$25,H$25,$G119=$G$26,H$26,$G119=$G$27,H$27,$G119=$G$29,H$29,$G119=$G$31,H$31,$G119=$G$32,H$32,$G119=$G$248,H$248,$G119=$G$250,H$250)</f>
        <v>41.371864000000002</v>
      </c>
      <c r="I119" s="67" cm="1">
        <f t="array" ref="I119">_xlfn.IFS($G119=$G$5,I$5,$G119=$G$6,I$6,$G119=$G$7,I$7,$G119=$G$8,I$8,$G119=$G$9,I$9,$G119=$G$10,I$10,$G119=$G$11,I$11,$G119=$G$12,I$12,$G119=$G$13,I$13,$G119=$G$15,I$15,$G119=$G$16,I$16,$G119=$G$17,I$17,$G119=$G$18,I$18,$G119=$G$19,I$19,$G119=$G$20,I$20,$G119=$G$21,I$21,$G119=$G$22,I$22,$G119=$G$25,I$25,$G119=$G$26,I$26,$G119=$G$27,I$27,$G119=$G$29,I$29,$G119=$G$31,I$31,$G119=$G$32,I$32,$G119=$G$248,I$248,$G119=$G$250,I$250)</f>
        <v>2.173899</v>
      </c>
      <c r="J119" s="48" cm="1">
        <f t="array" ref="J119">_xlfn.IFS($G119=$G$5,J$5,$G119=$G$6,J$6,$G119=$G$7,J$7,$G119=$G$8,J$8,$G119=$G$9,J$9,$G119=$G$10,J$10,$G119=$G$11,J$11,$G119=$G$12,J$12,$G119=$G$13,J$13,$G119=$G$15,J$15,$G119=$G$16,J$16,$G119=$G$17,J$17,$G119=$G$18,J$18,$G119=$G$19,J$19,$G119=$G$20,J$20,$G119=$G$21,J$21,$G119=$G$22,J$22,$G119=$G$25,J$25,$G119=$G$26,J$26,$G119=$G$27,J$27,$G119=$G$29,J$29,$G119=$G$31,J$31,$G119=$G$32,J$32,$G119=$G$248,J$248,$G119=$G$250,J$250)</f>
        <v>5</v>
      </c>
      <c r="K119" s="48" t="str" cm="1">
        <f t="array" ref="K119">_xlfn.IFS($G119=$G$5,K$5,$G119=$G$6,K$6,$G119=$G$7,K$7,$G119=$G$8,K$8,$G119=$G$9,K$9,$G119=$G$10,K$10,$G119=$G$11,K$11,$G119=$G$12,K$12,$G119=$G$13,K$13,$G119=$G$15,K$15,$G119=$G$16,K$16,$G119=$G$17,K$17,$G119=$G$18,K$18,$G119=$G$19,K$19,$G119=$G$20,K$20,$G119=$G$21,K$21,$G119=$G$22,K$22,$G119=$G$25,K$25,$G119=$G$26,K$26,$G119=$G$27,K$27,$G119=$G$29,K$29,$G119=$G$31,K$31,$G119=$G$32,K$32,$G119=$G$248,K$248,$G119=$G$250,K$250)</f>
        <v>BG sentinel + BG lure7</v>
      </c>
      <c r="L119" s="48" t="str" cm="1">
        <f t="array" ref="L119">_xlfn.IFS($G119=$G$5,L$5,$G119=$G$6,L$6,$G119=$G$7,L$7,$G119=$G$8,L$8,$G119=$G$9,L$9,$G119=$G$10,L$10,$G119=$G$11,L$11,$G119=$G$12,L$12,$G119=$G$13,L$13,$G119=$G$15,L$15,$G119=$G$16,L$16,$G119=$G$17,L$17,$G119=$G$18,L$18,$G119=$G$19,L$19,$G119=$G$20,L$20,$G119=$G$21,L$21,$G119=$G$22,L$22,$G119=$G$25,L$25,$G119=$G$26,L$26,$G119=$G$27,L$27,$G119=$G$29,L$29,$G119=$G$31,L$31,$G119=$G$32,L$32,$G119=$G$248,L$248,$G119=$G$250,L$250)</f>
        <v>Urban habitat</v>
      </c>
      <c r="M119" s="48"/>
      <c r="O119" s="45" t="str">
        <f t="shared" si="10"/>
        <v>A_SP_BCN_7_210603</v>
      </c>
      <c r="P119" s="64">
        <v>44350</v>
      </c>
      <c r="R119" s="72"/>
      <c r="S119" s="64">
        <v>44357</v>
      </c>
      <c r="U119" s="72"/>
      <c r="V119" s="54" t="s">
        <v>105</v>
      </c>
      <c r="X119" s="45">
        <f t="shared" si="5"/>
        <v>7</v>
      </c>
      <c r="AA119" s="45"/>
      <c r="AB119" t="str">
        <f t="shared" si="7"/>
        <v/>
      </c>
      <c r="AE119" s="45" t="str">
        <f t="shared" si="8"/>
        <v/>
      </c>
      <c r="AF119" s="56">
        <v>1</v>
      </c>
    </row>
    <row r="120" spans="1:32" ht="18" customHeight="1" x14ac:dyDescent="0.25">
      <c r="A120" s="45">
        <v>116</v>
      </c>
      <c r="B120" s="45" t="s">
        <v>60</v>
      </c>
      <c r="C120" s="45" t="s">
        <v>61</v>
      </c>
      <c r="D120" s="45" t="s">
        <v>62</v>
      </c>
      <c r="E120" s="45" t="s">
        <v>62</v>
      </c>
      <c r="F120" s="46" cm="1">
        <f t="array" ref="F120">_xlfn.IFS($G120=$G$5,F$5,$G120=$G$6,F$6,$G120=$G$7,F$7,$G120=$G$8,F$8,$G120=$G$9,F$9,$G120=$G$10,F$10,$G120=$G$11,F$11,$G120=$G$12,F$12,$G120=$G$13,F$13,$G120=$G$15,F$15,$G120=$G$16,F$16,$G120=$G$17,F$17,$G120=$G$18,F$18,$G120=$G$19,F$19,$G120=$G$20,F$20,$G120=$G$21,F$21,$G120=$G$22,F$22,$G120=$G$25,F$25,$G120=$G$26,F$26,$G120=$G$27,F$27,$G120=$G$29,F$29,$G120=$G$31,F$31,$G120=$G$32,F$32,$G120=$G$248,F$248,$G120=$G$250,F$250)</f>
        <v>8038</v>
      </c>
      <c r="G120" t="s">
        <v>75</v>
      </c>
      <c r="H120" s="67" cm="1">
        <f t="array" ref="H120">_xlfn.IFS($G120=$G$5,H$5,$G120=$G$6,H$6,$G120=$G$7,H$7,$G120=$G$8,H$8,$G120=$G$9,H$9,$G120=$G$10,H$10,$G120=$G$11,H$11,$G120=$G$12,H$12,$G120=$G$13,H$13,$G120=$G$15,H$15,$G120=$G$16,H$16,$G120=$G$17,H$17,$G120=$G$18,H$18,$G120=$G$19,H$19,$G120=$G$20,H$20,$G120=$G$21,H$21,$G120=$G$22,H$22,$G120=$G$25,H$25,$G120=$G$26,H$26,$G120=$G$27,H$27,$G120=$G$29,H$29,$G120=$G$31,H$31,$G120=$G$32,H$32,$G120=$G$248,H$248,$G120=$G$250,H$250)</f>
        <v>41.368589</v>
      </c>
      <c r="I120" s="67" cm="1">
        <f t="array" ref="I120">_xlfn.IFS($G120=$G$5,I$5,$G120=$G$6,I$6,$G120=$G$7,I$7,$G120=$G$8,I$8,$G120=$G$9,I$9,$G120=$G$10,I$10,$G120=$G$11,I$11,$G120=$G$12,I$12,$G120=$G$13,I$13,$G120=$G$15,I$15,$G120=$G$16,I$16,$G120=$G$17,I$17,$G120=$G$18,I$18,$G120=$G$19,I$19,$G120=$G$20,I$20,$G120=$G$21,I$21,$G120=$G$22,I$22,$G120=$G$25,I$25,$G120=$G$26,I$26,$G120=$G$27,I$27,$G120=$G$29,I$29,$G120=$G$31,I$31,$G120=$G$32,I$32,$G120=$G$248,I$248,$G120=$G$250,I$250)</f>
        <v>2.1620900000000001</v>
      </c>
      <c r="J120" s="48" cm="1">
        <f t="array" ref="J120">_xlfn.IFS($G120=$G$5,J$5,$G120=$G$6,J$6,$G120=$G$7,J$7,$G120=$G$8,J$8,$G120=$G$9,J$9,$G120=$G$10,J$10,$G120=$G$11,J$11,$G120=$G$12,J$12,$G120=$G$13,J$13,$G120=$G$15,J$15,$G120=$G$16,J$16,$G120=$G$17,J$17,$G120=$G$18,J$18,$G120=$G$19,J$19,$G120=$G$20,J$20,$G120=$G$21,J$21,$G120=$G$22,J$22,$G120=$G$25,J$25,$G120=$G$26,J$26,$G120=$G$27,J$27,$G120=$G$29,J$29,$G120=$G$31,J$31,$G120=$G$32,J$32,$G120=$G$248,J$248,$G120=$G$250,J$250)</f>
        <v>95</v>
      </c>
      <c r="K120" s="48" t="str" cm="1">
        <f t="array" ref="K120">_xlfn.IFS($G120=$G$5,K$5,$G120=$G$6,K$6,$G120=$G$7,K$7,$G120=$G$8,K$8,$G120=$G$9,K$9,$G120=$G$10,K$10,$G120=$G$11,K$11,$G120=$G$12,K$12,$G120=$G$13,K$13,$G120=$G$15,K$15,$G120=$G$16,K$16,$G120=$G$17,K$17,$G120=$G$18,K$18,$G120=$G$19,K$19,$G120=$G$20,K$20,$G120=$G$21,K$21,$G120=$G$22,K$22,$G120=$G$25,K$25,$G120=$G$26,K$26,$G120=$G$27,K$27,$G120=$G$29,K$29,$G120=$G$31,K$31,$G120=$G$32,K$32,$G120=$G$248,K$248,$G120=$G$250,K$250)</f>
        <v>BG sentinel + BG lure7</v>
      </c>
      <c r="L120" s="48" t="str" cm="1">
        <f t="array" ref="L120">_xlfn.IFS($G120=$G$5,L$5,$G120=$G$6,L$6,$G120=$G$7,L$7,$G120=$G$8,L$8,$G120=$G$9,L$9,$G120=$G$10,L$10,$G120=$G$11,L$11,$G120=$G$12,L$12,$G120=$G$13,L$13,$G120=$G$15,L$15,$G120=$G$16,L$16,$G120=$G$17,L$17,$G120=$G$18,L$18,$G120=$G$19,L$19,$G120=$G$20,L$20,$G120=$G$21,L$21,$G120=$G$22,L$22,$G120=$G$25,L$25,$G120=$G$26,L$26,$G120=$G$27,L$27,$G120=$G$29,L$29,$G120=$G$31,L$31,$G120=$G$32,L$32,$G120=$G$248,L$248,$G120=$G$250,L$250)</f>
        <v>Other</v>
      </c>
      <c r="M120" s="48"/>
      <c r="O120" s="45" t="str">
        <f t="shared" si="10"/>
        <v>A_SP_BCN_8_210603</v>
      </c>
      <c r="P120" s="64">
        <v>44350</v>
      </c>
      <c r="R120" s="72"/>
      <c r="S120" s="64">
        <v>44357</v>
      </c>
      <c r="U120" s="72"/>
      <c r="V120" s="54" t="s">
        <v>66</v>
      </c>
      <c r="X120" s="45">
        <f t="shared" si="5"/>
        <v>7</v>
      </c>
      <c r="Z120" s="69" t="s">
        <v>69</v>
      </c>
      <c r="AA120" s="45">
        <f t="shared" ref="AA120:AA156" si="12">SUM(AC120:AD120)</f>
        <v>13</v>
      </c>
      <c r="AB120" t="str">
        <f t="shared" si="7"/>
        <v>Adult</v>
      </c>
      <c r="AC120" s="69">
        <v>13</v>
      </c>
      <c r="AD120" s="69">
        <v>0</v>
      </c>
      <c r="AE120" s="45" t="str">
        <f t="shared" si="8"/>
        <v>Morphological</v>
      </c>
      <c r="AF120" s="56">
        <v>4</v>
      </c>
    </row>
    <row r="121" spans="1:32" ht="18" customHeight="1" x14ac:dyDescent="0.25">
      <c r="A121" s="45">
        <v>117</v>
      </c>
      <c r="B121" s="45" t="s">
        <v>60</v>
      </c>
      <c r="C121" s="45" t="s">
        <v>61</v>
      </c>
      <c r="D121" s="45" t="s">
        <v>62</v>
      </c>
      <c r="E121" s="45" t="s">
        <v>62</v>
      </c>
      <c r="F121" s="46" cm="1">
        <f t="array" ref="F121">_xlfn.IFS($G121=$G$5,F$5,$G121=$G$6,F$6,$G121=$G$7,F$7,$G121=$G$8,F$8,$G121=$G$9,F$9,$G121=$G$10,F$10,$G121=$G$11,F$11,$G121=$G$12,F$12,$G121=$G$13,F$13,$G121=$G$15,F$15,$G121=$G$16,F$16,$G121=$G$17,F$17,$G121=$G$18,F$18,$G121=$G$19,F$19,$G121=$G$20,F$20,$G121=$G$21,F$21,$G121=$G$22,F$22,$G121=$G$25,F$25,$G121=$G$26,F$26,$G121=$G$27,F$27,$G121=$G$29,F$29,$G121=$G$31,F$31,$G121=$G$32,F$32,$G121=$G$248,F$248,$G121=$G$250,F$250)</f>
        <v>8038</v>
      </c>
      <c r="G121" t="s">
        <v>75</v>
      </c>
      <c r="H121" s="67" cm="1">
        <f t="array" ref="H121">_xlfn.IFS($G121=$G$5,H$5,$G121=$G$6,H$6,$G121=$G$7,H$7,$G121=$G$8,H$8,$G121=$G$9,H$9,$G121=$G$10,H$10,$G121=$G$11,H$11,$G121=$G$12,H$12,$G121=$G$13,H$13,$G121=$G$15,H$15,$G121=$G$16,H$16,$G121=$G$17,H$17,$G121=$G$18,H$18,$G121=$G$19,H$19,$G121=$G$20,H$20,$G121=$G$21,H$21,$G121=$G$22,H$22,$G121=$G$25,H$25,$G121=$G$26,H$26,$G121=$G$27,H$27,$G121=$G$29,H$29,$G121=$G$31,H$31,$G121=$G$32,H$32,$G121=$G$248,H$248,$G121=$G$250,H$250)</f>
        <v>41.368589</v>
      </c>
      <c r="I121" s="67" cm="1">
        <f t="array" ref="I121">_xlfn.IFS($G121=$G$5,I$5,$G121=$G$6,I$6,$G121=$G$7,I$7,$G121=$G$8,I$8,$G121=$G$9,I$9,$G121=$G$10,I$10,$G121=$G$11,I$11,$G121=$G$12,I$12,$G121=$G$13,I$13,$G121=$G$15,I$15,$G121=$G$16,I$16,$G121=$G$17,I$17,$G121=$G$18,I$18,$G121=$G$19,I$19,$G121=$G$20,I$20,$G121=$G$21,I$21,$G121=$G$22,I$22,$G121=$G$25,I$25,$G121=$G$26,I$26,$G121=$G$27,I$27,$G121=$G$29,I$29,$G121=$G$31,I$31,$G121=$G$32,I$32,$G121=$G$248,I$248,$G121=$G$250,I$250)</f>
        <v>2.1620900000000001</v>
      </c>
      <c r="J121" s="48" cm="1">
        <f t="array" ref="J121">_xlfn.IFS($G121=$G$5,J$5,$G121=$G$6,J$6,$G121=$G$7,J$7,$G121=$G$8,J$8,$G121=$G$9,J$9,$G121=$G$10,J$10,$G121=$G$11,J$11,$G121=$G$12,J$12,$G121=$G$13,J$13,$G121=$G$15,J$15,$G121=$G$16,J$16,$G121=$G$17,J$17,$G121=$G$18,J$18,$G121=$G$19,J$19,$G121=$G$20,J$20,$G121=$G$21,J$21,$G121=$G$22,J$22,$G121=$G$25,J$25,$G121=$G$26,J$26,$G121=$G$27,J$27,$G121=$G$29,J$29,$G121=$G$31,J$31,$G121=$G$32,J$32,$G121=$G$248,J$248,$G121=$G$250,J$250)</f>
        <v>95</v>
      </c>
      <c r="K121" s="48" t="str" cm="1">
        <f t="array" ref="K121">_xlfn.IFS($G121=$G$5,K$5,$G121=$G$6,K$6,$G121=$G$7,K$7,$G121=$G$8,K$8,$G121=$G$9,K$9,$G121=$G$10,K$10,$G121=$G$11,K$11,$G121=$G$12,K$12,$G121=$G$13,K$13,$G121=$G$15,K$15,$G121=$G$16,K$16,$G121=$G$17,K$17,$G121=$G$18,K$18,$G121=$G$19,K$19,$G121=$G$20,K$20,$G121=$G$21,K$21,$G121=$G$22,K$22,$G121=$G$25,K$25,$G121=$G$26,K$26,$G121=$G$27,K$27,$G121=$G$29,K$29,$G121=$G$31,K$31,$G121=$G$32,K$32,$G121=$G$248,K$248,$G121=$G$250,K$250)</f>
        <v>BG sentinel + BG lure7</v>
      </c>
      <c r="L121" s="48" t="str" cm="1">
        <f t="array" ref="L121">_xlfn.IFS($G121=$G$5,L$5,$G121=$G$6,L$6,$G121=$G$7,L$7,$G121=$G$8,L$8,$G121=$G$9,L$9,$G121=$G$10,L$10,$G121=$G$11,L$11,$G121=$G$12,L$12,$G121=$G$13,L$13,$G121=$G$15,L$15,$G121=$G$16,L$16,$G121=$G$17,L$17,$G121=$G$18,L$18,$G121=$G$19,L$19,$G121=$G$20,L$20,$G121=$G$21,L$21,$G121=$G$22,L$22,$G121=$G$25,L$25,$G121=$G$26,L$26,$G121=$G$27,L$27,$G121=$G$29,L$29,$G121=$G$31,L$31,$G121=$G$32,L$32,$G121=$G$248,L$248,$G121=$G$250,L$250)</f>
        <v>Other</v>
      </c>
      <c r="M121" s="48"/>
      <c r="O121" s="45" t="str">
        <f t="shared" si="10"/>
        <v>A_SP_BCN_8_210603</v>
      </c>
      <c r="P121" s="64">
        <v>44350</v>
      </c>
      <c r="R121" s="72"/>
      <c r="S121" s="64">
        <v>44357</v>
      </c>
      <c r="U121" s="72"/>
      <c r="V121" s="54" t="s">
        <v>66</v>
      </c>
      <c r="X121" s="45">
        <f t="shared" si="5"/>
        <v>7</v>
      </c>
      <c r="Z121" s="45" t="s">
        <v>70</v>
      </c>
      <c r="AA121" s="45">
        <f t="shared" si="12"/>
        <v>10</v>
      </c>
      <c r="AB121" t="str">
        <f t="shared" si="7"/>
        <v>Adult</v>
      </c>
      <c r="AC121" s="69">
        <v>10</v>
      </c>
      <c r="AD121" s="69">
        <v>0</v>
      </c>
      <c r="AE121" s="45" t="str">
        <f t="shared" si="8"/>
        <v>Morphological</v>
      </c>
      <c r="AF121" s="56">
        <v>4</v>
      </c>
    </row>
    <row r="122" spans="1:32" ht="18" customHeight="1" x14ac:dyDescent="0.25">
      <c r="A122" s="45">
        <v>118</v>
      </c>
      <c r="B122" s="45" t="s">
        <v>60</v>
      </c>
      <c r="C122" s="45" t="s">
        <v>61</v>
      </c>
      <c r="D122" s="45" t="s">
        <v>62</v>
      </c>
      <c r="E122" s="45" t="s">
        <v>62</v>
      </c>
      <c r="F122" s="46" cm="1">
        <f t="array" ref="F122">_xlfn.IFS($G122=$G$5,F$5,$G122=$G$6,F$6,$G122=$G$7,F$7,$G122=$G$8,F$8,$G122=$G$9,F$9,$G122=$G$10,F$10,$G122=$G$11,F$11,$G122=$G$12,F$12,$G122=$G$13,F$13,$G122=$G$15,F$15,$G122=$G$16,F$16,$G122=$G$17,F$17,$G122=$G$18,F$18,$G122=$G$19,F$19,$G122=$G$20,F$20,$G122=$G$21,F$21,$G122=$G$22,F$22,$G122=$G$25,F$25,$G122=$G$26,F$26,$G122=$G$27,F$27,$G122=$G$29,F$29,$G122=$G$31,F$31,$G122=$G$32,F$32,$G122=$G$248,F$248,$G122=$G$250,F$250)</f>
        <v>8038</v>
      </c>
      <c r="G122" t="s">
        <v>75</v>
      </c>
      <c r="H122" s="67" cm="1">
        <f t="array" ref="H122">_xlfn.IFS($G122=$G$5,H$5,$G122=$G$6,H$6,$G122=$G$7,H$7,$G122=$G$8,H$8,$G122=$G$9,H$9,$G122=$G$10,H$10,$G122=$G$11,H$11,$G122=$G$12,H$12,$G122=$G$13,H$13,$G122=$G$15,H$15,$G122=$G$16,H$16,$G122=$G$17,H$17,$G122=$G$18,H$18,$G122=$G$19,H$19,$G122=$G$20,H$20,$G122=$G$21,H$21,$G122=$G$22,H$22,$G122=$G$25,H$25,$G122=$G$26,H$26,$G122=$G$27,H$27,$G122=$G$29,H$29,$G122=$G$31,H$31,$G122=$G$32,H$32,$G122=$G$248,H$248,$G122=$G$250,H$250)</f>
        <v>41.368589</v>
      </c>
      <c r="I122" s="67" cm="1">
        <f t="array" ref="I122">_xlfn.IFS($G122=$G$5,I$5,$G122=$G$6,I$6,$G122=$G$7,I$7,$G122=$G$8,I$8,$G122=$G$9,I$9,$G122=$G$10,I$10,$G122=$G$11,I$11,$G122=$G$12,I$12,$G122=$G$13,I$13,$G122=$G$15,I$15,$G122=$G$16,I$16,$G122=$G$17,I$17,$G122=$G$18,I$18,$G122=$G$19,I$19,$G122=$G$20,I$20,$G122=$G$21,I$21,$G122=$G$22,I$22,$G122=$G$25,I$25,$G122=$G$26,I$26,$G122=$G$27,I$27,$G122=$G$29,I$29,$G122=$G$31,I$31,$G122=$G$32,I$32,$G122=$G$248,I$248,$G122=$G$250,I$250)</f>
        <v>2.1620900000000001</v>
      </c>
      <c r="J122" s="48" cm="1">
        <f t="array" ref="J122">_xlfn.IFS($G122=$G$5,J$5,$G122=$G$6,J$6,$G122=$G$7,J$7,$G122=$G$8,J$8,$G122=$G$9,J$9,$G122=$G$10,J$10,$G122=$G$11,J$11,$G122=$G$12,J$12,$G122=$G$13,J$13,$G122=$G$15,J$15,$G122=$G$16,J$16,$G122=$G$17,J$17,$G122=$G$18,J$18,$G122=$G$19,J$19,$G122=$G$20,J$20,$G122=$G$21,J$21,$G122=$G$22,J$22,$G122=$G$25,J$25,$G122=$G$26,J$26,$G122=$G$27,J$27,$G122=$G$29,J$29,$G122=$G$31,J$31,$G122=$G$32,J$32,$G122=$G$248,J$248,$G122=$G$250,J$250)</f>
        <v>95</v>
      </c>
      <c r="K122" s="48" t="str" cm="1">
        <f t="array" ref="K122">_xlfn.IFS($G122=$G$5,K$5,$G122=$G$6,K$6,$G122=$G$7,K$7,$G122=$G$8,K$8,$G122=$G$9,K$9,$G122=$G$10,K$10,$G122=$G$11,K$11,$G122=$G$12,K$12,$G122=$G$13,K$13,$G122=$G$15,K$15,$G122=$G$16,K$16,$G122=$G$17,K$17,$G122=$G$18,K$18,$G122=$G$19,K$19,$G122=$G$20,K$20,$G122=$G$21,K$21,$G122=$G$22,K$22,$G122=$G$25,K$25,$G122=$G$26,K$26,$G122=$G$27,K$27,$G122=$G$29,K$29,$G122=$G$31,K$31,$G122=$G$32,K$32,$G122=$G$248,K$248,$G122=$G$250,K$250)</f>
        <v>BG sentinel + BG lure7</v>
      </c>
      <c r="L122" s="48" t="str" cm="1">
        <f t="array" ref="L122">_xlfn.IFS($G122=$G$5,L$5,$G122=$G$6,L$6,$G122=$G$7,L$7,$G122=$G$8,L$8,$G122=$G$9,L$9,$G122=$G$10,L$10,$G122=$G$11,L$11,$G122=$G$12,L$12,$G122=$G$13,L$13,$G122=$G$15,L$15,$G122=$G$16,L$16,$G122=$G$17,L$17,$G122=$G$18,L$18,$G122=$G$19,L$19,$G122=$G$20,L$20,$G122=$G$21,L$21,$G122=$G$22,L$22,$G122=$G$25,L$25,$G122=$G$26,L$26,$G122=$G$27,L$27,$G122=$G$29,L$29,$G122=$G$31,L$31,$G122=$G$32,L$32,$G122=$G$248,L$248,$G122=$G$250,L$250)</f>
        <v>Other</v>
      </c>
      <c r="M122" s="48"/>
      <c r="O122" s="45" t="str">
        <f t="shared" si="10"/>
        <v>A_SP_BCN_8_210603</v>
      </c>
      <c r="P122" s="64">
        <v>44350</v>
      </c>
      <c r="R122" s="72"/>
      <c r="S122" s="64">
        <v>44357</v>
      </c>
      <c r="U122" s="72"/>
      <c r="V122" s="54" t="s">
        <v>66</v>
      </c>
      <c r="X122" s="45">
        <f t="shared" si="5"/>
        <v>7</v>
      </c>
      <c r="Z122" s="45" t="s">
        <v>80</v>
      </c>
      <c r="AA122" s="45">
        <f t="shared" si="12"/>
        <v>5</v>
      </c>
      <c r="AB122" t="str">
        <f t="shared" si="7"/>
        <v>Adult</v>
      </c>
      <c r="AC122" s="69">
        <v>4</v>
      </c>
      <c r="AD122" s="69">
        <v>1</v>
      </c>
      <c r="AE122" s="45" t="str">
        <f t="shared" si="8"/>
        <v>Morphological</v>
      </c>
      <c r="AF122" s="56">
        <v>4</v>
      </c>
    </row>
    <row r="123" spans="1:32" ht="18" customHeight="1" x14ac:dyDescent="0.25">
      <c r="A123" s="45">
        <v>119</v>
      </c>
      <c r="B123" s="45" t="s">
        <v>60</v>
      </c>
      <c r="C123" s="45" t="s">
        <v>61</v>
      </c>
      <c r="D123" s="45" t="s">
        <v>62</v>
      </c>
      <c r="E123" s="45" t="s">
        <v>62</v>
      </c>
      <c r="F123" s="46" cm="1">
        <f t="array" ref="F123">_xlfn.IFS($G123=$G$5,F$5,$G123=$G$6,F$6,$G123=$G$7,F$7,$G123=$G$8,F$8,$G123=$G$9,F$9,$G123=$G$10,F$10,$G123=$G$11,F$11,$G123=$G$12,F$12,$G123=$G$13,F$13,$G123=$G$15,F$15,$G123=$G$16,F$16,$G123=$G$17,F$17,$G123=$G$18,F$18,$G123=$G$19,F$19,$G123=$G$20,F$20,$G123=$G$21,F$21,$G123=$G$22,F$22,$G123=$G$25,F$25,$G123=$G$26,F$26,$G123=$G$27,F$27,$G123=$G$29,F$29,$G123=$G$31,F$31,$G123=$G$32,F$32,$G123=$G$248,F$248,$G123=$G$250,F$250)</f>
        <v>8034</v>
      </c>
      <c r="G123" t="s">
        <v>78</v>
      </c>
      <c r="H123" s="67" cm="1">
        <f t="array" ref="H123">_xlfn.IFS($G123=$G$5,H$5,$G123=$G$6,H$6,$G123=$G$7,H$7,$G123=$G$8,H$8,$G123=$G$9,H$9,$G123=$G$10,H$10,$G123=$G$11,H$11,$G123=$G$12,H$12,$G123=$G$13,H$13,$G123=$G$15,H$15,$G123=$G$16,H$16,$G123=$G$17,H$17,$G123=$G$18,H$18,$G123=$G$19,H$19,$G123=$G$20,H$20,$G123=$G$21,H$21,$G123=$G$22,H$22,$G123=$G$25,H$25,$G123=$G$26,H$26,$G123=$G$27,H$27,$G123=$G$29,H$29,$G123=$G$31,H$31,$G123=$G$32,H$32,$G123=$G$248,H$248,$G123=$G$250,H$250)</f>
        <v>41.393644999999999</v>
      </c>
      <c r="I123" s="67" cm="1">
        <f t="array" ref="I123">_xlfn.IFS($G123=$G$5,I$5,$G123=$G$6,I$6,$G123=$G$7,I$7,$G123=$G$8,I$8,$G123=$G$9,I$9,$G123=$G$10,I$10,$G123=$G$11,I$11,$G123=$G$12,I$12,$G123=$G$13,I$13,$G123=$G$15,I$15,$G123=$G$16,I$16,$G123=$G$17,I$17,$G123=$G$18,I$18,$G123=$G$19,I$19,$G123=$G$20,I$20,$G123=$G$21,I$21,$G123=$G$22,I$22,$G123=$G$25,I$25,$G123=$G$26,I$26,$G123=$G$27,I$27,$G123=$G$29,I$29,$G123=$G$31,I$31,$G123=$G$32,I$32,$G123=$G$248,I$248,$G123=$G$250,I$250)</f>
        <v>2.1216780000000002</v>
      </c>
      <c r="J123" s="48" cm="1">
        <f t="array" ref="J123">_xlfn.IFS($G123=$G$5,J$5,$G123=$G$6,J$6,$G123=$G$7,J$7,$G123=$G$8,J$8,$G123=$G$9,J$9,$G123=$G$10,J$10,$G123=$G$11,J$11,$G123=$G$12,J$12,$G123=$G$13,J$13,$G123=$G$15,J$15,$G123=$G$16,J$16,$G123=$G$17,J$17,$G123=$G$18,J$18,$G123=$G$19,J$19,$G123=$G$20,J$20,$G123=$G$21,J$21,$G123=$G$22,J$22,$G123=$G$25,J$25,$G123=$G$26,J$26,$G123=$G$27,J$27,$G123=$G$29,J$29,$G123=$G$31,J$31,$G123=$G$32,J$32,$G123=$G$248,J$248,$G123=$G$250,J$250)</f>
        <v>98</v>
      </c>
      <c r="K123" s="48" t="str" cm="1">
        <f t="array" ref="K123">_xlfn.IFS($G123=$G$5,K$5,$G123=$G$6,K$6,$G123=$G$7,K$7,$G123=$G$8,K$8,$G123=$G$9,K$9,$G123=$G$10,K$10,$G123=$G$11,K$11,$G123=$G$12,K$12,$G123=$G$13,K$13,$G123=$G$15,K$15,$G123=$G$16,K$16,$G123=$G$17,K$17,$G123=$G$18,K$18,$G123=$G$19,K$19,$G123=$G$20,K$20,$G123=$G$21,K$21,$G123=$G$22,K$22,$G123=$G$25,K$25,$G123=$G$26,K$26,$G123=$G$27,K$27,$G123=$G$29,K$29,$G123=$G$31,K$31,$G123=$G$32,K$32,$G123=$G$248,K$248,$G123=$G$250,K$250)</f>
        <v>BG sentinel + BG lure7</v>
      </c>
      <c r="L123" s="48" t="str" cm="1">
        <f t="array" ref="L123">_xlfn.IFS($G123=$G$5,L$5,$G123=$G$6,L$6,$G123=$G$7,L$7,$G123=$G$8,L$8,$G123=$G$9,L$9,$G123=$G$10,L$10,$G123=$G$11,L$11,$G123=$G$12,L$12,$G123=$G$13,L$13,$G123=$G$15,L$15,$G123=$G$16,L$16,$G123=$G$17,L$17,$G123=$G$18,L$18,$G123=$G$19,L$19,$G123=$G$20,L$20,$G123=$G$21,L$21,$G123=$G$22,L$22,$G123=$G$25,L$25,$G123=$G$26,L$26,$G123=$G$27,L$27,$G123=$G$29,L$29,$G123=$G$31,L$31,$G123=$G$32,L$32,$G123=$G$248,L$248,$G123=$G$250,L$250)</f>
        <v>Other</v>
      </c>
      <c r="M123" s="48"/>
      <c r="O123" s="45" t="str">
        <f t="shared" si="10"/>
        <v>A_SP_BCN_9_210602</v>
      </c>
      <c r="P123" s="64">
        <v>44349</v>
      </c>
      <c r="R123" s="72"/>
      <c r="S123" s="64">
        <v>44356</v>
      </c>
      <c r="U123" s="72"/>
      <c r="V123" s="54" t="s">
        <v>66</v>
      </c>
      <c r="X123" s="45">
        <f t="shared" si="5"/>
        <v>7</v>
      </c>
      <c r="Z123" s="45" t="s">
        <v>80</v>
      </c>
      <c r="AA123" s="45">
        <f t="shared" si="12"/>
        <v>4</v>
      </c>
      <c r="AB123" t="str">
        <f t="shared" si="7"/>
        <v>Adult</v>
      </c>
      <c r="AC123" s="69">
        <v>2</v>
      </c>
      <c r="AD123" s="69">
        <v>2</v>
      </c>
      <c r="AE123" s="45" t="str">
        <f t="shared" si="8"/>
        <v>Morphological</v>
      </c>
      <c r="AF123" s="56">
        <v>4</v>
      </c>
    </row>
    <row r="124" spans="1:32" ht="18" customHeight="1" x14ac:dyDescent="0.25">
      <c r="A124" s="45">
        <v>120</v>
      </c>
      <c r="B124" s="45" t="s">
        <v>60</v>
      </c>
      <c r="C124" s="45" t="s">
        <v>61</v>
      </c>
      <c r="D124" s="45" t="s">
        <v>62</v>
      </c>
      <c r="E124" s="45" t="s">
        <v>62</v>
      </c>
      <c r="F124" s="46" cm="1">
        <f t="array" ref="F124">_xlfn.IFS($G124=$G$5,F$5,$G124=$G$6,F$6,$G124=$G$7,F$7,$G124=$G$8,F$8,$G124=$G$9,F$9,$G124=$G$10,F$10,$G124=$G$11,F$11,$G124=$G$12,F$12,$G124=$G$13,F$13,$G124=$G$15,F$15,$G124=$G$16,F$16,$G124=$G$17,F$17,$G124=$G$18,F$18,$G124=$G$19,F$19,$G124=$G$20,F$20,$G124=$G$21,F$21,$G124=$G$22,F$22,$G124=$G$25,F$25,$G124=$G$26,F$26,$G124=$G$27,F$27,$G124=$G$29,F$29,$G124=$G$31,F$31,$G124=$G$32,F$32,$G124=$G$248,F$248,$G124=$G$250,F$250)</f>
        <v>8040</v>
      </c>
      <c r="G124" t="s">
        <v>81</v>
      </c>
      <c r="H124" s="67" cm="1">
        <f t="array" ref="H124">_xlfn.IFS($G124=$G$5,H$5,$G124=$G$6,H$6,$G124=$G$7,H$7,$G124=$G$8,H$8,$G124=$G$9,H$9,$G124=$G$10,H$10,$G124=$G$11,H$11,$G124=$G$12,H$12,$G124=$G$13,H$13,$G124=$G$15,H$15,$G124=$G$16,H$16,$G124=$G$17,H$17,$G124=$G$18,H$18,$G124=$G$19,H$19,$G124=$G$20,H$20,$G124=$G$21,H$21,$G124=$G$22,H$22,$G124=$G$25,H$25,$G124=$G$26,H$26,$G124=$G$27,H$27,$G124=$G$29,H$29,$G124=$G$31,H$31,$G124=$G$32,H$32,$G124=$G$248,H$248,$G124=$G$250,H$250)</f>
        <v>41.343685000000001</v>
      </c>
      <c r="I124" s="67" cm="1">
        <f t="array" ref="I124">_xlfn.IFS($G124=$G$5,I$5,$G124=$G$6,I$6,$G124=$G$7,I$7,$G124=$G$8,I$8,$G124=$G$9,I$9,$G124=$G$10,I$10,$G124=$G$11,I$11,$G124=$G$12,I$12,$G124=$G$13,I$13,$G124=$G$15,I$15,$G124=$G$16,I$16,$G124=$G$17,I$17,$G124=$G$18,I$18,$G124=$G$19,I$19,$G124=$G$20,I$20,$G124=$G$21,I$21,$G124=$G$22,I$22,$G124=$G$25,I$25,$G124=$G$26,I$26,$G124=$G$27,I$27,$G124=$G$29,I$29,$G124=$G$31,I$31,$G124=$G$32,I$32,$G124=$G$248,I$248,$G124=$G$250,I$250)</f>
        <v>2.1441490000000001</v>
      </c>
      <c r="J124" s="48" cm="1">
        <f t="array" ref="J124">_xlfn.IFS($G124=$G$5,J$5,$G124=$G$6,J$6,$G124=$G$7,J$7,$G124=$G$8,J$8,$G124=$G$9,J$9,$G124=$G$10,J$10,$G124=$G$11,J$11,$G124=$G$12,J$12,$G124=$G$13,J$13,$G124=$G$15,J$15,$G124=$G$16,J$16,$G124=$G$17,J$17,$G124=$G$18,J$18,$G124=$G$19,J$19,$G124=$G$20,J$20,$G124=$G$21,J$21,$G124=$G$22,J$22,$G124=$G$25,J$25,$G124=$G$26,J$26,$G124=$G$27,J$27,$G124=$G$29,J$29,$G124=$G$31,J$31,$G124=$G$32,J$32,$G124=$G$248,J$248,$G124=$G$250,J$250)</f>
        <v>4</v>
      </c>
      <c r="K124" s="48" t="str" cm="1">
        <f t="array" ref="K124">_xlfn.IFS($G124=$G$5,K$5,$G124=$G$6,K$6,$G124=$G$7,K$7,$G124=$G$8,K$8,$G124=$G$9,K$9,$G124=$G$10,K$10,$G124=$G$11,K$11,$G124=$G$12,K$12,$G124=$G$13,K$13,$G124=$G$15,K$15,$G124=$G$16,K$16,$G124=$G$17,K$17,$G124=$G$18,K$18,$G124=$G$19,K$19,$G124=$G$20,K$20,$G124=$G$21,K$21,$G124=$G$22,K$22,$G124=$G$25,K$25,$G124=$G$26,K$26,$G124=$G$27,K$27,$G124=$G$29,K$29,$G124=$G$31,K$31,$G124=$G$32,K$32,$G124=$G$248,K$248,$G124=$G$250,K$250)</f>
        <v>BG sentinel + BG lure7</v>
      </c>
      <c r="L124" s="48" t="str" cm="1">
        <f t="array" ref="L124">_xlfn.IFS($G124=$G$5,L$5,$G124=$G$6,L$6,$G124=$G$7,L$7,$G124=$G$8,L$8,$G124=$G$9,L$9,$G124=$G$10,L$10,$G124=$G$11,L$11,$G124=$G$12,L$12,$G124=$G$13,L$13,$G124=$G$15,L$15,$G124=$G$16,L$16,$G124=$G$17,L$17,$G124=$G$18,L$18,$G124=$G$19,L$19,$G124=$G$20,L$20,$G124=$G$21,L$21,$G124=$G$22,L$22,$G124=$G$25,L$25,$G124=$G$26,L$26,$G124=$G$27,L$27,$G124=$G$29,L$29,$G124=$G$31,L$31,$G124=$G$32,L$32,$G124=$G$248,L$248,$G124=$G$250,L$250)</f>
        <v>Urban habitat</v>
      </c>
      <c r="M124" s="48"/>
      <c r="O124" s="45" t="str">
        <f t="shared" si="10"/>
        <v>A_SP_BCN_10_210603</v>
      </c>
      <c r="P124" s="64">
        <v>44350</v>
      </c>
      <c r="R124" s="72"/>
      <c r="S124" s="64">
        <v>44357</v>
      </c>
      <c r="U124" s="72"/>
      <c r="V124" s="54" t="s">
        <v>66</v>
      </c>
      <c r="X124" s="45">
        <f t="shared" si="5"/>
        <v>7</v>
      </c>
      <c r="Z124" s="69" t="s">
        <v>69</v>
      </c>
      <c r="AA124" s="45">
        <f t="shared" si="12"/>
        <v>1</v>
      </c>
      <c r="AB124" t="str">
        <f t="shared" si="7"/>
        <v>Adult</v>
      </c>
      <c r="AC124" s="69">
        <v>1</v>
      </c>
      <c r="AD124" s="69">
        <v>0</v>
      </c>
      <c r="AE124" s="45" t="str">
        <f t="shared" si="8"/>
        <v>Morphological</v>
      </c>
      <c r="AF124" s="56">
        <v>4</v>
      </c>
    </row>
    <row r="125" spans="1:32" ht="18" customHeight="1" x14ac:dyDescent="0.25">
      <c r="A125" s="45">
        <v>121</v>
      </c>
      <c r="B125" s="45" t="s">
        <v>60</v>
      </c>
      <c r="C125" s="45" t="s">
        <v>61</v>
      </c>
      <c r="D125" s="45" t="s">
        <v>62</v>
      </c>
      <c r="E125" s="45" t="s">
        <v>62</v>
      </c>
      <c r="F125" s="46" cm="1">
        <f t="array" ref="F125">_xlfn.IFS($G125=$G$5,F$5,$G125=$G$6,F$6,$G125=$G$7,F$7,$G125=$G$8,F$8,$G125=$G$9,F$9,$G125=$G$10,F$10,$G125=$G$11,F$11,$G125=$G$12,F$12,$G125=$G$13,F$13,$G125=$G$15,F$15,$G125=$G$16,F$16,$G125=$G$17,F$17,$G125=$G$18,F$18,$G125=$G$19,F$19,$G125=$G$20,F$20,$G125=$G$21,F$21,$G125=$G$22,F$22,$G125=$G$25,F$25,$G125=$G$26,F$26,$G125=$G$27,F$27,$G125=$G$29,F$29,$G125=$G$31,F$31,$G125=$G$32,F$32,$G125=$G$248,F$248,$G125=$G$250,F$250)</f>
        <v>8040</v>
      </c>
      <c r="G125" t="s">
        <v>81</v>
      </c>
      <c r="H125" s="67" cm="1">
        <f t="array" ref="H125">_xlfn.IFS($G125=$G$5,H$5,$G125=$G$6,H$6,$G125=$G$7,H$7,$G125=$G$8,H$8,$G125=$G$9,H$9,$G125=$G$10,H$10,$G125=$G$11,H$11,$G125=$G$12,H$12,$G125=$G$13,H$13,$G125=$G$15,H$15,$G125=$G$16,H$16,$G125=$G$17,H$17,$G125=$G$18,H$18,$G125=$G$19,H$19,$G125=$G$20,H$20,$G125=$G$21,H$21,$G125=$G$22,H$22,$G125=$G$25,H$25,$G125=$G$26,H$26,$G125=$G$27,H$27,$G125=$G$29,H$29,$G125=$G$31,H$31,$G125=$G$32,H$32,$G125=$G$248,H$248,$G125=$G$250,H$250)</f>
        <v>41.343685000000001</v>
      </c>
      <c r="I125" s="67" cm="1">
        <f t="array" ref="I125">_xlfn.IFS($G125=$G$5,I$5,$G125=$G$6,I$6,$G125=$G$7,I$7,$G125=$G$8,I$8,$G125=$G$9,I$9,$G125=$G$10,I$10,$G125=$G$11,I$11,$G125=$G$12,I$12,$G125=$G$13,I$13,$G125=$G$15,I$15,$G125=$G$16,I$16,$G125=$G$17,I$17,$G125=$G$18,I$18,$G125=$G$19,I$19,$G125=$G$20,I$20,$G125=$G$21,I$21,$G125=$G$22,I$22,$G125=$G$25,I$25,$G125=$G$26,I$26,$G125=$G$27,I$27,$G125=$G$29,I$29,$G125=$G$31,I$31,$G125=$G$32,I$32,$G125=$G$248,I$248,$G125=$G$250,I$250)</f>
        <v>2.1441490000000001</v>
      </c>
      <c r="J125" s="48" cm="1">
        <f t="array" ref="J125">_xlfn.IFS($G125=$G$5,J$5,$G125=$G$6,J$6,$G125=$G$7,J$7,$G125=$G$8,J$8,$G125=$G$9,J$9,$G125=$G$10,J$10,$G125=$G$11,J$11,$G125=$G$12,J$12,$G125=$G$13,J$13,$G125=$G$15,J$15,$G125=$G$16,J$16,$G125=$G$17,J$17,$G125=$G$18,J$18,$G125=$G$19,J$19,$G125=$G$20,J$20,$G125=$G$21,J$21,$G125=$G$22,J$22,$G125=$G$25,J$25,$G125=$G$26,J$26,$G125=$G$27,J$27,$G125=$G$29,J$29,$G125=$G$31,J$31,$G125=$G$32,J$32,$G125=$G$248,J$248,$G125=$G$250,J$250)</f>
        <v>4</v>
      </c>
      <c r="K125" s="48" t="str" cm="1">
        <f t="array" ref="K125">_xlfn.IFS($G125=$G$5,K$5,$G125=$G$6,K$6,$G125=$G$7,K$7,$G125=$G$8,K$8,$G125=$G$9,K$9,$G125=$G$10,K$10,$G125=$G$11,K$11,$G125=$G$12,K$12,$G125=$G$13,K$13,$G125=$G$15,K$15,$G125=$G$16,K$16,$G125=$G$17,K$17,$G125=$G$18,K$18,$G125=$G$19,K$19,$G125=$G$20,K$20,$G125=$G$21,K$21,$G125=$G$22,K$22,$G125=$G$25,K$25,$G125=$G$26,K$26,$G125=$G$27,K$27,$G125=$G$29,K$29,$G125=$G$31,K$31,$G125=$G$32,K$32,$G125=$G$248,K$248,$G125=$G$250,K$250)</f>
        <v>BG sentinel + BG lure7</v>
      </c>
      <c r="L125" s="48" t="str" cm="1">
        <f t="array" ref="L125">_xlfn.IFS($G125=$G$5,L$5,$G125=$G$6,L$6,$G125=$G$7,L$7,$G125=$G$8,L$8,$G125=$G$9,L$9,$G125=$G$10,L$10,$G125=$G$11,L$11,$G125=$G$12,L$12,$G125=$G$13,L$13,$G125=$G$15,L$15,$G125=$G$16,L$16,$G125=$G$17,L$17,$G125=$G$18,L$18,$G125=$G$19,L$19,$G125=$G$20,L$20,$G125=$G$21,L$21,$G125=$G$22,L$22,$G125=$G$25,L$25,$G125=$G$26,L$26,$G125=$G$27,L$27,$G125=$G$29,L$29,$G125=$G$31,L$31,$G125=$G$32,L$32,$G125=$G$248,L$248,$G125=$G$250,L$250)</f>
        <v>Urban habitat</v>
      </c>
      <c r="M125" s="48"/>
      <c r="O125" s="45" t="str">
        <f t="shared" si="10"/>
        <v>A_SP_BCN_10_210603</v>
      </c>
      <c r="P125" s="64">
        <v>44350</v>
      </c>
      <c r="R125" s="72"/>
      <c r="S125" s="64">
        <v>44357</v>
      </c>
      <c r="U125" s="72"/>
      <c r="V125" s="54" t="s">
        <v>66</v>
      </c>
      <c r="X125" s="45">
        <f t="shared" si="5"/>
        <v>7</v>
      </c>
      <c r="Z125" s="45" t="s">
        <v>70</v>
      </c>
      <c r="AA125" s="45">
        <f t="shared" si="12"/>
        <v>24</v>
      </c>
      <c r="AB125" t="str">
        <f t="shared" si="7"/>
        <v>Adult</v>
      </c>
      <c r="AC125" s="69">
        <v>22</v>
      </c>
      <c r="AD125" s="69">
        <v>2</v>
      </c>
      <c r="AE125" s="45" t="str">
        <f t="shared" si="8"/>
        <v>Morphological</v>
      </c>
      <c r="AF125" s="56">
        <v>4</v>
      </c>
    </row>
    <row r="126" spans="1:32" ht="18" customHeight="1" x14ac:dyDescent="0.25">
      <c r="A126" s="45">
        <v>122</v>
      </c>
      <c r="B126" s="45" t="s">
        <v>60</v>
      </c>
      <c r="C126" s="45" t="s">
        <v>61</v>
      </c>
      <c r="D126" s="45" t="s">
        <v>62</v>
      </c>
      <c r="E126" s="45" t="s">
        <v>62</v>
      </c>
      <c r="F126" s="46" cm="1">
        <f t="array" ref="F126">_xlfn.IFS($G126=$G$5,F$5,$G126=$G$6,F$6,$G126=$G$7,F$7,$G126=$G$8,F$8,$G126=$G$9,F$9,$G126=$G$10,F$10,$G126=$G$11,F$11,$G126=$G$12,F$12,$G126=$G$13,F$13,$G126=$G$15,F$15,$G126=$G$16,F$16,$G126=$G$17,F$17,$G126=$G$18,F$18,$G126=$G$19,F$19,$G126=$G$20,F$20,$G126=$G$21,F$21,$G126=$G$22,F$22,$G126=$G$25,F$25,$G126=$G$26,F$26,$G126=$G$27,F$27,$G126=$G$29,F$29,$G126=$G$31,F$31,$G126=$G$32,F$32,$G126=$G$248,F$248,$G126=$G$250,F$250)</f>
        <v>8040</v>
      </c>
      <c r="G126" t="s">
        <v>81</v>
      </c>
      <c r="H126" s="67" cm="1">
        <f t="array" ref="H126">_xlfn.IFS($G126=$G$5,H$5,$G126=$G$6,H$6,$G126=$G$7,H$7,$G126=$G$8,H$8,$G126=$G$9,H$9,$G126=$G$10,H$10,$G126=$G$11,H$11,$G126=$G$12,H$12,$G126=$G$13,H$13,$G126=$G$15,H$15,$G126=$G$16,H$16,$G126=$G$17,H$17,$G126=$G$18,H$18,$G126=$G$19,H$19,$G126=$G$20,H$20,$G126=$G$21,H$21,$G126=$G$22,H$22,$G126=$G$25,H$25,$G126=$G$26,H$26,$G126=$G$27,H$27,$G126=$G$29,H$29,$G126=$G$31,H$31,$G126=$G$32,H$32,$G126=$G$248,H$248,$G126=$G$250,H$250)</f>
        <v>41.343685000000001</v>
      </c>
      <c r="I126" s="67" cm="1">
        <f t="array" ref="I126">_xlfn.IFS($G126=$G$5,I$5,$G126=$G$6,I$6,$G126=$G$7,I$7,$G126=$G$8,I$8,$G126=$G$9,I$9,$G126=$G$10,I$10,$G126=$G$11,I$11,$G126=$G$12,I$12,$G126=$G$13,I$13,$G126=$G$15,I$15,$G126=$G$16,I$16,$G126=$G$17,I$17,$G126=$G$18,I$18,$G126=$G$19,I$19,$G126=$G$20,I$20,$G126=$G$21,I$21,$G126=$G$22,I$22,$G126=$G$25,I$25,$G126=$G$26,I$26,$G126=$G$27,I$27,$G126=$G$29,I$29,$G126=$G$31,I$31,$G126=$G$32,I$32,$G126=$G$248,I$248,$G126=$G$250,I$250)</f>
        <v>2.1441490000000001</v>
      </c>
      <c r="J126" s="48" cm="1">
        <f t="array" ref="J126">_xlfn.IFS($G126=$G$5,J$5,$G126=$G$6,J$6,$G126=$G$7,J$7,$G126=$G$8,J$8,$G126=$G$9,J$9,$G126=$G$10,J$10,$G126=$G$11,J$11,$G126=$G$12,J$12,$G126=$G$13,J$13,$G126=$G$15,J$15,$G126=$G$16,J$16,$G126=$G$17,J$17,$G126=$G$18,J$18,$G126=$G$19,J$19,$G126=$G$20,J$20,$G126=$G$21,J$21,$G126=$G$22,J$22,$G126=$G$25,J$25,$G126=$G$26,J$26,$G126=$G$27,J$27,$G126=$G$29,J$29,$G126=$G$31,J$31,$G126=$G$32,J$32,$G126=$G$248,J$248,$G126=$G$250,J$250)</f>
        <v>4</v>
      </c>
      <c r="K126" s="48" t="str" cm="1">
        <f t="array" ref="K126">_xlfn.IFS($G126=$G$5,K$5,$G126=$G$6,K$6,$G126=$G$7,K$7,$G126=$G$8,K$8,$G126=$G$9,K$9,$G126=$G$10,K$10,$G126=$G$11,K$11,$G126=$G$12,K$12,$G126=$G$13,K$13,$G126=$G$15,K$15,$G126=$G$16,K$16,$G126=$G$17,K$17,$G126=$G$18,K$18,$G126=$G$19,K$19,$G126=$G$20,K$20,$G126=$G$21,K$21,$G126=$G$22,K$22,$G126=$G$25,K$25,$G126=$G$26,K$26,$G126=$G$27,K$27,$G126=$G$29,K$29,$G126=$G$31,K$31,$G126=$G$32,K$32,$G126=$G$248,K$248,$G126=$G$250,K$250)</f>
        <v>BG sentinel + BG lure7</v>
      </c>
      <c r="L126" s="48" t="str" cm="1">
        <f t="array" ref="L126">_xlfn.IFS($G126=$G$5,L$5,$G126=$G$6,L$6,$G126=$G$7,L$7,$G126=$G$8,L$8,$G126=$G$9,L$9,$G126=$G$10,L$10,$G126=$G$11,L$11,$G126=$G$12,L$12,$G126=$G$13,L$13,$G126=$G$15,L$15,$G126=$G$16,L$16,$G126=$G$17,L$17,$G126=$G$18,L$18,$G126=$G$19,L$19,$G126=$G$20,L$20,$G126=$G$21,L$21,$G126=$G$22,L$22,$G126=$G$25,L$25,$G126=$G$26,L$26,$G126=$G$27,L$27,$G126=$G$29,L$29,$G126=$G$31,L$31,$G126=$G$32,L$32,$G126=$G$248,L$248,$G126=$G$250,L$250)</f>
        <v>Urban habitat</v>
      </c>
      <c r="M126" s="48"/>
      <c r="O126" s="45" t="str">
        <f t="shared" si="10"/>
        <v>A_SP_BCN_10_210603</v>
      </c>
      <c r="P126" s="64">
        <v>44350</v>
      </c>
      <c r="R126" s="72"/>
      <c r="S126" s="64">
        <v>44357</v>
      </c>
      <c r="U126" s="72"/>
      <c r="V126" s="54" t="s">
        <v>66</v>
      </c>
      <c r="X126" s="45">
        <f t="shared" si="5"/>
        <v>7</v>
      </c>
      <c r="Z126" s="45" t="s">
        <v>80</v>
      </c>
      <c r="AA126" s="45">
        <f t="shared" si="12"/>
        <v>1</v>
      </c>
      <c r="AB126" t="str">
        <f t="shared" si="7"/>
        <v>Adult</v>
      </c>
      <c r="AC126" s="69">
        <v>1</v>
      </c>
      <c r="AD126" s="69">
        <v>0</v>
      </c>
      <c r="AE126" s="45" t="str">
        <f t="shared" si="8"/>
        <v>Morphological</v>
      </c>
      <c r="AF126" s="56">
        <v>4</v>
      </c>
    </row>
    <row r="127" spans="1:32" ht="18" customHeight="1" x14ac:dyDescent="0.25">
      <c r="A127" s="45">
        <v>123</v>
      </c>
      <c r="B127" s="45" t="s">
        <v>60</v>
      </c>
      <c r="C127" s="45" t="s">
        <v>61</v>
      </c>
      <c r="D127" s="45" t="s">
        <v>62</v>
      </c>
      <c r="E127" s="45" t="s">
        <v>62</v>
      </c>
      <c r="F127" s="46" cm="1">
        <f t="array" ref="F127">_xlfn.IFS($G127=$G$5,F$5,$G127=$G$6,F$6,$G127=$G$7,F$7,$G127=$G$8,F$8,$G127=$G$9,F$9,$G127=$G$10,F$10,$G127=$G$11,F$11,$G127=$G$12,F$12,$G127=$G$13,F$13,$G127=$G$15,F$15,$G127=$G$16,F$16,$G127=$G$17,F$17,$G127=$G$18,F$18,$G127=$G$19,F$19,$G127=$G$20,F$20,$G127=$G$21,F$21,$G127=$G$22,F$22,$G127=$G$25,F$25,$G127=$G$26,F$26,$G127=$G$27,F$27,$G127=$G$29,F$29,$G127=$G$31,F$31,$G127=$G$32,F$32,$G127=$G$248,F$248,$G127=$G$250,F$250)</f>
        <v>8038</v>
      </c>
      <c r="G127" t="s">
        <v>82</v>
      </c>
      <c r="H127" s="67" cm="1">
        <f t="array" ref="H127">_xlfn.IFS($G127=$G$5,H$5,$G127=$G$6,H$6,$G127=$G$7,H$7,$G127=$G$8,H$8,$G127=$G$9,H$9,$G127=$G$10,H$10,$G127=$G$11,H$11,$G127=$G$12,H$12,$G127=$G$13,H$13,$G127=$G$15,H$15,$G127=$G$16,H$16,$G127=$G$17,H$17,$G127=$G$18,H$18,$G127=$G$19,H$19,$G127=$G$20,H$20,$G127=$G$21,H$21,$G127=$G$22,H$22,$G127=$G$25,H$25,$G127=$G$26,H$26,$G127=$G$27,H$27,$G127=$G$29,H$29,$G127=$G$31,H$31,$G127=$G$32,H$32,$G127=$G$248,H$248,$G127=$G$250,H$250)</f>
        <v>41.367429999999999</v>
      </c>
      <c r="I127" s="67" cm="1">
        <f t="array" ref="I127">_xlfn.IFS($G127=$G$5,I$5,$G127=$G$6,I$6,$G127=$G$7,I$7,$G127=$G$8,I$8,$G127=$G$9,I$9,$G127=$G$10,I$10,$G127=$G$11,I$11,$G127=$G$12,I$12,$G127=$G$13,I$13,$G127=$G$15,I$15,$G127=$G$16,I$16,$G127=$G$17,I$17,$G127=$G$18,I$18,$G127=$G$19,I$19,$G127=$G$20,I$20,$G127=$G$21,I$21,$G127=$G$22,I$22,$G127=$G$25,I$25,$G127=$G$26,I$26,$G127=$G$27,I$27,$G127=$G$29,I$29,$G127=$G$31,I$31,$G127=$G$32,I$32,$G127=$G$248,I$248,$G127=$G$250,I$250)</f>
        <v>2.1569609999999999</v>
      </c>
      <c r="J127" s="48" cm="1">
        <f t="array" ref="J127">_xlfn.IFS($G127=$G$5,J$5,$G127=$G$6,J$6,$G127=$G$7,J$7,$G127=$G$8,J$8,$G127=$G$9,J$9,$G127=$G$10,J$10,$G127=$G$11,J$11,$G127=$G$12,J$12,$G127=$G$13,J$13,$G127=$G$15,J$15,$G127=$G$16,J$16,$G127=$G$17,J$17,$G127=$G$18,J$18,$G127=$G$19,J$19,$G127=$G$20,J$20,$G127=$G$21,J$21,$G127=$G$22,J$22,$G127=$G$25,J$25,$G127=$G$26,J$26,$G127=$G$27,J$27,$G127=$G$29,J$29,$G127=$G$31,J$31,$G127=$G$32,J$32,$G127=$G$248,J$248,$G127=$G$250,J$250)</f>
        <v>91</v>
      </c>
      <c r="K127" s="48" t="str" cm="1">
        <f t="array" ref="K127">_xlfn.IFS($G127=$G$5,K$5,$G127=$G$6,K$6,$G127=$G$7,K$7,$G127=$G$8,K$8,$G127=$G$9,K$9,$G127=$G$10,K$10,$G127=$G$11,K$11,$G127=$G$12,K$12,$G127=$G$13,K$13,$G127=$G$15,K$15,$G127=$G$16,K$16,$G127=$G$17,K$17,$G127=$G$18,K$18,$G127=$G$19,K$19,$G127=$G$20,K$20,$G127=$G$21,K$21,$G127=$G$22,K$22,$G127=$G$25,K$25,$G127=$G$26,K$26,$G127=$G$27,K$27,$G127=$G$29,K$29,$G127=$G$31,K$31,$G127=$G$32,K$32,$G127=$G$248,K$248,$G127=$G$250,K$250)</f>
        <v>BG sentinel + BG lure7</v>
      </c>
      <c r="L127" s="48" t="str" cm="1">
        <f t="array" ref="L127">_xlfn.IFS($G127=$G$5,L$5,$G127=$G$6,L$6,$G127=$G$7,L$7,$G127=$G$8,L$8,$G127=$G$9,L$9,$G127=$G$10,L$10,$G127=$G$11,L$11,$G127=$G$12,L$12,$G127=$G$13,L$13,$G127=$G$15,L$15,$G127=$G$16,L$16,$G127=$G$17,L$17,$G127=$G$18,L$18,$G127=$G$19,L$19,$G127=$G$20,L$20,$G127=$G$21,L$21,$G127=$G$22,L$22,$G127=$G$25,L$25,$G127=$G$26,L$26,$G127=$G$27,L$27,$G127=$G$29,L$29,$G127=$G$31,L$31,$G127=$G$32,L$32,$G127=$G$248,L$248,$G127=$G$250,L$250)</f>
        <v>Other</v>
      </c>
      <c r="M127" s="48"/>
      <c r="O127" s="45" t="str">
        <f t="shared" si="10"/>
        <v>A_SP_BCN_11_210603</v>
      </c>
      <c r="P127" s="64">
        <v>44350</v>
      </c>
      <c r="R127" s="72"/>
      <c r="S127" s="64">
        <v>44357</v>
      </c>
      <c r="U127" s="72"/>
      <c r="V127" s="54" t="s">
        <v>66</v>
      </c>
      <c r="X127" s="45">
        <f t="shared" si="5"/>
        <v>7</v>
      </c>
      <c r="Z127" s="69" t="s">
        <v>69</v>
      </c>
      <c r="AA127" s="45">
        <f t="shared" si="12"/>
        <v>3</v>
      </c>
      <c r="AB127" t="str">
        <f t="shared" si="7"/>
        <v>Adult</v>
      </c>
      <c r="AC127" s="69">
        <v>3</v>
      </c>
      <c r="AD127" s="69">
        <v>0</v>
      </c>
      <c r="AE127" s="45" t="str">
        <f t="shared" si="8"/>
        <v>Morphological</v>
      </c>
      <c r="AF127" s="56">
        <v>4</v>
      </c>
    </row>
    <row r="128" spans="1:32" ht="18" customHeight="1" x14ac:dyDescent="0.25">
      <c r="A128" s="45">
        <v>124</v>
      </c>
      <c r="B128" s="45" t="s">
        <v>60</v>
      </c>
      <c r="C128" s="45" t="s">
        <v>61</v>
      </c>
      <c r="D128" s="45" t="s">
        <v>62</v>
      </c>
      <c r="E128" s="45" t="s">
        <v>62</v>
      </c>
      <c r="F128" s="46" cm="1">
        <f t="array" ref="F128">_xlfn.IFS($G128=$G$5,F$5,$G128=$G$6,F$6,$G128=$G$7,F$7,$G128=$G$8,F$8,$G128=$G$9,F$9,$G128=$G$10,F$10,$G128=$G$11,F$11,$G128=$G$12,F$12,$G128=$G$13,F$13,$G128=$G$15,F$15,$G128=$G$16,F$16,$G128=$G$17,F$17,$G128=$G$18,F$18,$G128=$G$19,F$19,$G128=$G$20,F$20,$G128=$G$21,F$21,$G128=$G$22,F$22,$G128=$G$25,F$25,$G128=$G$26,F$26,$G128=$G$27,F$27,$G128=$G$29,F$29,$G128=$G$31,F$31,$G128=$G$32,F$32,$G128=$G$248,F$248,$G128=$G$250,F$250)</f>
        <v>8038</v>
      </c>
      <c r="G128" t="s">
        <v>82</v>
      </c>
      <c r="H128" s="67" cm="1">
        <f t="array" ref="H128">_xlfn.IFS($G128=$G$5,H$5,$G128=$G$6,H$6,$G128=$G$7,H$7,$G128=$G$8,H$8,$G128=$G$9,H$9,$G128=$G$10,H$10,$G128=$G$11,H$11,$G128=$G$12,H$12,$G128=$G$13,H$13,$G128=$G$15,H$15,$G128=$G$16,H$16,$G128=$G$17,H$17,$G128=$G$18,H$18,$G128=$G$19,H$19,$G128=$G$20,H$20,$G128=$G$21,H$21,$G128=$G$22,H$22,$G128=$G$25,H$25,$G128=$G$26,H$26,$G128=$G$27,H$27,$G128=$G$29,H$29,$G128=$G$31,H$31,$G128=$G$32,H$32,$G128=$G$248,H$248,$G128=$G$250,H$250)</f>
        <v>41.367429999999999</v>
      </c>
      <c r="I128" s="67" cm="1">
        <f t="array" ref="I128">_xlfn.IFS($G128=$G$5,I$5,$G128=$G$6,I$6,$G128=$G$7,I$7,$G128=$G$8,I$8,$G128=$G$9,I$9,$G128=$G$10,I$10,$G128=$G$11,I$11,$G128=$G$12,I$12,$G128=$G$13,I$13,$G128=$G$15,I$15,$G128=$G$16,I$16,$G128=$G$17,I$17,$G128=$G$18,I$18,$G128=$G$19,I$19,$G128=$G$20,I$20,$G128=$G$21,I$21,$G128=$G$22,I$22,$G128=$G$25,I$25,$G128=$G$26,I$26,$G128=$G$27,I$27,$G128=$G$29,I$29,$G128=$G$31,I$31,$G128=$G$32,I$32,$G128=$G$248,I$248,$G128=$G$250,I$250)</f>
        <v>2.1569609999999999</v>
      </c>
      <c r="J128" s="48" cm="1">
        <f t="array" ref="J128">_xlfn.IFS($G128=$G$5,J$5,$G128=$G$6,J$6,$G128=$G$7,J$7,$G128=$G$8,J$8,$G128=$G$9,J$9,$G128=$G$10,J$10,$G128=$G$11,J$11,$G128=$G$12,J$12,$G128=$G$13,J$13,$G128=$G$15,J$15,$G128=$G$16,J$16,$G128=$G$17,J$17,$G128=$G$18,J$18,$G128=$G$19,J$19,$G128=$G$20,J$20,$G128=$G$21,J$21,$G128=$G$22,J$22,$G128=$G$25,J$25,$G128=$G$26,J$26,$G128=$G$27,J$27,$G128=$G$29,J$29,$G128=$G$31,J$31,$G128=$G$32,J$32,$G128=$G$248,J$248,$G128=$G$250,J$250)</f>
        <v>91</v>
      </c>
      <c r="K128" s="48" t="str" cm="1">
        <f t="array" ref="K128">_xlfn.IFS($G128=$G$5,K$5,$G128=$G$6,K$6,$G128=$G$7,K$7,$G128=$G$8,K$8,$G128=$G$9,K$9,$G128=$G$10,K$10,$G128=$G$11,K$11,$G128=$G$12,K$12,$G128=$G$13,K$13,$G128=$G$15,K$15,$G128=$G$16,K$16,$G128=$G$17,K$17,$G128=$G$18,K$18,$G128=$G$19,K$19,$G128=$G$20,K$20,$G128=$G$21,K$21,$G128=$G$22,K$22,$G128=$G$25,K$25,$G128=$G$26,K$26,$G128=$G$27,K$27,$G128=$G$29,K$29,$G128=$G$31,K$31,$G128=$G$32,K$32,$G128=$G$248,K$248,$G128=$G$250,K$250)</f>
        <v>BG sentinel + BG lure7</v>
      </c>
      <c r="L128" s="48" t="str" cm="1">
        <f t="array" ref="L128">_xlfn.IFS($G128=$G$5,L$5,$G128=$G$6,L$6,$G128=$G$7,L$7,$G128=$G$8,L$8,$G128=$G$9,L$9,$G128=$G$10,L$10,$G128=$G$11,L$11,$G128=$G$12,L$12,$G128=$G$13,L$13,$G128=$G$15,L$15,$G128=$G$16,L$16,$G128=$G$17,L$17,$G128=$G$18,L$18,$G128=$G$19,L$19,$G128=$G$20,L$20,$G128=$G$21,L$21,$G128=$G$22,L$22,$G128=$G$25,L$25,$G128=$G$26,L$26,$G128=$G$27,L$27,$G128=$G$29,L$29,$G128=$G$31,L$31,$G128=$G$32,L$32,$G128=$G$248,L$248,$G128=$G$250,L$250)</f>
        <v>Other</v>
      </c>
      <c r="M128" s="48"/>
      <c r="O128" s="45" t="str">
        <f t="shared" si="10"/>
        <v>A_SP_BCN_11_210603</v>
      </c>
      <c r="P128" s="64">
        <v>44350</v>
      </c>
      <c r="R128" s="72"/>
      <c r="S128" s="64">
        <v>44357</v>
      </c>
      <c r="U128" s="72"/>
      <c r="V128" s="54" t="s">
        <v>66</v>
      </c>
      <c r="X128" s="45">
        <f t="shared" si="5"/>
        <v>7</v>
      </c>
      <c r="Z128" s="45" t="s">
        <v>70</v>
      </c>
      <c r="AA128" s="45">
        <f t="shared" si="12"/>
        <v>1</v>
      </c>
      <c r="AB128" t="str">
        <f t="shared" si="7"/>
        <v>Adult</v>
      </c>
      <c r="AC128" s="69">
        <v>1</v>
      </c>
      <c r="AD128" s="69">
        <v>0</v>
      </c>
      <c r="AE128" s="45" t="str">
        <f t="shared" si="8"/>
        <v>Morphological</v>
      </c>
      <c r="AF128" s="56">
        <v>4</v>
      </c>
    </row>
    <row r="129" spans="1:32" ht="18" customHeight="1" x14ac:dyDescent="0.25">
      <c r="A129" s="45">
        <v>125</v>
      </c>
      <c r="B129" s="45" t="s">
        <v>60</v>
      </c>
      <c r="C129" s="45" t="s">
        <v>61</v>
      </c>
      <c r="D129" s="45" t="s">
        <v>62</v>
      </c>
      <c r="E129" s="45" t="s">
        <v>62</v>
      </c>
      <c r="F129" s="46" cm="1">
        <f t="array" ref="F129">_xlfn.IFS($G129=$G$5,F$5,$G129=$G$6,F$6,$G129=$G$7,F$7,$G129=$G$8,F$8,$G129=$G$9,F$9,$G129=$G$10,F$10,$G129=$G$11,F$11,$G129=$G$12,F$12,$G129=$G$13,F$13,$G129=$G$15,F$15,$G129=$G$16,F$16,$G129=$G$17,F$17,$G129=$G$18,F$18,$G129=$G$19,F$19,$G129=$G$20,F$20,$G129=$G$21,F$21,$G129=$G$22,F$22,$G129=$G$25,F$25,$G129=$G$26,F$26,$G129=$G$27,F$27,$G129=$G$29,F$29,$G129=$G$31,F$31,$G129=$G$32,F$32,$G129=$G$248,F$248,$G129=$G$250,F$250)</f>
        <v>8038</v>
      </c>
      <c r="G129" t="s">
        <v>84</v>
      </c>
      <c r="H129" s="67" cm="1">
        <f t="array" ref="H129">_xlfn.IFS($G129=$G$5,H$5,$G129=$G$6,H$6,$G129=$G$7,H$7,$G129=$G$8,H$8,$G129=$G$9,H$9,$G129=$G$10,H$10,$G129=$G$11,H$11,$G129=$G$12,H$12,$G129=$G$13,H$13,$G129=$G$15,H$15,$G129=$G$16,H$16,$G129=$G$17,H$17,$G129=$G$18,H$18,$G129=$G$19,H$19,$G129=$G$20,H$20,$G129=$G$21,H$21,$G129=$G$22,H$22,$G129=$G$25,H$25,$G129=$G$26,H$26,$G129=$G$27,H$27,$G129=$G$29,H$29,$G129=$G$31,H$31,$G129=$G$32,H$32,$G129=$G$248,H$248,$G129=$G$250,H$250)</f>
        <v>41.363377999999997</v>
      </c>
      <c r="I129" s="67" cm="1">
        <f t="array" ref="I129">_xlfn.IFS($G129=$G$5,I$5,$G129=$G$6,I$6,$G129=$G$7,I$7,$G129=$G$8,I$8,$G129=$G$9,I$9,$G129=$G$10,I$10,$G129=$G$11,I$11,$G129=$G$12,I$12,$G129=$G$13,I$13,$G129=$G$15,I$15,$G129=$G$16,I$16,$G129=$G$17,I$17,$G129=$G$18,I$18,$G129=$G$19,I$19,$G129=$G$20,I$20,$G129=$G$21,I$21,$G129=$G$22,I$22,$G129=$G$25,I$25,$G129=$G$26,I$26,$G129=$G$27,I$27,$G129=$G$29,I$29,$G129=$G$31,I$31,$G129=$G$32,I$32,$G129=$G$248,I$248,$G129=$G$250,I$250)</f>
        <v>2.164879</v>
      </c>
      <c r="J129" s="48" cm="1">
        <f t="array" ref="J129">_xlfn.IFS($G129=$G$5,J$5,$G129=$G$6,J$6,$G129=$G$7,J$7,$G129=$G$8,J$8,$G129=$G$9,J$9,$G129=$G$10,J$10,$G129=$G$11,J$11,$G129=$G$12,J$12,$G129=$G$13,J$13,$G129=$G$15,J$15,$G129=$G$16,J$16,$G129=$G$17,J$17,$G129=$G$18,J$18,$G129=$G$19,J$19,$G129=$G$20,J$20,$G129=$G$21,J$21,$G129=$G$22,J$22,$G129=$G$25,J$25,$G129=$G$26,J$26,$G129=$G$27,J$27,$G129=$G$29,J$29,$G129=$G$31,J$31,$G129=$G$32,J$32,$G129=$G$248,J$248,$G129=$G$250,J$250)</f>
        <v>185</v>
      </c>
      <c r="K129" s="48" t="str" cm="1">
        <f t="array" ref="K129">_xlfn.IFS($G129=$G$5,K$5,$G129=$G$6,K$6,$G129=$G$7,K$7,$G129=$G$8,K$8,$G129=$G$9,K$9,$G129=$G$10,K$10,$G129=$G$11,K$11,$G129=$G$12,K$12,$G129=$G$13,K$13,$G129=$G$15,K$15,$G129=$G$16,K$16,$G129=$G$17,K$17,$G129=$G$18,K$18,$G129=$G$19,K$19,$G129=$G$20,K$20,$G129=$G$21,K$21,$G129=$G$22,K$22,$G129=$G$25,K$25,$G129=$G$26,K$26,$G129=$G$27,K$27,$G129=$G$29,K$29,$G129=$G$31,K$31,$G129=$G$32,K$32,$G129=$G$248,K$248,$G129=$G$250,K$250)</f>
        <v>BG sentinel + BG lure7</v>
      </c>
      <c r="L129" s="48" t="str" cm="1">
        <f t="array" ref="L129">_xlfn.IFS($G129=$G$5,L$5,$G129=$G$6,L$6,$G129=$G$7,L$7,$G129=$G$8,L$8,$G129=$G$9,L$9,$G129=$G$10,L$10,$G129=$G$11,L$11,$G129=$G$12,L$12,$G129=$G$13,L$13,$G129=$G$15,L$15,$G129=$G$16,L$16,$G129=$G$17,L$17,$G129=$G$18,L$18,$G129=$G$19,L$19,$G129=$G$20,L$20,$G129=$G$21,L$21,$G129=$G$22,L$22,$G129=$G$25,L$25,$G129=$G$26,L$26,$G129=$G$27,L$27,$G129=$G$29,L$29,$G129=$G$31,L$31,$G129=$G$32,L$32,$G129=$G$248,L$248,$G129=$G$250,L$250)</f>
        <v>Other</v>
      </c>
      <c r="M129" s="48"/>
      <c r="O129" s="45" t="str">
        <f t="shared" si="10"/>
        <v>A_SP_BCN_12_210603</v>
      </c>
      <c r="P129" s="64">
        <v>44350</v>
      </c>
      <c r="R129" s="72"/>
      <c r="S129" s="64">
        <v>44357</v>
      </c>
      <c r="U129" s="72"/>
      <c r="V129" s="54" t="s">
        <v>66</v>
      </c>
      <c r="X129" s="45">
        <f t="shared" si="5"/>
        <v>7</v>
      </c>
      <c r="Z129" s="69" t="s">
        <v>69</v>
      </c>
      <c r="AA129" s="45">
        <f t="shared" si="12"/>
        <v>3</v>
      </c>
      <c r="AB129" t="str">
        <f t="shared" si="7"/>
        <v>Adult</v>
      </c>
      <c r="AC129" s="69">
        <v>3</v>
      </c>
      <c r="AD129" s="69">
        <v>0</v>
      </c>
      <c r="AE129" s="45" t="str">
        <f t="shared" si="8"/>
        <v>Morphological</v>
      </c>
      <c r="AF129" s="56">
        <v>4</v>
      </c>
    </row>
    <row r="130" spans="1:32" ht="18" customHeight="1" x14ac:dyDescent="0.25">
      <c r="A130" s="45">
        <v>126</v>
      </c>
      <c r="B130" s="45" t="s">
        <v>60</v>
      </c>
      <c r="C130" s="45" t="s">
        <v>61</v>
      </c>
      <c r="D130" s="45" t="s">
        <v>62</v>
      </c>
      <c r="E130" s="45" t="s">
        <v>62</v>
      </c>
      <c r="F130" s="46" cm="1">
        <f t="array" ref="F130">_xlfn.IFS($G130=$G$5,F$5,$G130=$G$6,F$6,$G130=$G$7,F$7,$G130=$G$8,F$8,$G130=$G$9,F$9,$G130=$G$10,F$10,$G130=$G$11,F$11,$G130=$G$12,F$12,$G130=$G$13,F$13,$G130=$G$15,F$15,$G130=$G$16,F$16,$G130=$G$17,F$17,$G130=$G$18,F$18,$G130=$G$19,F$19,$G130=$G$20,F$20,$G130=$G$21,F$21,$G130=$G$22,F$22,$G130=$G$25,F$25,$G130=$G$26,F$26,$G130=$G$27,F$27,$G130=$G$29,F$29,$G130=$G$31,F$31,$G130=$G$32,F$32,$G130=$G$248,F$248,$G130=$G$250,F$250)</f>
        <v>8038</v>
      </c>
      <c r="G130" t="s">
        <v>84</v>
      </c>
      <c r="H130" s="67" cm="1">
        <f t="array" ref="H130">_xlfn.IFS($G130=$G$5,H$5,$G130=$G$6,H$6,$G130=$G$7,H$7,$G130=$G$8,H$8,$G130=$G$9,H$9,$G130=$G$10,H$10,$G130=$G$11,H$11,$G130=$G$12,H$12,$G130=$G$13,H$13,$G130=$G$15,H$15,$G130=$G$16,H$16,$G130=$G$17,H$17,$G130=$G$18,H$18,$G130=$G$19,H$19,$G130=$G$20,H$20,$G130=$G$21,H$21,$G130=$G$22,H$22,$G130=$G$25,H$25,$G130=$G$26,H$26,$G130=$G$27,H$27,$G130=$G$29,H$29,$G130=$G$31,H$31,$G130=$G$32,H$32,$G130=$G$248,H$248,$G130=$G$250,H$250)</f>
        <v>41.363377999999997</v>
      </c>
      <c r="I130" s="67" cm="1">
        <f t="array" ref="I130">_xlfn.IFS($G130=$G$5,I$5,$G130=$G$6,I$6,$G130=$G$7,I$7,$G130=$G$8,I$8,$G130=$G$9,I$9,$G130=$G$10,I$10,$G130=$G$11,I$11,$G130=$G$12,I$12,$G130=$G$13,I$13,$G130=$G$15,I$15,$G130=$G$16,I$16,$G130=$G$17,I$17,$G130=$G$18,I$18,$G130=$G$19,I$19,$G130=$G$20,I$20,$G130=$G$21,I$21,$G130=$G$22,I$22,$G130=$G$25,I$25,$G130=$G$26,I$26,$G130=$G$27,I$27,$G130=$G$29,I$29,$G130=$G$31,I$31,$G130=$G$32,I$32,$G130=$G$248,I$248,$G130=$G$250,I$250)</f>
        <v>2.164879</v>
      </c>
      <c r="J130" s="48" cm="1">
        <f t="array" ref="J130">_xlfn.IFS($G130=$G$5,J$5,$G130=$G$6,J$6,$G130=$G$7,J$7,$G130=$G$8,J$8,$G130=$G$9,J$9,$G130=$G$10,J$10,$G130=$G$11,J$11,$G130=$G$12,J$12,$G130=$G$13,J$13,$G130=$G$15,J$15,$G130=$G$16,J$16,$G130=$G$17,J$17,$G130=$G$18,J$18,$G130=$G$19,J$19,$G130=$G$20,J$20,$G130=$G$21,J$21,$G130=$G$22,J$22,$G130=$G$25,J$25,$G130=$G$26,J$26,$G130=$G$27,J$27,$G130=$G$29,J$29,$G130=$G$31,J$31,$G130=$G$32,J$32,$G130=$G$248,J$248,$G130=$G$250,J$250)</f>
        <v>185</v>
      </c>
      <c r="K130" s="48" t="str" cm="1">
        <f t="array" ref="K130">_xlfn.IFS($G130=$G$5,K$5,$G130=$G$6,K$6,$G130=$G$7,K$7,$G130=$G$8,K$8,$G130=$G$9,K$9,$G130=$G$10,K$10,$G130=$G$11,K$11,$G130=$G$12,K$12,$G130=$G$13,K$13,$G130=$G$15,K$15,$G130=$G$16,K$16,$G130=$G$17,K$17,$G130=$G$18,K$18,$G130=$G$19,K$19,$G130=$G$20,K$20,$G130=$G$21,K$21,$G130=$G$22,K$22,$G130=$G$25,K$25,$G130=$G$26,K$26,$G130=$G$27,K$27,$G130=$G$29,K$29,$G130=$G$31,K$31,$G130=$G$32,K$32,$G130=$G$248,K$248,$G130=$G$250,K$250)</f>
        <v>BG sentinel + BG lure7</v>
      </c>
      <c r="L130" s="48" t="str" cm="1">
        <f t="array" ref="L130">_xlfn.IFS($G130=$G$5,L$5,$G130=$G$6,L$6,$G130=$G$7,L$7,$G130=$G$8,L$8,$G130=$G$9,L$9,$G130=$G$10,L$10,$G130=$G$11,L$11,$G130=$G$12,L$12,$G130=$G$13,L$13,$G130=$G$15,L$15,$G130=$G$16,L$16,$G130=$G$17,L$17,$G130=$G$18,L$18,$G130=$G$19,L$19,$G130=$G$20,L$20,$G130=$G$21,L$21,$G130=$G$22,L$22,$G130=$G$25,L$25,$G130=$G$26,L$26,$G130=$G$27,L$27,$G130=$G$29,L$29,$G130=$G$31,L$31,$G130=$G$32,L$32,$G130=$G$248,L$248,$G130=$G$250,L$250)</f>
        <v>Other</v>
      </c>
      <c r="M130" s="48"/>
      <c r="O130" s="45" t="str">
        <f t="shared" si="10"/>
        <v>A_SP_BCN_12_210603</v>
      </c>
      <c r="P130" s="64">
        <v>44350</v>
      </c>
      <c r="R130" s="72"/>
      <c r="S130" s="64">
        <v>44357</v>
      </c>
      <c r="U130" s="72"/>
      <c r="V130" s="54" t="s">
        <v>66</v>
      </c>
      <c r="X130" s="45">
        <f t="shared" si="5"/>
        <v>7</v>
      </c>
      <c r="Z130" s="45" t="s">
        <v>70</v>
      </c>
      <c r="AA130" s="45">
        <f t="shared" si="12"/>
        <v>4</v>
      </c>
      <c r="AB130" t="str">
        <f t="shared" si="7"/>
        <v>Adult</v>
      </c>
      <c r="AC130" s="69">
        <v>4</v>
      </c>
      <c r="AD130" s="69">
        <v>0</v>
      </c>
      <c r="AE130" s="45" t="str">
        <f t="shared" si="8"/>
        <v>Morphological</v>
      </c>
      <c r="AF130" s="56">
        <v>4</v>
      </c>
    </row>
    <row r="131" spans="1:32" ht="18" customHeight="1" x14ac:dyDescent="0.25">
      <c r="A131" s="45">
        <v>127</v>
      </c>
      <c r="B131" s="45" t="s">
        <v>60</v>
      </c>
      <c r="C131" s="45" t="s">
        <v>61</v>
      </c>
      <c r="D131" s="45" t="s">
        <v>62</v>
      </c>
      <c r="E131" s="45" t="s">
        <v>62</v>
      </c>
      <c r="F131" s="46" cm="1">
        <f t="array" ref="F131">_xlfn.IFS($G131=$G$5,F$5,$G131=$G$6,F$6,$G131=$G$7,F$7,$G131=$G$8,F$8,$G131=$G$9,F$9,$G131=$G$10,F$10,$G131=$G$11,F$11,$G131=$G$12,F$12,$G131=$G$13,F$13,$G131=$G$15,F$15,$G131=$G$16,F$16,$G131=$G$17,F$17,$G131=$G$18,F$18,$G131=$G$19,F$19,$G131=$G$20,F$20,$G131=$G$21,F$21,$G131=$G$22,F$22,$G131=$G$25,F$25,$G131=$G$26,F$26,$G131=$G$27,F$27,$G131=$G$29,F$29,$G131=$G$31,F$31,$G131=$G$32,F$32,$G131=$G$248,F$248,$G131=$G$250,F$250)</f>
        <v>8038</v>
      </c>
      <c r="G131" t="s">
        <v>84</v>
      </c>
      <c r="H131" s="67" cm="1">
        <f t="array" ref="H131">_xlfn.IFS($G131=$G$5,H$5,$G131=$G$6,H$6,$G131=$G$7,H$7,$G131=$G$8,H$8,$G131=$G$9,H$9,$G131=$G$10,H$10,$G131=$G$11,H$11,$G131=$G$12,H$12,$G131=$G$13,H$13,$G131=$G$15,H$15,$G131=$G$16,H$16,$G131=$G$17,H$17,$G131=$G$18,H$18,$G131=$G$19,H$19,$G131=$G$20,H$20,$G131=$G$21,H$21,$G131=$G$22,H$22,$G131=$G$25,H$25,$G131=$G$26,H$26,$G131=$G$27,H$27,$G131=$G$29,H$29,$G131=$G$31,H$31,$G131=$G$32,H$32,$G131=$G$248,H$248,$G131=$G$250,H$250)</f>
        <v>41.363377999999997</v>
      </c>
      <c r="I131" s="67" cm="1">
        <f t="array" ref="I131">_xlfn.IFS($G131=$G$5,I$5,$G131=$G$6,I$6,$G131=$G$7,I$7,$G131=$G$8,I$8,$G131=$G$9,I$9,$G131=$G$10,I$10,$G131=$G$11,I$11,$G131=$G$12,I$12,$G131=$G$13,I$13,$G131=$G$15,I$15,$G131=$G$16,I$16,$G131=$G$17,I$17,$G131=$G$18,I$18,$G131=$G$19,I$19,$G131=$G$20,I$20,$G131=$G$21,I$21,$G131=$G$22,I$22,$G131=$G$25,I$25,$G131=$G$26,I$26,$G131=$G$27,I$27,$G131=$G$29,I$29,$G131=$G$31,I$31,$G131=$G$32,I$32,$G131=$G$248,I$248,$G131=$G$250,I$250)</f>
        <v>2.164879</v>
      </c>
      <c r="J131" s="48" cm="1">
        <f t="array" ref="J131">_xlfn.IFS($G131=$G$5,J$5,$G131=$G$6,J$6,$G131=$G$7,J$7,$G131=$G$8,J$8,$G131=$G$9,J$9,$G131=$G$10,J$10,$G131=$G$11,J$11,$G131=$G$12,J$12,$G131=$G$13,J$13,$G131=$G$15,J$15,$G131=$G$16,J$16,$G131=$G$17,J$17,$G131=$G$18,J$18,$G131=$G$19,J$19,$G131=$G$20,J$20,$G131=$G$21,J$21,$G131=$G$22,J$22,$G131=$G$25,J$25,$G131=$G$26,J$26,$G131=$G$27,J$27,$G131=$G$29,J$29,$G131=$G$31,J$31,$G131=$G$32,J$32,$G131=$G$248,J$248,$G131=$G$250,J$250)</f>
        <v>185</v>
      </c>
      <c r="K131" s="48" t="str" cm="1">
        <f t="array" ref="K131">_xlfn.IFS($G131=$G$5,K$5,$G131=$G$6,K$6,$G131=$G$7,K$7,$G131=$G$8,K$8,$G131=$G$9,K$9,$G131=$G$10,K$10,$G131=$G$11,K$11,$G131=$G$12,K$12,$G131=$G$13,K$13,$G131=$G$15,K$15,$G131=$G$16,K$16,$G131=$G$17,K$17,$G131=$G$18,K$18,$G131=$G$19,K$19,$G131=$G$20,K$20,$G131=$G$21,K$21,$G131=$G$22,K$22,$G131=$G$25,K$25,$G131=$G$26,K$26,$G131=$G$27,K$27,$G131=$G$29,K$29,$G131=$G$31,K$31,$G131=$G$32,K$32,$G131=$G$248,K$248,$G131=$G$250,K$250)</f>
        <v>BG sentinel + BG lure7</v>
      </c>
      <c r="L131" s="48" t="str" cm="1">
        <f t="array" ref="L131">_xlfn.IFS($G131=$G$5,L$5,$G131=$G$6,L$6,$G131=$G$7,L$7,$G131=$G$8,L$8,$G131=$G$9,L$9,$G131=$G$10,L$10,$G131=$G$11,L$11,$G131=$G$12,L$12,$G131=$G$13,L$13,$G131=$G$15,L$15,$G131=$G$16,L$16,$G131=$G$17,L$17,$G131=$G$18,L$18,$G131=$G$19,L$19,$G131=$G$20,L$20,$G131=$G$21,L$21,$G131=$G$22,L$22,$G131=$G$25,L$25,$G131=$G$26,L$26,$G131=$G$27,L$27,$G131=$G$29,L$29,$G131=$G$31,L$31,$G131=$G$32,L$32,$G131=$G$248,L$248,$G131=$G$250,L$250)</f>
        <v>Other</v>
      </c>
      <c r="M131" s="48"/>
      <c r="O131" s="45" t="str">
        <f t="shared" si="10"/>
        <v>A_SP_BCN_12_210603</v>
      </c>
      <c r="P131" s="64">
        <v>44350</v>
      </c>
      <c r="R131" s="72"/>
      <c r="S131" s="64">
        <v>44357</v>
      </c>
      <c r="U131" s="72"/>
      <c r="V131" s="54" t="s">
        <v>66</v>
      </c>
      <c r="X131" s="45">
        <f t="shared" si="5"/>
        <v>7</v>
      </c>
      <c r="Z131" s="45" t="s">
        <v>80</v>
      </c>
      <c r="AA131" s="45">
        <f t="shared" si="12"/>
        <v>1</v>
      </c>
      <c r="AB131" t="str">
        <f t="shared" si="7"/>
        <v>Adult</v>
      </c>
      <c r="AC131" s="69">
        <v>1</v>
      </c>
      <c r="AD131" s="69">
        <v>0</v>
      </c>
      <c r="AE131" s="45" t="str">
        <f t="shared" si="8"/>
        <v>Morphological</v>
      </c>
      <c r="AF131" s="56">
        <v>4</v>
      </c>
    </row>
    <row r="132" spans="1:32" ht="18" customHeight="1" x14ac:dyDescent="0.25">
      <c r="A132" s="45">
        <v>128</v>
      </c>
      <c r="B132" s="45" t="s">
        <v>60</v>
      </c>
      <c r="C132" s="45" t="s">
        <v>61</v>
      </c>
      <c r="D132" s="45" t="s">
        <v>62</v>
      </c>
      <c r="E132" s="45" t="s">
        <v>62</v>
      </c>
      <c r="F132" s="46" cm="1">
        <f t="array" ref="F132">_xlfn.IFS($G132=$G$5,F$5,$G132=$G$6,F$6,$G132=$G$7,F$7,$G132=$G$8,F$8,$G132=$G$9,F$9,$G132=$G$10,F$10,$G132=$G$11,F$11,$G132=$G$12,F$12,$G132=$G$13,F$13,$G132=$G$15,F$15,$G132=$G$16,F$16,$G132=$G$17,F$17,$G132=$G$18,F$18,$G132=$G$19,F$19,$G132=$G$20,F$20,$G132=$G$21,F$21,$G132=$G$22,F$22,$G132=$G$25,F$25,$G132=$G$26,F$26,$G132=$G$27,F$27,$G132=$G$29,F$29,$G132=$G$31,F$31,$G132=$G$32,F$32,$G132=$G$248,F$248,$G132=$G$250,F$250)</f>
        <v>8035</v>
      </c>
      <c r="G132" t="s">
        <v>85</v>
      </c>
      <c r="H132" s="67" cm="1">
        <f t="array" ref="H132">_xlfn.IFS($G132=$G$5,H$5,$G132=$G$6,H$6,$G132=$G$7,H$7,$G132=$G$8,H$8,$G132=$G$9,H$9,$G132=$G$10,H$10,$G132=$G$11,H$11,$G132=$G$12,H$12,$G132=$G$13,H$13,$G132=$G$15,H$15,$G132=$G$16,H$16,$G132=$G$17,H$17,$G132=$G$18,H$18,$G132=$G$19,H$19,$G132=$G$20,H$20,$G132=$G$21,H$21,$G132=$G$22,H$22,$G132=$G$25,H$25,$G132=$G$26,H$26,$G132=$G$27,H$27,$G132=$G$29,H$29,$G132=$G$31,H$31,$G132=$G$32,H$32,$G132=$G$248,H$248,$G132=$G$250,H$250)</f>
        <v>41.434472</v>
      </c>
      <c r="I132" s="67" cm="1">
        <f t="array" ref="I132">_xlfn.IFS($G132=$G$5,I$5,$G132=$G$6,I$6,$G132=$G$7,I$7,$G132=$G$8,I$8,$G132=$G$9,I$9,$G132=$G$10,I$10,$G132=$G$11,I$11,$G132=$G$12,I$12,$G132=$G$13,I$13,$G132=$G$15,I$15,$G132=$G$16,I$16,$G132=$G$17,I$17,$G132=$G$18,I$18,$G132=$G$19,I$19,$G132=$G$20,I$20,$G132=$G$21,I$21,$G132=$G$22,I$22,$G132=$G$25,I$25,$G132=$G$26,I$26,$G132=$G$27,I$27,$G132=$G$29,I$29,$G132=$G$31,I$31,$G132=$G$32,I$32,$G132=$G$248,I$248,$G132=$G$250,I$250)</f>
        <v>2.1315789999999999</v>
      </c>
      <c r="J132" s="48" cm="1">
        <f t="array" ref="J132">_xlfn.IFS($G132=$G$5,J$5,$G132=$G$6,J$6,$G132=$G$7,J$7,$G132=$G$8,J$8,$G132=$G$9,J$9,$G132=$G$10,J$10,$G132=$G$11,J$11,$G132=$G$12,J$12,$G132=$G$13,J$13,$G132=$G$15,J$15,$G132=$G$16,J$16,$G132=$G$17,J$17,$G132=$G$18,J$18,$G132=$G$19,J$19,$G132=$G$20,J$20,$G132=$G$21,J$21,$G132=$G$22,J$22,$G132=$G$25,J$25,$G132=$G$26,J$26,$G132=$G$27,J$27,$G132=$G$29,J$29,$G132=$G$31,J$31,$G132=$G$32,J$32,$G132=$G$248,J$248,$G132=$G$250,J$250)</f>
        <v>365</v>
      </c>
      <c r="K132" s="48" t="str" cm="1">
        <f t="array" ref="K132">_xlfn.IFS($G132=$G$5,K$5,$G132=$G$6,K$6,$G132=$G$7,K$7,$G132=$G$8,K$8,$G132=$G$9,K$9,$G132=$G$10,K$10,$G132=$G$11,K$11,$G132=$G$12,K$12,$G132=$G$13,K$13,$G132=$G$15,K$15,$G132=$G$16,K$16,$G132=$G$17,K$17,$G132=$G$18,K$18,$G132=$G$19,K$19,$G132=$G$20,K$20,$G132=$G$21,K$21,$G132=$G$22,K$22,$G132=$G$25,K$25,$G132=$G$26,K$26,$G132=$G$27,K$27,$G132=$G$29,K$29,$G132=$G$31,K$31,$G132=$G$32,K$32,$G132=$G$248,K$248,$G132=$G$250,K$250)</f>
        <v>BG sentinel + BG lure7</v>
      </c>
      <c r="L132" s="48" t="str" cm="1">
        <f t="array" ref="L132">_xlfn.IFS($G132=$G$5,L$5,$G132=$G$6,L$6,$G132=$G$7,L$7,$G132=$G$8,L$8,$G132=$G$9,L$9,$G132=$G$10,L$10,$G132=$G$11,L$11,$G132=$G$12,L$12,$G132=$G$13,L$13,$G132=$G$15,L$15,$G132=$G$16,L$16,$G132=$G$17,L$17,$G132=$G$18,L$18,$G132=$G$19,L$19,$G132=$G$20,L$20,$G132=$G$21,L$21,$G132=$G$22,L$22,$G132=$G$25,L$25,$G132=$G$26,L$26,$G132=$G$27,L$27,$G132=$G$29,L$29,$G132=$G$31,L$31,$G132=$G$32,L$32,$G132=$G$248,L$248,$G132=$G$250,L$250)</f>
        <v>Other</v>
      </c>
      <c r="M132" s="48"/>
      <c r="O132" s="45" t="str">
        <f t="shared" si="10"/>
        <v>A_SP_BCN_13_210602</v>
      </c>
      <c r="P132" s="64">
        <v>44349</v>
      </c>
      <c r="R132" s="72"/>
      <c r="S132" s="64">
        <v>44356</v>
      </c>
      <c r="U132" s="72"/>
      <c r="V132" s="54" t="s">
        <v>66</v>
      </c>
      <c r="X132" s="45">
        <f t="shared" si="5"/>
        <v>7</v>
      </c>
      <c r="Z132" s="45" t="s">
        <v>70</v>
      </c>
      <c r="AA132" s="45">
        <f t="shared" si="12"/>
        <v>1</v>
      </c>
      <c r="AB132" t="str">
        <f t="shared" si="7"/>
        <v>Adult</v>
      </c>
      <c r="AC132" s="69">
        <v>1</v>
      </c>
      <c r="AD132" s="69">
        <v>0</v>
      </c>
      <c r="AE132" s="45" t="str">
        <f t="shared" si="8"/>
        <v>Morphological</v>
      </c>
      <c r="AF132" s="56">
        <v>4</v>
      </c>
    </row>
    <row r="133" spans="1:32" ht="18" customHeight="1" x14ac:dyDescent="0.25">
      <c r="A133" s="45">
        <v>129</v>
      </c>
      <c r="B133" s="45" t="s">
        <v>60</v>
      </c>
      <c r="C133" s="45" t="s">
        <v>61</v>
      </c>
      <c r="D133" s="45" t="s">
        <v>62</v>
      </c>
      <c r="E133" s="45" t="s">
        <v>62</v>
      </c>
      <c r="F133" s="46" cm="1">
        <f t="array" ref="F133">_xlfn.IFS($G133=$G$5,F$5,$G133=$G$6,F$6,$G133=$G$7,F$7,$G133=$G$8,F$8,$G133=$G$9,F$9,$G133=$G$10,F$10,$G133=$G$11,F$11,$G133=$G$12,F$12,$G133=$G$13,F$13,$G133=$G$15,F$15,$G133=$G$16,F$16,$G133=$G$17,F$17,$G133=$G$18,F$18,$G133=$G$19,F$19,$G133=$G$20,F$20,$G133=$G$21,F$21,$G133=$G$22,F$22,$G133=$G$25,F$25,$G133=$G$26,F$26,$G133=$G$27,F$27,$G133=$G$29,F$29,$G133=$G$31,F$31,$G133=$G$32,F$32,$G133=$G$248,F$248,$G133=$G$250,F$250)</f>
        <v>8035</v>
      </c>
      <c r="G133" t="s">
        <v>85</v>
      </c>
      <c r="H133" s="67" cm="1">
        <f t="array" ref="H133">_xlfn.IFS($G133=$G$5,H$5,$G133=$G$6,H$6,$G133=$G$7,H$7,$G133=$G$8,H$8,$G133=$G$9,H$9,$G133=$G$10,H$10,$G133=$G$11,H$11,$G133=$G$12,H$12,$G133=$G$13,H$13,$G133=$G$15,H$15,$G133=$G$16,H$16,$G133=$G$17,H$17,$G133=$G$18,H$18,$G133=$G$19,H$19,$G133=$G$20,H$20,$G133=$G$21,H$21,$G133=$G$22,H$22,$G133=$G$25,H$25,$G133=$G$26,H$26,$G133=$G$27,H$27,$G133=$G$29,H$29,$G133=$G$31,H$31,$G133=$G$32,H$32,$G133=$G$248,H$248,$G133=$G$250,H$250)</f>
        <v>41.434472</v>
      </c>
      <c r="I133" s="67" cm="1">
        <f t="array" ref="I133">_xlfn.IFS($G133=$G$5,I$5,$G133=$G$6,I$6,$G133=$G$7,I$7,$G133=$G$8,I$8,$G133=$G$9,I$9,$G133=$G$10,I$10,$G133=$G$11,I$11,$G133=$G$12,I$12,$G133=$G$13,I$13,$G133=$G$15,I$15,$G133=$G$16,I$16,$G133=$G$17,I$17,$G133=$G$18,I$18,$G133=$G$19,I$19,$G133=$G$20,I$20,$G133=$G$21,I$21,$G133=$G$22,I$22,$G133=$G$25,I$25,$G133=$G$26,I$26,$G133=$G$27,I$27,$G133=$G$29,I$29,$G133=$G$31,I$31,$G133=$G$32,I$32,$G133=$G$248,I$248,$G133=$G$250,I$250)</f>
        <v>2.1315789999999999</v>
      </c>
      <c r="J133" s="48" cm="1">
        <f t="array" ref="J133">_xlfn.IFS($G133=$G$5,J$5,$G133=$G$6,J$6,$G133=$G$7,J$7,$G133=$G$8,J$8,$G133=$G$9,J$9,$G133=$G$10,J$10,$G133=$G$11,J$11,$G133=$G$12,J$12,$G133=$G$13,J$13,$G133=$G$15,J$15,$G133=$G$16,J$16,$G133=$G$17,J$17,$G133=$G$18,J$18,$G133=$G$19,J$19,$G133=$G$20,J$20,$G133=$G$21,J$21,$G133=$G$22,J$22,$G133=$G$25,J$25,$G133=$G$26,J$26,$G133=$G$27,J$27,$G133=$G$29,J$29,$G133=$G$31,J$31,$G133=$G$32,J$32,$G133=$G$248,J$248,$G133=$G$250,J$250)</f>
        <v>365</v>
      </c>
      <c r="K133" s="48" t="str" cm="1">
        <f t="array" ref="K133">_xlfn.IFS($G133=$G$5,K$5,$G133=$G$6,K$6,$G133=$G$7,K$7,$G133=$G$8,K$8,$G133=$G$9,K$9,$G133=$G$10,K$10,$G133=$G$11,K$11,$G133=$G$12,K$12,$G133=$G$13,K$13,$G133=$G$15,K$15,$G133=$G$16,K$16,$G133=$G$17,K$17,$G133=$G$18,K$18,$G133=$G$19,K$19,$G133=$G$20,K$20,$G133=$G$21,K$21,$G133=$G$22,K$22,$G133=$G$25,K$25,$G133=$G$26,K$26,$G133=$G$27,K$27,$G133=$G$29,K$29,$G133=$G$31,K$31,$G133=$G$32,K$32,$G133=$G$248,K$248,$G133=$G$250,K$250)</f>
        <v>BG sentinel + BG lure7</v>
      </c>
      <c r="L133" s="48" t="str" cm="1">
        <f t="array" ref="L133">_xlfn.IFS($G133=$G$5,L$5,$G133=$G$6,L$6,$G133=$G$7,L$7,$G133=$G$8,L$8,$G133=$G$9,L$9,$G133=$G$10,L$10,$G133=$G$11,L$11,$G133=$G$12,L$12,$G133=$G$13,L$13,$G133=$G$15,L$15,$G133=$G$16,L$16,$G133=$G$17,L$17,$G133=$G$18,L$18,$G133=$G$19,L$19,$G133=$G$20,L$20,$G133=$G$21,L$21,$G133=$G$22,L$22,$G133=$G$25,L$25,$G133=$G$26,L$26,$G133=$G$27,L$27,$G133=$G$29,L$29,$G133=$G$31,L$31,$G133=$G$32,L$32,$G133=$G$248,L$248,$G133=$G$250,L$250)</f>
        <v>Other</v>
      </c>
      <c r="M133" s="48"/>
      <c r="O133" s="45" t="str">
        <f t="shared" si="10"/>
        <v>A_SP_BCN_13_210602</v>
      </c>
      <c r="P133" s="64">
        <v>44349</v>
      </c>
      <c r="R133" s="72"/>
      <c r="S133" s="64">
        <v>44356</v>
      </c>
      <c r="U133" s="72"/>
      <c r="V133" s="54" t="s">
        <v>66</v>
      </c>
      <c r="X133" s="45">
        <f t="shared" si="5"/>
        <v>7</v>
      </c>
      <c r="Z133" s="45" t="s">
        <v>80</v>
      </c>
      <c r="AA133" s="45">
        <f t="shared" si="12"/>
        <v>1</v>
      </c>
      <c r="AB133" t="str">
        <f t="shared" si="7"/>
        <v>Adult</v>
      </c>
      <c r="AC133" s="69">
        <v>1</v>
      </c>
      <c r="AD133" s="69">
        <v>0</v>
      </c>
      <c r="AE133" s="45" t="str">
        <f t="shared" si="8"/>
        <v>Morphological</v>
      </c>
      <c r="AF133" s="56">
        <v>4</v>
      </c>
    </row>
    <row r="134" spans="1:32" ht="18" customHeight="1" x14ac:dyDescent="0.25">
      <c r="A134" s="45">
        <v>130</v>
      </c>
      <c r="B134" s="45" t="s">
        <v>60</v>
      </c>
      <c r="C134" s="45" t="s">
        <v>61</v>
      </c>
      <c r="D134" s="45" t="s">
        <v>62</v>
      </c>
      <c r="E134" s="45" t="s">
        <v>62</v>
      </c>
      <c r="F134" s="46" cm="1">
        <f t="array" ref="F134">_xlfn.IFS($G134=$G$5,F$5,$G134=$G$6,F$6,$G134=$G$7,F$7,$G134=$G$8,F$8,$G134=$G$9,F$9,$G134=$G$10,F$10,$G134=$G$11,F$11,$G134=$G$12,F$12,$G134=$G$13,F$13,$G134=$G$15,F$15,$G134=$G$16,F$16,$G134=$G$17,F$17,$G134=$G$18,F$18,$G134=$G$19,F$19,$G134=$G$20,F$20,$G134=$G$21,F$21,$G134=$G$22,F$22,$G134=$G$25,F$25,$G134=$G$26,F$26,$G134=$G$27,F$27,$G134=$G$29,F$29,$G134=$G$31,F$31,$G134=$G$32,F$32,$G134=$G$248,F$248,$G134=$G$250,F$250)</f>
        <v>8017</v>
      </c>
      <c r="G134" t="s">
        <v>86</v>
      </c>
      <c r="H134" s="67" cm="1">
        <f t="array" ref="H134">_xlfn.IFS($G134=$G$5,H$5,$G134=$G$6,H$6,$G134=$G$7,H$7,$G134=$G$8,H$8,$G134=$G$9,H$9,$G134=$G$10,H$10,$G134=$G$11,H$11,$G134=$G$12,H$12,$G134=$G$13,H$13,$G134=$G$15,H$15,$G134=$G$16,H$16,$G134=$G$17,H$17,$G134=$G$18,H$18,$G134=$G$19,H$19,$G134=$G$20,H$20,$G134=$G$21,H$21,$G134=$G$22,H$22,$G134=$G$25,H$25,$G134=$G$26,H$26,$G134=$G$27,H$27,$G134=$G$29,H$29,$G134=$G$31,H$31,$G134=$G$32,H$32,$G134=$G$248,H$248,$G134=$G$250,H$250)</f>
        <v>41.428533999999999</v>
      </c>
      <c r="I134" s="67" cm="1">
        <f t="array" ref="I134">_xlfn.IFS($G134=$G$5,I$5,$G134=$G$6,I$6,$G134=$G$7,I$7,$G134=$G$8,I$8,$G134=$G$9,I$9,$G134=$G$10,I$10,$G134=$G$11,I$11,$G134=$G$12,I$12,$G134=$G$13,I$13,$G134=$G$15,I$15,$G134=$G$16,I$16,$G134=$G$17,I$17,$G134=$G$18,I$18,$G134=$G$19,I$19,$G134=$G$20,I$20,$G134=$G$21,I$21,$G134=$G$22,I$22,$G134=$G$25,I$25,$G134=$G$26,I$26,$G134=$G$27,I$27,$G134=$G$29,I$29,$G134=$G$31,I$31,$G134=$G$32,I$32,$G134=$G$248,I$248,$G134=$G$250,I$250)</f>
        <v>2.090954</v>
      </c>
      <c r="J134" s="48" cm="1">
        <f t="array" ref="J134">_xlfn.IFS($G134=$G$5,J$5,$G134=$G$6,J$6,$G134=$G$7,J$7,$G134=$G$8,J$8,$G134=$G$9,J$9,$G134=$G$10,J$10,$G134=$G$11,J$11,$G134=$G$12,J$12,$G134=$G$13,J$13,$G134=$G$15,J$15,$G134=$G$16,J$16,$G134=$G$17,J$17,$G134=$G$18,J$18,$G134=$G$19,J$19,$G134=$G$20,J$20,$G134=$G$21,J$21,$G134=$G$22,J$22,$G134=$G$25,J$25,$G134=$G$26,J$26,$G134=$G$27,J$27,$G134=$G$29,J$29,$G134=$G$31,J$31,$G134=$G$32,J$32,$G134=$G$248,J$248,$G134=$G$250,J$250)</f>
        <v>215</v>
      </c>
      <c r="K134" s="48" t="str" cm="1">
        <f t="array" ref="K134">_xlfn.IFS($G134=$G$5,K$5,$G134=$G$6,K$6,$G134=$G$7,K$7,$G134=$G$8,K$8,$G134=$G$9,K$9,$G134=$G$10,K$10,$G134=$G$11,K$11,$G134=$G$12,K$12,$G134=$G$13,K$13,$G134=$G$15,K$15,$G134=$G$16,K$16,$G134=$G$17,K$17,$G134=$G$18,K$18,$G134=$G$19,K$19,$G134=$G$20,K$20,$G134=$G$21,K$21,$G134=$G$22,K$22,$G134=$G$25,K$25,$G134=$G$26,K$26,$G134=$G$27,K$27,$G134=$G$29,K$29,$G134=$G$31,K$31,$G134=$G$32,K$32,$G134=$G$248,K$248,$G134=$G$250,K$250)</f>
        <v>BG sentinel + BG lure7</v>
      </c>
      <c r="L134" s="48"/>
      <c r="M134" s="48"/>
      <c r="O134" s="45" t="str">
        <f t="shared" si="10"/>
        <v>A_SP_BCN_14_210602</v>
      </c>
      <c r="P134" s="64">
        <v>44349</v>
      </c>
      <c r="R134" s="72"/>
      <c r="S134" s="64">
        <v>44356</v>
      </c>
      <c r="U134" s="72"/>
      <c r="V134" s="54" t="s">
        <v>66</v>
      </c>
      <c r="W134" t="s">
        <v>106</v>
      </c>
      <c r="X134" s="45">
        <f t="shared" si="5"/>
        <v>7</v>
      </c>
      <c r="AA134" s="45">
        <f t="shared" si="12"/>
        <v>0</v>
      </c>
      <c r="AB134" t="str">
        <f t="shared" si="7"/>
        <v/>
      </c>
      <c r="AE134" s="45" t="str">
        <f t="shared" si="8"/>
        <v/>
      </c>
      <c r="AF134" s="56">
        <v>3</v>
      </c>
    </row>
    <row r="135" spans="1:32" ht="18" customHeight="1" x14ac:dyDescent="0.25">
      <c r="A135" s="45">
        <v>131</v>
      </c>
      <c r="B135" s="45" t="s">
        <v>60</v>
      </c>
      <c r="C135" s="45" t="s">
        <v>61</v>
      </c>
      <c r="D135" s="45" t="s">
        <v>62</v>
      </c>
      <c r="E135" s="45" t="s">
        <v>62</v>
      </c>
      <c r="F135" s="46" cm="1">
        <f t="array" ref="F135">_xlfn.IFS($G135=$G$5,F$5,$G135=$G$6,F$6,$G135=$G$7,F$7,$G135=$G$8,F$8,$G135=$G$9,F$9,$G135=$G$10,F$10,$G135=$G$11,F$11,$G135=$G$12,F$12,$G135=$G$13,F$13,$G135=$G$15,F$15,$G135=$G$16,F$16,$G135=$G$17,F$17,$G135=$G$18,F$18,$G135=$G$19,F$19,$G135=$G$20,F$20,$G135=$G$21,F$21,$G135=$G$22,F$22,$G135=$G$25,F$25,$G135=$G$26,F$26,$G135=$G$27,F$27,$G135=$G$29,F$29,$G135=$G$31,F$31,$G135=$G$32,F$32,$G135=$G$248,F$248,$G135=$G$250,F$250)</f>
        <v>8017</v>
      </c>
      <c r="G135" t="s">
        <v>87</v>
      </c>
      <c r="H135" s="67" cm="1">
        <f t="array" ref="H135">_xlfn.IFS($G135=$G$5,H$5,$G135=$G$6,H$6,$G135=$G$7,H$7,$G135=$G$8,H$8,$G135=$G$9,H$9,$G135=$G$10,H$10,$G135=$G$11,H$11,$G135=$G$12,H$12,$G135=$G$13,H$13,$G135=$G$15,H$15,$G135=$G$16,H$16,$G135=$G$17,H$17,$G135=$G$18,H$18,$G135=$G$19,H$19,$G135=$G$20,H$20,$G135=$G$21,H$21,$G135=$G$22,H$22,$G135=$G$25,H$25,$G135=$G$26,H$26,$G135=$G$27,H$27,$G135=$G$29,H$29,$G135=$G$31,H$31,$G135=$G$32,H$32,$G135=$G$248,H$248,$G135=$G$250,H$250)</f>
        <v>41.419471000000001</v>
      </c>
      <c r="I135" s="67" cm="1">
        <f t="array" ref="I135">_xlfn.IFS($G135=$G$5,I$5,$G135=$G$6,I$6,$G135=$G$7,I$7,$G135=$G$8,I$8,$G135=$G$9,I$9,$G135=$G$10,I$10,$G135=$G$11,I$11,$G135=$G$12,I$12,$G135=$G$13,I$13,$G135=$G$15,I$15,$G135=$G$16,I$16,$G135=$G$17,I$17,$G135=$G$18,I$18,$G135=$G$19,I$19,$G135=$G$20,I$20,$G135=$G$21,I$21,$G135=$G$22,I$22,$G135=$G$25,I$25,$G135=$G$26,I$26,$G135=$G$27,I$27,$G135=$G$29,I$29,$G135=$G$31,I$31,$G135=$G$32,I$32,$G135=$G$248,I$248,$G135=$G$250,I$250)</f>
        <v>2.1010149999999999</v>
      </c>
      <c r="J135" s="48" cm="1">
        <f t="array" ref="J135">_xlfn.IFS($G135=$G$5,J$5,$G135=$G$6,J$6,$G135=$G$7,J$7,$G135=$G$8,J$8,$G135=$G$9,J$9,$G135=$G$10,J$10,$G135=$G$11,J$11,$G135=$G$12,J$12,$G135=$G$13,J$13,$G135=$G$15,J$15,$G135=$G$16,J$16,$G135=$G$17,J$17,$G135=$G$18,J$18,$G135=$G$19,J$19,$G135=$G$20,J$20,$G135=$G$21,J$21,$G135=$G$22,J$22,$G135=$G$25,J$25,$G135=$G$26,J$26,$G135=$G$27,J$27,$G135=$G$29,J$29,$G135=$G$31,J$31,$G135=$G$32,J$32,$G135=$G$248,J$248,$G135=$G$250,J$250)</f>
        <v>284</v>
      </c>
      <c r="K135" s="48" t="str" cm="1">
        <f t="array" ref="K135">_xlfn.IFS($G135=$G$5,K$5,$G135=$G$6,K$6,$G135=$G$7,K$7,$G135=$G$8,K$8,$G135=$G$9,K$9,$G135=$G$10,K$10,$G135=$G$11,K$11,$G135=$G$12,K$12,$G135=$G$13,K$13,$G135=$G$15,K$15,$G135=$G$16,K$16,$G135=$G$17,K$17,$G135=$G$18,K$18,$G135=$G$19,K$19,$G135=$G$20,K$20,$G135=$G$21,K$21,$G135=$G$22,K$22,$G135=$G$25,K$25,$G135=$G$26,K$26,$G135=$G$27,K$27,$G135=$G$29,K$29,$G135=$G$31,K$31,$G135=$G$32,K$32,$G135=$G$248,K$248,$G135=$G$250,K$250)</f>
        <v>BG sentinel + BG lure7</v>
      </c>
      <c r="L135" s="48"/>
      <c r="M135" s="48"/>
      <c r="O135" s="45" t="str">
        <f t="shared" si="10"/>
        <v>A_SP_BCN_15_210602</v>
      </c>
      <c r="P135" s="64">
        <v>44349</v>
      </c>
      <c r="R135" s="72"/>
      <c r="S135" s="64">
        <v>44356</v>
      </c>
      <c r="U135" s="72"/>
      <c r="V135" s="54" t="s">
        <v>66</v>
      </c>
      <c r="W135" t="s">
        <v>107</v>
      </c>
      <c r="X135" s="45">
        <f t="shared" si="5"/>
        <v>7</v>
      </c>
      <c r="Z135" s="69" t="s">
        <v>69</v>
      </c>
      <c r="AA135" s="45">
        <f t="shared" si="12"/>
        <v>2</v>
      </c>
      <c r="AB135" t="str">
        <f t="shared" si="7"/>
        <v>Adult</v>
      </c>
      <c r="AC135" s="69">
        <v>2</v>
      </c>
      <c r="AD135" s="69">
        <v>0</v>
      </c>
      <c r="AE135" s="45" t="str">
        <f t="shared" si="8"/>
        <v>Morphological</v>
      </c>
      <c r="AF135" s="56">
        <v>3</v>
      </c>
    </row>
    <row r="136" spans="1:32" ht="18" customHeight="1" x14ac:dyDescent="0.25">
      <c r="A136" s="45">
        <v>132</v>
      </c>
      <c r="B136" s="45" t="s">
        <v>60</v>
      </c>
      <c r="C136" s="45" t="s">
        <v>61</v>
      </c>
      <c r="D136" s="45" t="s">
        <v>62</v>
      </c>
      <c r="E136" s="45" t="s">
        <v>62</v>
      </c>
      <c r="F136" s="46" cm="1">
        <f t="array" ref="F136">_xlfn.IFS($G136=$G$5,F$5,$G136=$G$6,F$6,$G136=$G$7,F$7,$G136=$G$8,F$8,$G136=$G$9,F$9,$G136=$G$10,F$10,$G136=$G$11,F$11,$G136=$G$12,F$12,$G136=$G$13,F$13,$G136=$G$15,F$15,$G136=$G$16,F$16,$G136=$G$17,F$17,$G136=$G$18,F$18,$G136=$G$19,F$19,$G136=$G$20,F$20,$G136=$G$21,F$21,$G136=$G$22,F$22,$G136=$G$25,F$25,$G136=$G$26,F$26,$G136=$G$27,F$27,$G136=$G$29,F$29,$G136=$G$31,F$31,$G136=$G$32,F$32,$G136=$G$248,F$248,$G136=$G$250,F$250)</f>
        <v>8017</v>
      </c>
      <c r="G136" t="s">
        <v>88</v>
      </c>
      <c r="H136" s="67" cm="1">
        <f t="array" ref="H136">_xlfn.IFS($G136=$G$5,H$5,$G136=$G$6,H$6,$G136=$G$7,H$7,$G136=$G$8,H$8,$G136=$G$9,H$9,$G136=$G$10,H$10,$G136=$G$11,H$11,$G136=$G$12,H$12,$G136=$G$13,H$13,$G136=$G$15,H$15,$G136=$G$16,H$16,$G136=$G$17,H$17,$G136=$G$18,H$18,$G136=$G$19,H$19,$G136=$G$20,H$20,$G136=$G$21,H$21,$G136=$G$22,H$22,$G136=$G$25,H$25,$G136=$G$26,H$26,$G136=$G$27,H$27,$G136=$G$29,H$29,$G136=$G$31,H$31,$G136=$G$32,H$32,$G136=$G$248,H$248,$G136=$G$250,H$250)</f>
        <v>41.398387</v>
      </c>
      <c r="I136" s="67" cm="1">
        <f t="array" ref="I136">_xlfn.IFS($G136=$G$5,I$5,$G136=$G$6,I$6,$G136=$G$7,I$7,$G136=$G$8,I$8,$G136=$G$9,I$9,$G136=$G$10,I$10,$G136=$G$11,I$11,$G136=$G$12,I$12,$G136=$G$13,I$13,$G136=$G$15,I$15,$G136=$G$16,I$16,$G136=$G$17,I$17,$G136=$G$18,I$18,$G136=$G$19,I$19,$G136=$G$20,I$20,$G136=$G$21,I$21,$G136=$G$22,I$22,$G136=$G$25,I$25,$G136=$G$26,I$26,$G136=$G$27,I$27,$G136=$G$29,I$29,$G136=$G$31,I$31,$G136=$G$32,I$32,$G136=$G$248,I$248,$G136=$G$250,I$250)</f>
        <v>2.1244429999999999</v>
      </c>
      <c r="J136" s="48" cm="1">
        <f t="array" ref="J136">_xlfn.IFS($G136=$G$5,J$5,$G136=$G$6,J$6,$G136=$G$7,J$7,$G136=$G$8,J$8,$G136=$G$9,J$9,$G136=$G$10,J$10,$G136=$G$11,J$11,$G136=$G$12,J$12,$G136=$G$13,J$13,$G136=$G$15,J$15,$G136=$G$16,J$16,$G136=$G$17,J$17,$G136=$G$18,J$18,$G136=$G$19,J$19,$G136=$G$20,J$20,$G136=$G$21,J$21,$G136=$G$22,J$22,$G136=$G$25,J$25,$G136=$G$26,J$26,$G136=$G$27,J$27,$G136=$G$29,J$29,$G136=$G$31,J$31,$G136=$G$32,J$32,$G136=$G$248,J$248,$G136=$G$250,J$250)</f>
        <v>106</v>
      </c>
      <c r="K136" s="48" t="str" cm="1">
        <f t="array" ref="K136">_xlfn.IFS($G136=$G$5,K$5,$G136=$G$6,K$6,$G136=$G$7,K$7,$G136=$G$8,K$8,$G136=$G$9,K$9,$G136=$G$10,K$10,$G136=$G$11,K$11,$G136=$G$12,K$12,$G136=$G$13,K$13,$G136=$G$15,K$15,$G136=$G$16,K$16,$G136=$G$17,K$17,$G136=$G$18,K$18,$G136=$G$19,K$19,$G136=$G$20,K$20,$G136=$G$21,K$21,$G136=$G$22,K$22,$G136=$G$25,K$25,$G136=$G$26,K$26,$G136=$G$27,K$27,$G136=$G$29,K$29,$G136=$G$31,K$31,$G136=$G$32,K$32,$G136=$G$248,K$248,$G136=$G$250,K$250)</f>
        <v>BG sentinel + BG lure7</v>
      </c>
      <c r="L136" s="48"/>
      <c r="M136" s="48"/>
      <c r="O136" s="45" t="str">
        <f t="shared" si="10"/>
        <v>A_SP_BCN_16_210602</v>
      </c>
      <c r="P136" s="64">
        <v>44349</v>
      </c>
      <c r="R136" s="72"/>
      <c r="S136" s="64">
        <v>44356</v>
      </c>
      <c r="U136" s="72"/>
      <c r="V136" s="54" t="s">
        <v>66</v>
      </c>
      <c r="X136" s="45">
        <f t="shared" si="5"/>
        <v>7</v>
      </c>
      <c r="Z136" s="69" t="s">
        <v>69</v>
      </c>
      <c r="AA136" s="45">
        <f t="shared" si="12"/>
        <v>4</v>
      </c>
      <c r="AB136" t="str">
        <f t="shared" ref="AB136:AB202" si="13">IF(AA136=0,"",IF(AA136="","",IF(AA136&gt;0,"Adult")))</f>
        <v>Adult</v>
      </c>
      <c r="AC136" s="69">
        <v>3</v>
      </c>
      <c r="AD136" s="69">
        <v>1</v>
      </c>
      <c r="AE136" s="45" t="str">
        <f t="shared" ref="AE136:AE202" si="14">IF(AA136=0,"",IF(AA136="","",IF(AA136&gt;0,"Morphological")))</f>
        <v>Morphological</v>
      </c>
      <c r="AF136" s="56">
        <v>4</v>
      </c>
    </row>
    <row r="137" spans="1:32" ht="18" customHeight="1" x14ac:dyDescent="0.25">
      <c r="A137" s="45">
        <v>133</v>
      </c>
      <c r="B137" s="45" t="s">
        <v>60</v>
      </c>
      <c r="C137" s="45" t="s">
        <v>61</v>
      </c>
      <c r="D137" s="45" t="s">
        <v>62</v>
      </c>
      <c r="E137" s="45" t="s">
        <v>62</v>
      </c>
      <c r="F137" s="46" cm="1">
        <f t="array" ref="F137">_xlfn.IFS($G137=$G$5,F$5,$G137=$G$6,F$6,$G137=$G$7,F$7,$G137=$G$8,F$8,$G137=$G$9,F$9,$G137=$G$10,F$10,$G137=$G$11,F$11,$G137=$G$12,F$12,$G137=$G$13,F$13,$G137=$G$15,F$15,$G137=$G$16,F$16,$G137=$G$17,F$17,$G137=$G$18,F$18,$G137=$G$19,F$19,$G137=$G$20,F$20,$G137=$G$21,F$21,$G137=$G$22,F$22,$G137=$G$25,F$25,$G137=$G$26,F$26,$G137=$G$27,F$27,$G137=$G$29,F$29,$G137=$G$31,F$31,$G137=$G$32,F$32,$G137=$G$248,F$248,$G137=$G$250,F$250)</f>
        <v>8017</v>
      </c>
      <c r="G137" t="s">
        <v>88</v>
      </c>
      <c r="H137" s="67" cm="1">
        <f t="array" ref="H137">_xlfn.IFS($G137=$G$5,H$5,$G137=$G$6,H$6,$G137=$G$7,H$7,$G137=$G$8,H$8,$G137=$G$9,H$9,$G137=$G$10,H$10,$G137=$G$11,H$11,$G137=$G$12,H$12,$G137=$G$13,H$13,$G137=$G$15,H$15,$G137=$G$16,H$16,$G137=$G$17,H$17,$G137=$G$18,H$18,$G137=$G$19,H$19,$G137=$G$20,H$20,$G137=$G$21,H$21,$G137=$G$22,H$22,$G137=$G$25,H$25,$G137=$G$26,H$26,$G137=$G$27,H$27,$G137=$G$29,H$29,$G137=$G$31,H$31,$G137=$G$32,H$32,$G137=$G$248,H$248,$G137=$G$250,H$250)</f>
        <v>41.398387</v>
      </c>
      <c r="I137" s="67" cm="1">
        <f t="array" ref="I137">_xlfn.IFS($G137=$G$5,I$5,$G137=$G$6,I$6,$G137=$G$7,I$7,$G137=$G$8,I$8,$G137=$G$9,I$9,$G137=$G$10,I$10,$G137=$G$11,I$11,$G137=$G$12,I$12,$G137=$G$13,I$13,$G137=$G$15,I$15,$G137=$G$16,I$16,$G137=$G$17,I$17,$G137=$G$18,I$18,$G137=$G$19,I$19,$G137=$G$20,I$20,$G137=$G$21,I$21,$G137=$G$22,I$22,$G137=$G$25,I$25,$G137=$G$26,I$26,$G137=$G$27,I$27,$G137=$G$29,I$29,$G137=$G$31,I$31,$G137=$G$32,I$32,$G137=$G$248,I$248,$G137=$G$250,I$250)</f>
        <v>2.1244429999999999</v>
      </c>
      <c r="J137" s="48" cm="1">
        <f t="array" ref="J137">_xlfn.IFS($G137=$G$5,J$5,$G137=$G$6,J$6,$G137=$G$7,J$7,$G137=$G$8,J$8,$G137=$G$9,J$9,$G137=$G$10,J$10,$G137=$G$11,J$11,$G137=$G$12,J$12,$G137=$G$13,J$13,$G137=$G$15,J$15,$G137=$G$16,J$16,$G137=$G$17,J$17,$G137=$G$18,J$18,$G137=$G$19,J$19,$G137=$G$20,J$20,$G137=$G$21,J$21,$G137=$G$22,J$22,$G137=$G$25,J$25,$G137=$G$26,J$26,$G137=$G$27,J$27,$G137=$G$29,J$29,$G137=$G$31,J$31,$G137=$G$32,J$32,$G137=$G$248,J$248,$G137=$G$250,J$250)</f>
        <v>106</v>
      </c>
      <c r="K137" s="48" t="str" cm="1">
        <f t="array" ref="K137">_xlfn.IFS($G137=$G$5,K$5,$G137=$G$6,K$6,$G137=$G$7,K$7,$G137=$G$8,K$8,$G137=$G$9,K$9,$G137=$G$10,K$10,$G137=$G$11,K$11,$G137=$G$12,K$12,$G137=$G$13,K$13,$G137=$G$15,K$15,$G137=$G$16,K$16,$G137=$G$17,K$17,$G137=$G$18,K$18,$G137=$G$19,K$19,$G137=$G$20,K$20,$G137=$G$21,K$21,$G137=$G$22,K$22,$G137=$G$25,K$25,$G137=$G$26,K$26,$G137=$G$27,K$27,$G137=$G$29,K$29,$G137=$G$31,K$31,$G137=$G$32,K$32,$G137=$G$248,K$248,$G137=$G$250,K$250)</f>
        <v>BG sentinel + BG lure7</v>
      </c>
      <c r="L137" s="48"/>
      <c r="M137" s="48"/>
      <c r="O137" s="45" t="str">
        <f t="shared" si="10"/>
        <v>A_SP_BCN_16_210602</v>
      </c>
      <c r="P137" s="64">
        <v>44349</v>
      </c>
      <c r="R137" s="72"/>
      <c r="S137" s="64">
        <v>44356</v>
      </c>
      <c r="U137" s="72"/>
      <c r="V137" s="54" t="s">
        <v>66</v>
      </c>
      <c r="X137" s="45">
        <f t="shared" si="5"/>
        <v>7</v>
      </c>
      <c r="Z137" s="45" t="s">
        <v>70</v>
      </c>
      <c r="AA137" s="45">
        <f t="shared" si="12"/>
        <v>14</v>
      </c>
      <c r="AB137" t="str">
        <f t="shared" si="13"/>
        <v>Adult</v>
      </c>
      <c r="AC137" s="69">
        <v>7</v>
      </c>
      <c r="AD137" s="69">
        <v>7</v>
      </c>
      <c r="AE137" s="45" t="str">
        <f t="shared" si="14"/>
        <v>Morphological</v>
      </c>
      <c r="AF137" s="56">
        <v>4</v>
      </c>
    </row>
    <row r="138" spans="1:32" ht="18" customHeight="1" x14ac:dyDescent="0.25">
      <c r="A138" s="45">
        <v>134</v>
      </c>
      <c r="B138" s="45" t="s">
        <v>60</v>
      </c>
      <c r="C138" s="45" t="s">
        <v>61</v>
      </c>
      <c r="D138" s="45" t="s">
        <v>62</v>
      </c>
      <c r="E138" s="45" t="s">
        <v>62</v>
      </c>
      <c r="F138" s="46" cm="1">
        <f t="array" ref="F138">_xlfn.IFS($G138=$G$5,F$5,$G138=$G$6,F$6,$G138=$G$7,F$7,$G138=$G$8,F$8,$G138=$G$9,F$9,$G138=$G$10,F$10,$G138=$G$11,F$11,$G138=$G$12,F$12,$G138=$G$13,F$13,$G138=$G$15,F$15,$G138=$G$16,F$16,$G138=$G$17,F$17,$G138=$G$18,F$18,$G138=$G$19,F$19,$G138=$G$20,F$20,$G138=$G$21,F$21,$G138=$G$22,F$22,$G138=$G$25,F$25,$G138=$G$26,F$26,$G138=$G$27,F$27,$G138=$G$29,F$29,$G138=$G$31,F$31,$G138=$G$32,F$32,$G138=$G$248,F$248,$G138=$G$250,F$250)</f>
        <v>8017</v>
      </c>
      <c r="G138" t="s">
        <v>88</v>
      </c>
      <c r="H138" s="67" cm="1">
        <f t="array" ref="H138">_xlfn.IFS($G138=$G$5,H$5,$G138=$G$6,H$6,$G138=$G$7,H$7,$G138=$G$8,H$8,$G138=$G$9,H$9,$G138=$G$10,H$10,$G138=$G$11,H$11,$G138=$G$12,H$12,$G138=$G$13,H$13,$G138=$G$15,H$15,$G138=$G$16,H$16,$G138=$G$17,H$17,$G138=$G$18,H$18,$G138=$G$19,H$19,$G138=$G$20,H$20,$G138=$G$21,H$21,$G138=$G$22,H$22,$G138=$G$25,H$25,$G138=$G$26,H$26,$G138=$G$27,H$27,$G138=$G$29,H$29,$G138=$G$31,H$31,$G138=$G$32,H$32,$G138=$G$248,H$248,$G138=$G$250,H$250)</f>
        <v>41.398387</v>
      </c>
      <c r="I138" s="67" cm="1">
        <f t="array" ref="I138">_xlfn.IFS($G138=$G$5,I$5,$G138=$G$6,I$6,$G138=$G$7,I$7,$G138=$G$8,I$8,$G138=$G$9,I$9,$G138=$G$10,I$10,$G138=$G$11,I$11,$G138=$G$12,I$12,$G138=$G$13,I$13,$G138=$G$15,I$15,$G138=$G$16,I$16,$G138=$G$17,I$17,$G138=$G$18,I$18,$G138=$G$19,I$19,$G138=$G$20,I$20,$G138=$G$21,I$21,$G138=$G$22,I$22,$G138=$G$25,I$25,$G138=$G$26,I$26,$G138=$G$27,I$27,$G138=$G$29,I$29,$G138=$G$31,I$31,$G138=$G$32,I$32,$G138=$G$248,I$248,$G138=$G$250,I$250)</f>
        <v>2.1244429999999999</v>
      </c>
      <c r="J138" s="48" cm="1">
        <f t="array" ref="J138">_xlfn.IFS($G138=$G$5,J$5,$G138=$G$6,J$6,$G138=$G$7,J$7,$G138=$G$8,J$8,$G138=$G$9,J$9,$G138=$G$10,J$10,$G138=$G$11,J$11,$G138=$G$12,J$12,$G138=$G$13,J$13,$G138=$G$15,J$15,$G138=$G$16,J$16,$G138=$G$17,J$17,$G138=$G$18,J$18,$G138=$G$19,J$19,$G138=$G$20,J$20,$G138=$G$21,J$21,$G138=$G$22,J$22,$G138=$G$25,J$25,$G138=$G$26,J$26,$G138=$G$27,J$27,$G138=$G$29,J$29,$G138=$G$31,J$31,$G138=$G$32,J$32,$G138=$G$248,J$248,$G138=$G$250,J$250)</f>
        <v>106</v>
      </c>
      <c r="K138" s="48" t="str" cm="1">
        <f t="array" ref="K138">_xlfn.IFS($G138=$G$5,K$5,$G138=$G$6,K$6,$G138=$G$7,K$7,$G138=$G$8,K$8,$G138=$G$9,K$9,$G138=$G$10,K$10,$G138=$G$11,K$11,$G138=$G$12,K$12,$G138=$G$13,K$13,$G138=$G$15,K$15,$G138=$G$16,K$16,$G138=$G$17,K$17,$G138=$G$18,K$18,$G138=$G$19,K$19,$G138=$G$20,K$20,$G138=$G$21,K$21,$G138=$G$22,K$22,$G138=$G$25,K$25,$G138=$G$26,K$26,$G138=$G$27,K$27,$G138=$G$29,K$29,$G138=$G$31,K$31,$G138=$G$32,K$32,$G138=$G$248,K$248,$G138=$G$250,K$250)</f>
        <v>BG sentinel + BG lure7</v>
      </c>
      <c r="L138" s="48"/>
      <c r="M138" s="48"/>
      <c r="O138" s="45" t="str">
        <f t="shared" si="10"/>
        <v>A_SP_BCN_16_210602</v>
      </c>
      <c r="P138" s="64">
        <v>44349</v>
      </c>
      <c r="R138" s="72"/>
      <c r="S138" s="64">
        <v>44356</v>
      </c>
      <c r="U138" s="72"/>
      <c r="V138" s="54" t="s">
        <v>66</v>
      </c>
      <c r="X138" s="45">
        <f t="shared" si="5"/>
        <v>7</v>
      </c>
      <c r="Z138" s="45" t="s">
        <v>80</v>
      </c>
      <c r="AA138" s="45">
        <f t="shared" si="12"/>
        <v>6</v>
      </c>
      <c r="AB138" t="str">
        <f t="shared" si="13"/>
        <v>Adult</v>
      </c>
      <c r="AC138" s="69">
        <v>3</v>
      </c>
      <c r="AD138" s="69">
        <v>3</v>
      </c>
      <c r="AE138" s="45" t="str">
        <f t="shared" si="14"/>
        <v>Morphological</v>
      </c>
      <c r="AF138" s="56">
        <v>4</v>
      </c>
    </row>
    <row r="139" spans="1:32" ht="18" customHeight="1" x14ac:dyDescent="0.25">
      <c r="A139" s="45">
        <v>135</v>
      </c>
      <c r="B139" s="45" t="s">
        <v>60</v>
      </c>
      <c r="C139" s="45" t="s">
        <v>61</v>
      </c>
      <c r="D139" s="45" t="s">
        <v>62</v>
      </c>
      <c r="E139" s="45" t="s">
        <v>62</v>
      </c>
      <c r="F139" s="46" cm="1">
        <f t="array" ref="F139">_xlfn.IFS($G139=$G$5,F$5,$G139=$G$6,F$6,$G139=$G$7,F$7,$G139=$G$8,F$8,$G139=$G$9,F$9,$G139=$G$10,F$10,$G139=$G$11,F$11,$G139=$G$12,F$12,$G139=$G$13,F$13,$G139=$G$15,F$15,$G139=$G$16,F$16,$G139=$G$17,F$17,$G139=$G$18,F$18,$G139=$G$19,F$19,$G139=$G$20,F$20,$G139=$G$21,F$21,$G139=$G$22,F$22,$G139=$G$25,F$25,$G139=$G$26,F$26,$G139=$G$27,F$27,$G139=$G$29,F$29,$G139=$G$31,F$31,$G139=$G$32,F$32,$G139=$G$248,F$248,$G139=$G$250,F$250)</f>
        <v>8023</v>
      </c>
      <c r="G139" s="45" t="s">
        <v>89</v>
      </c>
      <c r="H139" s="67" cm="1">
        <f t="array" ref="H139">_xlfn.IFS($G139=$G$5,H$5,$G139=$G$6,H$6,$G139=$G$7,H$7,$G139=$G$8,H$8,$G139=$G$9,H$9,$G139=$G$10,H$10,$G139=$G$11,H$11,$G139=$G$12,H$12,$G139=$G$13,H$13,$G139=$G$15,H$15,$G139=$G$16,H$16,$G139=$G$17,H$17,$G139=$G$18,H$18,$G139=$G$19,H$19,$G139=$G$20,H$20,$G139=$G$21,H$21,$G139=$G$22,H$22,$G139=$G$25,H$25,$G139=$G$26,H$26,$G139=$G$27,H$27,$G139=$G$29,H$29,$G139=$G$31,H$31,$G139=$G$32,H$32,$G139=$G$248,H$248,$G139=$G$250,H$250)</f>
        <v>41.417256000000002</v>
      </c>
      <c r="I139" s="67" cm="1">
        <f t="array" ref="I139">_xlfn.IFS($G139=$G$5,I$5,$G139=$G$6,I$6,$G139=$G$7,I$7,$G139=$G$8,I$8,$G139=$G$9,I$9,$G139=$G$10,I$10,$G139=$G$11,I$11,$G139=$G$12,I$12,$G139=$G$13,I$13,$G139=$G$15,I$15,$G139=$G$16,I$16,$G139=$G$17,I$17,$G139=$G$18,I$18,$G139=$G$19,I$19,$G139=$G$20,I$20,$G139=$G$21,I$21,$G139=$G$22,I$22,$G139=$G$25,I$25,$G139=$G$26,I$26,$G139=$G$27,I$27,$G139=$G$29,I$29,$G139=$G$31,I$31,$G139=$G$32,I$32,$G139=$G$248,I$248,$G139=$G$250,I$250)</f>
        <v>2.1455709999999999</v>
      </c>
      <c r="J139" s="48" cm="1">
        <f t="array" ref="J139">_xlfn.IFS($G139=$G$5,J$5,$G139=$G$6,J$6,$G139=$G$7,J$7,$G139=$G$8,J$8,$G139=$G$9,J$9,$G139=$G$10,J$10,$G139=$G$11,J$11,$G139=$G$12,J$12,$G139=$G$13,J$13,$G139=$G$15,J$15,$G139=$G$16,J$16,$G139=$G$17,J$17,$G139=$G$18,J$18,$G139=$G$19,J$19,$G139=$G$20,J$20,$G139=$G$21,J$21,$G139=$G$22,J$22,$G139=$G$25,J$25,$G139=$G$26,J$26,$G139=$G$27,J$27,$G139=$G$29,J$29,$G139=$G$31,J$31,$G139=$G$32,J$32,$G139=$G$248,J$248,$G139=$G$250,J$250)</f>
        <v>186</v>
      </c>
      <c r="K139" s="48" t="str" cm="1">
        <f t="array" ref="K139">_xlfn.IFS($G139=$G$5,K$5,$G139=$G$6,K$6,$G139=$G$7,K$7,$G139=$G$8,K$8,$G139=$G$9,K$9,$G139=$G$10,K$10,$G139=$G$11,K$11,$G139=$G$12,K$12,$G139=$G$13,K$13,$G139=$G$15,K$15,$G139=$G$16,K$16,$G139=$G$17,K$17,$G139=$G$18,K$18,$G139=$G$19,K$19,$G139=$G$20,K$20,$G139=$G$21,K$21,$G139=$G$22,K$22,$G139=$G$25,K$25,$G139=$G$26,K$26,$G139=$G$27,K$27,$G139=$G$29,K$29,$G139=$G$31,K$31,$G139=$G$32,K$32,$G139=$G$248,K$248,$G139=$G$250,K$250)</f>
        <v>BG sentinel + BG lure7</v>
      </c>
      <c r="L139" s="48"/>
      <c r="M139" s="48"/>
      <c r="O139" s="45" t="str">
        <f t="shared" si="10"/>
        <v>A_SP_BCN_17_210602</v>
      </c>
      <c r="P139" s="64">
        <v>44349</v>
      </c>
      <c r="R139" s="72"/>
      <c r="S139" s="64">
        <v>44356</v>
      </c>
      <c r="U139" s="72"/>
      <c r="V139" s="54" t="s">
        <v>66</v>
      </c>
      <c r="X139" s="45">
        <f t="shared" si="5"/>
        <v>7</v>
      </c>
      <c r="Z139" s="69" t="s">
        <v>69</v>
      </c>
      <c r="AA139" s="45">
        <f t="shared" si="12"/>
        <v>3</v>
      </c>
      <c r="AB139" t="str">
        <f t="shared" si="13"/>
        <v>Adult</v>
      </c>
      <c r="AC139" s="69">
        <v>1</v>
      </c>
      <c r="AD139" s="69">
        <v>2</v>
      </c>
      <c r="AE139" s="45" t="str">
        <f t="shared" si="14"/>
        <v>Morphological</v>
      </c>
      <c r="AF139" s="56">
        <v>4</v>
      </c>
    </row>
    <row r="140" spans="1:32" ht="18" customHeight="1" x14ac:dyDescent="0.25">
      <c r="A140" s="45">
        <v>136</v>
      </c>
      <c r="B140" s="45" t="s">
        <v>60</v>
      </c>
      <c r="C140" s="45" t="s">
        <v>61</v>
      </c>
      <c r="D140" s="45" t="s">
        <v>62</v>
      </c>
      <c r="E140" s="45" t="s">
        <v>62</v>
      </c>
      <c r="F140" s="46" cm="1">
        <f t="array" ref="F140">_xlfn.IFS($G140=$G$5,F$5,$G140=$G$6,F$6,$G140=$G$7,F$7,$G140=$G$8,F$8,$G140=$G$9,F$9,$G140=$G$10,F$10,$G140=$G$11,F$11,$G140=$G$12,F$12,$G140=$G$13,F$13,$G140=$G$15,F$15,$G140=$G$16,F$16,$G140=$G$17,F$17,$G140=$G$18,F$18,$G140=$G$19,F$19,$G140=$G$20,F$20,$G140=$G$21,F$21,$G140=$G$22,F$22,$G140=$G$25,F$25,$G140=$G$26,F$26,$G140=$G$27,F$27,$G140=$G$29,F$29,$G140=$G$31,F$31,$G140=$G$32,F$32,$G140=$G$248,F$248,$G140=$G$250,F$250)</f>
        <v>8023</v>
      </c>
      <c r="G140" s="45" t="s">
        <v>89</v>
      </c>
      <c r="H140" s="67" cm="1">
        <f t="array" ref="H140">_xlfn.IFS($G140=$G$5,H$5,$G140=$G$6,H$6,$G140=$G$7,H$7,$G140=$G$8,H$8,$G140=$G$9,H$9,$G140=$G$10,H$10,$G140=$G$11,H$11,$G140=$G$12,H$12,$G140=$G$13,H$13,$G140=$G$15,H$15,$G140=$G$16,H$16,$G140=$G$17,H$17,$G140=$G$18,H$18,$G140=$G$19,H$19,$G140=$G$20,H$20,$G140=$G$21,H$21,$G140=$G$22,H$22,$G140=$G$25,H$25,$G140=$G$26,H$26,$G140=$G$27,H$27,$G140=$G$29,H$29,$G140=$G$31,H$31,$G140=$G$32,H$32,$G140=$G$248,H$248,$G140=$G$250,H$250)</f>
        <v>41.417256000000002</v>
      </c>
      <c r="I140" s="67" cm="1">
        <f t="array" ref="I140">_xlfn.IFS($G140=$G$5,I$5,$G140=$G$6,I$6,$G140=$G$7,I$7,$G140=$G$8,I$8,$G140=$G$9,I$9,$G140=$G$10,I$10,$G140=$G$11,I$11,$G140=$G$12,I$12,$G140=$G$13,I$13,$G140=$G$15,I$15,$G140=$G$16,I$16,$G140=$G$17,I$17,$G140=$G$18,I$18,$G140=$G$19,I$19,$G140=$G$20,I$20,$G140=$G$21,I$21,$G140=$G$22,I$22,$G140=$G$25,I$25,$G140=$G$26,I$26,$G140=$G$27,I$27,$G140=$G$29,I$29,$G140=$G$31,I$31,$G140=$G$32,I$32,$G140=$G$248,I$248,$G140=$G$250,I$250)</f>
        <v>2.1455709999999999</v>
      </c>
      <c r="J140" s="48" cm="1">
        <f t="array" ref="J140">_xlfn.IFS($G140=$G$5,J$5,$G140=$G$6,J$6,$G140=$G$7,J$7,$G140=$G$8,J$8,$G140=$G$9,J$9,$G140=$G$10,J$10,$G140=$G$11,J$11,$G140=$G$12,J$12,$G140=$G$13,J$13,$G140=$G$15,J$15,$G140=$G$16,J$16,$G140=$G$17,J$17,$G140=$G$18,J$18,$G140=$G$19,J$19,$G140=$G$20,J$20,$G140=$G$21,J$21,$G140=$G$22,J$22,$G140=$G$25,J$25,$G140=$G$26,J$26,$G140=$G$27,J$27,$G140=$G$29,J$29,$G140=$G$31,J$31,$G140=$G$32,J$32,$G140=$G$248,J$248,$G140=$G$250,J$250)</f>
        <v>186</v>
      </c>
      <c r="K140" s="48" t="str" cm="1">
        <f t="array" ref="K140">_xlfn.IFS($G140=$G$5,K$5,$G140=$G$6,K$6,$G140=$G$7,K$7,$G140=$G$8,K$8,$G140=$G$9,K$9,$G140=$G$10,K$10,$G140=$G$11,K$11,$G140=$G$12,K$12,$G140=$G$13,K$13,$G140=$G$15,K$15,$G140=$G$16,K$16,$G140=$G$17,K$17,$G140=$G$18,K$18,$G140=$G$19,K$19,$G140=$G$20,K$20,$G140=$G$21,K$21,$G140=$G$22,K$22,$G140=$G$25,K$25,$G140=$G$26,K$26,$G140=$G$27,K$27,$G140=$G$29,K$29,$G140=$G$31,K$31,$G140=$G$32,K$32,$G140=$G$248,K$248,$G140=$G$250,K$250)</f>
        <v>BG sentinel + BG lure7</v>
      </c>
      <c r="L140" s="48"/>
      <c r="M140" s="48"/>
      <c r="O140" s="45" t="str">
        <f t="shared" si="10"/>
        <v>A_SP_BCN_17_210602</v>
      </c>
      <c r="P140" s="64">
        <v>44349</v>
      </c>
      <c r="R140" s="72"/>
      <c r="S140" s="64">
        <v>44356</v>
      </c>
      <c r="U140" s="72"/>
      <c r="V140" s="54" t="s">
        <v>66</v>
      </c>
      <c r="X140" s="45">
        <f t="shared" si="5"/>
        <v>7</v>
      </c>
      <c r="Z140" s="45" t="s">
        <v>70</v>
      </c>
      <c r="AA140" s="45">
        <f t="shared" si="12"/>
        <v>1</v>
      </c>
      <c r="AB140" t="str">
        <f t="shared" si="13"/>
        <v>Adult</v>
      </c>
      <c r="AC140" s="69">
        <v>1</v>
      </c>
      <c r="AD140" s="69">
        <v>0</v>
      </c>
      <c r="AE140" s="45" t="str">
        <f t="shared" si="14"/>
        <v>Morphological</v>
      </c>
      <c r="AF140" s="56">
        <v>4</v>
      </c>
    </row>
    <row r="141" spans="1:32" ht="18" customHeight="1" x14ac:dyDescent="0.25">
      <c r="A141" s="45">
        <v>137</v>
      </c>
      <c r="B141" s="45" t="s">
        <v>60</v>
      </c>
      <c r="C141" s="45" t="s">
        <v>61</v>
      </c>
      <c r="D141" s="45" t="s">
        <v>62</v>
      </c>
      <c r="E141" s="45" t="s">
        <v>62</v>
      </c>
      <c r="F141" s="46" cm="1">
        <f t="array" ref="F141">_xlfn.IFS($G141=$G$5,F$5,$G141=$G$6,F$6,$G141=$G$7,F$7,$G141=$G$8,F$8,$G141=$G$9,F$9,$G141=$G$10,F$10,$G141=$G$11,F$11,$G141=$G$12,F$12,$G141=$G$13,F$13,$G141=$G$15,F$15,$G141=$G$16,F$16,$G141=$G$17,F$17,$G141=$G$18,F$18,$G141=$G$19,F$19,$G141=$G$20,F$20,$G141=$G$21,F$21,$G141=$G$22,F$22,$G141=$G$25,F$25,$G141=$G$26,F$26,$G141=$G$27,F$27,$G141=$G$29,F$29,$G141=$G$31,F$31,$G141=$G$32,F$32,$G141=$G$248,F$248,$G141=$G$250,F$250)</f>
        <v>8031</v>
      </c>
      <c r="G141" s="45" t="s">
        <v>92</v>
      </c>
      <c r="H141" s="67" cm="1">
        <f t="array" ref="H141">_xlfn.IFS($G141=$G$5,H$5,$G141=$G$6,H$6,$G141=$G$7,H$7,$G141=$G$8,H$8,$G141=$G$9,H$9,$G141=$G$10,H$10,$G141=$G$11,H$11,$G141=$G$12,H$12,$G141=$G$13,H$13,$G141=$G$15,H$15,$G141=$G$16,H$16,$G141=$G$17,H$17,$G141=$G$18,H$18,$G141=$G$19,H$19,$G141=$G$20,H$20,$G141=$G$21,H$21,$G141=$G$22,H$22,$G141=$G$25,H$25,$G141=$G$26,H$26,$G141=$G$27,H$27,$G141=$G$29,H$29,$G141=$G$31,H$31,$G141=$G$32,H$32,$G141=$G$248,H$248,$G141=$G$250,H$250)</f>
        <v>41.433618000000003</v>
      </c>
      <c r="I141" s="67" cm="1">
        <f t="array" ref="I141">_xlfn.IFS($G141=$G$5,I$5,$G141=$G$6,I$6,$G141=$G$7,I$7,$G141=$G$8,I$8,$G141=$G$9,I$9,$G141=$G$10,I$10,$G141=$G$11,I$11,$G141=$G$12,I$12,$G141=$G$13,I$13,$G141=$G$15,I$15,$G141=$G$16,I$16,$G141=$G$17,I$17,$G141=$G$18,I$18,$G141=$G$19,I$19,$G141=$G$20,I$20,$G141=$G$21,I$21,$G141=$G$22,I$22,$G141=$G$25,I$25,$G141=$G$26,I$26,$G141=$G$27,I$27,$G141=$G$29,I$29,$G141=$G$31,I$31,$G141=$G$32,I$32,$G141=$G$248,I$248,$G141=$G$250,I$250)</f>
        <v>2.1677469999999999</v>
      </c>
      <c r="J141" s="48" cm="1">
        <f t="array" ref="J141">_xlfn.IFS($G141=$G$5,J$5,$G141=$G$6,J$6,$G141=$G$7,J$7,$G141=$G$8,J$8,$G141=$G$9,J$9,$G141=$G$10,J$10,$G141=$G$11,J$11,$G141=$G$12,J$12,$G141=$G$13,J$13,$G141=$G$15,J$15,$G141=$G$16,J$16,$G141=$G$17,J$17,$G141=$G$18,J$18,$G141=$G$19,J$19,$G141=$G$20,J$20,$G141=$G$21,J$21,$G141=$G$22,J$22,$G141=$G$25,J$25,$G141=$G$26,J$26,$G141=$G$27,J$27,$G141=$G$29,J$29,$G141=$G$31,J$31,$G141=$G$32,J$32,$G141=$G$248,J$248,$G141=$G$250,J$250)</f>
        <v>96.85</v>
      </c>
      <c r="K141" s="48" t="str" cm="1">
        <f t="array" ref="K141">_xlfn.IFS($G141=$G$5,K$5,$G141=$G$6,K$6,$G141=$G$7,K$7,$G141=$G$8,K$8,$G141=$G$9,K$9,$G141=$G$10,K$10,$G141=$G$11,K$11,$G141=$G$12,K$12,$G141=$G$13,K$13,$G141=$G$15,K$15,$G141=$G$16,K$16,$G141=$G$17,K$17,$G141=$G$18,K$18,$G141=$G$19,K$19,$G141=$G$20,K$20,$G141=$G$21,K$21,$G141=$G$22,K$22,$G141=$G$25,K$25,$G141=$G$26,K$26,$G141=$G$27,K$27,$G141=$G$29,K$29,$G141=$G$31,K$31,$G141=$G$32,K$32,$G141=$G$248,K$248,$G141=$G$250,K$250)</f>
        <v>BG sentinel + BG lure7</v>
      </c>
      <c r="L141" s="48"/>
      <c r="M141" s="48"/>
      <c r="O141" s="45" t="str">
        <f t="shared" si="10"/>
        <v>A_SP_BCN_18_210602</v>
      </c>
      <c r="P141" s="64">
        <v>44349</v>
      </c>
      <c r="R141" s="72"/>
      <c r="S141" s="64">
        <v>44356</v>
      </c>
      <c r="U141" s="72"/>
      <c r="V141" s="54" t="s">
        <v>66</v>
      </c>
      <c r="X141" s="45">
        <f t="shared" si="5"/>
        <v>7</v>
      </c>
      <c r="Z141" s="69" t="s">
        <v>69</v>
      </c>
      <c r="AA141" s="45">
        <f t="shared" si="12"/>
        <v>1</v>
      </c>
      <c r="AB141" t="str">
        <f t="shared" si="13"/>
        <v>Adult</v>
      </c>
      <c r="AC141" s="69">
        <v>1</v>
      </c>
      <c r="AD141" s="69">
        <v>0</v>
      </c>
      <c r="AE141" s="45" t="str">
        <f t="shared" si="14"/>
        <v>Morphological</v>
      </c>
      <c r="AF141" s="56">
        <v>4</v>
      </c>
    </row>
    <row r="142" spans="1:32" ht="18" customHeight="1" x14ac:dyDescent="0.25">
      <c r="A142" s="45">
        <v>138</v>
      </c>
      <c r="B142" s="45" t="s">
        <v>60</v>
      </c>
      <c r="C142" s="45" t="s">
        <v>61</v>
      </c>
      <c r="D142" s="45" t="s">
        <v>62</v>
      </c>
      <c r="E142" s="45" t="s">
        <v>62</v>
      </c>
      <c r="F142" s="46" cm="1">
        <f t="array" ref="F142">_xlfn.IFS($G142=$G$5,F$5,$G142=$G$6,F$6,$G142=$G$7,F$7,$G142=$G$8,F$8,$G142=$G$9,F$9,$G142=$G$10,F$10,$G142=$G$11,F$11,$G142=$G$12,F$12,$G142=$G$13,F$13,$G142=$G$15,F$15,$G142=$G$16,F$16,$G142=$G$17,F$17,$G142=$G$18,F$18,$G142=$G$19,F$19,$G142=$G$20,F$20,$G142=$G$21,F$21,$G142=$G$22,F$22,$G142=$G$25,F$25,$G142=$G$26,F$26,$G142=$G$27,F$27,$G142=$G$29,F$29,$G142=$G$31,F$31,$G142=$G$32,F$32,$G142=$G$248,F$248,$G142=$G$250,F$250)</f>
        <v>8031</v>
      </c>
      <c r="G142" s="45" t="s">
        <v>92</v>
      </c>
      <c r="H142" s="67" cm="1">
        <f t="array" ref="H142">_xlfn.IFS($G142=$G$5,H$5,$G142=$G$6,H$6,$G142=$G$7,H$7,$G142=$G$8,H$8,$G142=$G$9,H$9,$G142=$G$10,H$10,$G142=$G$11,H$11,$G142=$G$12,H$12,$G142=$G$13,H$13,$G142=$G$15,H$15,$G142=$G$16,H$16,$G142=$G$17,H$17,$G142=$G$18,H$18,$G142=$G$19,H$19,$G142=$G$20,H$20,$G142=$G$21,H$21,$G142=$G$22,H$22,$G142=$G$25,H$25,$G142=$G$26,H$26,$G142=$G$27,H$27,$G142=$G$29,H$29,$G142=$G$31,H$31,$G142=$G$32,H$32,$G142=$G$248,H$248,$G142=$G$250,H$250)</f>
        <v>41.433618000000003</v>
      </c>
      <c r="I142" s="67" cm="1">
        <f t="array" ref="I142">_xlfn.IFS($G142=$G$5,I$5,$G142=$G$6,I$6,$G142=$G$7,I$7,$G142=$G$8,I$8,$G142=$G$9,I$9,$G142=$G$10,I$10,$G142=$G$11,I$11,$G142=$G$12,I$12,$G142=$G$13,I$13,$G142=$G$15,I$15,$G142=$G$16,I$16,$G142=$G$17,I$17,$G142=$G$18,I$18,$G142=$G$19,I$19,$G142=$G$20,I$20,$G142=$G$21,I$21,$G142=$G$22,I$22,$G142=$G$25,I$25,$G142=$G$26,I$26,$G142=$G$27,I$27,$G142=$G$29,I$29,$G142=$G$31,I$31,$G142=$G$32,I$32,$G142=$G$248,I$248,$G142=$G$250,I$250)</f>
        <v>2.1677469999999999</v>
      </c>
      <c r="J142" s="48" cm="1">
        <f t="array" ref="J142">_xlfn.IFS($G142=$G$5,J$5,$G142=$G$6,J$6,$G142=$G$7,J$7,$G142=$G$8,J$8,$G142=$G$9,J$9,$G142=$G$10,J$10,$G142=$G$11,J$11,$G142=$G$12,J$12,$G142=$G$13,J$13,$G142=$G$15,J$15,$G142=$G$16,J$16,$G142=$G$17,J$17,$G142=$G$18,J$18,$G142=$G$19,J$19,$G142=$G$20,J$20,$G142=$G$21,J$21,$G142=$G$22,J$22,$G142=$G$25,J$25,$G142=$G$26,J$26,$G142=$G$27,J$27,$G142=$G$29,J$29,$G142=$G$31,J$31,$G142=$G$32,J$32,$G142=$G$248,J$248,$G142=$G$250,J$250)</f>
        <v>96.85</v>
      </c>
      <c r="K142" s="48" t="str" cm="1">
        <f t="array" ref="K142">_xlfn.IFS($G142=$G$5,K$5,$G142=$G$6,K$6,$G142=$G$7,K$7,$G142=$G$8,K$8,$G142=$G$9,K$9,$G142=$G$10,K$10,$G142=$G$11,K$11,$G142=$G$12,K$12,$G142=$G$13,K$13,$G142=$G$15,K$15,$G142=$G$16,K$16,$G142=$G$17,K$17,$G142=$G$18,K$18,$G142=$G$19,K$19,$G142=$G$20,K$20,$G142=$G$21,K$21,$G142=$G$22,K$22,$G142=$G$25,K$25,$G142=$G$26,K$26,$G142=$G$27,K$27,$G142=$G$29,K$29,$G142=$G$31,K$31,$G142=$G$32,K$32,$G142=$G$248,K$248,$G142=$G$250,K$250)</f>
        <v>BG sentinel + BG lure7</v>
      </c>
      <c r="L142" s="48"/>
      <c r="M142" s="48"/>
      <c r="O142" s="45" t="str">
        <f t="shared" si="10"/>
        <v>A_SP_BCN_18_210602</v>
      </c>
      <c r="P142" s="64">
        <v>44349</v>
      </c>
      <c r="R142" s="72"/>
      <c r="S142" s="64">
        <v>44356</v>
      </c>
      <c r="U142" s="72"/>
      <c r="V142" s="54" t="s">
        <v>66</v>
      </c>
      <c r="X142" s="45">
        <f t="shared" si="5"/>
        <v>7</v>
      </c>
      <c r="Z142" s="45" t="s">
        <v>80</v>
      </c>
      <c r="AA142" s="45">
        <f t="shared" si="12"/>
        <v>3</v>
      </c>
      <c r="AB142" t="str">
        <f t="shared" si="13"/>
        <v>Adult</v>
      </c>
      <c r="AC142" s="69">
        <v>3</v>
      </c>
      <c r="AD142" s="69">
        <v>0</v>
      </c>
      <c r="AE142" s="45" t="str">
        <f t="shared" si="14"/>
        <v>Morphological</v>
      </c>
      <c r="AF142" s="56">
        <v>4</v>
      </c>
    </row>
    <row r="143" spans="1:32" ht="18" customHeight="1" x14ac:dyDescent="0.25">
      <c r="A143" s="45">
        <v>139</v>
      </c>
      <c r="B143" s="45" t="s">
        <v>60</v>
      </c>
      <c r="C143" s="45" t="s">
        <v>61</v>
      </c>
      <c r="D143" s="45" t="s">
        <v>62</v>
      </c>
      <c r="E143" s="45" t="s">
        <v>62</v>
      </c>
      <c r="F143" s="46" cm="1">
        <f t="array" ref="F143">_xlfn.IFS($G143=$G$5,F$5,$G143=$G$6,F$6,$G143=$G$7,F$7,$G143=$G$8,F$8,$G143=$G$9,F$9,$G143=$G$10,F$10,$G143=$G$11,F$11,$G143=$G$12,F$12,$G143=$G$13,F$13,$G143=$G$15,F$15,$G143=$G$16,F$16,$G143=$G$17,F$17,$G143=$G$18,F$18,$G143=$G$19,F$19,$G143=$G$20,F$20,$G143=$G$21,F$21,$G143=$G$22,F$22,$G143=$G$25,F$25,$G143=$G$26,F$26,$G143=$G$27,F$27,$G143=$G$29,F$29,$G143=$G$31,F$31,$G143=$G$32,F$32,$G143=$G$248,F$248,$G143=$G$250,F$250)</f>
        <v>8038</v>
      </c>
      <c r="G143" s="45" t="s">
        <v>93</v>
      </c>
      <c r="H143" s="67" cm="1">
        <f t="array" ref="H143">_xlfn.IFS($G143=$G$5,H$5,$G143=$G$6,H$6,$G143=$G$7,H$7,$G143=$G$8,H$8,$G143=$G$9,H$9,$G143=$G$10,H$10,$G143=$G$11,H$11,$G143=$G$12,H$12,$G143=$G$13,H$13,$G143=$G$15,H$15,$G143=$G$16,H$16,$G143=$G$17,H$17,$G143=$G$18,H$18,$G143=$G$19,H$19,$G143=$G$20,H$20,$G143=$G$21,H$21,$G143=$G$22,H$22,$G143=$G$25,H$25,$G143=$G$26,H$26,$G143=$G$27,H$27,$G143=$G$29,H$29,$G143=$G$31,H$31,$G143=$G$32,H$32,$G143=$G$248,H$248,$G143=$G$250,H$250)</f>
        <v>41.359864999999999</v>
      </c>
      <c r="I143" s="67" cm="1">
        <f t="array" ref="I143">_xlfn.IFS($G143=$G$5,I$5,$G143=$G$6,I$6,$G143=$G$7,I$7,$G143=$G$8,I$8,$G143=$G$9,I$9,$G143=$G$10,I$10,$G143=$G$11,I$11,$G143=$G$12,I$12,$G143=$G$13,I$13,$G143=$G$15,I$15,$G143=$G$16,I$16,$G143=$G$17,I$17,$G143=$G$18,I$18,$G143=$G$19,I$19,$G143=$G$20,I$20,$G143=$G$21,I$21,$G143=$G$22,I$22,$G143=$G$25,I$25,$G143=$G$26,I$26,$G143=$G$27,I$27,$G143=$G$29,I$29,$G143=$G$31,I$31,$G143=$G$32,I$32,$G143=$G$248,I$248,$G143=$G$250,I$250)</f>
        <v>2.1445430000000001</v>
      </c>
      <c r="J143" s="48" cm="1">
        <f t="array" ref="J143">_xlfn.IFS($G143=$G$5,J$5,$G143=$G$6,J$6,$G143=$G$7,J$7,$G143=$G$8,J$8,$G143=$G$9,J$9,$G143=$G$10,J$10,$G143=$G$11,J$11,$G143=$G$12,J$12,$G143=$G$13,J$13,$G143=$G$15,J$15,$G143=$G$16,J$16,$G143=$G$17,J$17,$G143=$G$18,J$18,$G143=$G$19,J$19,$G143=$G$20,J$20,$G143=$G$21,J$21,$G143=$G$22,J$22,$G143=$G$25,J$25,$G143=$G$26,J$26,$G143=$G$27,J$27,$G143=$G$29,J$29,$G143=$G$31,J$31,$G143=$G$32,J$32,$G143=$G$248,J$248,$G143=$G$250,J$250)</f>
        <v>11.4</v>
      </c>
      <c r="K143" s="48" t="str" cm="1">
        <f t="array" ref="K143">_xlfn.IFS($G143=$G$5,K$5,$G143=$G$6,K$6,$G143=$G$7,K$7,$G143=$G$8,K$8,$G143=$G$9,K$9,$G143=$G$10,K$10,$G143=$G$11,K$11,$G143=$G$12,K$12,$G143=$G$13,K$13,$G143=$G$15,K$15,$G143=$G$16,K$16,$G143=$G$17,K$17,$G143=$G$18,K$18,$G143=$G$19,K$19,$G143=$G$20,K$20,$G143=$G$21,K$21,$G143=$G$22,K$22,$G143=$G$25,K$25,$G143=$G$26,K$26,$G143=$G$27,K$27,$G143=$G$29,K$29,$G143=$G$31,K$31,$G143=$G$32,K$32,$G143=$G$248,K$248,$G143=$G$250,K$250)</f>
        <v>BG sentinel + BG lure7</v>
      </c>
      <c r="L143" s="48"/>
      <c r="M143" s="48"/>
      <c r="O143" s="45" t="str">
        <f t="shared" si="10"/>
        <v>A_SP_BCN_19_210603</v>
      </c>
      <c r="P143" s="64">
        <v>44350</v>
      </c>
      <c r="R143" s="72"/>
      <c r="S143" s="64">
        <v>44357</v>
      </c>
      <c r="U143" s="72"/>
      <c r="V143" s="54" t="s">
        <v>66</v>
      </c>
      <c r="X143" s="45">
        <f t="shared" si="5"/>
        <v>7</v>
      </c>
      <c r="Z143" s="69" t="s">
        <v>69</v>
      </c>
      <c r="AA143" s="45">
        <f t="shared" si="12"/>
        <v>3</v>
      </c>
      <c r="AB143" t="str">
        <f t="shared" si="13"/>
        <v>Adult</v>
      </c>
      <c r="AC143" s="69">
        <v>3</v>
      </c>
      <c r="AD143" s="69">
        <v>0</v>
      </c>
      <c r="AE143" s="45" t="str">
        <f t="shared" si="14"/>
        <v>Morphological</v>
      </c>
      <c r="AF143" s="56">
        <v>4</v>
      </c>
    </row>
    <row r="144" spans="1:32" ht="18" customHeight="1" x14ac:dyDescent="0.25">
      <c r="A144" s="45">
        <v>140</v>
      </c>
      <c r="B144" s="45" t="s">
        <v>60</v>
      </c>
      <c r="C144" s="45" t="s">
        <v>61</v>
      </c>
      <c r="D144" s="45" t="s">
        <v>62</v>
      </c>
      <c r="E144" s="45" t="s">
        <v>62</v>
      </c>
      <c r="F144" s="46" cm="1">
        <f t="array" ref="F144">_xlfn.IFS($G144=$G$5,F$5,$G144=$G$6,F$6,$G144=$G$7,F$7,$G144=$G$8,F$8,$G144=$G$9,F$9,$G144=$G$10,F$10,$G144=$G$11,F$11,$G144=$G$12,F$12,$G144=$G$13,F$13,$G144=$G$15,F$15,$G144=$G$16,F$16,$G144=$G$17,F$17,$G144=$G$18,F$18,$G144=$G$19,F$19,$G144=$G$20,F$20,$G144=$G$21,F$21,$G144=$G$22,F$22,$G144=$G$25,F$25,$G144=$G$26,F$26,$G144=$G$27,F$27,$G144=$G$29,F$29,$G144=$G$31,F$31,$G144=$G$32,F$32,$G144=$G$248,F$248,$G144=$G$250,F$250)</f>
        <v>8038</v>
      </c>
      <c r="G144" s="45" t="s">
        <v>93</v>
      </c>
      <c r="H144" s="67" cm="1">
        <f t="array" ref="H144">_xlfn.IFS($G144=$G$5,H$5,$G144=$G$6,H$6,$G144=$G$7,H$7,$G144=$G$8,H$8,$G144=$G$9,H$9,$G144=$G$10,H$10,$G144=$G$11,H$11,$G144=$G$12,H$12,$G144=$G$13,H$13,$G144=$G$15,H$15,$G144=$G$16,H$16,$G144=$G$17,H$17,$G144=$G$18,H$18,$G144=$G$19,H$19,$G144=$G$20,H$20,$G144=$G$21,H$21,$G144=$G$22,H$22,$G144=$G$25,H$25,$G144=$G$26,H$26,$G144=$G$27,H$27,$G144=$G$29,H$29,$G144=$G$31,H$31,$G144=$G$32,H$32,$G144=$G$248,H$248,$G144=$G$250,H$250)</f>
        <v>41.359864999999999</v>
      </c>
      <c r="I144" s="67" cm="1">
        <f t="array" ref="I144">_xlfn.IFS($G144=$G$5,I$5,$G144=$G$6,I$6,$G144=$G$7,I$7,$G144=$G$8,I$8,$G144=$G$9,I$9,$G144=$G$10,I$10,$G144=$G$11,I$11,$G144=$G$12,I$12,$G144=$G$13,I$13,$G144=$G$15,I$15,$G144=$G$16,I$16,$G144=$G$17,I$17,$G144=$G$18,I$18,$G144=$G$19,I$19,$G144=$G$20,I$20,$G144=$G$21,I$21,$G144=$G$22,I$22,$G144=$G$25,I$25,$G144=$G$26,I$26,$G144=$G$27,I$27,$G144=$G$29,I$29,$G144=$G$31,I$31,$G144=$G$32,I$32,$G144=$G$248,I$248,$G144=$G$250,I$250)</f>
        <v>2.1445430000000001</v>
      </c>
      <c r="J144" s="48" cm="1">
        <f t="array" ref="J144">_xlfn.IFS($G144=$G$5,J$5,$G144=$G$6,J$6,$G144=$G$7,J$7,$G144=$G$8,J$8,$G144=$G$9,J$9,$G144=$G$10,J$10,$G144=$G$11,J$11,$G144=$G$12,J$12,$G144=$G$13,J$13,$G144=$G$15,J$15,$G144=$G$16,J$16,$G144=$G$17,J$17,$G144=$G$18,J$18,$G144=$G$19,J$19,$G144=$G$20,J$20,$G144=$G$21,J$21,$G144=$G$22,J$22,$G144=$G$25,J$25,$G144=$G$26,J$26,$G144=$G$27,J$27,$G144=$G$29,J$29,$G144=$G$31,J$31,$G144=$G$32,J$32,$G144=$G$248,J$248,$G144=$G$250,J$250)</f>
        <v>11.4</v>
      </c>
      <c r="K144" s="48" t="str" cm="1">
        <f t="array" ref="K144">_xlfn.IFS($G144=$G$5,K$5,$G144=$G$6,K$6,$G144=$G$7,K$7,$G144=$G$8,K$8,$G144=$G$9,K$9,$G144=$G$10,K$10,$G144=$G$11,K$11,$G144=$G$12,K$12,$G144=$G$13,K$13,$G144=$G$15,K$15,$G144=$G$16,K$16,$G144=$G$17,K$17,$G144=$G$18,K$18,$G144=$G$19,K$19,$G144=$G$20,K$20,$G144=$G$21,K$21,$G144=$G$22,K$22,$G144=$G$25,K$25,$G144=$G$26,K$26,$G144=$G$27,K$27,$G144=$G$29,K$29,$G144=$G$31,K$31,$G144=$G$32,K$32,$G144=$G$248,K$248,$G144=$G$250,K$250)</f>
        <v>BG sentinel + BG lure7</v>
      </c>
      <c r="L144" s="48"/>
      <c r="M144" s="48"/>
      <c r="O144" s="45" t="str">
        <f t="shared" si="10"/>
        <v>A_SP_BCN_19_210603</v>
      </c>
      <c r="P144" s="64">
        <v>44350</v>
      </c>
      <c r="R144" s="72"/>
      <c r="S144" s="64">
        <v>44357</v>
      </c>
      <c r="U144" s="72"/>
      <c r="V144" s="54" t="s">
        <v>66</v>
      </c>
      <c r="X144" s="45">
        <f t="shared" si="5"/>
        <v>7</v>
      </c>
      <c r="Z144" s="45" t="s">
        <v>70</v>
      </c>
      <c r="AA144" s="45">
        <f t="shared" si="12"/>
        <v>7</v>
      </c>
      <c r="AB144" t="str">
        <f t="shared" si="13"/>
        <v>Adult</v>
      </c>
      <c r="AC144" s="69">
        <v>7</v>
      </c>
      <c r="AD144" s="69">
        <v>0</v>
      </c>
      <c r="AE144" s="45" t="str">
        <f t="shared" si="14"/>
        <v>Morphological</v>
      </c>
      <c r="AF144" s="56">
        <v>4</v>
      </c>
    </row>
    <row r="145" spans="1:32" ht="18" customHeight="1" x14ac:dyDescent="0.25">
      <c r="A145" s="45">
        <v>141</v>
      </c>
      <c r="B145" s="45" t="s">
        <v>60</v>
      </c>
      <c r="C145" s="45" t="s">
        <v>61</v>
      </c>
      <c r="D145" s="45" t="s">
        <v>62</v>
      </c>
      <c r="E145" s="45" t="s">
        <v>62</v>
      </c>
      <c r="F145" s="46" cm="1">
        <f t="array" ref="F145">_xlfn.IFS($G145=$G$5,F$5,$G145=$G$6,F$6,$G145=$G$7,F$7,$G145=$G$8,F$8,$G145=$G$9,F$9,$G145=$G$10,F$10,$G145=$G$11,F$11,$G145=$G$12,F$12,$G145=$G$13,F$13,$G145=$G$15,F$15,$G145=$G$16,F$16,$G145=$G$17,F$17,$G145=$G$18,F$18,$G145=$G$19,F$19,$G145=$G$20,F$20,$G145=$G$21,F$21,$G145=$G$22,F$22,$G145=$G$25,F$25,$G145=$G$26,F$26,$G145=$G$27,F$27,$G145=$G$29,F$29,$G145=$G$31,F$31,$G145=$G$32,F$32,$G145=$G$248,F$248,$G145=$G$250,F$250)</f>
        <v>8002</v>
      </c>
      <c r="G145" s="45" t="s">
        <v>94</v>
      </c>
      <c r="H145" s="67" cm="1">
        <f t="array" ref="H145">_xlfn.IFS($G145=$G$5,H$5,$G145=$G$6,H$6,$G145=$G$7,H$7,$G145=$G$8,H$8,$G145=$G$9,H$9,$G145=$G$10,H$10,$G145=$G$11,H$11,$G145=$G$12,H$12,$G145=$G$13,H$13,$G145=$G$15,H$15,$G145=$G$16,H$16,$G145=$G$17,H$17,$G145=$G$18,H$18,$G145=$G$19,H$19,$G145=$G$20,H$20,$G145=$G$21,H$21,$G145=$G$22,H$22,$G145=$G$25,H$25,$G145=$G$26,H$26,$G145=$G$27,H$27,$G145=$G$29,H$29,$G145=$G$31,H$31,$G145=$G$32,H$32,$G145=$G$248,H$248,$G145=$G$250,H$250)</f>
        <v>41.385213</v>
      </c>
      <c r="I145" s="67" cm="1">
        <f t="array" ref="I145">_xlfn.IFS($G145=$G$5,I$5,$G145=$G$6,I$6,$G145=$G$7,I$7,$G145=$G$8,I$8,$G145=$G$9,I$9,$G145=$G$10,I$10,$G145=$G$11,I$11,$G145=$G$12,I$12,$G145=$G$13,I$13,$G145=$G$15,I$15,$G145=$G$16,I$16,$G145=$G$17,I$17,$G145=$G$18,I$18,$G145=$G$19,I$19,$G145=$G$20,I$20,$G145=$G$21,I$21,$G145=$G$22,I$22,$G145=$G$25,I$25,$G145=$G$26,I$26,$G145=$G$27,I$27,$G145=$G$29,I$29,$G145=$G$31,I$31,$G145=$G$32,I$32,$G145=$G$248,I$248,$G145=$G$250,I$250)</f>
        <v>2.174852</v>
      </c>
      <c r="J145" s="48" cm="1">
        <f t="array" ref="J145">_xlfn.IFS($G145=$G$5,J$5,$G145=$G$6,J$6,$G145=$G$7,J$7,$G145=$G$8,J$8,$G145=$G$9,J$9,$G145=$G$10,J$10,$G145=$G$11,J$11,$G145=$G$12,J$12,$G145=$G$13,J$13,$G145=$G$15,J$15,$G145=$G$16,J$16,$G145=$G$17,J$17,$G145=$G$18,J$18,$G145=$G$19,J$19,$G145=$G$20,J$20,$G145=$G$21,J$21,$G145=$G$22,J$22,$G145=$G$25,J$25,$G145=$G$26,J$26,$G145=$G$27,J$27,$G145=$G$29,J$29,$G145=$G$31,J$31,$G145=$G$32,J$32,$G145=$G$248,J$248,$G145=$G$250,J$250)</f>
        <v>14</v>
      </c>
      <c r="K145" s="48" t="str" cm="1">
        <f t="array" ref="K145">_xlfn.IFS($G145=$G$5,K$5,$G145=$G$6,K$6,$G145=$G$7,K$7,$G145=$G$8,K$8,$G145=$G$9,K$9,$G145=$G$10,K$10,$G145=$G$11,K$11,$G145=$G$12,K$12,$G145=$G$13,K$13,$G145=$G$15,K$15,$G145=$G$16,K$16,$G145=$G$17,K$17,$G145=$G$18,K$18,$G145=$G$19,K$19,$G145=$G$20,K$20,$G145=$G$21,K$21,$G145=$G$22,K$22,$G145=$G$25,K$25,$G145=$G$26,K$26,$G145=$G$27,K$27,$G145=$G$29,K$29,$G145=$G$31,K$31,$G145=$G$32,K$32,$G145=$G$248,K$248,$G145=$G$250,K$250)</f>
        <v>BG sentinel + BG lure7</v>
      </c>
      <c r="L145" s="48"/>
      <c r="M145" s="48"/>
      <c r="O145" s="45" t="str">
        <f t="shared" si="10"/>
        <v>A_SP_BCN_20_210603</v>
      </c>
      <c r="P145" s="64">
        <v>44350</v>
      </c>
      <c r="R145" s="72"/>
      <c r="S145" s="64">
        <v>44357</v>
      </c>
      <c r="U145" s="72"/>
      <c r="V145" s="54" t="s">
        <v>66</v>
      </c>
      <c r="X145" s="45">
        <f t="shared" si="5"/>
        <v>7</v>
      </c>
      <c r="Z145" s="69" t="s">
        <v>69</v>
      </c>
      <c r="AA145" s="45">
        <f t="shared" si="12"/>
        <v>2</v>
      </c>
      <c r="AB145" t="str">
        <f t="shared" si="13"/>
        <v>Adult</v>
      </c>
      <c r="AC145" s="69">
        <v>2</v>
      </c>
      <c r="AD145" s="69">
        <v>0</v>
      </c>
      <c r="AE145" s="45" t="str">
        <f t="shared" si="14"/>
        <v>Morphological</v>
      </c>
      <c r="AF145" s="56">
        <v>4</v>
      </c>
    </row>
    <row r="146" spans="1:32" ht="18" customHeight="1" x14ac:dyDescent="0.25">
      <c r="A146" s="45">
        <v>142</v>
      </c>
      <c r="B146" s="45" t="s">
        <v>60</v>
      </c>
      <c r="C146" s="45" t="s">
        <v>61</v>
      </c>
      <c r="D146" s="45" t="s">
        <v>62</v>
      </c>
      <c r="E146" s="45" t="s">
        <v>62</v>
      </c>
      <c r="F146" s="46" cm="1">
        <f t="array" ref="F146">_xlfn.IFS($G146=$G$5,F$5,$G146=$G$6,F$6,$G146=$G$7,F$7,$G146=$G$8,F$8,$G146=$G$9,F$9,$G146=$G$10,F$10,$G146=$G$11,F$11,$G146=$G$12,F$12,$G146=$G$13,F$13,$G146=$G$15,F$15,$G146=$G$16,F$16,$G146=$G$17,F$17,$G146=$G$18,F$18,$G146=$G$19,F$19,$G146=$G$20,F$20,$G146=$G$21,F$21,$G146=$G$22,F$22,$G146=$G$25,F$25,$G146=$G$26,F$26,$G146=$G$27,F$27,$G146=$G$29,F$29,$G146=$G$31,F$31,$G146=$G$32,F$32,$G146=$G$248,F$248,$G146=$G$250,F$250)</f>
        <v>8002</v>
      </c>
      <c r="G146" s="45" t="s">
        <v>94</v>
      </c>
      <c r="H146" s="67" cm="1">
        <f t="array" ref="H146">_xlfn.IFS($G146=$G$5,H$5,$G146=$G$6,H$6,$G146=$G$7,H$7,$G146=$G$8,H$8,$G146=$G$9,H$9,$G146=$G$10,H$10,$G146=$G$11,H$11,$G146=$G$12,H$12,$G146=$G$13,H$13,$G146=$G$15,H$15,$G146=$G$16,H$16,$G146=$G$17,H$17,$G146=$G$18,H$18,$G146=$G$19,H$19,$G146=$G$20,H$20,$G146=$G$21,H$21,$G146=$G$22,H$22,$G146=$G$25,H$25,$G146=$G$26,H$26,$G146=$G$27,H$27,$G146=$G$29,H$29,$G146=$G$31,H$31,$G146=$G$32,H$32,$G146=$G$248,H$248,$G146=$G$250,H$250)</f>
        <v>41.385213</v>
      </c>
      <c r="I146" s="67" cm="1">
        <f t="array" ref="I146">_xlfn.IFS($G146=$G$5,I$5,$G146=$G$6,I$6,$G146=$G$7,I$7,$G146=$G$8,I$8,$G146=$G$9,I$9,$G146=$G$10,I$10,$G146=$G$11,I$11,$G146=$G$12,I$12,$G146=$G$13,I$13,$G146=$G$15,I$15,$G146=$G$16,I$16,$G146=$G$17,I$17,$G146=$G$18,I$18,$G146=$G$19,I$19,$G146=$G$20,I$20,$G146=$G$21,I$21,$G146=$G$22,I$22,$G146=$G$25,I$25,$G146=$G$26,I$26,$G146=$G$27,I$27,$G146=$G$29,I$29,$G146=$G$31,I$31,$G146=$G$32,I$32,$G146=$G$248,I$248,$G146=$G$250,I$250)</f>
        <v>2.174852</v>
      </c>
      <c r="J146" s="48" cm="1">
        <f t="array" ref="J146">_xlfn.IFS($G146=$G$5,J$5,$G146=$G$6,J$6,$G146=$G$7,J$7,$G146=$G$8,J$8,$G146=$G$9,J$9,$G146=$G$10,J$10,$G146=$G$11,J$11,$G146=$G$12,J$12,$G146=$G$13,J$13,$G146=$G$15,J$15,$G146=$G$16,J$16,$G146=$G$17,J$17,$G146=$G$18,J$18,$G146=$G$19,J$19,$G146=$G$20,J$20,$G146=$G$21,J$21,$G146=$G$22,J$22,$G146=$G$25,J$25,$G146=$G$26,J$26,$G146=$G$27,J$27,$G146=$G$29,J$29,$G146=$G$31,J$31,$G146=$G$32,J$32,$G146=$G$248,J$248,$G146=$G$250,J$250)</f>
        <v>14</v>
      </c>
      <c r="K146" s="48" t="str" cm="1">
        <f t="array" ref="K146">_xlfn.IFS($G146=$G$5,K$5,$G146=$G$6,K$6,$G146=$G$7,K$7,$G146=$G$8,K$8,$G146=$G$9,K$9,$G146=$G$10,K$10,$G146=$G$11,K$11,$G146=$G$12,K$12,$G146=$G$13,K$13,$G146=$G$15,K$15,$G146=$G$16,K$16,$G146=$G$17,K$17,$G146=$G$18,K$18,$G146=$G$19,K$19,$G146=$G$20,K$20,$G146=$G$21,K$21,$G146=$G$22,K$22,$G146=$G$25,K$25,$G146=$G$26,K$26,$G146=$G$27,K$27,$G146=$G$29,K$29,$G146=$G$31,K$31,$G146=$G$32,K$32,$G146=$G$248,K$248,$G146=$G$250,K$250)</f>
        <v>BG sentinel + BG lure7</v>
      </c>
      <c r="L146" s="48"/>
      <c r="M146" s="48"/>
      <c r="O146" s="45" t="str">
        <f t="shared" si="10"/>
        <v>A_SP_BCN_20_210603</v>
      </c>
      <c r="P146" s="64">
        <v>44350</v>
      </c>
      <c r="R146" s="72"/>
      <c r="S146" s="64">
        <v>44357</v>
      </c>
      <c r="U146" s="72"/>
      <c r="V146" s="54" t="s">
        <v>66</v>
      </c>
      <c r="X146" s="45">
        <f t="shared" si="5"/>
        <v>7</v>
      </c>
      <c r="Z146" s="45" t="s">
        <v>80</v>
      </c>
      <c r="AA146" s="45">
        <f t="shared" si="12"/>
        <v>12</v>
      </c>
      <c r="AB146" t="str">
        <f t="shared" si="13"/>
        <v>Adult</v>
      </c>
      <c r="AC146" s="69">
        <v>6</v>
      </c>
      <c r="AD146" s="69">
        <v>6</v>
      </c>
      <c r="AE146" s="45" t="str">
        <f t="shared" si="14"/>
        <v>Morphological</v>
      </c>
      <c r="AF146" s="56">
        <v>4</v>
      </c>
    </row>
    <row r="147" spans="1:32" ht="18" customHeight="1" x14ac:dyDescent="0.25">
      <c r="A147" s="45">
        <v>143</v>
      </c>
      <c r="B147" s="45" t="s">
        <v>60</v>
      </c>
      <c r="C147" s="45" t="s">
        <v>61</v>
      </c>
      <c r="D147" s="45" t="s">
        <v>62</v>
      </c>
      <c r="E147" s="45" t="s">
        <v>62</v>
      </c>
      <c r="F147" s="46" cm="1">
        <f t="array" ref="F147">_xlfn.IFS($G147=$G$5,F$5,$G147=$G$6,F$6,$G147=$G$7,F$7,$G147=$G$8,F$8,$G147=$G$9,F$9,$G147=$G$10,F$10,$G147=$G$11,F$11,$G147=$G$12,F$12,$G147=$G$13,F$13,$G147=$G$15,F$15,$G147=$G$16,F$16,$G147=$G$17,F$17,$G147=$G$18,F$18,$G147=$G$19,F$19,$G147=$G$20,F$20,$G147=$G$21,F$21,$G147=$G$22,F$22,$G147=$G$25,F$25,$G147=$G$26,F$26,$G147=$G$27,F$27,$G147=$G$29,F$29,$G147=$G$31,F$31,$G147=$G$32,F$32,$G147=$G$248,F$248,$G147=$G$250,F$250)</f>
        <v>8001</v>
      </c>
      <c r="G147" s="45" t="s">
        <v>96</v>
      </c>
      <c r="H147" s="67" cm="1">
        <f t="array" ref="H147">_xlfn.IFS($G147=$G$5,H$5,$G147=$G$6,H$6,$G147=$G$7,H$7,$G147=$G$8,H$8,$G147=$G$9,H$9,$G147=$G$10,H$10,$G147=$G$11,H$11,$G147=$G$12,H$12,$G147=$G$13,H$13,$G147=$G$15,H$15,$G147=$G$16,H$16,$G147=$G$17,H$17,$G147=$G$18,H$18,$G147=$G$19,H$19,$G147=$G$20,H$20,$G147=$G$21,H$21,$G147=$G$22,H$22,$G147=$G$25,H$25,$G147=$G$26,H$26,$G147=$G$27,H$27,$G147=$G$29,H$29,$G147=$G$31,H$31,$G147=$G$32,H$32,$G147=$G$248,H$248,$G147=$G$250,H$250)</f>
        <v>41.377169000000002</v>
      </c>
      <c r="I147" s="67" cm="1">
        <f t="array" ref="I147">_xlfn.IFS($G147=$G$5,I$5,$G147=$G$6,I$6,$G147=$G$7,I$7,$G147=$G$8,I$8,$G147=$G$9,I$9,$G147=$G$10,I$10,$G147=$G$11,I$11,$G147=$G$12,I$12,$G147=$G$13,I$13,$G147=$G$15,I$15,$G147=$G$16,I$16,$G147=$G$17,I$17,$G147=$G$18,I$18,$G147=$G$19,I$19,$G147=$G$20,I$20,$G147=$G$21,I$21,$G147=$G$22,I$22,$G147=$G$25,I$25,$G147=$G$26,I$26,$G147=$G$27,I$27,$G147=$G$29,I$29,$G147=$G$31,I$31,$G147=$G$32,I$32,$G147=$G$248,I$248,$G147=$G$250,I$250)</f>
        <v>2.1674190000000002</v>
      </c>
      <c r="J147" s="48" cm="1">
        <f t="array" ref="J147">_xlfn.IFS($G147=$G$5,J$5,$G147=$G$6,J$6,$G147=$G$7,J$7,$G147=$G$8,J$8,$G147=$G$9,J$9,$G147=$G$10,J$10,$G147=$G$11,J$11,$G147=$G$12,J$12,$G147=$G$13,J$13,$G147=$G$15,J$15,$G147=$G$16,J$16,$G147=$G$17,J$17,$G147=$G$18,J$18,$G147=$G$19,J$19,$G147=$G$20,J$20,$G147=$G$21,J$21,$G147=$G$22,J$22,$G147=$G$25,J$25,$G147=$G$26,J$26,$G147=$G$27,J$27,$G147=$G$29,J$29,$G147=$G$31,J$31,$G147=$G$32,J$32,$G147=$G$248,J$248,$G147=$G$250,J$250)</f>
        <v>11</v>
      </c>
      <c r="K147" s="48" t="str" cm="1">
        <f t="array" ref="K147">_xlfn.IFS($G147=$G$5,K$5,$G147=$G$6,K$6,$G147=$G$7,K$7,$G147=$G$8,K$8,$G147=$G$9,K$9,$G147=$G$10,K$10,$G147=$G$11,K$11,$G147=$G$12,K$12,$G147=$G$13,K$13,$G147=$G$15,K$15,$G147=$G$16,K$16,$G147=$G$17,K$17,$G147=$G$18,K$18,$G147=$G$19,K$19,$G147=$G$20,K$20,$G147=$G$21,K$21,$G147=$G$22,K$22,$G147=$G$25,K$25,$G147=$G$26,K$26,$G147=$G$27,K$27,$G147=$G$29,K$29,$G147=$G$31,K$31,$G147=$G$32,K$32,$G147=$G$248,K$248,$G147=$G$250,K$250)</f>
        <v>BG sentinel + BG lure7</v>
      </c>
      <c r="L147" s="48"/>
      <c r="M147" s="48"/>
      <c r="O147" s="45" t="str">
        <f t="shared" si="10"/>
        <v>A_SP_BCN_21_210603</v>
      </c>
      <c r="P147" s="64">
        <v>44350</v>
      </c>
      <c r="R147" s="72"/>
      <c r="S147" s="64">
        <v>44357</v>
      </c>
      <c r="U147" s="72"/>
      <c r="V147" s="54" t="s">
        <v>66</v>
      </c>
      <c r="X147" s="45">
        <f t="shared" si="5"/>
        <v>7</v>
      </c>
      <c r="Z147" s="69" t="s">
        <v>69</v>
      </c>
      <c r="AA147" s="45">
        <f t="shared" si="12"/>
        <v>2</v>
      </c>
      <c r="AB147" t="str">
        <f t="shared" si="13"/>
        <v>Adult</v>
      </c>
      <c r="AC147" s="69">
        <v>2</v>
      </c>
      <c r="AD147" s="69">
        <v>0</v>
      </c>
      <c r="AE147" s="45" t="str">
        <f t="shared" si="14"/>
        <v>Morphological</v>
      </c>
      <c r="AF147" s="56">
        <v>4</v>
      </c>
    </row>
    <row r="148" spans="1:32" ht="18" customHeight="1" x14ac:dyDescent="0.25">
      <c r="A148" s="45">
        <v>144</v>
      </c>
      <c r="B148" s="45" t="s">
        <v>60</v>
      </c>
      <c r="C148" s="45" t="s">
        <v>61</v>
      </c>
      <c r="D148" s="45" t="s">
        <v>62</v>
      </c>
      <c r="E148" s="45" t="s">
        <v>62</v>
      </c>
      <c r="F148" s="46" cm="1">
        <f t="array" ref="F148">_xlfn.IFS($G148=$G$5,F$5,$G148=$G$6,F$6,$G148=$G$7,F$7,$G148=$G$8,F$8,$G148=$G$9,F$9,$G148=$G$10,F$10,$G148=$G$11,F$11,$G148=$G$12,F$12,$G148=$G$13,F$13,$G148=$G$15,F$15,$G148=$G$16,F$16,$G148=$G$17,F$17,$G148=$G$18,F$18,$G148=$G$19,F$19,$G148=$G$20,F$20,$G148=$G$21,F$21,$G148=$G$22,F$22,$G148=$G$25,F$25,$G148=$G$26,F$26,$G148=$G$27,F$27,$G148=$G$29,F$29,$G148=$G$31,F$31,$G148=$G$32,F$32,$G148=$G$248,F$248,$G148=$G$250,F$250)</f>
        <v>8001</v>
      </c>
      <c r="G148" s="45" t="s">
        <v>96</v>
      </c>
      <c r="H148" s="67" cm="1">
        <f t="array" ref="H148">_xlfn.IFS($G148=$G$5,H$5,$G148=$G$6,H$6,$G148=$G$7,H$7,$G148=$G$8,H$8,$G148=$G$9,H$9,$G148=$G$10,H$10,$G148=$G$11,H$11,$G148=$G$12,H$12,$G148=$G$13,H$13,$G148=$G$15,H$15,$G148=$G$16,H$16,$G148=$G$17,H$17,$G148=$G$18,H$18,$G148=$G$19,H$19,$G148=$G$20,H$20,$G148=$G$21,H$21,$G148=$G$22,H$22,$G148=$G$25,H$25,$G148=$G$26,H$26,$G148=$G$27,H$27,$G148=$G$29,H$29,$G148=$G$31,H$31,$G148=$G$32,H$32,$G148=$G$248,H$248,$G148=$G$250,H$250)</f>
        <v>41.377169000000002</v>
      </c>
      <c r="I148" s="67" cm="1">
        <f t="array" ref="I148">_xlfn.IFS($G148=$G$5,I$5,$G148=$G$6,I$6,$G148=$G$7,I$7,$G148=$G$8,I$8,$G148=$G$9,I$9,$G148=$G$10,I$10,$G148=$G$11,I$11,$G148=$G$12,I$12,$G148=$G$13,I$13,$G148=$G$15,I$15,$G148=$G$16,I$16,$G148=$G$17,I$17,$G148=$G$18,I$18,$G148=$G$19,I$19,$G148=$G$20,I$20,$G148=$G$21,I$21,$G148=$G$22,I$22,$G148=$G$25,I$25,$G148=$G$26,I$26,$G148=$G$27,I$27,$G148=$G$29,I$29,$G148=$G$31,I$31,$G148=$G$32,I$32,$G148=$G$248,I$248,$G148=$G$250,I$250)</f>
        <v>2.1674190000000002</v>
      </c>
      <c r="J148" s="48" cm="1">
        <f t="array" ref="J148">_xlfn.IFS($G148=$G$5,J$5,$G148=$G$6,J$6,$G148=$G$7,J$7,$G148=$G$8,J$8,$G148=$G$9,J$9,$G148=$G$10,J$10,$G148=$G$11,J$11,$G148=$G$12,J$12,$G148=$G$13,J$13,$G148=$G$15,J$15,$G148=$G$16,J$16,$G148=$G$17,J$17,$G148=$G$18,J$18,$G148=$G$19,J$19,$G148=$G$20,J$20,$G148=$G$21,J$21,$G148=$G$22,J$22,$G148=$G$25,J$25,$G148=$G$26,J$26,$G148=$G$27,J$27,$G148=$G$29,J$29,$G148=$G$31,J$31,$G148=$G$32,J$32,$G148=$G$248,J$248,$G148=$G$250,J$250)</f>
        <v>11</v>
      </c>
      <c r="K148" s="48" t="str" cm="1">
        <f t="array" ref="K148">_xlfn.IFS($G148=$G$5,K$5,$G148=$G$6,K$6,$G148=$G$7,K$7,$G148=$G$8,K$8,$G148=$G$9,K$9,$G148=$G$10,K$10,$G148=$G$11,K$11,$G148=$G$12,K$12,$G148=$G$13,K$13,$G148=$G$15,K$15,$G148=$G$16,K$16,$G148=$G$17,K$17,$G148=$G$18,K$18,$G148=$G$19,K$19,$G148=$G$20,K$20,$G148=$G$21,K$21,$G148=$G$22,K$22,$G148=$G$25,K$25,$G148=$G$26,K$26,$G148=$G$27,K$27,$G148=$G$29,K$29,$G148=$G$31,K$31,$G148=$G$32,K$32,$G148=$G$248,K$248,$G148=$G$250,K$250)</f>
        <v>BG sentinel + BG lure7</v>
      </c>
      <c r="L148" s="48"/>
      <c r="M148" s="48"/>
      <c r="O148" s="45" t="str">
        <f t="shared" si="10"/>
        <v>A_SP_BCN_21_210603</v>
      </c>
      <c r="P148" s="64">
        <v>44350</v>
      </c>
      <c r="R148" s="72"/>
      <c r="S148" s="64">
        <v>44357</v>
      </c>
      <c r="U148" s="72"/>
      <c r="V148" s="54" t="s">
        <v>66</v>
      </c>
      <c r="X148" s="45">
        <f t="shared" si="5"/>
        <v>7</v>
      </c>
      <c r="Z148" s="45" t="s">
        <v>70</v>
      </c>
      <c r="AA148" s="45">
        <f t="shared" si="12"/>
        <v>6</v>
      </c>
      <c r="AB148" t="str">
        <f t="shared" si="13"/>
        <v>Adult</v>
      </c>
      <c r="AC148" s="69">
        <v>4</v>
      </c>
      <c r="AD148" s="69">
        <v>2</v>
      </c>
      <c r="AE148" s="45" t="str">
        <f t="shared" si="14"/>
        <v>Morphological</v>
      </c>
      <c r="AF148" s="56">
        <v>4</v>
      </c>
    </row>
    <row r="149" spans="1:32" ht="18" customHeight="1" x14ac:dyDescent="0.25">
      <c r="A149" s="45">
        <v>145</v>
      </c>
      <c r="B149" s="45" t="s">
        <v>60</v>
      </c>
      <c r="C149" s="45" t="s">
        <v>61</v>
      </c>
      <c r="D149" s="45" t="s">
        <v>62</v>
      </c>
      <c r="E149" s="45" t="s">
        <v>62</v>
      </c>
      <c r="F149" s="46" cm="1">
        <f t="array" ref="F149">_xlfn.IFS($G149=$G$5,F$5,$G149=$G$6,F$6,$G149=$G$7,F$7,$G149=$G$8,F$8,$G149=$G$9,F$9,$G149=$G$10,F$10,$G149=$G$11,F$11,$G149=$G$12,F$12,$G149=$G$13,F$13,$G149=$G$15,F$15,$G149=$G$16,F$16,$G149=$G$17,F$17,$G149=$G$18,F$18,$G149=$G$19,F$19,$G149=$G$20,F$20,$G149=$G$21,F$21,$G149=$G$22,F$22,$G149=$G$25,F$25,$G149=$G$26,F$26,$G149=$G$27,F$27,$G149=$G$29,F$29,$G149=$G$31,F$31,$G149=$G$32,F$32,$G149=$G$248,F$248,$G149=$G$250,F$250)</f>
        <v>8001</v>
      </c>
      <c r="G149" s="45" t="s">
        <v>96</v>
      </c>
      <c r="H149" s="67" cm="1">
        <f t="array" ref="H149">_xlfn.IFS($G149=$G$5,H$5,$G149=$G$6,H$6,$G149=$G$7,H$7,$G149=$G$8,H$8,$G149=$G$9,H$9,$G149=$G$10,H$10,$G149=$G$11,H$11,$G149=$G$12,H$12,$G149=$G$13,H$13,$G149=$G$15,H$15,$G149=$G$16,H$16,$G149=$G$17,H$17,$G149=$G$18,H$18,$G149=$G$19,H$19,$G149=$G$20,H$20,$G149=$G$21,H$21,$G149=$G$22,H$22,$G149=$G$25,H$25,$G149=$G$26,H$26,$G149=$G$27,H$27,$G149=$G$29,H$29,$G149=$G$31,H$31,$G149=$G$32,H$32,$G149=$G$248,H$248,$G149=$G$250,H$250)</f>
        <v>41.377169000000002</v>
      </c>
      <c r="I149" s="67" cm="1">
        <f t="array" ref="I149">_xlfn.IFS($G149=$G$5,I$5,$G149=$G$6,I$6,$G149=$G$7,I$7,$G149=$G$8,I$8,$G149=$G$9,I$9,$G149=$G$10,I$10,$G149=$G$11,I$11,$G149=$G$12,I$12,$G149=$G$13,I$13,$G149=$G$15,I$15,$G149=$G$16,I$16,$G149=$G$17,I$17,$G149=$G$18,I$18,$G149=$G$19,I$19,$G149=$G$20,I$20,$G149=$G$21,I$21,$G149=$G$22,I$22,$G149=$G$25,I$25,$G149=$G$26,I$26,$G149=$G$27,I$27,$G149=$G$29,I$29,$G149=$G$31,I$31,$G149=$G$32,I$32,$G149=$G$248,I$248,$G149=$G$250,I$250)</f>
        <v>2.1674190000000002</v>
      </c>
      <c r="J149" s="48" cm="1">
        <f t="array" ref="J149">_xlfn.IFS($G149=$G$5,J$5,$G149=$G$6,J$6,$G149=$G$7,J$7,$G149=$G$8,J$8,$G149=$G$9,J$9,$G149=$G$10,J$10,$G149=$G$11,J$11,$G149=$G$12,J$12,$G149=$G$13,J$13,$G149=$G$15,J$15,$G149=$G$16,J$16,$G149=$G$17,J$17,$G149=$G$18,J$18,$G149=$G$19,J$19,$G149=$G$20,J$20,$G149=$G$21,J$21,$G149=$G$22,J$22,$G149=$G$25,J$25,$G149=$G$26,J$26,$G149=$G$27,J$27,$G149=$G$29,J$29,$G149=$G$31,J$31,$G149=$G$32,J$32,$G149=$G$248,J$248,$G149=$G$250,J$250)</f>
        <v>11</v>
      </c>
      <c r="K149" s="48" t="str" cm="1">
        <f t="array" ref="K149">_xlfn.IFS($G149=$G$5,K$5,$G149=$G$6,K$6,$G149=$G$7,K$7,$G149=$G$8,K$8,$G149=$G$9,K$9,$G149=$G$10,K$10,$G149=$G$11,K$11,$G149=$G$12,K$12,$G149=$G$13,K$13,$G149=$G$15,K$15,$G149=$G$16,K$16,$G149=$G$17,K$17,$G149=$G$18,K$18,$G149=$G$19,K$19,$G149=$G$20,K$20,$G149=$G$21,K$21,$G149=$G$22,K$22,$G149=$G$25,K$25,$G149=$G$26,K$26,$G149=$G$27,K$27,$G149=$G$29,K$29,$G149=$G$31,K$31,$G149=$G$32,K$32,$G149=$G$248,K$248,$G149=$G$250,K$250)</f>
        <v>BG sentinel + BG lure7</v>
      </c>
      <c r="L149" s="48"/>
      <c r="M149" s="48"/>
      <c r="O149" s="45" t="str">
        <f t="shared" si="10"/>
        <v>A_SP_BCN_21_210603</v>
      </c>
      <c r="P149" s="64">
        <v>44350</v>
      </c>
      <c r="R149" s="72"/>
      <c r="S149" s="64">
        <v>44357</v>
      </c>
      <c r="U149" s="72"/>
      <c r="V149" s="54" t="s">
        <v>66</v>
      </c>
      <c r="X149" s="45">
        <f t="shared" si="5"/>
        <v>7</v>
      </c>
      <c r="Z149" s="45" t="s">
        <v>80</v>
      </c>
      <c r="AA149" s="45">
        <f t="shared" si="12"/>
        <v>2</v>
      </c>
      <c r="AB149" t="str">
        <f t="shared" si="13"/>
        <v>Adult</v>
      </c>
      <c r="AC149" s="69">
        <v>1</v>
      </c>
      <c r="AD149" s="69">
        <v>1</v>
      </c>
      <c r="AE149" s="45" t="str">
        <f t="shared" si="14"/>
        <v>Morphological</v>
      </c>
      <c r="AF149" s="56">
        <v>4</v>
      </c>
    </row>
    <row r="150" spans="1:32" ht="18" customHeight="1" x14ac:dyDescent="0.25">
      <c r="A150" s="45">
        <v>146</v>
      </c>
      <c r="B150" s="45" t="s">
        <v>60</v>
      </c>
      <c r="C150" s="45" t="s">
        <v>61</v>
      </c>
      <c r="D150" s="45" t="s">
        <v>62</v>
      </c>
      <c r="E150" s="45" t="s">
        <v>62</v>
      </c>
      <c r="F150" s="46" cm="1">
        <f t="array" ref="F150">_xlfn.IFS($G150=$G$5,F$5,$G150=$G$6,F$6,$G150=$G$7,F$7,$G150=$G$8,F$8,$G150=$G$9,F$9,$G150=$G$10,F$10,$G150=$G$11,F$11,$G150=$G$12,F$12,$G150=$G$13,F$13,$G150=$G$15,F$15,$G150=$G$16,F$16,$G150=$G$17,F$17,$G150=$G$18,F$18,$G150=$G$19,F$19,$G150=$G$20,F$20,$G150=$G$21,F$21,$G150=$G$22,F$22,$G150=$G$25,F$25,$G150=$G$26,F$26,$G150=$G$27,F$27,$G150=$G$29,F$29,$G150=$G$31,F$31,$G150=$G$32,F$32,$G150=$G$248,F$248,$G150=$G$250,F$250)</f>
        <v>8017</v>
      </c>
      <c r="G150" s="45" t="s">
        <v>98</v>
      </c>
      <c r="H150" s="73">
        <v>41.430315999999998</v>
      </c>
      <c r="I150" s="74">
        <v>2.077556</v>
      </c>
      <c r="J150" s="68">
        <v>243.3</v>
      </c>
      <c r="K150" s="48" t="str" cm="1">
        <f t="array" ref="K150">_xlfn.IFS($G150=$G$5,K$5,$G150=$G$6,K$6,$G150=$G$7,K$7,$G150=$G$8,K$8,$G150=$G$9,K$9,$G150=$G$10,K$10,$G150=$G$11,K$11,$G150=$G$12,K$12,$G150=$G$13,K$13,$G150=$G$15,K$15,$G150=$G$16,K$16,$G150=$G$17,K$17,$G150=$G$18,K$18,$G150=$G$19,K$19,$G150=$G$20,K$20,$G150=$G$21,K$21,$G150=$G$22,K$22,$G150=$G$25,K$25,$G150=$G$26,K$26,$G150=$G$27,K$27,$G150=$G$29,K$29,$G150=$G$31,K$31,$G150=$G$32,K$32,$G150=$G$248,K$248,$G150=$G$250,K$250)</f>
        <v>BG sentinel + BG lure7</v>
      </c>
      <c r="M150" s="48"/>
      <c r="O150" s="45" t="str">
        <f t="shared" si="10"/>
        <v>A_SP_BCN_22_210603</v>
      </c>
      <c r="P150" s="64">
        <v>44350</v>
      </c>
      <c r="R150" s="72"/>
      <c r="S150" s="64">
        <v>44356</v>
      </c>
      <c r="U150" s="72"/>
      <c r="V150" s="54" t="s">
        <v>66</v>
      </c>
      <c r="W150" t="s">
        <v>108</v>
      </c>
      <c r="X150" s="45">
        <f t="shared" si="5"/>
        <v>6</v>
      </c>
      <c r="Z150" s="69" t="s">
        <v>69</v>
      </c>
      <c r="AA150" s="45">
        <f t="shared" si="12"/>
        <v>1</v>
      </c>
      <c r="AB150" t="str">
        <f t="shared" si="13"/>
        <v>Adult</v>
      </c>
      <c r="AC150" s="69">
        <v>1</v>
      </c>
      <c r="AD150" s="69">
        <v>0</v>
      </c>
      <c r="AE150" s="45" t="str">
        <f t="shared" si="14"/>
        <v>Morphological</v>
      </c>
      <c r="AF150" s="56">
        <v>4</v>
      </c>
    </row>
    <row r="151" spans="1:32" ht="18" customHeight="1" x14ac:dyDescent="0.25">
      <c r="A151" s="45">
        <v>147</v>
      </c>
      <c r="B151" s="45" t="s">
        <v>60</v>
      </c>
      <c r="C151" s="45" t="s">
        <v>61</v>
      </c>
      <c r="D151" s="45" t="s">
        <v>62</v>
      </c>
      <c r="E151" s="45" t="s">
        <v>62</v>
      </c>
      <c r="F151" s="46" cm="1">
        <f t="array" ref="F151">_xlfn.IFS($G151=$G$5,F$5,$G151=$G$6,F$6,$G151=$G$7,F$7,$G151=$G$8,F$8,$G151=$G$9,F$9,$G151=$G$10,F$10,$G151=$G$11,F$11,$G151=$G$12,F$12,$G151=$G$13,F$13,$G151=$G$15,F$15,$G151=$G$16,F$16,$G151=$G$17,F$17,$G151=$G$18,F$18,$G151=$G$19,F$19,$G151=$G$20,F$20,$G151=$G$21,F$21,$G151=$G$22,F$22,$G151=$G$25,F$25,$G151=$G$26,F$26,$G151=$G$27,F$27,$G151=$G$29,F$29,$G151=$G$31,F$31,$G151=$G$32,F$32,$G151=$G$248,F$248,$G151=$G$250,F$250)</f>
        <v>8038</v>
      </c>
      <c r="G151" s="45" t="s">
        <v>103</v>
      </c>
      <c r="H151" s="66" cm="1">
        <f t="array" ref="H151">_xlfn.IFS($G151=$G$5,H$5,$G151=$G$6,H$6,$G151=$G$7,H$7,$G151=$G$8,H$8,$G151=$G$9,H$9,$G151=$G$10,H$10,$G151=$G$11,H$11,$G151=$G$12,H$12,$G151=$G$13,H$13,$G151=$G$15,H$15,$G151=$G$16,H$16,$G151=$G$17,H$17,$G151=$G$18,H$18,$G151=$G$19,H$19,$G151=$G$20,H$20,$G151=$G$21,H$21,$G151=$G$22,H$22,$G151=$G$25,H$25,$G151=$G$26,H$26,$G151=$G$27,H$27,$G151=$G$29,H$29,$G151=$G$31,H$31,$G151=$G$32,H$150,$G151=$G$248,H$248,$G151=$G$250,H$250)</f>
        <v>41.367100000000001</v>
      </c>
      <c r="I151" s="60" cm="1">
        <f t="array" ref="I151">_xlfn.IFS($G151=$G$5,I$5,$G151=$G$6,I$6,$G151=$G$7,I$7,$G151=$G$8,I$8,$G151=$G$9,I$9,$G151=$G$10,I$10,$G151=$G$11,I$11,$G151=$G$12,I$12,$G151=$G$13,I$13,$G151=$G$15,I$15,$G151=$G$16,I$16,$G151=$G$17,I$17,$G151=$G$18,I$18,$G151=$G$19,I$19,$G151=$G$20,I$20,$G151=$G$21,I$21,$G151=$G$22,I$22,$G151=$G$25,I$25,$G151=$G$26,I$26,$G151=$G$27,I$27,$G151=$G$29,I$29,$G151=$G$31,I$31,$G151=$G$32,I$150,$G151=$G$248,I$248,$G151=$G$250,I$250)</f>
        <v>2.1539079999999999</v>
      </c>
      <c r="J151" cm="1">
        <f t="array" ref="J151">_xlfn.IFS($G151=$G$5,J$5,$G151=$G$6,J$6,$G151=$G$7,J$7,$G151=$G$8,J$8,$G151=$G$9,J$9,$G151=$G$10,J$10,$G151=$G$11,J$11,$G151=$G$12,J$12,$G151=$G$13,J$13,$G151=$G$15,J$15,$G151=$G$16,J$16,$G151=$G$17,J$17,$G151=$G$18,J$18,$G151=$G$19,J$19,$G151=$G$20,J$20,$G151=$G$21,J$21,$G151=$G$22,J$22,$G151=$G$25,J$25,$G151=$G$26,J$26,$G151=$G$27,J$27,$G151=$G$29,J$29,$G151=$G$31,J$31,$G151=$G$32,J$150,$G151=$G$248,J$248,$G151=$G$250,J$250)</f>
        <v>68</v>
      </c>
      <c r="K151" s="48" t="str" cm="1">
        <f t="array" ref="K151">_xlfn.IFS($G151=$G$5,K$5,$G151=$G$6,K$6,$G151=$G$7,K$7,$G151=$G$8,K$8,$G151=$G$9,K$9,$G151=$G$10,K$10,$G151=$G$11,K$11,$G151=$G$12,K$12,$G151=$G$13,K$13,$G151=$G$15,K$15,$G151=$G$16,K$16,$G151=$G$17,K$17,$G151=$G$18,K$18,$G151=$G$19,K$19,$G151=$G$20,K$20,$G151=$G$21,K$21,$G151=$G$22,K$22,$G151=$G$25,K$25,$G151=$G$26,K$26,$G151=$G$27,K$27,$G151=$G$29,K$29,$G151=$G$31,K$31,$G151=$G$32,K$150,$G151=$G$248,K$248,$G151=$G$250,K$250)</f>
        <v>BG sentinel + BG lure7</v>
      </c>
      <c r="M151" s="48"/>
      <c r="O151" s="45" t="str">
        <f t="shared" si="10"/>
        <v>A_SP_BCN_23_210603</v>
      </c>
      <c r="P151" s="64">
        <v>44350</v>
      </c>
      <c r="R151" s="72"/>
      <c r="S151" s="64">
        <v>44357</v>
      </c>
      <c r="U151" s="72"/>
      <c r="V151" s="54" t="s">
        <v>66</v>
      </c>
      <c r="X151" s="45">
        <f t="shared" si="5"/>
        <v>7</v>
      </c>
      <c r="Z151" s="69" t="s">
        <v>69</v>
      </c>
      <c r="AA151" s="45">
        <f t="shared" si="12"/>
        <v>8</v>
      </c>
      <c r="AB151" t="str">
        <f t="shared" si="13"/>
        <v>Adult</v>
      </c>
      <c r="AC151" s="69">
        <v>8</v>
      </c>
      <c r="AD151" s="69">
        <v>0</v>
      </c>
      <c r="AE151" s="45" t="str">
        <f t="shared" si="14"/>
        <v>Morphological</v>
      </c>
      <c r="AF151" s="56">
        <v>4</v>
      </c>
    </row>
    <row r="152" spans="1:32" ht="18" customHeight="1" x14ac:dyDescent="0.25">
      <c r="A152" s="45">
        <v>148</v>
      </c>
      <c r="B152" s="45" t="s">
        <v>60</v>
      </c>
      <c r="C152" s="45" t="s">
        <v>61</v>
      </c>
      <c r="D152" s="45" t="s">
        <v>62</v>
      </c>
      <c r="E152" s="45" t="s">
        <v>62</v>
      </c>
      <c r="F152" s="46" cm="1">
        <f t="array" ref="F152">_xlfn.IFS($G152=$G$5,F$5,$G152=$G$6,F$6,$G152=$G$7,F$7,$G152=$G$8,F$8,$G152=$G$9,F$9,$G152=$G$10,F$10,$G152=$G$11,F$11,$G152=$G$12,F$12,$G152=$G$13,F$13,$G152=$G$15,F$15,$G152=$G$16,F$16,$G152=$G$17,F$17,$G152=$G$18,F$18,$G152=$G$19,F$19,$G152=$G$20,F$20,$G152=$G$21,F$21,$G152=$G$22,F$22,$G152=$G$25,F$25,$G152=$G$26,F$26,$G152=$G$27,F$27,$G152=$G$29,F$29,$G152=$G$31,F$31,$G152=$G$32,F$32,$G152=$G$248,F$248,$G152=$G$250,F$250)</f>
        <v>8038</v>
      </c>
      <c r="G152" s="45" t="s">
        <v>103</v>
      </c>
      <c r="H152" s="66" cm="1">
        <f t="array" ref="H152">_xlfn.IFS($G152=$G$5,H$5,$G152=$G$6,H$6,$G152=$G$7,H$7,$G152=$G$8,H$8,$G152=$G$9,H$9,$G152=$G$10,H$10,$G152=$G$11,H$11,$G152=$G$12,H$12,$G152=$G$13,H$13,$G152=$G$15,H$15,$G152=$G$16,H$16,$G152=$G$17,H$17,$G152=$G$18,H$18,$G152=$G$19,H$19,$G152=$G$20,H$20,$G152=$G$21,H$21,$G152=$G$22,H$22,$G152=$G$25,H$25,$G152=$G$26,H$26,$G152=$G$27,H$27,$G152=$G$29,H$29,$G152=$G$31,H$31,$G152=$G$32,H$150,$G152=$G$248,H$248,$G152=$G$250,H$250)</f>
        <v>41.367100000000001</v>
      </c>
      <c r="I152" s="60" cm="1">
        <f t="array" ref="I152">_xlfn.IFS($G152=$G$5,I$5,$G152=$G$6,I$6,$G152=$G$7,I$7,$G152=$G$8,I$8,$G152=$G$9,I$9,$G152=$G$10,I$10,$G152=$G$11,I$11,$G152=$G$12,I$12,$G152=$G$13,I$13,$G152=$G$15,I$15,$G152=$G$16,I$16,$G152=$G$17,I$17,$G152=$G$18,I$18,$G152=$G$19,I$19,$G152=$G$20,I$20,$G152=$G$21,I$21,$G152=$G$22,I$22,$G152=$G$25,I$25,$G152=$G$26,I$26,$G152=$G$27,I$27,$G152=$G$29,I$29,$G152=$G$31,I$31,$G152=$G$32,I$150,$G152=$G$248,I$248,$G152=$G$250,I$250)</f>
        <v>2.1539079999999999</v>
      </c>
      <c r="J152" cm="1">
        <f t="array" ref="J152">_xlfn.IFS($G152=$G$5,J$5,$G152=$G$6,J$6,$G152=$G$7,J$7,$G152=$G$8,J$8,$G152=$G$9,J$9,$G152=$G$10,J$10,$G152=$G$11,J$11,$G152=$G$12,J$12,$G152=$G$13,J$13,$G152=$G$15,J$15,$G152=$G$16,J$16,$G152=$G$17,J$17,$G152=$G$18,J$18,$G152=$G$19,J$19,$G152=$G$20,J$20,$G152=$G$21,J$21,$G152=$G$22,J$22,$G152=$G$25,J$25,$G152=$G$26,J$26,$G152=$G$27,J$27,$G152=$G$29,J$29,$G152=$G$31,J$31,$G152=$G$32,J$150,$G152=$G$248,J$248,$G152=$G$250,J$250)</f>
        <v>68</v>
      </c>
      <c r="K152" s="48" t="str" cm="1">
        <f t="array" ref="K152">_xlfn.IFS($G152=$G$5,K$5,$G152=$G$6,K$6,$G152=$G$7,K$7,$G152=$G$8,K$8,$G152=$G$9,K$9,$G152=$G$10,K$10,$G152=$G$11,K$11,$G152=$G$12,K$12,$G152=$G$13,K$13,$G152=$G$15,K$15,$G152=$G$16,K$16,$G152=$G$17,K$17,$G152=$G$18,K$18,$G152=$G$19,K$19,$G152=$G$20,K$20,$G152=$G$21,K$21,$G152=$G$22,K$22,$G152=$G$25,K$25,$G152=$G$26,K$26,$G152=$G$27,K$27,$G152=$G$29,K$29,$G152=$G$31,K$31,$G152=$G$32,K$150,$G152=$G$248,K$248,$G152=$G$250,K$250)</f>
        <v>BG sentinel + BG lure7</v>
      </c>
      <c r="M152" s="48"/>
      <c r="O152" s="45" t="str">
        <f t="shared" si="10"/>
        <v>A_SP_BCN_23_210603</v>
      </c>
      <c r="P152" s="64">
        <v>44350</v>
      </c>
      <c r="R152" s="72"/>
      <c r="S152" s="64">
        <v>44357</v>
      </c>
      <c r="U152" s="72"/>
      <c r="V152" s="54" t="s">
        <v>66</v>
      </c>
      <c r="X152" s="45">
        <f t="shared" si="5"/>
        <v>7</v>
      </c>
      <c r="Z152" s="45" t="s">
        <v>70</v>
      </c>
      <c r="AA152" s="45">
        <f t="shared" si="12"/>
        <v>6</v>
      </c>
      <c r="AB152" t="str">
        <f t="shared" si="13"/>
        <v>Adult</v>
      </c>
      <c r="AC152" s="69">
        <v>3</v>
      </c>
      <c r="AD152" s="69">
        <v>3</v>
      </c>
      <c r="AE152" s="45" t="str">
        <f t="shared" si="14"/>
        <v>Morphological</v>
      </c>
      <c r="AF152" s="56">
        <v>4</v>
      </c>
    </row>
    <row r="153" spans="1:32" ht="18" customHeight="1" x14ac:dyDescent="0.25">
      <c r="A153" s="45">
        <v>149</v>
      </c>
      <c r="B153" s="45" t="s">
        <v>60</v>
      </c>
      <c r="C153" s="45" t="s">
        <v>61</v>
      </c>
      <c r="D153" s="45" t="s">
        <v>62</v>
      </c>
      <c r="E153" s="45" t="s">
        <v>62</v>
      </c>
      <c r="F153" s="46" cm="1">
        <f t="array" ref="F153">_xlfn.IFS($G153=$G$5,F$5,$G153=$G$6,F$6,$G153=$G$7,F$7,$G153=$G$8,F$8,$G153=$G$9,F$9,$G153=$G$10,F$10,$G153=$G$11,F$11,$G153=$G$12,F$12,$G153=$G$13,F$13,$G153=$G$15,F$15,$G153=$G$16,F$16,$G153=$G$17,F$17,$G153=$G$18,F$18,$G153=$G$19,F$19,$G153=$G$20,F$20,$G153=$G$21,F$21,$G153=$G$22,F$22,$G153=$G$25,F$25,$G153=$G$26,F$26,$G153=$G$27,F$27,$G153=$G$29,F$29,$G153=$G$31,F$31,$G153=$G$32,F$32,$G153=$G$248,F$248,$G153=$G$250,F$250)</f>
        <v>8038</v>
      </c>
      <c r="G153" s="45" t="s">
        <v>103</v>
      </c>
      <c r="H153" s="66" cm="1">
        <f t="array" ref="H153">_xlfn.IFS($G153=$G$5,H$5,$G153=$G$6,H$6,$G153=$G$7,H$7,$G153=$G$8,H$8,$G153=$G$9,H$9,$G153=$G$10,H$10,$G153=$G$11,H$11,$G153=$G$12,H$12,$G153=$G$13,H$13,$G153=$G$15,H$15,$G153=$G$16,H$16,$G153=$G$17,H$17,$G153=$G$18,H$18,$G153=$G$19,H$19,$G153=$G$20,H$20,$G153=$G$21,H$21,$G153=$G$22,H$22,$G153=$G$25,H$25,$G153=$G$26,H$26,$G153=$G$27,H$27,$G153=$G$29,H$29,$G153=$G$31,H$31,$G153=$G$32,H$150,$G153=$G$248,H$248,$G153=$G$250,H$250)</f>
        <v>41.367100000000001</v>
      </c>
      <c r="I153" s="60" cm="1">
        <f t="array" ref="I153">_xlfn.IFS($G153=$G$5,I$5,$G153=$G$6,I$6,$G153=$G$7,I$7,$G153=$G$8,I$8,$G153=$G$9,I$9,$G153=$G$10,I$10,$G153=$G$11,I$11,$G153=$G$12,I$12,$G153=$G$13,I$13,$G153=$G$15,I$15,$G153=$G$16,I$16,$G153=$G$17,I$17,$G153=$G$18,I$18,$G153=$G$19,I$19,$G153=$G$20,I$20,$G153=$G$21,I$21,$G153=$G$22,I$22,$G153=$G$25,I$25,$G153=$G$26,I$26,$G153=$G$27,I$27,$G153=$G$29,I$29,$G153=$G$31,I$31,$G153=$G$32,I$150,$G153=$G$248,I$248,$G153=$G$250,I$250)</f>
        <v>2.1539079999999999</v>
      </c>
      <c r="J153" cm="1">
        <f t="array" ref="J153">_xlfn.IFS($G153=$G$5,J$5,$G153=$G$6,J$6,$G153=$G$7,J$7,$G153=$G$8,J$8,$G153=$G$9,J$9,$G153=$G$10,J$10,$G153=$G$11,J$11,$G153=$G$12,J$12,$G153=$G$13,J$13,$G153=$G$15,J$15,$G153=$G$16,J$16,$G153=$G$17,J$17,$G153=$G$18,J$18,$G153=$G$19,J$19,$G153=$G$20,J$20,$G153=$G$21,J$21,$G153=$G$22,J$22,$G153=$G$25,J$25,$G153=$G$26,J$26,$G153=$G$27,J$27,$G153=$G$29,J$29,$G153=$G$31,J$31,$G153=$G$32,J$150,$G153=$G$248,J$248,$G153=$G$250,J$250)</f>
        <v>68</v>
      </c>
      <c r="K153" s="48" t="str" cm="1">
        <f t="array" ref="K153">_xlfn.IFS($G153=$G$5,K$5,$G153=$G$6,K$6,$G153=$G$7,K$7,$G153=$G$8,K$8,$G153=$G$9,K$9,$G153=$G$10,K$10,$G153=$G$11,K$11,$G153=$G$12,K$12,$G153=$G$13,K$13,$G153=$G$15,K$15,$G153=$G$16,K$16,$G153=$G$17,K$17,$G153=$G$18,K$18,$G153=$G$19,K$19,$G153=$G$20,K$20,$G153=$G$21,K$21,$G153=$G$22,K$22,$G153=$G$25,K$25,$G153=$G$26,K$26,$G153=$G$27,K$27,$G153=$G$29,K$29,$G153=$G$31,K$31,$G153=$G$32,K$150,$G153=$G$248,K$248,$G153=$G$250,K$250)</f>
        <v>BG sentinel + BG lure7</v>
      </c>
      <c r="M153" s="48"/>
      <c r="O153" s="45" t="str">
        <f t="shared" si="10"/>
        <v>A_SP_BCN_23_210603</v>
      </c>
      <c r="P153" s="64">
        <v>44350</v>
      </c>
      <c r="R153" s="72"/>
      <c r="S153" s="64">
        <v>44357</v>
      </c>
      <c r="U153" s="72"/>
      <c r="V153" s="54" t="s">
        <v>66</v>
      </c>
      <c r="X153" s="45">
        <f t="shared" si="5"/>
        <v>7</v>
      </c>
      <c r="Z153" s="45" t="s">
        <v>80</v>
      </c>
      <c r="AA153" s="45">
        <f t="shared" si="12"/>
        <v>1</v>
      </c>
      <c r="AB153" t="str">
        <f t="shared" si="13"/>
        <v>Adult</v>
      </c>
      <c r="AC153" s="69">
        <v>0</v>
      </c>
      <c r="AD153" s="69">
        <v>1</v>
      </c>
      <c r="AE153" s="45" t="str">
        <f t="shared" si="14"/>
        <v>Morphological</v>
      </c>
      <c r="AF153" s="56">
        <v>4</v>
      </c>
    </row>
    <row r="154" spans="1:32" ht="18" customHeight="1" x14ac:dyDescent="0.25">
      <c r="A154" s="45">
        <v>150</v>
      </c>
      <c r="B154" s="45" t="s">
        <v>60</v>
      </c>
      <c r="C154" s="45" t="s">
        <v>61</v>
      </c>
      <c r="D154" s="45" t="s">
        <v>62</v>
      </c>
      <c r="E154" s="45" t="s">
        <v>62</v>
      </c>
      <c r="F154" s="46" cm="1">
        <f t="array" ref="F154">_xlfn.IFS($G154=$G$5,F$5,$G154=$G$6,F$6,$G154=$G$7,F$7,$G154=$G$8,F$8,$G154=$G$9,F$9,$G154=$G$10,F$10,$G154=$G$11,F$11,$G154=$G$12,F$12,$G154=$G$13,F$13,$G154=$G$15,F$15,$G154=$G$16,F$16,$G154=$G$17,F$17,$G154=$G$18,F$18,$G154=$G$19,F$19,$G154=$G$20,F$20,$G154=$G$21,F$21,$G154=$G$22,F$22,$G154=$G$25,F$25,$G154=$G$26,F$26,$G154=$G$27,F$27,$G154=$G$29,F$29,$G154=$G$31,F$31,$G154=$G$32,F$32,$G154=$G$248,F$248,$G154=$G$250,F$250)</f>
        <v>8015</v>
      </c>
      <c r="G154" t="s">
        <v>109</v>
      </c>
      <c r="H154" s="66" cm="1">
        <f t="array" ref="H154">_xlfn.IFS($G154=$G$5,H$5,$G154=$G$6,H$6,$G154=$G$7,H$7,$G154=$G$8,H$8,$G154=$G$9,H$9,$G154=$G$10,H$10,$G154=$G$11,H$11,$G154=$G$12,H$12,$G154=$G$13,H$13,$G154=$G$15,H$15,$G154=$G$16,H$16,$G154=$G$17,H$17,$G154=$G$18,H$18,$G154=$G$19,H$19,$G154=$G$20,H$20,$G154=$G$21,H$21,$G154=$G$22,H$22,$G154=$G$25,H$25,$G154=$G$26,H$26,$G154=$G$27,H$27,$G154=$G$29,H$29,$G154=$G$31,H$31,$G154=$G$32,H$150,$G154=$G$248,H$248,$G154=$G$250,H$250)</f>
        <v>41.381725000000003</v>
      </c>
      <c r="I154" s="60" cm="1">
        <f t="array" ref="I154">_xlfn.IFS($G154=$G$5,I$5,$G154=$G$6,I$6,$G154=$G$7,I$7,$G154=$G$8,I$8,$G154=$G$9,I$9,$G154=$G$10,I$10,$G154=$G$11,I$11,$G154=$G$12,I$12,$G154=$G$13,I$13,$G154=$G$15,I$15,$G154=$G$16,I$16,$G154=$G$17,I$17,$G154=$G$18,I$18,$G154=$G$19,I$19,$G154=$G$20,I$20,$G154=$G$21,I$21,$G154=$G$22,I$22,$G154=$G$25,I$25,$G154=$G$26,I$26,$G154=$G$27,I$27,$G154=$G$29,I$29,$G154=$G$31,I$31,$G154=$G$32,I$150,$G154=$G$248,I$248,$G154=$G$250,I$250)</f>
        <v>2.1543679999999998</v>
      </c>
      <c r="J154" cm="1">
        <f t="array" ref="J154">_xlfn.IFS($G154=$G$5,J$5,$G154=$G$6,J$6,$G154=$G$7,J$7,$G154=$G$8,J$8,$G154=$G$9,J$9,$G154=$G$10,J$10,$G154=$G$11,J$11,$G154=$G$12,J$12,$G154=$G$13,J$13,$G154=$G$15,J$15,$G154=$G$16,J$16,$G154=$G$17,J$17,$G154=$G$18,J$18,$G154=$G$19,J$19,$G154=$G$20,J$20,$G154=$G$21,J$21,$G154=$G$22,J$22,$G154=$G$25,J$25,$G154=$G$26,J$26,$G154=$G$27,J$27,$G154=$G$29,J$29,$G154=$G$31,J$31,$G154=$G$32,J$150,$G154=$G$248,J$248,$G154=$G$250,J$250)</f>
        <v>20.7</v>
      </c>
      <c r="K154" s="48" t="str" cm="1">
        <f t="array" ref="K154">_xlfn.IFS($G154=$G$5,K$5,$G154=$G$6,K$6,$G154=$G$7,K$7,$G154=$G$8,K$8,$G154=$G$9,K$9,$G154=$G$10,K$10,$G154=$G$11,K$11,$G154=$G$12,K$12,$G154=$G$13,K$13,$G154=$G$15,K$15,$G154=$G$16,K$16,$G154=$G$17,K$17,$G154=$G$18,K$18,$G154=$G$19,K$19,$G154=$G$20,K$20,$G154=$G$21,K$21,$G154=$G$22,K$22,$G154=$G$25,K$25,$G154=$G$26,K$26,$G154=$G$27,K$27,$G154=$G$29,K$29,$G154=$G$31,K$31,$G154=$G$32,K$150,$G154=$G$248,K$248,$G154=$G$250,K$250)</f>
        <v>BG sentinel + BG lure7</v>
      </c>
      <c r="L154" s="48"/>
      <c r="M154" s="48"/>
      <c r="O154" s="45" t="str">
        <f t="shared" si="10"/>
        <v>A_SP_BCN_24_210605</v>
      </c>
      <c r="P154" s="64">
        <v>44352</v>
      </c>
      <c r="R154" s="72"/>
      <c r="S154" s="64">
        <v>44363</v>
      </c>
      <c r="U154" s="72"/>
      <c r="V154" s="54" t="s">
        <v>66</v>
      </c>
      <c r="X154" s="45">
        <f t="shared" si="5"/>
        <v>11</v>
      </c>
      <c r="Z154" s="69" t="s">
        <v>69</v>
      </c>
      <c r="AA154" s="45">
        <f t="shared" si="12"/>
        <v>4</v>
      </c>
      <c r="AB154" t="str">
        <f t="shared" si="13"/>
        <v>Adult</v>
      </c>
      <c r="AC154" s="69">
        <v>1</v>
      </c>
      <c r="AD154" s="69">
        <v>3</v>
      </c>
      <c r="AE154" s="45" t="str">
        <f t="shared" si="14"/>
        <v>Morphological</v>
      </c>
      <c r="AF154" s="56">
        <v>4</v>
      </c>
    </row>
    <row r="155" spans="1:32" ht="18" customHeight="1" x14ac:dyDescent="0.25">
      <c r="A155" s="45">
        <v>151</v>
      </c>
      <c r="B155" s="45" t="s">
        <v>60</v>
      </c>
      <c r="C155" s="45" t="s">
        <v>61</v>
      </c>
      <c r="D155" s="45" t="s">
        <v>62</v>
      </c>
      <c r="E155" s="45" t="s">
        <v>62</v>
      </c>
      <c r="F155" s="46" cm="1">
        <f t="array" ref="F155">_xlfn.IFS($G155=$G$5,F$5,$G155=$G$6,F$6,$G155=$G$7,F$7,$G155=$G$8,F$8,$G155=$G$9,F$9,$G155=$G$10,F$10,$G155=$G$11,F$11,$G155=$G$12,F$12,$G155=$G$13,F$13,$G155=$G$15,F$15,$G155=$G$16,F$16,$G155=$G$17,F$17,$G155=$G$18,F$18,$G155=$G$19,F$19,$G155=$G$20,F$20,$G155=$G$21,F$21,$G155=$G$22,F$22,$G155=$G$25,F$25,$G155=$G$26,F$26,$G155=$G$27,F$27,$G155=$G$29,F$29,$G155=$G$31,F$31,$G155=$G$32,F$32,$G155=$G$248,F$248,$G155=$G$250,F$250)</f>
        <v>8015</v>
      </c>
      <c r="G155" t="s">
        <v>109</v>
      </c>
      <c r="H155" s="66" cm="1">
        <f t="array" ref="H155">_xlfn.IFS($G155=$G$5,H$5,$G155=$G$6,H$6,$G155=$G$7,H$7,$G155=$G$8,H$8,$G155=$G$9,H$9,$G155=$G$10,H$10,$G155=$G$11,H$11,$G155=$G$12,H$12,$G155=$G$13,H$13,$G155=$G$15,H$15,$G155=$G$16,H$16,$G155=$G$17,H$17,$G155=$G$18,H$18,$G155=$G$19,H$19,$G155=$G$20,H$20,$G155=$G$21,H$21,$G155=$G$22,H$22,$G155=$G$25,H$25,$G155=$G$26,H$26,$G155=$G$27,H$27,$G155=$G$29,H$29,$G155=$G$31,H$31,$G155=$G$32,H$150,$G155=$G$248,H$248,$G155=$G$250,H$250)</f>
        <v>41.381725000000003</v>
      </c>
      <c r="I155" s="60" cm="1">
        <f t="array" ref="I155">_xlfn.IFS($G155=$G$5,I$5,$G155=$G$6,I$6,$G155=$G$7,I$7,$G155=$G$8,I$8,$G155=$G$9,I$9,$G155=$G$10,I$10,$G155=$G$11,I$11,$G155=$G$12,I$12,$G155=$G$13,I$13,$G155=$G$15,I$15,$G155=$G$16,I$16,$G155=$G$17,I$17,$G155=$G$18,I$18,$G155=$G$19,I$19,$G155=$G$20,I$20,$G155=$G$21,I$21,$G155=$G$22,I$22,$G155=$G$25,I$25,$G155=$G$26,I$26,$G155=$G$27,I$27,$G155=$G$29,I$29,$G155=$G$31,I$31,$G155=$G$32,I$150,$G155=$G$248,I$248,$G155=$G$250,I$250)</f>
        <v>2.1543679999999998</v>
      </c>
      <c r="J155" cm="1">
        <f t="array" ref="J155">_xlfn.IFS($G155=$G$5,J$5,$G155=$G$6,J$6,$G155=$G$7,J$7,$G155=$G$8,J$8,$G155=$G$9,J$9,$G155=$G$10,J$10,$G155=$G$11,J$11,$G155=$G$12,J$12,$G155=$G$13,J$13,$G155=$G$15,J$15,$G155=$G$16,J$16,$G155=$G$17,J$17,$G155=$G$18,J$18,$G155=$G$19,J$19,$G155=$G$20,J$20,$G155=$G$21,J$21,$G155=$G$22,J$22,$G155=$G$25,J$25,$G155=$G$26,J$26,$G155=$G$27,J$27,$G155=$G$29,J$29,$G155=$G$31,J$31,$G155=$G$32,J$150,$G155=$G$248,J$248,$G155=$G$250,J$250)</f>
        <v>20.7</v>
      </c>
      <c r="K155" s="48" t="str" cm="1">
        <f t="array" ref="K155">_xlfn.IFS($G155=$G$5,K$5,$G155=$G$6,K$6,$G155=$G$7,K$7,$G155=$G$8,K$8,$G155=$G$9,K$9,$G155=$G$10,K$10,$G155=$G$11,K$11,$G155=$G$12,K$12,$G155=$G$13,K$13,$G155=$G$15,K$15,$G155=$G$16,K$16,$G155=$G$17,K$17,$G155=$G$18,K$18,$G155=$G$19,K$19,$G155=$G$20,K$20,$G155=$G$21,K$21,$G155=$G$22,K$22,$G155=$G$25,K$25,$G155=$G$26,K$26,$G155=$G$27,K$27,$G155=$G$29,K$29,$G155=$G$31,K$31,$G155=$G$32,K$150,$G155=$G$248,K$248,$G155=$G$250,K$250)</f>
        <v>BG sentinel + BG lure7</v>
      </c>
      <c r="L155" s="48"/>
      <c r="M155" s="48"/>
      <c r="O155" s="45" t="str">
        <f t="shared" si="10"/>
        <v>A_SP_BCN_24_210605</v>
      </c>
      <c r="P155" s="64">
        <v>44352</v>
      </c>
      <c r="R155" s="72"/>
      <c r="S155" s="64">
        <v>44363</v>
      </c>
      <c r="U155" s="72"/>
      <c r="V155" s="54" t="s">
        <v>66</v>
      </c>
      <c r="X155" s="45">
        <f t="shared" si="5"/>
        <v>11</v>
      </c>
      <c r="Z155" s="45" t="s">
        <v>70</v>
      </c>
      <c r="AA155" s="45">
        <f t="shared" si="12"/>
        <v>2</v>
      </c>
      <c r="AB155" t="str">
        <f t="shared" si="13"/>
        <v>Adult</v>
      </c>
      <c r="AC155" s="69">
        <v>2</v>
      </c>
      <c r="AD155" s="69">
        <v>0</v>
      </c>
      <c r="AE155" s="45" t="str">
        <f t="shared" si="14"/>
        <v>Morphological</v>
      </c>
      <c r="AF155" s="56">
        <v>4</v>
      </c>
    </row>
    <row r="156" spans="1:32" ht="18" customHeight="1" x14ac:dyDescent="0.25">
      <c r="A156" s="45">
        <v>152</v>
      </c>
      <c r="B156" s="45" t="s">
        <v>60</v>
      </c>
      <c r="C156" s="45" t="s">
        <v>61</v>
      </c>
      <c r="D156" s="45" t="s">
        <v>62</v>
      </c>
      <c r="E156" s="45" t="s">
        <v>62</v>
      </c>
      <c r="F156" s="46" cm="1">
        <f t="array" ref="F156">_xlfn.IFS($G156=$G$5,F$5,$G156=$G$6,F$6,$G156=$G$7,F$7,$G156=$G$8,F$8,$G156=$G$9,F$9,$G156=$G$10,F$10,$G156=$G$11,F$11,$G156=$G$12,F$12,$G156=$G$13,F$13,$G156=$G$15,F$15,$G156=$G$16,F$16,$G156=$G$17,F$17,$G156=$G$18,F$18,$G156=$G$19,F$19,$G156=$G$20,F$20,$G156=$G$21,F$21,$G156=$G$22,F$22,$G156=$G$25,F$25,$G156=$G$26,F$26,$G156=$G$27,F$27,$G156=$G$29,F$29,$G156=$G$31,F$31,$G156=$G$32,F$32,$G156=$G$248,F$248,$G156=$G$250,F$250)</f>
        <v>8015</v>
      </c>
      <c r="G156" t="s">
        <v>109</v>
      </c>
      <c r="H156" s="66" cm="1">
        <f t="array" ref="H156">_xlfn.IFS($G156=$G$5,H$5,$G156=$G$6,H$6,$G156=$G$7,H$7,$G156=$G$8,H$8,$G156=$G$9,H$9,$G156=$G$10,H$10,$G156=$G$11,H$11,$G156=$G$12,H$12,$G156=$G$13,H$13,$G156=$G$15,H$15,$G156=$G$16,H$16,$G156=$G$17,H$17,$G156=$G$18,H$18,$G156=$G$19,H$19,$G156=$G$20,H$20,$G156=$G$21,H$21,$G156=$G$22,H$22,$G156=$G$25,H$25,$G156=$G$26,H$26,$G156=$G$27,H$27,$G156=$G$29,H$29,$G156=$G$31,H$31,$G156=$G$32,H$150,$G156=$G$248,H$248,$G156=$G$250,H$250)</f>
        <v>41.381725000000003</v>
      </c>
      <c r="I156" s="60" cm="1">
        <f t="array" ref="I156">_xlfn.IFS($G156=$G$5,I$5,$G156=$G$6,I$6,$G156=$G$7,I$7,$G156=$G$8,I$8,$G156=$G$9,I$9,$G156=$G$10,I$10,$G156=$G$11,I$11,$G156=$G$12,I$12,$G156=$G$13,I$13,$G156=$G$15,I$15,$G156=$G$16,I$16,$G156=$G$17,I$17,$G156=$G$18,I$18,$G156=$G$19,I$19,$G156=$G$20,I$20,$G156=$G$21,I$21,$G156=$G$22,I$22,$G156=$G$25,I$25,$G156=$G$26,I$26,$G156=$G$27,I$27,$G156=$G$29,I$29,$G156=$G$31,I$31,$G156=$G$32,I$150,$G156=$G$248,I$248,$G156=$G$250,I$250)</f>
        <v>2.1543679999999998</v>
      </c>
      <c r="J156" cm="1">
        <f t="array" ref="J156">_xlfn.IFS($G156=$G$5,J$5,$G156=$G$6,J$6,$G156=$G$7,J$7,$G156=$G$8,J$8,$G156=$G$9,J$9,$G156=$G$10,J$10,$G156=$G$11,J$11,$G156=$G$12,J$12,$G156=$G$13,J$13,$G156=$G$15,J$15,$G156=$G$16,J$16,$G156=$G$17,J$17,$G156=$G$18,J$18,$G156=$G$19,J$19,$G156=$G$20,J$20,$G156=$G$21,J$21,$G156=$G$22,J$22,$G156=$G$25,J$25,$G156=$G$26,J$26,$G156=$G$27,J$27,$G156=$G$29,J$29,$G156=$G$31,J$31,$G156=$G$32,J$150,$G156=$G$248,J$248,$G156=$G$250,J$250)</f>
        <v>20.7</v>
      </c>
      <c r="K156" s="48" t="str" cm="1">
        <f t="array" ref="K156">_xlfn.IFS($G156=$G$5,K$5,$G156=$G$6,K$6,$G156=$G$7,K$7,$G156=$G$8,K$8,$G156=$G$9,K$9,$G156=$G$10,K$10,$G156=$G$11,K$11,$G156=$G$12,K$12,$G156=$G$13,K$13,$G156=$G$15,K$15,$G156=$G$16,K$16,$G156=$G$17,K$17,$G156=$G$18,K$18,$G156=$G$19,K$19,$G156=$G$20,K$20,$G156=$G$21,K$21,$G156=$G$22,K$22,$G156=$G$25,K$25,$G156=$G$26,K$26,$G156=$G$27,K$27,$G156=$G$29,K$29,$G156=$G$31,K$31,$G156=$G$32,K$150,$G156=$G$248,K$248,$G156=$G$250,K$250)</f>
        <v>BG sentinel + BG lure7</v>
      </c>
      <c r="L156" s="48"/>
      <c r="M156" s="48"/>
      <c r="O156" s="45" t="str">
        <f t="shared" si="10"/>
        <v>A_SP_BCN_24_210605</v>
      </c>
      <c r="P156" s="64">
        <v>44352</v>
      </c>
      <c r="R156" s="72"/>
      <c r="S156" s="64">
        <v>44363</v>
      </c>
      <c r="U156" s="72"/>
      <c r="V156" s="54" t="s">
        <v>66</v>
      </c>
      <c r="X156" s="45">
        <f t="shared" si="5"/>
        <v>11</v>
      </c>
      <c r="Z156" s="45" t="s">
        <v>80</v>
      </c>
      <c r="AA156" s="45">
        <f t="shared" si="12"/>
        <v>10</v>
      </c>
      <c r="AB156" t="str">
        <f t="shared" si="13"/>
        <v>Adult</v>
      </c>
      <c r="AC156" s="69">
        <v>9</v>
      </c>
      <c r="AD156" s="69">
        <v>1</v>
      </c>
      <c r="AE156" s="45" t="str">
        <f t="shared" si="14"/>
        <v>Morphological</v>
      </c>
      <c r="AF156" s="56">
        <v>4</v>
      </c>
    </row>
    <row r="157" spans="1:32" ht="18" customHeight="1" x14ac:dyDescent="0.25">
      <c r="A157" s="45">
        <v>153</v>
      </c>
      <c r="B157" s="45" t="s">
        <v>60</v>
      </c>
      <c r="C157" s="45" t="s">
        <v>61</v>
      </c>
      <c r="D157" s="45" t="s">
        <v>62</v>
      </c>
      <c r="E157" s="45" t="s">
        <v>62</v>
      </c>
      <c r="F157" s="46" cm="1">
        <f t="array" ref="F157">_xlfn.IFS($G157=$G$5,F$5,$G157=$G$6,F$6,$G157=$G$7,F$7,$G157=$G$8,F$8,$G157=$G$9,F$9,$G157=$G$10,F$10,$G157=$G$11,F$11,$G157=$G$12,F$12,$G157=$G$13,F$13,$G157=$G$15,F$15,$G157=$G$16,F$16,$G157=$G$17,F$17,$G157=$G$18,F$18,$G157=$G$19,F$19,$G157=$G$20,F$20,$G157=$G$21,F$21,$G157=$G$22,F$22,$G157=$G$25,F$25,$G157=$G$26,F$26,$G157=$G$27,F$27,$G157=$G$29,F$29,$G157=$G$31,F$31,$G157=$G$32,F$32,$G157=$G$248,F$248,$G157=$G$250,F$250)</f>
        <v>8024</v>
      </c>
      <c r="G157" t="s">
        <v>63</v>
      </c>
      <c r="H157" s="66" cm="1">
        <f t="array" ref="H157">_xlfn.IFS($G157=$G$5,H$5,$G157=$G$6,H$6,$G157=$G$7,H$7,$G157=$G$8,H$8,$G157=$G$9,H$9,$G157=$G$10,H$10,$G157=$G$11,H$11,$G157=$G$12,H$12,$G157=$G$13,H$13,$G157=$G$15,H$15,$G157=$G$16,H$16,$G157=$G$17,H$17,$G157=$G$18,H$18,$G157=$G$19,H$19,$G157=$G$20,H$20,$G157=$G$21,H$21,$G157=$G$22,H$22,$G157=$G$25,H$25,$G157=$G$26,H$26,$G157=$G$27,H$27,$G157=$G$29,H$29,$G157=$G$31,H$31,$G157=$G$32,H$150,$G157=$G$248,H$248,$G157=$G$250,H$250)</f>
        <v>41.413573999999997</v>
      </c>
      <c r="I157" s="60" cm="1">
        <f t="array" ref="I157">_xlfn.IFS($G157=$G$5,I$5,$G157=$G$6,I$6,$G157=$G$7,I$7,$G157=$G$8,I$8,$G157=$G$9,I$9,$G157=$G$10,I$10,$G157=$G$11,I$11,$G157=$G$12,I$12,$G157=$G$13,I$13,$G157=$G$15,I$15,$G157=$G$16,I$16,$G157=$G$17,I$17,$G157=$G$18,I$18,$G157=$G$19,I$19,$G157=$G$20,I$20,$G157=$G$21,I$21,$G157=$G$22,I$22,$G157=$G$25,I$25,$G157=$G$26,I$26,$G157=$G$27,I$27,$G157=$G$29,I$29,$G157=$G$31,I$31,$G157=$G$32,I$150,$G157=$G$248,I$248,$G157=$G$250,I$250)</f>
        <v>2.1520730000000001</v>
      </c>
      <c r="J157" cm="1">
        <f t="array" ref="J157">_xlfn.IFS($G157=$G$5,J$5,$G157=$G$6,J$6,$G157=$G$7,J$7,$G157=$G$8,J$8,$G157=$G$9,J$9,$G157=$G$10,J$10,$G157=$G$11,J$11,$G157=$G$12,J$12,$G157=$G$13,J$13,$G157=$G$15,J$15,$G157=$G$16,J$16,$G157=$G$17,J$17,$G157=$G$18,J$18,$G157=$G$19,J$19,$G157=$G$20,J$20,$G157=$G$21,J$21,$G157=$G$22,J$22,$G157=$G$25,J$25,$G157=$G$26,J$26,$G157=$G$27,J$27,$G157=$G$29,J$29,$G157=$G$31,J$31,$G157=$G$32,J$150,$G157=$G$248,J$248,$G157=$G$250,J$250)</f>
        <v>141</v>
      </c>
      <c r="K157" s="48" t="str" cm="1">
        <f t="array" ref="K157">_xlfn.IFS($G157=$G$5,K$5,$G157=$G$6,K$6,$G157=$G$7,K$7,$G157=$G$8,K$8,$G157=$G$9,K$9,$G157=$G$10,K$10,$G157=$G$11,K$11,$G157=$G$12,K$12,$G157=$G$13,K$13,$G157=$G$15,K$15,$G157=$G$16,K$16,$G157=$G$17,K$17,$G157=$G$18,K$18,$G157=$G$19,K$19,$G157=$G$20,K$20,$G157=$G$21,K$21,$G157=$G$22,K$22,$G157=$G$25,K$25,$G157=$G$26,K$26,$G157=$G$27,K$27,$G157=$G$29,K$29,$G157=$G$31,K$31,$G157=$G$32,K$150,$G157=$G$248,K$248,$G157=$G$250,K$250)</f>
        <v>BG sentinel + BG lure7</v>
      </c>
      <c r="L157" s="48" t="str" cm="1">
        <f t="array" ref="L157">_xlfn.IFS($G157=$G$5,L$5,$G157=$G$6,L$6,$G157=$G$7,L$7,$G157=$G$8,L$8,$G157=$G$9,L$9,$G157=$G$10,L$10,$G157=$G$11,L$11,$G157=$G$12,L$12,$G157=$G$13,L$13,$G157=$G$15,L$15,$G157=$G$16,L$16,$G157=$G$17,L$17,$G157=$G$18,L$18,$G157=$G$19,L$19,$G157=$G$20,L$20,$G157=$G$21,L$21,$G157=$G$22,L$22,$G157=$G$25,L$25,$G157=$G$26,L$26,$G157=$G$27,L$27,$G157=$G$29,L$29,$G157=$G$31,L$31,$G157=$G$32,L$32,$G157=$G$248,L$248,$G157=$G$250,L$250)</f>
        <v>Urban habitat</v>
      </c>
      <c r="M157" s="48"/>
      <c r="O157" s="45" t="str">
        <f t="shared" si="10"/>
        <v>A_SP_BCN_1_210609</v>
      </c>
      <c r="P157" s="64">
        <v>44356</v>
      </c>
      <c r="R157" s="72"/>
      <c r="S157" s="64">
        <v>44363</v>
      </c>
      <c r="U157" s="72"/>
      <c r="V157" s="54" t="s">
        <v>110</v>
      </c>
      <c r="W157" t="s">
        <v>111</v>
      </c>
      <c r="X157" s="45">
        <f t="shared" si="5"/>
        <v>7</v>
      </c>
      <c r="AA157" s="45"/>
      <c r="AB157" t="str">
        <f t="shared" si="13"/>
        <v/>
      </c>
      <c r="AE157" s="45" t="str">
        <f t="shared" si="14"/>
        <v/>
      </c>
      <c r="AF157" s="56">
        <v>1</v>
      </c>
    </row>
    <row r="158" spans="1:32" ht="18" customHeight="1" x14ac:dyDescent="0.25">
      <c r="A158" s="45">
        <v>154</v>
      </c>
      <c r="B158" s="45" t="s">
        <v>60</v>
      </c>
      <c r="C158" s="45" t="s">
        <v>61</v>
      </c>
      <c r="D158" s="45" t="s">
        <v>62</v>
      </c>
      <c r="E158" s="45" t="s">
        <v>62</v>
      </c>
      <c r="F158" s="46" cm="1">
        <f t="array" ref="F158">_xlfn.IFS($G158=$G$5,F$5,$G158=$G$6,F$6,$G158=$G$7,F$7,$G158=$G$8,F$8,$G158=$G$9,F$9,$G158=$G$10,F$10,$G158=$G$11,F$11,$G158=$G$12,F$12,$G158=$G$13,F$13,$G158=$G$15,F$15,$G158=$G$16,F$16,$G158=$G$17,F$17,$G158=$G$18,F$18,$G158=$G$19,F$19,$G158=$G$20,F$20,$G158=$G$21,F$21,$G158=$G$22,F$22,$G158=$G$25,F$25,$G158=$G$26,F$26,$G158=$G$27,F$27,$G158=$G$29,F$29,$G158=$G$31,F$31,$G158=$G$32,F$32,$G158=$G$248,F$248,$G158=$G$250,F$250)</f>
        <v>8035</v>
      </c>
      <c r="G158" t="s">
        <v>67</v>
      </c>
      <c r="H158" s="66" cm="1">
        <f t="array" ref="H158">_xlfn.IFS($G158=$G$5,H$5,$G158=$G$6,H$6,$G158=$G$7,H$7,$G158=$G$8,H$8,$G158=$G$9,H$9,$G158=$G$10,H$10,$G158=$G$11,H$11,$G158=$G$12,H$12,$G158=$G$13,H$13,$G158=$G$15,H$15,$G158=$G$16,H$16,$G158=$G$17,H$17,$G158=$G$18,H$18,$G158=$G$19,H$19,$G158=$G$20,H$20,$G158=$G$21,H$21,$G158=$G$22,H$22,$G158=$G$25,H$25,$G158=$G$26,H$26,$G158=$G$27,H$27,$G158=$G$29,H$29,$G158=$G$31,H$31,$G158=$G$32,H$150,$G158=$G$248,H$248,$G158=$G$250,H$250)</f>
        <v>41.424387000000003</v>
      </c>
      <c r="I158" s="60" cm="1">
        <f t="array" ref="I158">_xlfn.IFS($G158=$G$5,I$5,$G158=$G$6,I$6,$G158=$G$7,I$7,$G158=$G$8,I$8,$G158=$G$9,I$9,$G158=$G$10,I$10,$G158=$G$11,I$11,$G158=$G$12,I$12,$G158=$G$13,I$13,$G158=$G$15,I$15,$G158=$G$16,I$16,$G158=$G$17,I$17,$G158=$G$18,I$18,$G158=$G$19,I$19,$G158=$G$20,I$20,$G158=$G$21,I$21,$G158=$G$22,I$22,$G158=$G$25,I$25,$G158=$G$26,I$26,$G158=$G$27,I$27,$G158=$G$29,I$29,$G158=$G$31,I$31,$G158=$G$32,I$150,$G158=$G$248,I$248,$G158=$G$250,I$250)</f>
        <v>2.1431439999999999</v>
      </c>
      <c r="J158" cm="1">
        <f t="array" ref="J158">_xlfn.IFS($G158=$G$5,J$5,$G158=$G$6,J$6,$G158=$G$7,J$7,$G158=$G$8,J$8,$G158=$G$9,J$9,$G158=$G$10,J$10,$G158=$G$11,J$11,$G158=$G$12,J$12,$G158=$G$13,J$13,$G158=$G$15,J$15,$G158=$G$16,J$16,$G158=$G$17,J$17,$G158=$G$18,J$18,$G158=$G$19,J$19,$G158=$G$20,J$20,$G158=$G$21,J$21,$G158=$G$22,J$22,$G158=$G$25,J$25,$G158=$G$26,J$26,$G158=$G$27,J$27,$G158=$G$29,J$29,$G158=$G$31,J$31,$G158=$G$32,J$150,$G158=$G$248,J$248,$G158=$G$250,J$250)</f>
        <v>160</v>
      </c>
      <c r="K158" s="48" t="str" cm="1">
        <f t="array" ref="K158">_xlfn.IFS($G158=$G$5,K$5,$G158=$G$6,K$6,$G158=$G$7,K$7,$G158=$G$8,K$8,$G158=$G$9,K$9,$G158=$G$10,K$10,$G158=$G$11,K$11,$G158=$G$12,K$12,$G158=$G$13,K$13,$G158=$G$15,K$15,$G158=$G$16,K$16,$G158=$G$17,K$17,$G158=$G$18,K$18,$G158=$G$19,K$19,$G158=$G$20,K$20,$G158=$G$21,K$21,$G158=$G$22,K$22,$G158=$G$25,K$25,$G158=$G$26,K$26,$G158=$G$27,K$27,$G158=$G$29,K$29,$G158=$G$31,K$31,$G158=$G$32,K$150,$G158=$G$248,K$248,$G158=$G$250,K$250)</f>
        <v>BG sentinel + BG lure7</v>
      </c>
      <c r="L158" s="48"/>
      <c r="M158" s="48"/>
      <c r="O158" s="45" t="str">
        <f t="shared" si="10"/>
        <v>A_SP_BCN_2_210609</v>
      </c>
      <c r="P158" s="64">
        <v>44356</v>
      </c>
      <c r="R158" s="72"/>
      <c r="S158" s="64">
        <v>44363</v>
      </c>
      <c r="U158" s="72"/>
      <c r="V158" s="54" t="s">
        <v>66</v>
      </c>
      <c r="X158" s="45">
        <f t="shared" si="5"/>
        <v>7</v>
      </c>
      <c r="AA158" s="45">
        <f t="shared" ref="AA158:AA189" si="15">SUM(AC158:AD158)</f>
        <v>0</v>
      </c>
      <c r="AB158" t="str">
        <f t="shared" si="13"/>
        <v/>
      </c>
      <c r="AE158" s="45" t="str">
        <f t="shared" si="14"/>
        <v/>
      </c>
      <c r="AF158" s="56">
        <v>4</v>
      </c>
    </row>
    <row r="159" spans="1:32" ht="18" customHeight="1" x14ac:dyDescent="0.25">
      <c r="A159" s="45">
        <v>155</v>
      </c>
      <c r="B159" s="45" t="s">
        <v>60</v>
      </c>
      <c r="C159" s="45" t="s">
        <v>61</v>
      </c>
      <c r="D159" s="45" t="s">
        <v>62</v>
      </c>
      <c r="E159" s="45" t="s">
        <v>62</v>
      </c>
      <c r="F159" s="46" cm="1">
        <f t="array" ref="F159">_xlfn.IFS($G159=$G$5,F$5,$G159=$G$6,F$6,$G159=$G$7,F$7,$G159=$G$8,F$8,$G159=$G$9,F$9,$G159=$G$10,F$10,$G159=$G$11,F$11,$G159=$G$12,F$12,$G159=$G$13,F$13,$G159=$G$15,F$15,$G159=$G$16,F$16,$G159=$G$17,F$17,$G159=$G$18,F$18,$G159=$G$19,F$19,$G159=$G$20,F$20,$G159=$G$21,F$21,$G159=$G$22,F$22,$G159=$G$25,F$25,$G159=$G$26,F$26,$G159=$G$27,F$27,$G159=$G$29,F$29,$G159=$G$31,F$31,$G159=$G$32,F$32,$G159=$G$248,F$248,$G159=$G$250,F$250)</f>
        <v>8016</v>
      </c>
      <c r="G159" t="s">
        <v>68</v>
      </c>
      <c r="H159" s="66" cm="1">
        <f t="array" ref="H159">_xlfn.IFS($G159=$G$5,H$5,$G159=$G$6,H$6,$G159=$G$7,H$7,$G159=$G$8,H$8,$G159=$G$9,H$9,$G159=$G$10,H$10,$G159=$G$11,H$11,$G159=$G$12,H$12,$G159=$G$13,H$13,$G159=$G$15,H$15,$G159=$G$16,H$16,$G159=$G$17,H$17,$G159=$G$18,H$18,$G159=$G$19,H$19,$G159=$G$20,H$20,$G159=$G$21,H$21,$G159=$G$22,H$22,$G159=$G$25,H$25,$G159=$G$26,H$26,$G159=$G$27,H$27,$G159=$G$29,H$29,$G159=$G$31,H$31,$G159=$G$32,H$150,$G159=$G$248,H$248,$G159=$G$250,H$250)</f>
        <v>41.437435000000001</v>
      </c>
      <c r="I159" s="60" cm="1">
        <f t="array" ref="I159">_xlfn.IFS($G159=$G$5,I$5,$G159=$G$6,I$6,$G159=$G$7,I$7,$G159=$G$8,I$8,$G159=$G$9,I$9,$G159=$G$10,I$10,$G159=$G$11,I$11,$G159=$G$12,I$12,$G159=$G$13,I$13,$G159=$G$15,I$15,$G159=$G$16,I$16,$G159=$G$17,I$17,$G159=$G$18,I$18,$G159=$G$19,I$19,$G159=$G$20,I$20,$G159=$G$21,I$21,$G159=$G$22,I$22,$G159=$G$25,I$25,$G159=$G$26,I$26,$G159=$G$27,I$27,$G159=$G$29,I$29,$G159=$G$31,I$31,$G159=$G$32,I$150,$G159=$G$248,I$248,$G159=$G$250,I$250)</f>
        <v>2.1812779999999998</v>
      </c>
      <c r="J159" cm="1">
        <f t="array" ref="J159">_xlfn.IFS($G159=$G$5,J$5,$G159=$G$6,J$6,$G159=$G$7,J$7,$G159=$G$8,J$8,$G159=$G$9,J$9,$G159=$G$10,J$10,$G159=$G$11,J$11,$G159=$G$12,J$12,$G159=$G$13,J$13,$G159=$G$15,J$15,$G159=$G$16,J$16,$G159=$G$17,J$17,$G159=$G$18,J$18,$G159=$G$19,J$19,$G159=$G$20,J$20,$G159=$G$21,J$21,$G159=$G$22,J$22,$G159=$G$25,J$25,$G159=$G$26,J$26,$G159=$G$27,J$27,$G159=$G$29,J$29,$G159=$G$31,J$31,$G159=$G$32,J$150,$G159=$G$248,J$248,$G159=$G$250,J$250)</f>
        <v>47</v>
      </c>
      <c r="K159" s="48" t="str" cm="1">
        <f t="array" ref="K159">_xlfn.IFS($G159=$G$5,K$5,$G159=$G$6,K$6,$G159=$G$7,K$7,$G159=$G$8,K$8,$G159=$G$9,K$9,$G159=$G$10,K$10,$G159=$G$11,K$11,$G159=$G$12,K$12,$G159=$G$13,K$13,$G159=$G$15,K$15,$G159=$G$16,K$16,$G159=$G$17,K$17,$G159=$G$18,K$18,$G159=$G$19,K$19,$G159=$G$20,K$20,$G159=$G$21,K$21,$G159=$G$22,K$22,$G159=$G$25,K$25,$G159=$G$26,K$26,$G159=$G$27,K$27,$G159=$G$29,K$29,$G159=$G$31,K$31,$G159=$G$32,K$150,$G159=$G$248,K$248,$G159=$G$250,K$250)</f>
        <v>BG sentinel + BG lure7</v>
      </c>
      <c r="L159" s="48"/>
      <c r="M159" s="48"/>
      <c r="O159" s="45" t="str">
        <f t="shared" si="10"/>
        <v>A_SP_BCN_3_210609</v>
      </c>
      <c r="P159" s="64">
        <v>44356</v>
      </c>
      <c r="R159" s="72"/>
      <c r="S159" s="64">
        <v>44363</v>
      </c>
      <c r="U159" s="72"/>
      <c r="V159" s="54" t="s">
        <v>66</v>
      </c>
      <c r="X159" s="45">
        <f t="shared" si="5"/>
        <v>7</v>
      </c>
      <c r="Z159" s="45" t="s">
        <v>70</v>
      </c>
      <c r="AA159" s="45">
        <f t="shared" si="15"/>
        <v>1</v>
      </c>
      <c r="AB159" t="str">
        <f t="shared" si="13"/>
        <v>Adult</v>
      </c>
      <c r="AC159" s="69">
        <v>1</v>
      </c>
      <c r="AD159" s="69">
        <v>0</v>
      </c>
      <c r="AE159" s="45" t="str">
        <f t="shared" si="14"/>
        <v>Morphological</v>
      </c>
      <c r="AF159" s="56">
        <v>4</v>
      </c>
    </row>
    <row r="160" spans="1:32" ht="18" customHeight="1" x14ac:dyDescent="0.25">
      <c r="A160" s="45">
        <v>156</v>
      </c>
      <c r="B160" s="45" t="s">
        <v>60</v>
      </c>
      <c r="C160" s="45" t="s">
        <v>61</v>
      </c>
      <c r="D160" s="45" t="s">
        <v>62</v>
      </c>
      <c r="E160" s="45" t="s">
        <v>62</v>
      </c>
      <c r="F160" s="46" cm="1">
        <f t="array" ref="F160">_xlfn.IFS($G160=$G$5,F$5,$G160=$G$6,F$6,$G160=$G$7,F$7,$G160=$G$8,F$8,$G160=$G$9,F$9,$G160=$G$10,F$10,$G160=$G$11,F$11,$G160=$G$12,F$12,$G160=$G$13,F$13,$G160=$G$15,F$15,$G160=$G$16,F$16,$G160=$G$17,F$17,$G160=$G$18,F$18,$G160=$G$19,F$19,$G160=$G$20,F$20,$G160=$G$21,F$21,$G160=$G$22,F$22,$G160=$G$25,F$25,$G160=$G$26,F$26,$G160=$G$27,F$27,$G160=$G$29,F$29,$G160=$G$31,F$31,$G160=$G$32,F$32,$G160=$G$248,F$248,$G160=$G$250,F$250)</f>
        <v>8016</v>
      </c>
      <c r="G160" t="s">
        <v>68</v>
      </c>
      <c r="H160" s="66" cm="1">
        <f t="array" ref="H160">_xlfn.IFS($G160=$G$5,H$5,$G160=$G$6,H$6,$G160=$G$7,H$7,$G160=$G$8,H$8,$G160=$G$9,H$9,$G160=$G$10,H$10,$G160=$G$11,H$11,$G160=$G$12,H$12,$G160=$G$13,H$13,$G160=$G$15,H$15,$G160=$G$16,H$16,$G160=$G$17,H$17,$G160=$G$18,H$18,$G160=$G$19,H$19,$G160=$G$20,H$20,$G160=$G$21,H$21,$G160=$G$22,H$22,$G160=$G$25,H$25,$G160=$G$26,H$26,$G160=$G$27,H$27,$G160=$G$29,H$29,$G160=$G$31,H$31,$G160=$G$32,H$150,$G160=$G$248,H$248,$G160=$G$250,H$250)</f>
        <v>41.437435000000001</v>
      </c>
      <c r="I160" s="60" cm="1">
        <f t="array" ref="I160">_xlfn.IFS($G160=$G$5,I$5,$G160=$G$6,I$6,$G160=$G$7,I$7,$G160=$G$8,I$8,$G160=$G$9,I$9,$G160=$G$10,I$10,$G160=$G$11,I$11,$G160=$G$12,I$12,$G160=$G$13,I$13,$G160=$G$15,I$15,$G160=$G$16,I$16,$G160=$G$17,I$17,$G160=$G$18,I$18,$G160=$G$19,I$19,$G160=$G$20,I$20,$G160=$G$21,I$21,$G160=$G$22,I$22,$G160=$G$25,I$25,$G160=$G$26,I$26,$G160=$G$27,I$27,$G160=$G$29,I$29,$G160=$G$31,I$31,$G160=$G$32,I$150,$G160=$G$248,I$248,$G160=$G$250,I$250)</f>
        <v>2.1812779999999998</v>
      </c>
      <c r="J160" cm="1">
        <f t="array" ref="J160">_xlfn.IFS($G160=$G$5,J$5,$G160=$G$6,J$6,$G160=$G$7,J$7,$G160=$G$8,J$8,$G160=$G$9,J$9,$G160=$G$10,J$10,$G160=$G$11,J$11,$G160=$G$12,J$12,$G160=$G$13,J$13,$G160=$G$15,J$15,$G160=$G$16,J$16,$G160=$G$17,J$17,$G160=$G$18,J$18,$G160=$G$19,J$19,$G160=$G$20,J$20,$G160=$G$21,J$21,$G160=$G$22,J$22,$G160=$G$25,J$25,$G160=$G$26,J$26,$G160=$G$27,J$27,$G160=$G$29,J$29,$G160=$G$31,J$31,$G160=$G$32,J$150,$G160=$G$248,J$248,$G160=$G$250,J$250)</f>
        <v>47</v>
      </c>
      <c r="K160" s="48" t="str" cm="1">
        <f t="array" ref="K160">_xlfn.IFS($G160=$G$5,K$5,$G160=$G$6,K$6,$G160=$G$7,K$7,$G160=$G$8,K$8,$G160=$G$9,K$9,$G160=$G$10,K$10,$G160=$G$11,K$11,$G160=$G$12,K$12,$G160=$G$13,K$13,$G160=$G$15,K$15,$G160=$G$16,K$16,$G160=$G$17,K$17,$G160=$G$18,K$18,$G160=$G$19,K$19,$G160=$G$20,K$20,$G160=$G$21,K$21,$G160=$G$22,K$22,$G160=$G$25,K$25,$G160=$G$26,K$26,$G160=$G$27,K$27,$G160=$G$29,K$29,$G160=$G$31,K$31,$G160=$G$32,K$150,$G160=$G$248,K$248,$G160=$G$250,K$250)</f>
        <v>BG sentinel + BG lure7</v>
      </c>
      <c r="L160" s="48"/>
      <c r="M160" s="48"/>
      <c r="O160" s="45" t="str">
        <f t="shared" si="10"/>
        <v>A_SP_BCN_3_210609</v>
      </c>
      <c r="P160" s="64">
        <v>44356</v>
      </c>
      <c r="R160" s="72"/>
      <c r="S160" s="64">
        <v>44363</v>
      </c>
      <c r="U160" s="72"/>
      <c r="V160" s="54" t="s">
        <v>66</v>
      </c>
      <c r="X160" s="45">
        <f t="shared" si="5"/>
        <v>7</v>
      </c>
      <c r="Z160" s="45" t="s">
        <v>80</v>
      </c>
      <c r="AA160" s="45">
        <f t="shared" si="15"/>
        <v>5</v>
      </c>
      <c r="AB160" t="str">
        <f t="shared" si="13"/>
        <v>Adult</v>
      </c>
      <c r="AC160" s="69">
        <v>3</v>
      </c>
      <c r="AD160" s="69">
        <v>2</v>
      </c>
      <c r="AE160" s="45" t="str">
        <f t="shared" si="14"/>
        <v>Morphological</v>
      </c>
      <c r="AF160" s="56">
        <v>4</v>
      </c>
    </row>
    <row r="161" spans="1:32" ht="18" customHeight="1" x14ac:dyDescent="0.25">
      <c r="A161" s="45">
        <v>157</v>
      </c>
      <c r="B161" s="45" t="s">
        <v>60</v>
      </c>
      <c r="C161" s="45" t="s">
        <v>61</v>
      </c>
      <c r="D161" s="45" t="s">
        <v>62</v>
      </c>
      <c r="E161" s="45" t="s">
        <v>62</v>
      </c>
      <c r="F161" s="46" cm="1">
        <f t="array" ref="F161">_xlfn.IFS($G161=$G$5,F$5,$G161=$G$6,F$6,$G161=$G$7,F$7,$G161=$G$8,F$8,$G161=$G$9,F$9,$G161=$G$10,F$10,$G161=$G$11,F$11,$G161=$G$12,F$12,$G161=$G$13,F$13,$G161=$G$15,F$15,$G161=$G$16,F$16,$G161=$G$17,F$17,$G161=$G$18,F$18,$G161=$G$19,F$19,$G161=$G$20,F$20,$G161=$G$21,F$21,$G161=$G$22,F$22,$G161=$G$25,F$25,$G161=$G$26,F$26,$G161=$G$27,F$27,$G161=$G$29,F$29,$G161=$G$31,F$31,$G161=$G$32,F$32,$G161=$G$248,F$248,$G161=$G$250,F$250)</f>
        <v>8018</v>
      </c>
      <c r="G161" t="s">
        <v>71</v>
      </c>
      <c r="H161" s="66" cm="1">
        <f t="array" ref="H161">_xlfn.IFS($G161=$G$5,H$5,$G161=$G$6,H$6,$G161=$G$7,H$7,$G161=$G$8,H$8,$G161=$G$9,H$9,$G161=$G$10,H$10,$G161=$G$11,H$11,$G161=$G$12,H$12,$G161=$G$13,H$13,$G161=$G$15,H$15,$G161=$G$16,H$16,$G161=$G$17,H$17,$G161=$G$18,H$18,$G161=$G$19,H$19,$G161=$G$20,H$20,$G161=$G$21,H$21,$G161=$G$22,H$22,$G161=$G$25,H$25,$G161=$G$26,H$26,$G161=$G$27,H$27,$G161=$G$29,H$29,$G161=$G$31,H$31,$G161=$G$32,H$150,$G161=$G$248,H$248,$G161=$G$250,H$250)</f>
        <v>41.410684000000003</v>
      </c>
      <c r="I161" s="60" cm="1">
        <f t="array" ref="I161">_xlfn.IFS($G161=$G$5,I$5,$G161=$G$6,I$6,$G161=$G$7,I$7,$G161=$G$8,I$8,$G161=$G$9,I$9,$G161=$G$10,I$10,$G161=$G$11,I$11,$G161=$G$12,I$12,$G161=$G$13,I$13,$G161=$G$15,I$15,$G161=$G$16,I$16,$G161=$G$17,I$17,$G161=$G$18,I$18,$G161=$G$19,I$19,$G161=$G$20,I$20,$G161=$G$21,I$21,$G161=$G$22,I$22,$G161=$G$25,I$25,$G161=$G$26,I$26,$G161=$G$27,I$27,$G161=$G$29,I$29,$G161=$G$31,I$31,$G161=$G$32,I$150,$G161=$G$248,I$248,$G161=$G$250,I$250)</f>
        <v>2.2208019999999999</v>
      </c>
      <c r="J161" cm="1">
        <f t="array" ref="J161">_xlfn.IFS($G161=$G$5,J$5,$G161=$G$6,J$6,$G161=$G$7,J$7,$G161=$G$8,J$8,$G161=$G$9,J$9,$G161=$G$10,J$10,$G161=$G$11,J$11,$G161=$G$12,J$12,$G161=$G$13,J$13,$G161=$G$15,J$15,$G161=$G$16,J$16,$G161=$G$17,J$17,$G161=$G$18,J$18,$G161=$G$19,J$19,$G161=$G$20,J$20,$G161=$G$21,J$21,$G161=$G$22,J$22,$G161=$G$25,J$25,$G161=$G$26,J$26,$G161=$G$27,J$27,$G161=$G$29,J$29,$G161=$G$31,J$31,$G161=$G$32,J$150,$G161=$G$248,J$248,$G161=$G$250,J$250)</f>
        <v>4</v>
      </c>
      <c r="K161" s="48" t="str" cm="1">
        <f t="array" ref="K161">_xlfn.IFS($G161=$G$5,K$5,$G161=$G$6,K$6,$G161=$G$7,K$7,$G161=$G$8,K$8,$G161=$G$9,K$9,$G161=$G$10,K$10,$G161=$G$11,K$11,$G161=$G$12,K$12,$G161=$G$13,K$13,$G161=$G$15,K$15,$G161=$G$16,K$16,$G161=$G$17,K$17,$G161=$G$18,K$18,$G161=$G$19,K$19,$G161=$G$20,K$20,$G161=$G$21,K$21,$G161=$G$22,K$22,$G161=$G$25,K$25,$G161=$G$26,K$26,$G161=$G$27,K$27,$G161=$G$29,K$29,$G161=$G$31,K$31,$G161=$G$32,K$150,$G161=$G$248,K$248,$G161=$G$250,K$250)</f>
        <v>BG sentinel + BG lure7</v>
      </c>
      <c r="L161" s="48"/>
      <c r="M161" s="48"/>
      <c r="O161" s="45" t="str">
        <f t="shared" si="10"/>
        <v>A_SP_BCN_4_210610</v>
      </c>
      <c r="P161" s="64">
        <v>44357</v>
      </c>
      <c r="R161" s="72"/>
      <c r="S161" s="64">
        <v>44364</v>
      </c>
      <c r="U161" s="72"/>
      <c r="V161" s="54" t="s">
        <v>66</v>
      </c>
      <c r="X161" s="45">
        <f t="shared" si="5"/>
        <v>7</v>
      </c>
      <c r="Z161" s="69" t="s">
        <v>69</v>
      </c>
      <c r="AA161" s="45">
        <f t="shared" si="15"/>
        <v>2</v>
      </c>
      <c r="AB161" t="str">
        <f t="shared" si="13"/>
        <v>Adult</v>
      </c>
      <c r="AC161" s="69">
        <v>2</v>
      </c>
      <c r="AD161" s="69">
        <v>0</v>
      </c>
      <c r="AE161" s="45" t="str">
        <f t="shared" si="14"/>
        <v>Morphological</v>
      </c>
      <c r="AF161" s="56">
        <v>4</v>
      </c>
    </row>
    <row r="162" spans="1:32" ht="18" customHeight="1" x14ac:dyDescent="0.25">
      <c r="A162" s="45">
        <v>158</v>
      </c>
      <c r="B162" s="45" t="s">
        <v>60</v>
      </c>
      <c r="C162" s="45" t="s">
        <v>61</v>
      </c>
      <c r="D162" s="45" t="s">
        <v>62</v>
      </c>
      <c r="E162" s="45" t="s">
        <v>62</v>
      </c>
      <c r="F162" s="46" cm="1">
        <f t="array" ref="F162">_xlfn.IFS($G162=$G$5,F$5,$G162=$G$6,F$6,$G162=$G$7,F$7,$G162=$G$8,F$8,$G162=$G$9,F$9,$G162=$G$10,F$10,$G162=$G$11,F$11,$G162=$G$12,F$12,$G162=$G$13,F$13,$G162=$G$15,F$15,$G162=$G$16,F$16,$G162=$G$17,F$17,$G162=$G$18,F$18,$G162=$G$19,F$19,$G162=$G$20,F$20,$G162=$G$21,F$21,$G162=$G$22,F$22,$G162=$G$25,F$25,$G162=$G$26,F$26,$G162=$G$27,F$27,$G162=$G$29,F$29,$G162=$G$31,F$31,$G162=$G$32,F$32,$G162=$G$248,F$248,$G162=$G$250,F$250)</f>
        <v>8018</v>
      </c>
      <c r="G162" t="s">
        <v>71</v>
      </c>
      <c r="H162" s="66" cm="1">
        <f t="array" ref="H162">_xlfn.IFS($G162=$G$5,H$5,$G162=$G$6,H$6,$G162=$G$7,H$7,$G162=$G$8,H$8,$G162=$G$9,H$9,$G162=$G$10,H$10,$G162=$G$11,H$11,$G162=$G$12,H$12,$G162=$G$13,H$13,$G162=$G$15,H$15,$G162=$G$16,H$16,$G162=$G$17,H$17,$G162=$G$18,H$18,$G162=$G$19,H$19,$G162=$G$20,H$20,$G162=$G$21,H$21,$G162=$G$22,H$22,$G162=$G$25,H$25,$G162=$G$26,H$26,$G162=$G$27,H$27,$G162=$G$29,H$29,$G162=$G$31,H$31,$G162=$G$32,H$150,$G162=$G$248,H$248,$G162=$G$250,H$250)</f>
        <v>41.410684000000003</v>
      </c>
      <c r="I162" s="60" cm="1">
        <f t="array" ref="I162">_xlfn.IFS($G162=$G$5,I$5,$G162=$G$6,I$6,$G162=$G$7,I$7,$G162=$G$8,I$8,$G162=$G$9,I$9,$G162=$G$10,I$10,$G162=$G$11,I$11,$G162=$G$12,I$12,$G162=$G$13,I$13,$G162=$G$15,I$15,$G162=$G$16,I$16,$G162=$G$17,I$17,$G162=$G$18,I$18,$G162=$G$19,I$19,$G162=$G$20,I$20,$G162=$G$21,I$21,$G162=$G$22,I$22,$G162=$G$25,I$25,$G162=$G$26,I$26,$G162=$G$27,I$27,$G162=$G$29,I$29,$G162=$G$31,I$31,$G162=$G$32,I$150,$G162=$G$248,I$248,$G162=$G$250,I$250)</f>
        <v>2.2208019999999999</v>
      </c>
      <c r="J162" cm="1">
        <f t="array" ref="J162">_xlfn.IFS($G162=$G$5,J$5,$G162=$G$6,J$6,$G162=$G$7,J$7,$G162=$G$8,J$8,$G162=$G$9,J$9,$G162=$G$10,J$10,$G162=$G$11,J$11,$G162=$G$12,J$12,$G162=$G$13,J$13,$G162=$G$15,J$15,$G162=$G$16,J$16,$G162=$G$17,J$17,$G162=$G$18,J$18,$G162=$G$19,J$19,$G162=$G$20,J$20,$G162=$G$21,J$21,$G162=$G$22,J$22,$G162=$G$25,J$25,$G162=$G$26,J$26,$G162=$G$27,J$27,$G162=$G$29,J$29,$G162=$G$31,J$31,$G162=$G$32,J$150,$G162=$G$248,J$248,$G162=$G$250,J$250)</f>
        <v>4</v>
      </c>
      <c r="K162" s="48" t="str" cm="1">
        <f t="array" ref="K162">_xlfn.IFS($G162=$G$5,K$5,$G162=$G$6,K$6,$G162=$G$7,K$7,$G162=$G$8,K$8,$G162=$G$9,K$9,$G162=$G$10,K$10,$G162=$G$11,K$11,$G162=$G$12,K$12,$G162=$G$13,K$13,$G162=$G$15,K$15,$G162=$G$16,K$16,$G162=$G$17,K$17,$G162=$G$18,K$18,$G162=$G$19,K$19,$G162=$G$20,K$20,$G162=$G$21,K$21,$G162=$G$22,K$22,$G162=$G$25,K$25,$G162=$G$26,K$26,$G162=$G$27,K$27,$G162=$G$29,K$29,$G162=$G$31,K$31,$G162=$G$32,K$150,$G162=$G$248,K$248,$G162=$G$250,K$250)</f>
        <v>BG sentinel + BG lure7</v>
      </c>
      <c r="L162" s="48"/>
      <c r="M162" s="48"/>
      <c r="O162" s="45" t="str">
        <f t="shared" si="10"/>
        <v>A_SP_BCN_4_210610</v>
      </c>
      <c r="P162" s="64">
        <v>44357</v>
      </c>
      <c r="R162" s="72"/>
      <c r="S162" s="64">
        <v>44364</v>
      </c>
      <c r="U162" s="72"/>
      <c r="V162" s="54" t="s">
        <v>66</v>
      </c>
      <c r="X162" s="45">
        <f t="shared" si="5"/>
        <v>7</v>
      </c>
      <c r="Z162" s="45" t="s">
        <v>70</v>
      </c>
      <c r="AA162" s="45">
        <f t="shared" si="15"/>
        <v>1</v>
      </c>
      <c r="AB162" t="str">
        <f t="shared" si="13"/>
        <v>Adult</v>
      </c>
      <c r="AC162" s="69">
        <v>0</v>
      </c>
      <c r="AD162" s="69">
        <v>1</v>
      </c>
      <c r="AE162" s="45" t="str">
        <f t="shared" si="14"/>
        <v>Morphological</v>
      </c>
      <c r="AF162" s="56">
        <v>4</v>
      </c>
    </row>
    <row r="163" spans="1:32" ht="18" customHeight="1" x14ac:dyDescent="0.25">
      <c r="A163" s="45">
        <v>159</v>
      </c>
      <c r="B163" s="45" t="s">
        <v>60</v>
      </c>
      <c r="C163" s="45" t="s">
        <v>61</v>
      </c>
      <c r="D163" s="45" t="s">
        <v>62</v>
      </c>
      <c r="E163" s="45" t="s">
        <v>62</v>
      </c>
      <c r="F163" s="46" cm="1">
        <f t="array" ref="F163">_xlfn.IFS($G163=$G$5,F$5,$G163=$G$6,F$6,$G163=$G$7,F$7,$G163=$G$8,F$8,$G163=$G$9,F$9,$G163=$G$10,F$10,$G163=$G$11,F$11,$G163=$G$12,F$12,$G163=$G$13,F$13,$G163=$G$15,F$15,$G163=$G$16,F$16,$G163=$G$17,F$17,$G163=$G$18,F$18,$G163=$G$19,F$19,$G163=$G$20,F$20,$G163=$G$21,F$21,$G163=$G$22,F$22,$G163=$G$25,F$25,$G163=$G$26,F$26,$G163=$G$27,F$27,$G163=$G$29,F$29,$G163=$G$31,F$31,$G163=$G$32,F$32,$G163=$G$248,F$248,$G163=$G$250,F$250)</f>
        <v>8018</v>
      </c>
      <c r="G163" t="s">
        <v>71</v>
      </c>
      <c r="H163" s="66" cm="1">
        <f t="array" ref="H163">_xlfn.IFS($G163=$G$5,H$5,$G163=$G$6,H$6,$G163=$G$7,H$7,$G163=$G$8,H$8,$G163=$G$9,H$9,$G163=$G$10,H$10,$G163=$G$11,H$11,$G163=$G$12,H$12,$G163=$G$13,H$13,$G163=$G$15,H$15,$G163=$G$16,H$16,$G163=$G$17,H$17,$G163=$G$18,H$18,$G163=$G$19,H$19,$G163=$G$20,H$20,$G163=$G$21,H$21,$G163=$G$22,H$22,$G163=$G$25,H$25,$G163=$G$26,H$26,$G163=$G$27,H$27,$G163=$G$29,H$29,$G163=$G$31,H$31,$G163=$G$32,H$150,$G163=$G$248,H$248,$G163=$G$250,H$250)</f>
        <v>41.410684000000003</v>
      </c>
      <c r="I163" s="60" cm="1">
        <f t="array" ref="I163">_xlfn.IFS($G163=$G$5,I$5,$G163=$G$6,I$6,$G163=$G$7,I$7,$G163=$G$8,I$8,$G163=$G$9,I$9,$G163=$G$10,I$10,$G163=$G$11,I$11,$G163=$G$12,I$12,$G163=$G$13,I$13,$G163=$G$15,I$15,$G163=$G$16,I$16,$G163=$G$17,I$17,$G163=$G$18,I$18,$G163=$G$19,I$19,$G163=$G$20,I$20,$G163=$G$21,I$21,$G163=$G$22,I$22,$G163=$G$25,I$25,$G163=$G$26,I$26,$G163=$G$27,I$27,$G163=$G$29,I$29,$G163=$G$31,I$31,$G163=$G$32,I$150,$G163=$G$248,I$248,$G163=$G$250,I$250)</f>
        <v>2.2208019999999999</v>
      </c>
      <c r="J163" cm="1">
        <f t="array" ref="J163">_xlfn.IFS($G163=$G$5,J$5,$G163=$G$6,J$6,$G163=$G$7,J$7,$G163=$G$8,J$8,$G163=$G$9,J$9,$G163=$G$10,J$10,$G163=$G$11,J$11,$G163=$G$12,J$12,$G163=$G$13,J$13,$G163=$G$15,J$15,$G163=$G$16,J$16,$G163=$G$17,J$17,$G163=$G$18,J$18,$G163=$G$19,J$19,$G163=$G$20,J$20,$G163=$G$21,J$21,$G163=$G$22,J$22,$G163=$G$25,J$25,$G163=$G$26,J$26,$G163=$G$27,J$27,$G163=$G$29,J$29,$G163=$G$31,J$31,$G163=$G$32,J$150,$G163=$G$248,J$248,$G163=$G$250,J$250)</f>
        <v>4</v>
      </c>
      <c r="K163" s="48" t="str" cm="1">
        <f t="array" ref="K163">_xlfn.IFS($G163=$G$5,K$5,$G163=$G$6,K$6,$G163=$G$7,K$7,$G163=$G$8,K$8,$G163=$G$9,K$9,$G163=$G$10,K$10,$G163=$G$11,K$11,$G163=$G$12,K$12,$G163=$G$13,K$13,$G163=$G$15,K$15,$G163=$G$16,K$16,$G163=$G$17,K$17,$G163=$G$18,K$18,$G163=$G$19,K$19,$G163=$G$20,K$20,$G163=$G$21,K$21,$G163=$G$22,K$22,$G163=$G$25,K$25,$G163=$G$26,K$26,$G163=$G$27,K$27,$G163=$G$29,K$29,$G163=$G$31,K$31,$G163=$G$32,K$150,$G163=$G$248,K$248,$G163=$G$250,K$250)</f>
        <v>BG sentinel + BG lure7</v>
      </c>
      <c r="L163" s="48"/>
      <c r="M163" s="48"/>
      <c r="O163" s="45" t="str">
        <f t="shared" si="10"/>
        <v>A_SP_BCN_4_210610</v>
      </c>
      <c r="P163" s="64">
        <v>44357</v>
      </c>
      <c r="R163" s="72"/>
      <c r="S163" s="64">
        <v>44364</v>
      </c>
      <c r="U163" s="72"/>
      <c r="V163" s="54" t="s">
        <v>66</v>
      </c>
      <c r="X163" s="45">
        <f t="shared" si="5"/>
        <v>7</v>
      </c>
      <c r="Z163" s="45" t="s">
        <v>80</v>
      </c>
      <c r="AA163" s="45">
        <f t="shared" si="15"/>
        <v>5</v>
      </c>
      <c r="AB163" t="str">
        <f t="shared" si="13"/>
        <v>Adult</v>
      </c>
      <c r="AC163" s="69">
        <v>3</v>
      </c>
      <c r="AD163" s="69">
        <v>2</v>
      </c>
      <c r="AE163" s="45" t="str">
        <f t="shared" si="14"/>
        <v>Morphological</v>
      </c>
      <c r="AF163" s="56">
        <v>4</v>
      </c>
    </row>
    <row r="164" spans="1:32" ht="18" customHeight="1" x14ac:dyDescent="0.25">
      <c r="A164" s="45">
        <v>160</v>
      </c>
      <c r="B164" s="45" t="s">
        <v>60</v>
      </c>
      <c r="C164" s="45" t="s">
        <v>61</v>
      </c>
      <c r="D164" s="45" t="s">
        <v>62</v>
      </c>
      <c r="E164" s="45" t="s">
        <v>62</v>
      </c>
      <c r="F164" s="46" cm="1">
        <f t="array" ref="F164">_xlfn.IFS($G164=$G$5,F$5,$G164=$G$6,F$6,$G164=$G$7,F$7,$G164=$G$8,F$8,$G164=$G$9,F$9,$G164=$G$10,F$10,$G164=$G$11,F$11,$G164=$G$12,F$12,$G164=$G$13,F$13,$G164=$G$15,F$15,$G164=$G$16,F$16,$G164=$G$17,F$17,$G164=$G$18,F$18,$G164=$G$19,F$19,$G164=$G$20,F$20,$G164=$G$21,F$21,$G164=$G$22,F$22,$G164=$G$25,F$25,$G164=$G$26,F$26,$G164=$G$27,F$27,$G164=$G$29,F$29,$G164=$G$31,F$31,$G164=$G$32,F$32,$G164=$G$248,F$248,$G164=$G$250,F$250)</f>
        <v>8019</v>
      </c>
      <c r="G164" t="s">
        <v>72</v>
      </c>
      <c r="H164" s="66" cm="1">
        <f t="array" ref="H164">_xlfn.IFS($G164=$G$5,H$5,$G164=$G$6,H$6,$G164=$G$7,H$7,$G164=$G$8,H$8,$G164=$G$9,H$9,$G164=$G$10,H$10,$G164=$G$11,H$11,$G164=$G$12,H$12,$G164=$G$13,H$13,$G164=$G$15,H$15,$G164=$G$16,H$16,$G164=$G$17,H$17,$G164=$G$18,H$18,$G164=$G$19,H$19,$G164=$G$20,H$20,$G164=$G$21,H$21,$G164=$G$22,H$22,$G164=$G$25,H$25,$G164=$G$26,H$26,$G164=$G$27,H$27,$G164=$G$29,H$29,$G164=$G$31,H$31,$G164=$G$32,H$150,$G164=$G$248,H$248,$G164=$G$250,H$250)</f>
        <v>41.382339999999999</v>
      </c>
      <c r="I164" s="60" cm="1">
        <f t="array" ref="I164">_xlfn.IFS($G164=$G$5,I$5,$G164=$G$6,I$6,$G164=$G$7,I$7,$G164=$G$8,I$8,$G164=$G$9,I$9,$G164=$G$10,I$10,$G164=$G$11,I$11,$G164=$G$12,I$12,$G164=$G$13,I$13,$G164=$G$15,I$15,$G164=$G$16,I$16,$G164=$G$17,I$17,$G164=$G$18,I$18,$G164=$G$19,I$19,$G164=$G$20,I$20,$G164=$G$21,I$21,$G164=$G$22,I$22,$G164=$G$25,I$25,$G164=$G$26,I$26,$G164=$G$27,I$27,$G164=$G$29,I$29,$G164=$G$31,I$31,$G164=$G$32,I$150,$G164=$G$248,I$248,$G164=$G$250,I$250)</f>
        <v>2.1714790000000002</v>
      </c>
      <c r="J164" cm="1">
        <f t="array" ref="J164">_xlfn.IFS($G164=$G$5,J$5,$G164=$G$6,J$6,$G164=$G$7,J$7,$G164=$G$8,J$8,$G164=$G$9,J$9,$G164=$G$10,J$10,$G164=$G$11,J$11,$G164=$G$12,J$12,$G164=$G$13,J$13,$G164=$G$15,J$15,$G164=$G$16,J$16,$G164=$G$17,J$17,$G164=$G$18,J$18,$G164=$G$19,J$19,$G164=$G$20,J$20,$G164=$G$21,J$21,$G164=$G$22,J$22,$G164=$G$25,J$25,$G164=$G$26,J$26,$G164=$G$27,J$27,$G164=$G$29,J$29,$G164=$G$31,J$31,$G164=$G$32,J$150,$G164=$G$248,J$248,$G164=$G$250,J$250)</f>
        <v>18</v>
      </c>
      <c r="K164" s="48" t="str" cm="1">
        <f t="array" ref="K164">_xlfn.IFS($G164=$G$5,K$5,$G164=$G$6,K$6,$G164=$G$7,K$7,$G164=$G$8,K$8,$G164=$G$9,K$9,$G164=$G$10,K$10,$G164=$G$11,K$11,$G164=$G$12,K$12,$G164=$G$13,K$13,$G164=$G$15,K$15,$G164=$G$16,K$16,$G164=$G$17,K$17,$G164=$G$18,K$18,$G164=$G$19,K$19,$G164=$G$20,K$20,$G164=$G$21,K$21,$G164=$G$22,K$22,$G164=$G$25,K$25,$G164=$G$26,K$26,$G164=$G$27,K$27,$G164=$G$29,K$29,$G164=$G$31,K$31,$G164=$G$32,K$150,$G164=$G$248,K$248,$G164=$G$250,K$250)</f>
        <v>BG sentinel + BG lure7</v>
      </c>
      <c r="L164" s="48"/>
      <c r="M164" s="48"/>
      <c r="O164" s="45" t="str">
        <f t="shared" si="10"/>
        <v>A_SP_BCN_5_210610</v>
      </c>
      <c r="P164" s="64">
        <v>44357</v>
      </c>
      <c r="R164" s="72"/>
      <c r="S164" s="64">
        <v>44364</v>
      </c>
      <c r="U164" s="72"/>
      <c r="V164" s="54" t="s">
        <v>66</v>
      </c>
      <c r="X164" s="45">
        <f t="shared" si="5"/>
        <v>7</v>
      </c>
      <c r="Z164" s="45" t="s">
        <v>70</v>
      </c>
      <c r="AA164" s="45">
        <f t="shared" si="15"/>
        <v>3</v>
      </c>
      <c r="AB164" t="str">
        <f t="shared" si="13"/>
        <v>Adult</v>
      </c>
      <c r="AC164" s="69">
        <v>2</v>
      </c>
      <c r="AD164" s="69">
        <v>1</v>
      </c>
      <c r="AE164" s="45" t="str">
        <f t="shared" si="14"/>
        <v>Morphological</v>
      </c>
      <c r="AF164" s="56">
        <v>4</v>
      </c>
    </row>
    <row r="165" spans="1:32" ht="18" customHeight="1" x14ac:dyDescent="0.25">
      <c r="A165" s="45">
        <v>161</v>
      </c>
      <c r="B165" s="45" t="s">
        <v>60</v>
      </c>
      <c r="C165" s="45" t="s">
        <v>61</v>
      </c>
      <c r="D165" s="45" t="s">
        <v>62</v>
      </c>
      <c r="E165" s="45" t="s">
        <v>62</v>
      </c>
      <c r="F165" s="46" cm="1">
        <f t="array" ref="F165">_xlfn.IFS($G165=$G$5,F$5,$G165=$G$6,F$6,$G165=$G$7,F$7,$G165=$G$8,F$8,$G165=$G$9,F$9,$G165=$G$10,F$10,$G165=$G$11,F$11,$G165=$G$12,F$12,$G165=$G$13,F$13,$G165=$G$15,F$15,$G165=$G$16,F$16,$G165=$G$17,F$17,$G165=$G$18,F$18,$G165=$G$19,F$19,$G165=$G$20,F$20,$G165=$G$21,F$21,$G165=$G$22,F$22,$G165=$G$25,F$25,$G165=$G$26,F$26,$G165=$G$27,F$27,$G165=$G$29,F$29,$G165=$G$31,F$31,$G165=$G$32,F$32,$G165=$G$248,F$248,$G165=$G$250,F$250)</f>
        <v>8002</v>
      </c>
      <c r="G165" t="s">
        <v>73</v>
      </c>
      <c r="H165" s="66" cm="1">
        <f t="array" ref="H165">_xlfn.IFS($G165=$G$5,H$5,$G165=$G$6,H$6,$G165=$G$7,H$7,$G165=$G$8,H$8,$G165=$G$9,H$9,$G165=$G$10,H$10,$G165=$G$11,H$11,$G165=$G$12,H$12,$G165=$G$13,H$13,$G165=$G$15,H$15,$G165=$G$16,H$16,$G165=$G$17,H$17,$G165=$G$18,H$18,$G165=$G$19,H$19,$G165=$G$20,H$20,$G165=$G$21,H$21,$G165=$G$22,H$22,$G165=$G$25,H$25,$G165=$G$26,H$26,$G165=$G$27,H$27,$G165=$G$29,H$29,$G165=$G$31,H$31,$G165=$G$32,H$150,$G165=$G$248,H$248,$G165=$G$250,H$250)</f>
        <v>41.371864000000002</v>
      </c>
      <c r="I165" s="60" cm="1">
        <f t="array" ref="I165">_xlfn.IFS($G165=$G$5,I$5,$G165=$G$6,I$6,$G165=$G$7,I$7,$G165=$G$8,I$8,$G165=$G$9,I$9,$G165=$G$10,I$10,$G165=$G$11,I$11,$G165=$G$12,I$12,$G165=$G$13,I$13,$G165=$G$15,I$15,$G165=$G$16,I$16,$G165=$G$17,I$17,$G165=$G$18,I$18,$G165=$G$19,I$19,$G165=$G$20,I$20,$G165=$G$21,I$21,$G165=$G$22,I$22,$G165=$G$25,I$25,$G165=$G$26,I$26,$G165=$G$27,I$27,$G165=$G$29,I$29,$G165=$G$31,I$31,$G165=$G$32,I$150,$G165=$G$248,I$248,$G165=$G$250,I$250)</f>
        <v>2.173899</v>
      </c>
      <c r="J165" cm="1">
        <f t="array" ref="J165">_xlfn.IFS($G165=$G$5,J$5,$G165=$G$6,J$6,$G165=$G$7,J$7,$G165=$G$8,J$8,$G165=$G$9,J$9,$G165=$G$10,J$10,$G165=$G$11,J$11,$G165=$G$12,J$12,$G165=$G$13,J$13,$G165=$G$15,J$15,$G165=$G$16,J$16,$G165=$G$17,J$17,$G165=$G$18,J$18,$G165=$G$19,J$19,$G165=$G$20,J$20,$G165=$G$21,J$21,$G165=$G$22,J$22,$G165=$G$25,J$25,$G165=$G$26,J$26,$G165=$G$27,J$27,$G165=$G$29,J$29,$G165=$G$31,J$31,$G165=$G$32,J$150,$G165=$G$248,J$248,$G165=$G$250,J$250)</f>
        <v>19</v>
      </c>
      <c r="K165" s="48" t="str" cm="1">
        <f t="array" ref="K165">_xlfn.IFS($G165=$G$5,K$5,$G165=$G$6,K$6,$G165=$G$7,K$7,$G165=$G$8,K$8,$G165=$G$9,K$9,$G165=$G$10,K$10,$G165=$G$11,K$11,$G165=$G$12,K$12,$G165=$G$13,K$13,$G165=$G$15,K$15,$G165=$G$16,K$16,$G165=$G$17,K$17,$G165=$G$18,K$18,$G165=$G$19,K$19,$G165=$G$20,K$20,$G165=$G$21,K$21,$G165=$G$22,K$22,$G165=$G$25,K$25,$G165=$G$26,K$26,$G165=$G$27,K$27,$G165=$G$29,K$29,$G165=$G$31,K$31,$G165=$G$32,K$150,$G165=$G$248,K$248,$G165=$G$250,K$250)</f>
        <v>BG sentinel + BG lure7</v>
      </c>
      <c r="L165" s="48" t="str" cm="1">
        <f t="array" ref="L165">_xlfn.IFS($G165=$G$5,L$5,$G165=$G$6,L$6,$G165=$G$7,L$7,$G165=$G$8,L$8,$G165=$G$9,L$9,$G165=$G$10,L$10,$G165=$G$11,L$11,$G165=$G$12,L$12,$G165=$G$13,L$13,$G165=$G$15,L$15,$G165=$G$16,L$16,$G165=$G$17,L$17,$G165=$G$18,L$18,$G165=$G$19,L$19,$G165=$G$20,L$20,$G165=$G$21,L$21,$G165=$G$22,L$22,$G165=$G$25,L$25,$G165=$G$26,L$26,$G165=$G$27,L$27,$G165=$G$29,L$29,$G165=$G$31,L$31,$G165=$G$32,L$32,$G165=$G$248,L$248,$G165=$G$250,L$250)</f>
        <v>Urban habitat</v>
      </c>
      <c r="M165" s="48"/>
      <c r="O165" s="45" t="str">
        <f t="shared" si="10"/>
        <v>A_SP_BCN_6_210610</v>
      </c>
      <c r="P165" s="64">
        <v>44357</v>
      </c>
      <c r="R165" s="72"/>
      <c r="S165" s="64">
        <v>44364</v>
      </c>
      <c r="U165" s="72"/>
      <c r="V165" s="54" t="s">
        <v>66</v>
      </c>
      <c r="X165" s="45">
        <f t="shared" si="5"/>
        <v>7</v>
      </c>
      <c r="Z165" s="45" t="s">
        <v>70</v>
      </c>
      <c r="AA165" s="45">
        <f t="shared" si="15"/>
        <v>1</v>
      </c>
      <c r="AB165" t="str">
        <f t="shared" si="13"/>
        <v>Adult</v>
      </c>
      <c r="AC165" s="69">
        <v>1</v>
      </c>
      <c r="AD165" s="69">
        <v>0</v>
      </c>
      <c r="AE165" s="45" t="str">
        <f t="shared" si="14"/>
        <v>Morphological</v>
      </c>
      <c r="AF165" s="56">
        <v>4</v>
      </c>
    </row>
    <row r="166" spans="1:32" ht="18" customHeight="1" x14ac:dyDescent="0.25">
      <c r="A166" s="45">
        <v>162</v>
      </c>
      <c r="B166" s="45" t="s">
        <v>60</v>
      </c>
      <c r="C166" s="45" t="s">
        <v>61</v>
      </c>
      <c r="D166" s="45" t="s">
        <v>62</v>
      </c>
      <c r="E166" s="45" t="s">
        <v>62</v>
      </c>
      <c r="F166" s="46" cm="1">
        <f t="array" ref="F166">_xlfn.IFS($G166=$G$5,F$5,$G166=$G$6,F$6,$G166=$G$7,F$7,$G166=$G$8,F$8,$G166=$G$9,F$9,$G166=$G$10,F$10,$G166=$G$11,F$11,$G166=$G$12,F$12,$G166=$G$13,F$13,$G166=$G$15,F$15,$G166=$G$16,F$16,$G166=$G$17,F$17,$G166=$G$18,F$18,$G166=$G$19,F$19,$G166=$G$20,F$20,$G166=$G$21,F$21,$G166=$G$22,F$22,$G166=$G$25,F$25,$G166=$G$26,F$26,$G166=$G$27,F$27,$G166=$G$29,F$29,$G166=$G$31,F$31,$G166=$G$32,F$32,$G166=$G$248,F$248,$G166=$G$250,F$250)</f>
        <v>8038</v>
      </c>
      <c r="G166" t="s">
        <v>74</v>
      </c>
      <c r="H166" s="66" cm="1">
        <f t="array" ref="H166">_xlfn.IFS($G166=$G$5,H$5,$G166=$G$6,H$6,$G166=$G$7,H$7,$G166=$G$8,H$8,$G166=$G$9,H$9,$G166=$G$10,H$10,$G166=$G$11,H$11,$G166=$G$12,H$12,$G166=$G$13,H$13,$G166=$G$15,H$15,$G166=$G$16,H$16,$G166=$G$17,H$17,$G166=$G$18,H$18,$G166=$G$19,H$19,$G166=$G$20,H$20,$G166=$G$21,H$21,$G166=$G$22,H$22,$G166=$G$25,H$25,$G166=$G$26,H$26,$G166=$G$27,H$27,$G166=$G$29,H$29,$G166=$G$31,H$31,$G166=$G$32,H$150,$G166=$G$248,H$248,$G166=$G$250,H$250)</f>
        <v>41.371864000000002</v>
      </c>
      <c r="I166" s="60" cm="1">
        <f t="array" ref="I166">_xlfn.IFS($G166=$G$5,I$5,$G166=$G$6,I$6,$G166=$G$7,I$7,$G166=$G$8,I$8,$G166=$G$9,I$9,$G166=$G$10,I$10,$G166=$G$11,I$11,$G166=$G$12,I$12,$G166=$G$13,I$13,$G166=$G$15,I$15,$G166=$G$16,I$16,$G166=$G$17,I$17,$G166=$G$18,I$18,$G166=$G$19,I$19,$G166=$G$20,I$20,$G166=$G$21,I$21,$G166=$G$22,I$22,$G166=$G$25,I$25,$G166=$G$26,I$26,$G166=$G$27,I$27,$G166=$G$29,I$29,$G166=$G$31,I$31,$G166=$G$32,I$150,$G166=$G$248,I$248,$G166=$G$250,I$250)</f>
        <v>2.173899</v>
      </c>
      <c r="J166" cm="1">
        <f t="array" ref="J166">_xlfn.IFS($G166=$G$5,J$5,$G166=$G$6,J$6,$G166=$G$7,J$7,$G166=$G$8,J$8,$G166=$G$9,J$9,$G166=$G$10,J$10,$G166=$G$11,J$11,$G166=$G$12,J$12,$G166=$G$13,J$13,$G166=$G$15,J$15,$G166=$G$16,J$16,$G166=$G$17,J$17,$G166=$G$18,J$18,$G166=$G$19,J$19,$G166=$G$20,J$20,$G166=$G$21,J$21,$G166=$G$22,J$22,$G166=$G$25,J$25,$G166=$G$26,J$26,$G166=$G$27,J$27,$G166=$G$29,J$29,$G166=$G$31,J$31,$G166=$G$32,J$150,$G166=$G$248,J$248,$G166=$G$250,J$250)</f>
        <v>5</v>
      </c>
      <c r="K166" s="48" t="str" cm="1">
        <f t="array" ref="K166">_xlfn.IFS($G166=$G$5,K$5,$G166=$G$6,K$6,$G166=$G$7,K$7,$G166=$G$8,K$8,$G166=$G$9,K$9,$G166=$G$10,K$10,$G166=$G$11,K$11,$G166=$G$12,K$12,$G166=$G$13,K$13,$G166=$G$15,K$15,$G166=$G$16,K$16,$G166=$G$17,K$17,$G166=$G$18,K$18,$G166=$G$19,K$19,$G166=$G$20,K$20,$G166=$G$21,K$21,$G166=$G$22,K$22,$G166=$G$25,K$25,$G166=$G$26,K$26,$G166=$G$27,K$27,$G166=$G$29,K$29,$G166=$G$31,K$31,$G166=$G$32,K$150,$G166=$G$248,K$248,$G166=$G$250,K$250)</f>
        <v>BG sentinel + BG lure7</v>
      </c>
      <c r="L166" s="48"/>
      <c r="M166" s="48"/>
      <c r="O166" s="45" t="str">
        <f t="shared" si="10"/>
        <v>A_SP_BCN_7_210610</v>
      </c>
      <c r="P166" s="64">
        <v>44357</v>
      </c>
      <c r="R166" s="72"/>
      <c r="S166" s="64">
        <v>44364</v>
      </c>
      <c r="U166" s="72"/>
      <c r="V166" s="54" t="s">
        <v>112</v>
      </c>
      <c r="X166" s="45">
        <f t="shared" si="5"/>
        <v>7</v>
      </c>
      <c r="Z166" s="69" t="s">
        <v>69</v>
      </c>
      <c r="AA166" s="45">
        <f t="shared" si="15"/>
        <v>1</v>
      </c>
      <c r="AB166" t="str">
        <f t="shared" si="13"/>
        <v>Adult</v>
      </c>
      <c r="AC166" s="69">
        <v>1</v>
      </c>
      <c r="AD166" s="69">
        <v>0</v>
      </c>
      <c r="AE166" s="45" t="str">
        <f t="shared" si="14"/>
        <v>Morphological</v>
      </c>
      <c r="AF166" s="56">
        <v>1</v>
      </c>
    </row>
    <row r="167" spans="1:32" ht="18" customHeight="1" x14ac:dyDescent="0.25">
      <c r="A167" s="45">
        <v>163</v>
      </c>
      <c r="B167" s="45" t="s">
        <v>60</v>
      </c>
      <c r="C167" s="45" t="s">
        <v>61</v>
      </c>
      <c r="D167" s="45" t="s">
        <v>62</v>
      </c>
      <c r="E167" s="45" t="s">
        <v>62</v>
      </c>
      <c r="F167" s="46" cm="1">
        <f t="array" ref="F167">_xlfn.IFS($G167=$G$5,F$5,$G167=$G$6,F$6,$G167=$G$7,F$7,$G167=$G$8,F$8,$G167=$G$9,F$9,$G167=$G$10,F$10,$G167=$G$11,F$11,$G167=$G$12,F$12,$G167=$G$13,F$13,$G167=$G$15,F$15,$G167=$G$16,F$16,$G167=$G$17,F$17,$G167=$G$18,F$18,$G167=$G$19,F$19,$G167=$G$20,F$20,$G167=$G$21,F$21,$G167=$G$22,F$22,$G167=$G$25,F$25,$G167=$G$26,F$26,$G167=$G$27,F$27,$G167=$G$29,F$29,$G167=$G$31,F$31,$G167=$G$32,F$32,$G167=$G$248,F$248,$G167=$G$250,F$250)</f>
        <v>8038</v>
      </c>
      <c r="G167" t="s">
        <v>74</v>
      </c>
      <c r="H167" s="66" cm="1">
        <f t="array" ref="H167">_xlfn.IFS($G167=$G$5,H$5,$G167=$G$6,H$6,$G167=$G$7,H$7,$G167=$G$8,H$8,$G167=$G$9,H$9,$G167=$G$10,H$10,$G167=$G$11,H$11,$G167=$G$12,H$12,$G167=$G$13,H$13,$G167=$G$15,H$15,$G167=$G$16,H$16,$G167=$G$17,H$17,$G167=$G$18,H$18,$G167=$G$19,H$19,$G167=$G$20,H$20,$G167=$G$21,H$21,$G167=$G$22,H$22,$G167=$G$25,H$25,$G167=$G$26,H$26,$G167=$G$27,H$27,$G167=$G$29,H$29,$G167=$G$31,H$31,$G167=$G$32,H$150,$G167=$G$248,H$248,$G167=$G$250,H$250)</f>
        <v>41.371864000000002</v>
      </c>
      <c r="I167" s="60" cm="1">
        <f t="array" ref="I167">_xlfn.IFS($G167=$G$5,I$5,$G167=$G$6,I$6,$G167=$G$7,I$7,$G167=$G$8,I$8,$G167=$G$9,I$9,$G167=$G$10,I$10,$G167=$G$11,I$11,$G167=$G$12,I$12,$G167=$G$13,I$13,$G167=$G$15,I$15,$G167=$G$16,I$16,$G167=$G$17,I$17,$G167=$G$18,I$18,$G167=$G$19,I$19,$G167=$G$20,I$20,$G167=$G$21,I$21,$G167=$G$22,I$22,$G167=$G$25,I$25,$G167=$G$26,I$26,$G167=$G$27,I$27,$G167=$G$29,I$29,$G167=$G$31,I$31,$G167=$G$32,I$150,$G167=$G$248,I$248,$G167=$G$250,I$250)</f>
        <v>2.173899</v>
      </c>
      <c r="J167" cm="1">
        <f t="array" ref="J167">_xlfn.IFS($G167=$G$5,J$5,$G167=$G$6,J$6,$G167=$G$7,J$7,$G167=$G$8,J$8,$G167=$G$9,J$9,$G167=$G$10,J$10,$G167=$G$11,J$11,$G167=$G$12,J$12,$G167=$G$13,J$13,$G167=$G$15,J$15,$G167=$G$16,J$16,$G167=$G$17,J$17,$G167=$G$18,J$18,$G167=$G$19,J$19,$G167=$G$20,J$20,$G167=$G$21,J$21,$G167=$G$22,J$22,$G167=$G$25,J$25,$G167=$G$26,J$26,$G167=$G$27,J$27,$G167=$G$29,J$29,$G167=$G$31,J$31,$G167=$G$32,J$150,$G167=$G$248,J$248,$G167=$G$250,J$250)</f>
        <v>5</v>
      </c>
      <c r="K167" s="48" t="str" cm="1">
        <f t="array" ref="K167">_xlfn.IFS($G167=$G$5,K$5,$G167=$G$6,K$6,$G167=$G$7,K$7,$G167=$G$8,K$8,$G167=$G$9,K$9,$G167=$G$10,K$10,$G167=$G$11,K$11,$G167=$G$12,K$12,$G167=$G$13,K$13,$G167=$G$15,K$15,$G167=$G$16,K$16,$G167=$G$17,K$17,$G167=$G$18,K$18,$G167=$G$19,K$19,$G167=$G$20,K$20,$G167=$G$21,K$21,$G167=$G$22,K$22,$G167=$G$25,K$25,$G167=$G$26,K$26,$G167=$G$27,K$27,$G167=$G$29,K$29,$G167=$G$31,K$31,$G167=$G$32,K$150,$G167=$G$248,K$248,$G167=$G$250,K$250)</f>
        <v>BG sentinel + BG lure7</v>
      </c>
      <c r="L167" s="48"/>
      <c r="M167" s="48"/>
      <c r="O167" s="45" t="str">
        <f t="shared" si="10"/>
        <v>A_SP_BCN_7_210610</v>
      </c>
      <c r="P167" s="64">
        <v>44357</v>
      </c>
      <c r="R167" s="72"/>
      <c r="S167" s="64">
        <v>44364</v>
      </c>
      <c r="U167" s="72"/>
      <c r="V167" s="54" t="s">
        <v>112</v>
      </c>
      <c r="X167" s="45">
        <f t="shared" si="5"/>
        <v>7</v>
      </c>
      <c r="Z167" s="45" t="s">
        <v>70</v>
      </c>
      <c r="AA167" s="45">
        <f t="shared" si="15"/>
        <v>4</v>
      </c>
      <c r="AB167" t="str">
        <f t="shared" si="13"/>
        <v>Adult</v>
      </c>
      <c r="AC167" s="69">
        <v>3</v>
      </c>
      <c r="AD167" s="69">
        <v>1</v>
      </c>
      <c r="AE167" s="45" t="str">
        <f t="shared" si="14"/>
        <v>Morphological</v>
      </c>
      <c r="AF167" s="56">
        <v>1</v>
      </c>
    </row>
    <row r="168" spans="1:32" ht="18" customHeight="1" x14ac:dyDescent="0.25">
      <c r="A168" s="45">
        <v>164</v>
      </c>
      <c r="B168" s="45" t="s">
        <v>60</v>
      </c>
      <c r="C168" s="45" t="s">
        <v>61</v>
      </c>
      <c r="D168" s="45" t="s">
        <v>62</v>
      </c>
      <c r="E168" s="45" t="s">
        <v>62</v>
      </c>
      <c r="F168" s="46" cm="1">
        <f t="array" ref="F168">_xlfn.IFS($G168=$G$5,F$5,$G168=$G$6,F$6,$G168=$G$7,F$7,$G168=$G$8,F$8,$G168=$G$9,F$9,$G168=$G$10,F$10,$G168=$G$11,F$11,$G168=$G$12,F$12,$G168=$G$13,F$13,$G168=$G$15,F$15,$G168=$G$16,F$16,$G168=$G$17,F$17,$G168=$G$18,F$18,$G168=$G$19,F$19,$G168=$G$20,F$20,$G168=$G$21,F$21,$G168=$G$22,F$22,$G168=$G$25,F$25,$G168=$G$26,F$26,$G168=$G$27,F$27,$G168=$G$29,F$29,$G168=$G$31,F$31,$G168=$G$32,F$32,$G168=$G$248,F$248,$G168=$G$250,F$250)</f>
        <v>8038</v>
      </c>
      <c r="G168" t="s">
        <v>74</v>
      </c>
      <c r="H168" s="66" cm="1">
        <f t="array" ref="H168">_xlfn.IFS($G168=$G$5,H$5,$G168=$G$6,H$6,$G168=$G$7,H$7,$G168=$G$8,H$8,$G168=$G$9,H$9,$G168=$G$10,H$10,$G168=$G$11,H$11,$G168=$G$12,H$12,$G168=$G$13,H$13,$G168=$G$15,H$15,$G168=$G$16,H$16,$G168=$G$17,H$17,$G168=$G$18,H$18,$G168=$G$19,H$19,$G168=$G$20,H$20,$G168=$G$21,H$21,$G168=$G$22,H$22,$G168=$G$25,H$25,$G168=$G$26,H$26,$G168=$G$27,H$27,$G168=$G$29,H$29,$G168=$G$31,H$31,$G168=$G$32,H$150,$G168=$G$248,H$248,$G168=$G$250,H$250)</f>
        <v>41.371864000000002</v>
      </c>
      <c r="I168" s="60" cm="1">
        <f t="array" ref="I168">_xlfn.IFS($G168=$G$5,I$5,$G168=$G$6,I$6,$G168=$G$7,I$7,$G168=$G$8,I$8,$G168=$G$9,I$9,$G168=$G$10,I$10,$G168=$G$11,I$11,$G168=$G$12,I$12,$G168=$G$13,I$13,$G168=$G$15,I$15,$G168=$G$16,I$16,$G168=$G$17,I$17,$G168=$G$18,I$18,$G168=$G$19,I$19,$G168=$G$20,I$20,$G168=$G$21,I$21,$G168=$G$22,I$22,$G168=$G$25,I$25,$G168=$G$26,I$26,$G168=$G$27,I$27,$G168=$G$29,I$29,$G168=$G$31,I$31,$G168=$G$32,I$150,$G168=$G$248,I$248,$G168=$G$250,I$250)</f>
        <v>2.173899</v>
      </c>
      <c r="J168" cm="1">
        <f t="array" ref="J168">_xlfn.IFS($G168=$G$5,J$5,$G168=$G$6,J$6,$G168=$G$7,J$7,$G168=$G$8,J$8,$G168=$G$9,J$9,$G168=$G$10,J$10,$G168=$G$11,J$11,$G168=$G$12,J$12,$G168=$G$13,J$13,$G168=$G$15,J$15,$G168=$G$16,J$16,$G168=$G$17,J$17,$G168=$G$18,J$18,$G168=$G$19,J$19,$G168=$G$20,J$20,$G168=$G$21,J$21,$G168=$G$22,J$22,$G168=$G$25,J$25,$G168=$G$26,J$26,$G168=$G$27,J$27,$G168=$G$29,J$29,$G168=$G$31,J$31,$G168=$G$32,J$150,$G168=$G$248,J$248,$G168=$G$250,J$250)</f>
        <v>5</v>
      </c>
      <c r="K168" s="48" t="str" cm="1">
        <f t="array" ref="K168">_xlfn.IFS($G168=$G$5,K$5,$G168=$G$6,K$6,$G168=$G$7,K$7,$G168=$G$8,K$8,$G168=$G$9,K$9,$G168=$G$10,K$10,$G168=$G$11,K$11,$G168=$G$12,K$12,$G168=$G$13,K$13,$G168=$G$15,K$15,$G168=$G$16,K$16,$G168=$G$17,K$17,$G168=$G$18,K$18,$G168=$G$19,K$19,$G168=$G$20,K$20,$G168=$G$21,K$21,$G168=$G$22,K$22,$G168=$G$25,K$25,$G168=$G$26,K$26,$G168=$G$27,K$27,$G168=$G$29,K$29,$G168=$G$31,K$31,$G168=$G$32,K$150,$G168=$G$248,K$248,$G168=$G$250,K$250)</f>
        <v>BG sentinel + BG lure7</v>
      </c>
      <c r="L168" s="48"/>
      <c r="M168" s="48"/>
      <c r="O168" s="45" t="str">
        <f t="shared" si="10"/>
        <v>A_SP_BCN_7_210610</v>
      </c>
      <c r="P168" s="64">
        <v>44357</v>
      </c>
      <c r="R168" s="72"/>
      <c r="S168" s="64">
        <v>44364</v>
      </c>
      <c r="U168" s="72"/>
      <c r="V168" s="54" t="s">
        <v>112</v>
      </c>
      <c r="X168" s="45">
        <f t="shared" si="5"/>
        <v>7</v>
      </c>
      <c r="Z168" s="45" t="s">
        <v>80</v>
      </c>
      <c r="AA168" s="45">
        <f t="shared" si="15"/>
        <v>2</v>
      </c>
      <c r="AB168" t="str">
        <f t="shared" si="13"/>
        <v>Adult</v>
      </c>
      <c r="AC168" s="69">
        <v>0</v>
      </c>
      <c r="AD168" s="69">
        <v>2</v>
      </c>
      <c r="AE168" s="45" t="str">
        <f t="shared" si="14"/>
        <v>Morphological</v>
      </c>
      <c r="AF168" s="56">
        <v>1</v>
      </c>
    </row>
    <row r="169" spans="1:32" ht="18" customHeight="1" x14ac:dyDescent="0.25">
      <c r="A169" s="45">
        <v>165</v>
      </c>
      <c r="B169" s="45" t="s">
        <v>60</v>
      </c>
      <c r="C169" s="45" t="s">
        <v>61</v>
      </c>
      <c r="D169" s="45" t="s">
        <v>62</v>
      </c>
      <c r="E169" s="45" t="s">
        <v>62</v>
      </c>
      <c r="F169" s="46" cm="1">
        <f t="array" ref="F169">_xlfn.IFS($G169=$G$5,F$5,$G169=$G$6,F$6,$G169=$G$7,F$7,$G169=$G$8,F$8,$G169=$G$9,F$9,$G169=$G$10,F$10,$G169=$G$11,F$11,$G169=$G$12,F$12,$G169=$G$13,F$13,$G169=$G$15,F$15,$G169=$G$16,F$16,$G169=$G$17,F$17,$G169=$G$18,F$18,$G169=$G$19,F$19,$G169=$G$20,F$20,$G169=$G$21,F$21,$G169=$G$22,F$22,$G169=$G$25,F$25,$G169=$G$26,F$26,$G169=$G$27,F$27,$G169=$G$29,F$29,$G169=$G$31,F$31,$G169=$G$32,F$32,$G169=$G$248,F$248,$G169=$G$250,F$250)</f>
        <v>8038</v>
      </c>
      <c r="G169" t="s">
        <v>75</v>
      </c>
      <c r="H169" s="66" cm="1">
        <f t="array" ref="H169">_xlfn.IFS($G169=$G$5,H$5,$G169=$G$6,H$6,$G169=$G$7,H$7,$G169=$G$8,H$8,$G169=$G$9,H$9,$G169=$G$10,H$10,$G169=$G$11,H$11,$G169=$G$12,H$12,$G169=$G$13,H$13,$G169=$G$15,H$15,$G169=$G$16,H$16,$G169=$G$17,H$17,$G169=$G$18,H$18,$G169=$G$19,H$19,$G169=$G$20,H$20,$G169=$G$21,H$21,$G169=$G$22,H$22,$G169=$G$25,H$25,$G169=$G$26,H$26,$G169=$G$27,H$27,$G169=$G$29,H$29,$G169=$G$31,H$31,$G169=$G$32,H$150,$G169=$G$248,H$248,$G169=$G$250,H$250)</f>
        <v>41.368589</v>
      </c>
      <c r="I169" s="60" cm="1">
        <f t="array" ref="I169">_xlfn.IFS($G169=$G$5,I$5,$G169=$G$6,I$6,$G169=$G$7,I$7,$G169=$G$8,I$8,$G169=$G$9,I$9,$G169=$G$10,I$10,$G169=$G$11,I$11,$G169=$G$12,I$12,$G169=$G$13,I$13,$G169=$G$15,I$15,$G169=$G$16,I$16,$G169=$G$17,I$17,$G169=$G$18,I$18,$G169=$G$19,I$19,$G169=$G$20,I$20,$G169=$G$21,I$21,$G169=$G$22,I$22,$G169=$G$25,I$25,$G169=$G$26,I$26,$G169=$G$27,I$27,$G169=$G$29,I$29,$G169=$G$31,I$31,$G169=$G$32,I$150,$G169=$G$248,I$248,$G169=$G$250,I$250)</f>
        <v>2.1620900000000001</v>
      </c>
      <c r="J169" cm="1">
        <f t="array" ref="J169">_xlfn.IFS($G169=$G$5,J$5,$G169=$G$6,J$6,$G169=$G$7,J$7,$G169=$G$8,J$8,$G169=$G$9,J$9,$G169=$G$10,J$10,$G169=$G$11,J$11,$G169=$G$12,J$12,$G169=$G$13,J$13,$G169=$G$15,J$15,$G169=$G$16,J$16,$G169=$G$17,J$17,$G169=$G$18,J$18,$G169=$G$19,J$19,$G169=$G$20,J$20,$G169=$G$21,J$21,$G169=$G$22,J$22,$G169=$G$25,J$25,$G169=$G$26,J$26,$G169=$G$27,J$27,$G169=$G$29,J$29,$G169=$G$31,J$31,$G169=$G$32,J$150,$G169=$G$248,J$248,$G169=$G$250,J$250)</f>
        <v>95</v>
      </c>
      <c r="K169" s="48" t="str" cm="1">
        <f t="array" ref="K169">_xlfn.IFS($G169=$G$5,K$5,$G169=$G$6,K$6,$G169=$G$7,K$7,$G169=$G$8,K$8,$G169=$G$9,K$9,$G169=$G$10,K$10,$G169=$G$11,K$11,$G169=$G$12,K$12,$G169=$G$13,K$13,$G169=$G$15,K$15,$G169=$G$16,K$16,$G169=$G$17,K$17,$G169=$G$18,K$18,$G169=$G$19,K$19,$G169=$G$20,K$20,$G169=$G$21,K$21,$G169=$G$22,K$22,$G169=$G$25,K$25,$G169=$G$26,K$26,$G169=$G$27,K$27,$G169=$G$29,K$29,$G169=$G$31,K$31,$G169=$G$32,K$150,$G169=$G$248,K$248,$G169=$G$250,K$250)</f>
        <v>BG sentinel + BG lure7</v>
      </c>
      <c r="L169" s="48" t="str" cm="1">
        <f t="array" ref="L169">_xlfn.IFS($G169=$G$5,L$5,$G169=$G$6,L$6,$G169=$G$7,L$7,$G169=$G$8,L$8,$G169=$G$9,L$9,$G169=$G$10,L$10,$G169=$G$11,L$11,$G169=$G$12,L$12,$G169=$G$13,L$13,$G169=$G$15,L$15,$G169=$G$16,L$16,$G169=$G$17,L$17,$G169=$G$18,L$18,$G169=$G$19,L$19,$G169=$G$20,L$20,$G169=$G$21,L$21,$G169=$G$22,L$22,$G169=$G$25,L$25,$G169=$G$26,L$26,$G169=$G$27,L$27,$G169=$G$29,L$29,$G169=$G$31,L$31,$G169=$G$32,L$32,$G169=$G$248,L$248,$G169=$G$250,L$250)</f>
        <v>Other</v>
      </c>
      <c r="M169" s="48"/>
      <c r="O169" s="45" t="str">
        <f t="shared" si="10"/>
        <v>A_SP_BCN_8_210610</v>
      </c>
      <c r="P169" s="64">
        <v>44357</v>
      </c>
      <c r="R169" s="72"/>
      <c r="S169" s="64">
        <v>44364</v>
      </c>
      <c r="U169" s="72"/>
      <c r="V169" s="54" t="s">
        <v>66</v>
      </c>
      <c r="X169" s="45">
        <f t="shared" si="5"/>
        <v>7</v>
      </c>
      <c r="Z169" s="69" t="s">
        <v>69</v>
      </c>
      <c r="AA169" s="45">
        <f t="shared" si="15"/>
        <v>24</v>
      </c>
      <c r="AB169" t="str">
        <f t="shared" si="13"/>
        <v>Adult</v>
      </c>
      <c r="AC169" s="69">
        <v>22</v>
      </c>
      <c r="AD169" s="69">
        <v>2</v>
      </c>
      <c r="AE169" s="45" t="str">
        <f t="shared" si="14"/>
        <v>Morphological</v>
      </c>
      <c r="AF169" s="56">
        <v>4</v>
      </c>
    </row>
    <row r="170" spans="1:32" ht="18" customHeight="1" x14ac:dyDescent="0.25">
      <c r="A170" s="45">
        <v>166</v>
      </c>
      <c r="B170" s="45" t="s">
        <v>60</v>
      </c>
      <c r="C170" s="45" t="s">
        <v>61</v>
      </c>
      <c r="D170" s="45" t="s">
        <v>62</v>
      </c>
      <c r="E170" s="45" t="s">
        <v>62</v>
      </c>
      <c r="F170" s="46" cm="1">
        <f t="array" ref="F170">_xlfn.IFS($G170=$G$5,F$5,$G170=$G$6,F$6,$G170=$G$7,F$7,$G170=$G$8,F$8,$G170=$G$9,F$9,$G170=$G$10,F$10,$G170=$G$11,F$11,$G170=$G$12,F$12,$G170=$G$13,F$13,$G170=$G$15,F$15,$G170=$G$16,F$16,$G170=$G$17,F$17,$G170=$G$18,F$18,$G170=$G$19,F$19,$G170=$G$20,F$20,$G170=$G$21,F$21,$G170=$G$22,F$22,$G170=$G$25,F$25,$G170=$G$26,F$26,$G170=$G$27,F$27,$G170=$G$29,F$29,$G170=$G$31,F$31,$G170=$G$32,F$32,$G170=$G$248,F$248,$G170=$G$250,F$250)</f>
        <v>8038</v>
      </c>
      <c r="G170" t="s">
        <v>75</v>
      </c>
      <c r="H170" s="66" cm="1">
        <f t="array" ref="H170">_xlfn.IFS($G170=$G$5,H$5,$G170=$G$6,H$6,$G170=$G$7,H$7,$G170=$G$8,H$8,$G170=$G$9,H$9,$G170=$G$10,H$10,$G170=$G$11,H$11,$G170=$G$12,H$12,$G170=$G$13,H$13,$G170=$G$15,H$15,$G170=$G$16,H$16,$G170=$G$17,H$17,$G170=$G$18,H$18,$G170=$G$19,H$19,$G170=$G$20,H$20,$G170=$G$21,H$21,$G170=$G$22,H$22,$G170=$G$25,H$25,$G170=$G$26,H$26,$G170=$G$27,H$27,$G170=$G$29,H$29,$G170=$G$31,H$31,$G170=$G$32,H$150,$G170=$G$248,H$248,$G170=$G$250,H$250)</f>
        <v>41.368589</v>
      </c>
      <c r="I170" s="60" cm="1">
        <f t="array" ref="I170">_xlfn.IFS($G170=$G$5,I$5,$G170=$G$6,I$6,$G170=$G$7,I$7,$G170=$G$8,I$8,$G170=$G$9,I$9,$G170=$G$10,I$10,$G170=$G$11,I$11,$G170=$G$12,I$12,$G170=$G$13,I$13,$G170=$G$15,I$15,$G170=$G$16,I$16,$G170=$G$17,I$17,$G170=$G$18,I$18,$G170=$G$19,I$19,$G170=$G$20,I$20,$G170=$G$21,I$21,$G170=$G$22,I$22,$G170=$G$25,I$25,$G170=$G$26,I$26,$G170=$G$27,I$27,$G170=$G$29,I$29,$G170=$G$31,I$31,$G170=$G$32,I$150,$G170=$G$248,I$248,$G170=$G$250,I$250)</f>
        <v>2.1620900000000001</v>
      </c>
      <c r="J170" cm="1">
        <f t="array" ref="J170">_xlfn.IFS($G170=$G$5,J$5,$G170=$G$6,J$6,$G170=$G$7,J$7,$G170=$G$8,J$8,$G170=$G$9,J$9,$G170=$G$10,J$10,$G170=$G$11,J$11,$G170=$G$12,J$12,$G170=$G$13,J$13,$G170=$G$15,J$15,$G170=$G$16,J$16,$G170=$G$17,J$17,$G170=$G$18,J$18,$G170=$G$19,J$19,$G170=$G$20,J$20,$G170=$G$21,J$21,$G170=$G$22,J$22,$G170=$G$25,J$25,$G170=$G$26,J$26,$G170=$G$27,J$27,$G170=$G$29,J$29,$G170=$G$31,J$31,$G170=$G$32,J$150,$G170=$G$248,J$248,$G170=$G$250,J$250)</f>
        <v>95</v>
      </c>
      <c r="K170" s="48" t="str" cm="1">
        <f t="array" ref="K170">_xlfn.IFS($G170=$G$5,K$5,$G170=$G$6,K$6,$G170=$G$7,K$7,$G170=$G$8,K$8,$G170=$G$9,K$9,$G170=$G$10,K$10,$G170=$G$11,K$11,$G170=$G$12,K$12,$G170=$G$13,K$13,$G170=$G$15,K$15,$G170=$G$16,K$16,$G170=$G$17,K$17,$G170=$G$18,K$18,$G170=$G$19,K$19,$G170=$G$20,K$20,$G170=$G$21,K$21,$G170=$G$22,K$22,$G170=$G$25,K$25,$G170=$G$26,K$26,$G170=$G$27,K$27,$G170=$G$29,K$29,$G170=$G$31,K$31,$G170=$G$32,K$150,$G170=$G$248,K$248,$G170=$G$250,K$250)</f>
        <v>BG sentinel + BG lure7</v>
      </c>
      <c r="L170" s="48" t="str" cm="1">
        <f t="array" ref="L170">_xlfn.IFS($G170=$G$5,L$5,$G170=$G$6,L$6,$G170=$G$7,L$7,$G170=$G$8,L$8,$G170=$G$9,L$9,$G170=$G$10,L$10,$G170=$G$11,L$11,$G170=$G$12,L$12,$G170=$G$13,L$13,$G170=$G$15,L$15,$G170=$G$16,L$16,$G170=$G$17,L$17,$G170=$G$18,L$18,$G170=$G$19,L$19,$G170=$G$20,L$20,$G170=$G$21,L$21,$G170=$G$22,L$22,$G170=$G$25,L$25,$G170=$G$26,L$26,$G170=$G$27,L$27,$G170=$G$29,L$29,$G170=$G$31,L$31,$G170=$G$32,L$32,$G170=$G$248,L$248,$G170=$G$250,L$250)</f>
        <v>Other</v>
      </c>
      <c r="M170" s="48"/>
      <c r="O170" s="45" t="str">
        <f t="shared" si="10"/>
        <v>A_SP_BCN_8_210610</v>
      </c>
      <c r="P170" s="64">
        <v>44357</v>
      </c>
      <c r="R170" s="72"/>
      <c r="S170" s="64">
        <v>44364</v>
      </c>
      <c r="U170" s="72"/>
      <c r="V170" s="54" t="s">
        <v>66</v>
      </c>
      <c r="X170" s="45">
        <f t="shared" si="5"/>
        <v>7</v>
      </c>
      <c r="Z170" s="45" t="s">
        <v>70</v>
      </c>
      <c r="AA170" s="45">
        <f t="shared" si="15"/>
        <v>7</v>
      </c>
      <c r="AB170" t="str">
        <f t="shared" si="13"/>
        <v>Adult</v>
      </c>
      <c r="AC170" s="69">
        <v>7</v>
      </c>
      <c r="AD170" s="69">
        <v>0</v>
      </c>
      <c r="AE170" s="45" t="str">
        <f t="shared" si="14"/>
        <v>Morphological</v>
      </c>
      <c r="AF170" s="56">
        <v>4</v>
      </c>
    </row>
    <row r="171" spans="1:32" ht="18" customHeight="1" x14ac:dyDescent="0.25">
      <c r="A171" s="45">
        <v>167</v>
      </c>
      <c r="B171" s="45" t="s">
        <v>60</v>
      </c>
      <c r="C171" s="45" t="s">
        <v>61</v>
      </c>
      <c r="D171" s="45" t="s">
        <v>62</v>
      </c>
      <c r="E171" s="45" t="s">
        <v>62</v>
      </c>
      <c r="F171" s="46" cm="1">
        <f t="array" ref="F171">_xlfn.IFS($G171=$G$5,F$5,$G171=$G$6,F$6,$G171=$G$7,F$7,$G171=$G$8,F$8,$G171=$G$9,F$9,$G171=$G$10,F$10,$G171=$G$11,F$11,$G171=$G$12,F$12,$G171=$G$13,F$13,$G171=$G$15,F$15,$G171=$G$16,F$16,$G171=$G$17,F$17,$G171=$G$18,F$18,$G171=$G$19,F$19,$G171=$G$20,F$20,$G171=$G$21,F$21,$G171=$G$22,F$22,$G171=$G$25,F$25,$G171=$G$26,F$26,$G171=$G$27,F$27,$G171=$G$29,F$29,$G171=$G$31,F$31,$G171=$G$32,F$32,$G171=$G$248,F$248,$G171=$G$250,F$250)</f>
        <v>8038</v>
      </c>
      <c r="G171" t="s">
        <v>75</v>
      </c>
      <c r="H171" s="66" cm="1">
        <f t="array" ref="H171">_xlfn.IFS($G171=$G$5,H$5,$G171=$G$6,H$6,$G171=$G$7,H$7,$G171=$G$8,H$8,$G171=$G$9,H$9,$G171=$G$10,H$10,$G171=$G$11,H$11,$G171=$G$12,H$12,$G171=$G$13,H$13,$G171=$G$15,H$15,$G171=$G$16,H$16,$G171=$G$17,H$17,$G171=$G$18,H$18,$G171=$G$19,H$19,$G171=$G$20,H$20,$G171=$G$21,H$21,$G171=$G$22,H$22,$G171=$G$25,H$25,$G171=$G$26,H$26,$G171=$G$27,H$27,$G171=$G$29,H$29,$G171=$G$31,H$31,$G171=$G$32,H$150,$G171=$G$248,H$248,$G171=$G$250,H$250)</f>
        <v>41.368589</v>
      </c>
      <c r="I171" s="60" cm="1">
        <f t="array" ref="I171">_xlfn.IFS($G171=$G$5,I$5,$G171=$G$6,I$6,$G171=$G$7,I$7,$G171=$G$8,I$8,$G171=$G$9,I$9,$G171=$G$10,I$10,$G171=$G$11,I$11,$G171=$G$12,I$12,$G171=$G$13,I$13,$G171=$G$15,I$15,$G171=$G$16,I$16,$G171=$G$17,I$17,$G171=$G$18,I$18,$G171=$G$19,I$19,$G171=$G$20,I$20,$G171=$G$21,I$21,$G171=$G$22,I$22,$G171=$G$25,I$25,$G171=$G$26,I$26,$G171=$G$27,I$27,$G171=$G$29,I$29,$G171=$G$31,I$31,$G171=$G$32,I$150,$G171=$G$248,I$248,$G171=$G$250,I$250)</f>
        <v>2.1620900000000001</v>
      </c>
      <c r="J171" cm="1">
        <f t="array" ref="J171">_xlfn.IFS($G171=$G$5,J$5,$G171=$G$6,J$6,$G171=$G$7,J$7,$G171=$G$8,J$8,$G171=$G$9,J$9,$G171=$G$10,J$10,$G171=$G$11,J$11,$G171=$G$12,J$12,$G171=$G$13,J$13,$G171=$G$15,J$15,$G171=$G$16,J$16,$G171=$G$17,J$17,$G171=$G$18,J$18,$G171=$G$19,J$19,$G171=$G$20,J$20,$G171=$G$21,J$21,$G171=$G$22,J$22,$G171=$G$25,J$25,$G171=$G$26,J$26,$G171=$G$27,J$27,$G171=$G$29,J$29,$G171=$G$31,J$31,$G171=$G$32,J$150,$G171=$G$248,J$248,$G171=$G$250,J$250)</f>
        <v>95</v>
      </c>
      <c r="K171" s="48" t="str" cm="1">
        <f t="array" ref="K171">_xlfn.IFS($G171=$G$5,K$5,$G171=$G$6,K$6,$G171=$G$7,K$7,$G171=$G$8,K$8,$G171=$G$9,K$9,$G171=$G$10,K$10,$G171=$G$11,K$11,$G171=$G$12,K$12,$G171=$G$13,K$13,$G171=$G$15,K$15,$G171=$G$16,K$16,$G171=$G$17,K$17,$G171=$G$18,K$18,$G171=$G$19,K$19,$G171=$G$20,K$20,$G171=$G$21,K$21,$G171=$G$22,K$22,$G171=$G$25,K$25,$G171=$G$26,K$26,$G171=$G$27,K$27,$G171=$G$29,K$29,$G171=$G$31,K$31,$G171=$G$32,K$150,$G171=$G$248,K$248,$G171=$G$250,K$250)</f>
        <v>BG sentinel + BG lure7</v>
      </c>
      <c r="L171" s="48" t="str" cm="1">
        <f t="array" ref="L171">_xlfn.IFS($G171=$G$5,L$5,$G171=$G$6,L$6,$G171=$G$7,L$7,$G171=$G$8,L$8,$G171=$G$9,L$9,$G171=$G$10,L$10,$G171=$G$11,L$11,$G171=$G$12,L$12,$G171=$G$13,L$13,$G171=$G$15,L$15,$G171=$G$16,L$16,$G171=$G$17,L$17,$G171=$G$18,L$18,$G171=$G$19,L$19,$G171=$G$20,L$20,$G171=$G$21,L$21,$G171=$G$22,L$22,$G171=$G$25,L$25,$G171=$G$26,L$26,$G171=$G$27,L$27,$G171=$G$29,L$29,$G171=$G$31,L$31,$G171=$G$32,L$32,$G171=$G$248,L$248,$G171=$G$250,L$250)</f>
        <v>Other</v>
      </c>
      <c r="M171" s="48"/>
      <c r="O171" s="45" t="str">
        <f t="shared" si="10"/>
        <v>A_SP_BCN_8_210610</v>
      </c>
      <c r="P171" s="64">
        <v>44357</v>
      </c>
      <c r="R171" s="72"/>
      <c r="S171" s="64">
        <v>44364</v>
      </c>
      <c r="U171" s="72"/>
      <c r="V171" s="54" t="s">
        <v>66</v>
      </c>
      <c r="X171" s="45">
        <f t="shared" si="5"/>
        <v>7</v>
      </c>
      <c r="Z171" s="45" t="s">
        <v>80</v>
      </c>
      <c r="AA171" s="45">
        <f t="shared" si="15"/>
        <v>7</v>
      </c>
      <c r="AB171" t="str">
        <f t="shared" si="13"/>
        <v>Adult</v>
      </c>
      <c r="AC171" s="69">
        <v>2</v>
      </c>
      <c r="AD171" s="69">
        <v>5</v>
      </c>
      <c r="AE171" s="45" t="str">
        <f t="shared" si="14"/>
        <v>Morphological</v>
      </c>
      <c r="AF171" s="56">
        <v>4</v>
      </c>
    </row>
    <row r="172" spans="1:32" ht="18" customHeight="1" x14ac:dyDescent="0.25">
      <c r="A172" s="45">
        <v>168</v>
      </c>
      <c r="B172" s="45" t="s">
        <v>60</v>
      </c>
      <c r="C172" s="45" t="s">
        <v>61</v>
      </c>
      <c r="D172" s="45" t="s">
        <v>62</v>
      </c>
      <c r="E172" s="45" t="s">
        <v>62</v>
      </c>
      <c r="F172" s="46" cm="1">
        <f t="array" ref="F172">_xlfn.IFS($G172=$G$5,F$5,$G172=$G$6,F$6,$G172=$G$7,F$7,$G172=$G$8,F$8,$G172=$G$9,F$9,$G172=$G$10,F$10,$G172=$G$11,F$11,$G172=$G$12,F$12,$G172=$G$13,F$13,$G172=$G$15,F$15,$G172=$G$16,F$16,$G172=$G$17,F$17,$G172=$G$18,F$18,$G172=$G$19,F$19,$G172=$G$20,F$20,$G172=$G$21,F$21,$G172=$G$22,F$22,$G172=$G$25,F$25,$G172=$G$26,F$26,$G172=$G$27,F$27,$G172=$G$29,F$29,$G172=$G$31,F$31,$G172=$G$32,F$32,$G172=$G$248,F$248,$G172=$G$250,F$250)</f>
        <v>8034</v>
      </c>
      <c r="G172" t="s">
        <v>78</v>
      </c>
      <c r="H172" s="66" cm="1">
        <f t="array" ref="H172">_xlfn.IFS($G172=$G$5,H$5,$G172=$G$6,H$6,$G172=$G$7,H$7,$G172=$G$8,H$8,$G172=$G$9,H$9,$G172=$G$10,H$10,$G172=$G$11,H$11,$G172=$G$12,H$12,$G172=$G$13,H$13,$G172=$G$15,H$15,$G172=$G$16,H$16,$G172=$G$17,H$17,$G172=$G$18,H$18,$G172=$G$19,H$19,$G172=$G$20,H$20,$G172=$G$21,H$21,$G172=$G$22,H$22,$G172=$G$25,H$25,$G172=$G$26,H$26,$G172=$G$27,H$27,$G172=$G$29,H$29,$G172=$G$31,H$31,$G172=$G$32,H$150,$G172=$G$248,H$248,$G172=$G$250,H$250)</f>
        <v>41.393644999999999</v>
      </c>
      <c r="I172" s="60" cm="1">
        <f t="array" ref="I172">_xlfn.IFS($G172=$G$5,I$5,$G172=$G$6,I$6,$G172=$G$7,I$7,$G172=$G$8,I$8,$G172=$G$9,I$9,$G172=$G$10,I$10,$G172=$G$11,I$11,$G172=$G$12,I$12,$G172=$G$13,I$13,$G172=$G$15,I$15,$G172=$G$16,I$16,$G172=$G$17,I$17,$G172=$G$18,I$18,$G172=$G$19,I$19,$G172=$G$20,I$20,$G172=$G$21,I$21,$G172=$G$22,I$22,$G172=$G$25,I$25,$G172=$G$26,I$26,$G172=$G$27,I$27,$G172=$G$29,I$29,$G172=$G$31,I$31,$G172=$G$32,I$150,$G172=$G$248,I$248,$G172=$G$250,I$250)</f>
        <v>2.1216780000000002</v>
      </c>
      <c r="J172" cm="1">
        <f t="array" ref="J172">_xlfn.IFS($G172=$G$5,J$5,$G172=$G$6,J$6,$G172=$G$7,J$7,$G172=$G$8,J$8,$G172=$G$9,J$9,$G172=$G$10,J$10,$G172=$G$11,J$11,$G172=$G$12,J$12,$G172=$G$13,J$13,$G172=$G$15,J$15,$G172=$G$16,J$16,$G172=$G$17,J$17,$G172=$G$18,J$18,$G172=$G$19,J$19,$G172=$G$20,J$20,$G172=$G$21,J$21,$G172=$G$22,J$22,$G172=$G$25,J$25,$G172=$G$26,J$26,$G172=$G$27,J$27,$G172=$G$29,J$29,$G172=$G$31,J$31,$G172=$G$32,J$150,$G172=$G$248,J$248,$G172=$G$250,J$250)</f>
        <v>98</v>
      </c>
      <c r="K172" s="48" t="str" cm="1">
        <f t="array" ref="K172">_xlfn.IFS($G172=$G$5,K$5,$G172=$G$6,K$6,$G172=$G$7,K$7,$G172=$G$8,K$8,$G172=$G$9,K$9,$G172=$G$10,K$10,$G172=$G$11,K$11,$G172=$G$12,K$12,$G172=$G$13,K$13,$G172=$G$15,K$15,$G172=$G$16,K$16,$G172=$G$17,K$17,$G172=$G$18,K$18,$G172=$G$19,K$19,$G172=$G$20,K$20,$G172=$G$21,K$21,$G172=$G$22,K$22,$G172=$G$25,K$25,$G172=$G$26,K$26,$G172=$G$27,K$27,$G172=$G$29,K$29,$G172=$G$31,K$31,$G172=$G$32,K$150,$G172=$G$248,K$248,$G172=$G$250,K$250)</f>
        <v>BG sentinel + BG lure7</v>
      </c>
      <c r="L172" s="48"/>
      <c r="M172" s="48"/>
      <c r="O172" s="45" t="str">
        <f t="shared" si="10"/>
        <v>A_SP_BCN_9_210609</v>
      </c>
      <c r="P172" s="64">
        <v>44356</v>
      </c>
      <c r="R172" s="72"/>
      <c r="S172" s="64">
        <v>44363</v>
      </c>
      <c r="U172" s="72"/>
      <c r="V172" s="54" t="s">
        <v>66</v>
      </c>
      <c r="X172" s="45">
        <f t="shared" si="5"/>
        <v>7</v>
      </c>
      <c r="Z172" s="45" t="s">
        <v>70</v>
      </c>
      <c r="AA172" s="45">
        <f t="shared" si="15"/>
        <v>2</v>
      </c>
      <c r="AB172" t="str">
        <f t="shared" si="13"/>
        <v>Adult</v>
      </c>
      <c r="AC172" s="69">
        <v>2</v>
      </c>
      <c r="AD172" s="69">
        <v>0</v>
      </c>
      <c r="AE172" s="45" t="str">
        <f t="shared" si="14"/>
        <v>Morphological</v>
      </c>
      <c r="AF172" s="56">
        <v>4</v>
      </c>
    </row>
    <row r="173" spans="1:32" ht="18" customHeight="1" x14ac:dyDescent="0.25">
      <c r="A173" s="45">
        <v>169</v>
      </c>
      <c r="B173" s="45" t="s">
        <v>60</v>
      </c>
      <c r="C173" s="45" t="s">
        <v>61</v>
      </c>
      <c r="D173" s="45" t="s">
        <v>62</v>
      </c>
      <c r="E173" s="45" t="s">
        <v>62</v>
      </c>
      <c r="F173" s="46" cm="1">
        <f t="array" ref="F173">_xlfn.IFS($G173=$G$5,F$5,$G173=$G$6,F$6,$G173=$G$7,F$7,$G173=$G$8,F$8,$G173=$G$9,F$9,$G173=$G$10,F$10,$G173=$G$11,F$11,$G173=$G$12,F$12,$G173=$G$13,F$13,$G173=$G$15,F$15,$G173=$G$16,F$16,$G173=$G$17,F$17,$G173=$G$18,F$18,$G173=$G$19,F$19,$G173=$G$20,F$20,$G173=$G$21,F$21,$G173=$G$22,F$22,$G173=$G$25,F$25,$G173=$G$26,F$26,$G173=$G$27,F$27,$G173=$G$29,F$29,$G173=$G$31,F$31,$G173=$G$32,F$32,$G173=$G$248,F$248,$G173=$G$250,F$250)</f>
        <v>8034</v>
      </c>
      <c r="G173" t="s">
        <v>78</v>
      </c>
      <c r="H173" s="66" cm="1">
        <f t="array" ref="H173">_xlfn.IFS($G173=$G$5,H$5,$G173=$G$6,H$6,$G173=$G$7,H$7,$G173=$G$8,H$8,$G173=$G$9,H$9,$G173=$G$10,H$10,$G173=$G$11,H$11,$G173=$G$12,H$12,$G173=$G$13,H$13,$G173=$G$15,H$15,$G173=$G$16,H$16,$G173=$G$17,H$17,$G173=$G$18,H$18,$G173=$G$19,H$19,$G173=$G$20,H$20,$G173=$G$21,H$21,$G173=$G$22,H$22,$G173=$G$25,H$25,$G173=$G$26,H$26,$G173=$G$27,H$27,$G173=$G$29,H$29,$G173=$G$31,H$31,$G173=$G$32,H$150,$G173=$G$248,H$248,$G173=$G$250,H$250)</f>
        <v>41.393644999999999</v>
      </c>
      <c r="I173" s="60" cm="1">
        <f t="array" ref="I173">_xlfn.IFS($G173=$G$5,I$5,$G173=$G$6,I$6,$G173=$G$7,I$7,$G173=$G$8,I$8,$G173=$G$9,I$9,$G173=$G$10,I$10,$G173=$G$11,I$11,$G173=$G$12,I$12,$G173=$G$13,I$13,$G173=$G$15,I$15,$G173=$G$16,I$16,$G173=$G$17,I$17,$G173=$G$18,I$18,$G173=$G$19,I$19,$G173=$G$20,I$20,$G173=$G$21,I$21,$G173=$G$22,I$22,$G173=$G$25,I$25,$G173=$G$26,I$26,$G173=$G$27,I$27,$G173=$G$29,I$29,$G173=$G$31,I$31,$G173=$G$32,I$150,$G173=$G$248,I$248,$G173=$G$250,I$250)</f>
        <v>2.1216780000000002</v>
      </c>
      <c r="J173" cm="1">
        <f t="array" ref="J173">_xlfn.IFS($G173=$G$5,J$5,$G173=$G$6,J$6,$G173=$G$7,J$7,$G173=$G$8,J$8,$G173=$G$9,J$9,$G173=$G$10,J$10,$G173=$G$11,J$11,$G173=$G$12,J$12,$G173=$G$13,J$13,$G173=$G$15,J$15,$G173=$G$16,J$16,$G173=$G$17,J$17,$G173=$G$18,J$18,$G173=$G$19,J$19,$G173=$G$20,J$20,$G173=$G$21,J$21,$G173=$G$22,J$22,$G173=$G$25,J$25,$G173=$G$26,J$26,$G173=$G$27,J$27,$G173=$G$29,J$29,$G173=$G$31,J$31,$G173=$G$32,J$150,$G173=$G$248,J$248,$G173=$G$250,J$250)</f>
        <v>98</v>
      </c>
      <c r="K173" s="48" t="str" cm="1">
        <f t="array" ref="K173">_xlfn.IFS($G173=$G$5,K$5,$G173=$G$6,K$6,$G173=$G$7,K$7,$G173=$G$8,K$8,$G173=$G$9,K$9,$G173=$G$10,K$10,$G173=$G$11,K$11,$G173=$G$12,K$12,$G173=$G$13,K$13,$G173=$G$15,K$15,$G173=$G$16,K$16,$G173=$G$17,K$17,$G173=$G$18,K$18,$G173=$G$19,K$19,$G173=$G$20,K$20,$G173=$G$21,K$21,$G173=$G$22,K$22,$G173=$G$25,K$25,$G173=$G$26,K$26,$G173=$G$27,K$27,$G173=$G$29,K$29,$G173=$G$31,K$31,$G173=$G$32,K$150,$G173=$G$248,K$248,$G173=$G$250,K$250)</f>
        <v>BG sentinel + BG lure7</v>
      </c>
      <c r="L173" s="48"/>
      <c r="M173" s="48"/>
      <c r="O173" s="45" t="str">
        <f t="shared" si="10"/>
        <v>A_SP_BCN_9_210609</v>
      </c>
      <c r="P173" s="64">
        <v>44356</v>
      </c>
      <c r="R173" s="72"/>
      <c r="S173" s="64">
        <v>44363</v>
      </c>
      <c r="U173" s="72"/>
      <c r="V173" s="54" t="s">
        <v>66</v>
      </c>
      <c r="X173" s="45">
        <f t="shared" si="5"/>
        <v>7</v>
      </c>
      <c r="Z173" s="45" t="s">
        <v>80</v>
      </c>
      <c r="AA173" s="45">
        <f t="shared" si="15"/>
        <v>7</v>
      </c>
      <c r="AB173" t="str">
        <f t="shared" si="13"/>
        <v>Adult</v>
      </c>
      <c r="AC173" s="69">
        <v>6</v>
      </c>
      <c r="AD173" s="69">
        <v>1</v>
      </c>
      <c r="AE173" s="45" t="str">
        <f t="shared" si="14"/>
        <v>Morphological</v>
      </c>
      <c r="AF173" s="56">
        <v>4</v>
      </c>
    </row>
    <row r="174" spans="1:32" ht="18" customHeight="1" x14ac:dyDescent="0.25">
      <c r="A174" s="45">
        <v>170</v>
      </c>
      <c r="B174" s="45" t="s">
        <v>60</v>
      </c>
      <c r="C174" s="45" t="s">
        <v>61</v>
      </c>
      <c r="D174" s="45" t="s">
        <v>62</v>
      </c>
      <c r="E174" s="45" t="s">
        <v>62</v>
      </c>
      <c r="F174" s="46" cm="1">
        <f t="array" ref="F174">_xlfn.IFS($G174=$G$5,F$5,$G174=$G$6,F$6,$G174=$G$7,F$7,$G174=$G$8,F$8,$G174=$G$9,F$9,$G174=$G$10,F$10,$G174=$G$11,F$11,$G174=$G$12,F$12,$G174=$G$13,F$13,$G174=$G$15,F$15,$G174=$G$16,F$16,$G174=$G$17,F$17,$G174=$G$18,F$18,$G174=$G$19,F$19,$G174=$G$20,F$20,$G174=$G$21,F$21,$G174=$G$22,F$22,$G174=$G$25,F$25,$G174=$G$26,F$26,$G174=$G$27,F$27,$G174=$G$29,F$29,$G174=$G$31,F$31,$G174=$G$32,F$32,$G174=$G$248,F$248,$G174=$G$250,F$250)</f>
        <v>8040</v>
      </c>
      <c r="G174" t="s">
        <v>81</v>
      </c>
      <c r="H174" s="66" cm="1">
        <f t="array" ref="H174">_xlfn.IFS($G174=$G$5,H$5,$G174=$G$6,H$6,$G174=$G$7,H$7,$G174=$G$8,H$8,$G174=$G$9,H$9,$G174=$G$10,H$10,$G174=$G$11,H$11,$G174=$G$12,H$12,$G174=$G$13,H$13,$G174=$G$15,H$15,$G174=$G$16,H$16,$G174=$G$17,H$17,$G174=$G$18,H$18,$G174=$G$19,H$19,$G174=$G$20,H$20,$G174=$G$21,H$21,$G174=$G$22,H$22,$G174=$G$25,H$25,$G174=$G$26,H$26,$G174=$G$27,H$27,$G174=$G$29,H$29,$G174=$G$31,H$31,$G174=$G$32,H$150,$G174=$G$248,H$248,$G174=$G$250,H$250)</f>
        <v>41.343685000000001</v>
      </c>
      <c r="I174" s="60" cm="1">
        <f t="array" ref="I174">_xlfn.IFS($G174=$G$5,I$5,$G174=$G$6,I$6,$G174=$G$7,I$7,$G174=$G$8,I$8,$G174=$G$9,I$9,$G174=$G$10,I$10,$G174=$G$11,I$11,$G174=$G$12,I$12,$G174=$G$13,I$13,$G174=$G$15,I$15,$G174=$G$16,I$16,$G174=$G$17,I$17,$G174=$G$18,I$18,$G174=$G$19,I$19,$G174=$G$20,I$20,$G174=$G$21,I$21,$G174=$G$22,I$22,$G174=$G$25,I$25,$G174=$G$26,I$26,$G174=$G$27,I$27,$G174=$G$29,I$29,$G174=$G$31,I$31,$G174=$G$32,I$150,$G174=$G$248,I$248,$G174=$G$250,I$250)</f>
        <v>2.1441490000000001</v>
      </c>
      <c r="J174" cm="1">
        <f t="array" ref="J174">_xlfn.IFS($G174=$G$5,J$5,$G174=$G$6,J$6,$G174=$G$7,J$7,$G174=$G$8,J$8,$G174=$G$9,J$9,$G174=$G$10,J$10,$G174=$G$11,J$11,$G174=$G$12,J$12,$G174=$G$13,J$13,$G174=$G$15,J$15,$G174=$G$16,J$16,$G174=$G$17,J$17,$G174=$G$18,J$18,$G174=$G$19,J$19,$G174=$G$20,J$20,$G174=$G$21,J$21,$G174=$G$22,J$22,$G174=$G$25,J$25,$G174=$G$26,J$26,$G174=$G$27,J$27,$G174=$G$29,J$29,$G174=$G$31,J$31,$G174=$G$32,J$150,$G174=$G$248,J$248,$G174=$G$250,J$250)</f>
        <v>4</v>
      </c>
      <c r="K174" s="48" t="str" cm="1">
        <f t="array" ref="K174">_xlfn.IFS($G174=$G$5,K$5,$G174=$G$6,K$6,$G174=$G$7,K$7,$G174=$G$8,K$8,$G174=$G$9,K$9,$G174=$G$10,K$10,$G174=$G$11,K$11,$G174=$G$12,K$12,$G174=$G$13,K$13,$G174=$G$15,K$15,$G174=$G$16,K$16,$G174=$G$17,K$17,$G174=$G$18,K$18,$G174=$G$19,K$19,$G174=$G$20,K$20,$G174=$G$21,K$21,$G174=$G$22,K$22,$G174=$G$25,K$25,$G174=$G$26,K$26,$G174=$G$27,K$27,$G174=$G$29,K$29,$G174=$G$31,K$31,$G174=$G$32,K$150,$G174=$G$248,K$248,$G174=$G$250,K$250)</f>
        <v>BG sentinel + BG lure7</v>
      </c>
      <c r="L174" s="48"/>
      <c r="M174" s="48"/>
      <c r="O174" s="45" t="str">
        <f t="shared" si="10"/>
        <v>A_SP_BCN_10_210610</v>
      </c>
      <c r="P174" s="64">
        <v>44357</v>
      </c>
      <c r="R174" s="72"/>
      <c r="S174" s="64">
        <v>44364</v>
      </c>
      <c r="U174" s="72"/>
      <c r="V174" s="54" t="s">
        <v>66</v>
      </c>
      <c r="X174" s="45">
        <f t="shared" si="5"/>
        <v>7</v>
      </c>
      <c r="Z174" s="69" t="s">
        <v>69</v>
      </c>
      <c r="AA174" s="45">
        <f t="shared" si="15"/>
        <v>9</v>
      </c>
      <c r="AB174" t="str">
        <f t="shared" si="13"/>
        <v>Adult</v>
      </c>
      <c r="AC174" s="69">
        <v>3</v>
      </c>
      <c r="AD174" s="69">
        <v>6</v>
      </c>
      <c r="AE174" s="45" t="str">
        <f t="shared" si="14"/>
        <v>Morphological</v>
      </c>
      <c r="AF174" s="56">
        <v>4</v>
      </c>
    </row>
    <row r="175" spans="1:32" ht="18" customHeight="1" x14ac:dyDescent="0.25">
      <c r="A175" s="45">
        <v>171</v>
      </c>
      <c r="B175" s="45" t="s">
        <v>60</v>
      </c>
      <c r="C175" s="45" t="s">
        <v>61</v>
      </c>
      <c r="D175" s="45" t="s">
        <v>62</v>
      </c>
      <c r="E175" s="45" t="s">
        <v>62</v>
      </c>
      <c r="F175" s="46" cm="1">
        <f t="array" ref="F175">_xlfn.IFS($G175=$G$5,F$5,$G175=$G$6,F$6,$G175=$G$7,F$7,$G175=$G$8,F$8,$G175=$G$9,F$9,$G175=$G$10,F$10,$G175=$G$11,F$11,$G175=$G$12,F$12,$G175=$G$13,F$13,$G175=$G$15,F$15,$G175=$G$16,F$16,$G175=$G$17,F$17,$G175=$G$18,F$18,$G175=$G$19,F$19,$G175=$G$20,F$20,$G175=$G$21,F$21,$G175=$G$22,F$22,$G175=$G$25,F$25,$G175=$G$26,F$26,$G175=$G$27,F$27,$G175=$G$29,F$29,$G175=$G$31,F$31,$G175=$G$32,F$32,$G175=$G$248,F$248,$G175=$G$250,F$250)</f>
        <v>8040</v>
      </c>
      <c r="G175" t="s">
        <v>81</v>
      </c>
      <c r="H175" s="66" cm="1">
        <f t="array" ref="H175">_xlfn.IFS($G175=$G$5,H$5,$G175=$G$6,H$6,$G175=$G$7,H$7,$G175=$G$8,H$8,$G175=$G$9,H$9,$G175=$G$10,H$10,$G175=$G$11,H$11,$G175=$G$12,H$12,$G175=$G$13,H$13,$G175=$G$15,H$15,$G175=$G$16,H$16,$G175=$G$17,H$17,$G175=$G$18,H$18,$G175=$G$19,H$19,$G175=$G$20,H$20,$G175=$G$21,H$21,$G175=$G$22,H$22,$G175=$G$25,H$25,$G175=$G$26,H$26,$G175=$G$27,H$27,$G175=$G$29,H$29,$G175=$G$31,H$31,$G175=$G$32,H$150,$G175=$G$248,H$248,$G175=$G$250,H$250)</f>
        <v>41.343685000000001</v>
      </c>
      <c r="I175" s="60" cm="1">
        <f t="array" ref="I175">_xlfn.IFS($G175=$G$5,I$5,$G175=$G$6,I$6,$G175=$G$7,I$7,$G175=$G$8,I$8,$G175=$G$9,I$9,$G175=$G$10,I$10,$G175=$G$11,I$11,$G175=$G$12,I$12,$G175=$G$13,I$13,$G175=$G$15,I$15,$G175=$G$16,I$16,$G175=$G$17,I$17,$G175=$G$18,I$18,$G175=$G$19,I$19,$G175=$G$20,I$20,$G175=$G$21,I$21,$G175=$G$22,I$22,$G175=$G$25,I$25,$G175=$G$26,I$26,$G175=$G$27,I$27,$G175=$G$29,I$29,$G175=$G$31,I$31,$G175=$G$32,I$150,$G175=$G$248,I$248,$G175=$G$250,I$250)</f>
        <v>2.1441490000000001</v>
      </c>
      <c r="J175" cm="1">
        <f t="array" ref="J175">_xlfn.IFS($G175=$G$5,J$5,$G175=$G$6,J$6,$G175=$G$7,J$7,$G175=$G$8,J$8,$G175=$G$9,J$9,$G175=$G$10,J$10,$G175=$G$11,J$11,$G175=$G$12,J$12,$G175=$G$13,J$13,$G175=$G$15,J$15,$G175=$G$16,J$16,$G175=$G$17,J$17,$G175=$G$18,J$18,$G175=$G$19,J$19,$G175=$G$20,J$20,$G175=$G$21,J$21,$G175=$G$22,J$22,$G175=$G$25,J$25,$G175=$G$26,J$26,$G175=$G$27,J$27,$G175=$G$29,J$29,$G175=$G$31,J$31,$G175=$G$32,J$150,$G175=$G$248,J$248,$G175=$G$250,J$250)</f>
        <v>4</v>
      </c>
      <c r="K175" s="48" t="str" cm="1">
        <f t="array" ref="K175">_xlfn.IFS($G175=$G$5,K$5,$G175=$G$6,K$6,$G175=$G$7,K$7,$G175=$G$8,K$8,$G175=$G$9,K$9,$G175=$G$10,K$10,$G175=$G$11,K$11,$G175=$G$12,K$12,$G175=$G$13,K$13,$G175=$G$15,K$15,$G175=$G$16,K$16,$G175=$G$17,K$17,$G175=$G$18,K$18,$G175=$G$19,K$19,$G175=$G$20,K$20,$G175=$G$21,K$21,$G175=$G$22,K$22,$G175=$G$25,K$25,$G175=$G$26,K$26,$G175=$G$27,K$27,$G175=$G$29,K$29,$G175=$G$31,K$31,$G175=$G$32,K$150,$G175=$G$248,K$248,$G175=$G$250,K$250)</f>
        <v>BG sentinel + BG lure7</v>
      </c>
      <c r="L175" s="48"/>
      <c r="M175" s="48"/>
      <c r="O175" s="45" t="str">
        <f t="shared" si="10"/>
        <v>A_SP_BCN_10_210610</v>
      </c>
      <c r="P175" s="64">
        <v>44357</v>
      </c>
      <c r="R175" s="72"/>
      <c r="S175" s="64">
        <v>44364</v>
      </c>
      <c r="U175" s="72"/>
      <c r="V175" s="54" t="s">
        <v>66</v>
      </c>
      <c r="X175" s="45">
        <f t="shared" si="5"/>
        <v>7</v>
      </c>
      <c r="Z175" s="45" t="s">
        <v>70</v>
      </c>
      <c r="AA175" s="45">
        <f t="shared" si="15"/>
        <v>43</v>
      </c>
      <c r="AB175" t="str">
        <f t="shared" si="13"/>
        <v>Adult</v>
      </c>
      <c r="AC175" s="69">
        <v>31</v>
      </c>
      <c r="AD175" s="69">
        <v>12</v>
      </c>
      <c r="AE175" s="45" t="str">
        <f t="shared" si="14"/>
        <v>Morphological</v>
      </c>
      <c r="AF175" s="56">
        <v>4</v>
      </c>
    </row>
    <row r="176" spans="1:32" ht="18" customHeight="1" x14ac:dyDescent="0.25">
      <c r="A176" s="45">
        <v>172</v>
      </c>
      <c r="B176" s="45" t="s">
        <v>60</v>
      </c>
      <c r="C176" s="45" t="s">
        <v>61</v>
      </c>
      <c r="D176" s="45" t="s">
        <v>62</v>
      </c>
      <c r="E176" s="45" t="s">
        <v>62</v>
      </c>
      <c r="F176" s="46" cm="1">
        <f t="array" ref="F176">_xlfn.IFS($G176=$G$5,F$5,$G176=$G$6,F$6,$G176=$G$7,F$7,$G176=$G$8,F$8,$G176=$G$9,F$9,$G176=$G$10,F$10,$G176=$G$11,F$11,$G176=$G$12,F$12,$G176=$G$13,F$13,$G176=$G$15,F$15,$G176=$G$16,F$16,$G176=$G$17,F$17,$G176=$G$18,F$18,$G176=$G$19,F$19,$G176=$G$20,F$20,$G176=$G$21,F$21,$G176=$G$22,F$22,$G176=$G$25,F$25,$G176=$G$26,F$26,$G176=$G$27,F$27,$G176=$G$29,F$29,$G176=$G$31,F$31,$G176=$G$32,F$32,$G176=$G$248,F$248,$G176=$G$250,F$250)</f>
        <v>8040</v>
      </c>
      <c r="G176" t="s">
        <v>81</v>
      </c>
      <c r="H176" s="66" cm="1">
        <f t="array" ref="H176">_xlfn.IFS($G176=$G$5,H$5,$G176=$G$6,H$6,$G176=$G$7,H$7,$G176=$G$8,H$8,$G176=$G$9,H$9,$G176=$G$10,H$10,$G176=$G$11,H$11,$G176=$G$12,H$12,$G176=$G$13,H$13,$G176=$G$15,H$15,$G176=$G$16,H$16,$G176=$G$17,H$17,$G176=$G$18,H$18,$G176=$G$19,H$19,$G176=$G$20,H$20,$G176=$G$21,H$21,$G176=$G$22,H$22,$G176=$G$25,H$25,$G176=$G$26,H$26,$G176=$G$27,H$27,$G176=$G$29,H$29,$G176=$G$31,H$31,$G176=$G$32,H$150,$G176=$G$248,H$248,$G176=$G$250,H$250)</f>
        <v>41.343685000000001</v>
      </c>
      <c r="I176" s="60" cm="1">
        <f t="array" ref="I176">_xlfn.IFS($G176=$G$5,I$5,$G176=$G$6,I$6,$G176=$G$7,I$7,$G176=$G$8,I$8,$G176=$G$9,I$9,$G176=$G$10,I$10,$G176=$G$11,I$11,$G176=$G$12,I$12,$G176=$G$13,I$13,$G176=$G$15,I$15,$G176=$G$16,I$16,$G176=$G$17,I$17,$G176=$G$18,I$18,$G176=$G$19,I$19,$G176=$G$20,I$20,$G176=$G$21,I$21,$G176=$G$22,I$22,$G176=$G$25,I$25,$G176=$G$26,I$26,$G176=$G$27,I$27,$G176=$G$29,I$29,$G176=$G$31,I$31,$G176=$G$32,I$150,$G176=$G$248,I$248,$G176=$G$250,I$250)</f>
        <v>2.1441490000000001</v>
      </c>
      <c r="J176" cm="1">
        <f t="array" ref="J176">_xlfn.IFS($G176=$G$5,J$5,$G176=$G$6,J$6,$G176=$G$7,J$7,$G176=$G$8,J$8,$G176=$G$9,J$9,$G176=$G$10,J$10,$G176=$G$11,J$11,$G176=$G$12,J$12,$G176=$G$13,J$13,$G176=$G$15,J$15,$G176=$G$16,J$16,$G176=$G$17,J$17,$G176=$G$18,J$18,$G176=$G$19,J$19,$G176=$G$20,J$20,$G176=$G$21,J$21,$G176=$G$22,J$22,$G176=$G$25,J$25,$G176=$G$26,J$26,$G176=$G$27,J$27,$G176=$G$29,J$29,$G176=$G$31,J$31,$G176=$G$32,J$150,$G176=$G$248,J$248,$G176=$G$250,J$250)</f>
        <v>4</v>
      </c>
      <c r="K176" s="48" t="str" cm="1">
        <f t="array" ref="K176">_xlfn.IFS($G176=$G$5,K$5,$G176=$G$6,K$6,$G176=$G$7,K$7,$G176=$G$8,K$8,$G176=$G$9,K$9,$G176=$G$10,K$10,$G176=$G$11,K$11,$G176=$G$12,K$12,$G176=$G$13,K$13,$G176=$G$15,K$15,$G176=$G$16,K$16,$G176=$G$17,K$17,$G176=$G$18,K$18,$G176=$G$19,K$19,$G176=$G$20,K$20,$G176=$G$21,K$21,$G176=$G$22,K$22,$G176=$G$25,K$25,$G176=$G$26,K$26,$G176=$G$27,K$27,$G176=$G$29,K$29,$G176=$G$31,K$31,$G176=$G$32,K$150,$G176=$G$248,K$248,$G176=$G$250,K$250)</f>
        <v>BG sentinel + BG lure7</v>
      </c>
      <c r="L176" s="48"/>
      <c r="M176" s="48"/>
      <c r="O176" s="45" t="str">
        <f t="shared" si="10"/>
        <v>A_SP_BCN_10_210610</v>
      </c>
      <c r="P176" s="64">
        <v>44357</v>
      </c>
      <c r="R176" s="72"/>
      <c r="S176" s="64">
        <v>44364</v>
      </c>
      <c r="U176" s="72"/>
      <c r="V176" s="54" t="s">
        <v>66</v>
      </c>
      <c r="X176" s="45">
        <f t="shared" si="5"/>
        <v>7</v>
      </c>
      <c r="Z176" s="45" t="s">
        <v>80</v>
      </c>
      <c r="AA176" s="45">
        <f t="shared" si="15"/>
        <v>2</v>
      </c>
      <c r="AB176" t="str">
        <f t="shared" si="13"/>
        <v>Adult</v>
      </c>
      <c r="AC176" s="69">
        <v>0</v>
      </c>
      <c r="AD176" s="69">
        <v>2</v>
      </c>
      <c r="AE176" s="45" t="str">
        <f t="shared" si="14"/>
        <v>Morphological</v>
      </c>
      <c r="AF176" s="56">
        <v>4</v>
      </c>
    </row>
    <row r="177" spans="1:32" ht="18" customHeight="1" x14ac:dyDescent="0.25">
      <c r="A177" s="45">
        <v>173</v>
      </c>
      <c r="B177" s="45" t="s">
        <v>60</v>
      </c>
      <c r="C177" s="45" t="s">
        <v>61</v>
      </c>
      <c r="D177" s="45" t="s">
        <v>62</v>
      </c>
      <c r="E177" s="45" t="s">
        <v>62</v>
      </c>
      <c r="F177" s="46" cm="1">
        <f t="array" ref="F177">_xlfn.IFS($G177=$G$5,F$5,$G177=$G$6,F$6,$G177=$G$7,F$7,$G177=$G$8,F$8,$G177=$G$9,F$9,$G177=$G$10,F$10,$G177=$G$11,F$11,$G177=$G$12,F$12,$G177=$G$13,F$13,$G177=$G$15,F$15,$G177=$G$16,F$16,$G177=$G$17,F$17,$G177=$G$18,F$18,$G177=$G$19,F$19,$G177=$G$20,F$20,$G177=$G$21,F$21,$G177=$G$22,F$22,$G177=$G$25,F$25,$G177=$G$26,F$26,$G177=$G$27,F$27,$G177=$G$29,F$29,$G177=$G$31,F$31,$G177=$G$32,F$32,$G177=$G$248,F$248,$G177=$G$250,F$250)</f>
        <v>8038</v>
      </c>
      <c r="G177" t="s">
        <v>82</v>
      </c>
      <c r="H177" s="66" cm="1">
        <f t="array" ref="H177">_xlfn.IFS($G177=$G$5,H$5,$G177=$G$6,H$6,$G177=$G$7,H$7,$G177=$G$8,H$8,$G177=$G$9,H$9,$G177=$G$10,H$10,$G177=$G$11,H$11,$G177=$G$12,H$12,$G177=$G$13,H$13,$G177=$G$15,H$15,$G177=$G$16,H$16,$G177=$G$17,H$17,$G177=$G$18,H$18,$G177=$G$19,H$19,$G177=$G$20,H$20,$G177=$G$21,H$21,$G177=$G$22,H$22,$G177=$G$25,H$25,$G177=$G$26,H$26,$G177=$G$27,H$27,$G177=$G$29,H$29,$G177=$G$31,H$31,$G177=$G$32,H$150,$G177=$G$248,H$248,$G177=$G$250,H$250)</f>
        <v>41.367429999999999</v>
      </c>
      <c r="I177" s="60" cm="1">
        <f t="array" ref="I177">_xlfn.IFS($G177=$G$5,I$5,$G177=$G$6,I$6,$G177=$G$7,I$7,$G177=$G$8,I$8,$G177=$G$9,I$9,$G177=$G$10,I$10,$G177=$G$11,I$11,$G177=$G$12,I$12,$G177=$G$13,I$13,$G177=$G$15,I$15,$G177=$G$16,I$16,$G177=$G$17,I$17,$G177=$G$18,I$18,$G177=$G$19,I$19,$G177=$G$20,I$20,$G177=$G$21,I$21,$G177=$G$22,I$22,$G177=$G$25,I$25,$G177=$G$26,I$26,$G177=$G$27,I$27,$G177=$G$29,I$29,$G177=$G$31,I$31,$G177=$G$32,I$150,$G177=$G$248,I$248,$G177=$G$250,I$250)</f>
        <v>2.1569609999999999</v>
      </c>
      <c r="J177" cm="1">
        <f t="array" ref="J177">_xlfn.IFS($G177=$G$5,J$5,$G177=$G$6,J$6,$G177=$G$7,J$7,$G177=$G$8,J$8,$G177=$G$9,J$9,$G177=$G$10,J$10,$G177=$G$11,J$11,$G177=$G$12,J$12,$G177=$G$13,J$13,$G177=$G$15,J$15,$G177=$G$16,J$16,$G177=$G$17,J$17,$G177=$G$18,J$18,$G177=$G$19,J$19,$G177=$G$20,J$20,$G177=$G$21,J$21,$G177=$G$22,J$22,$G177=$G$25,J$25,$G177=$G$26,J$26,$G177=$G$27,J$27,$G177=$G$29,J$29,$G177=$G$31,J$31,$G177=$G$32,J$150,$G177=$G$248,J$248,$G177=$G$250,J$250)</f>
        <v>91</v>
      </c>
      <c r="K177" s="48" t="str" cm="1">
        <f t="array" ref="K177">_xlfn.IFS($G177=$G$5,K$5,$G177=$G$6,K$6,$G177=$G$7,K$7,$G177=$G$8,K$8,$G177=$G$9,K$9,$G177=$G$10,K$10,$G177=$G$11,K$11,$G177=$G$12,K$12,$G177=$G$13,K$13,$G177=$G$15,K$15,$G177=$G$16,K$16,$G177=$G$17,K$17,$G177=$G$18,K$18,$G177=$G$19,K$19,$G177=$G$20,K$20,$G177=$G$21,K$21,$G177=$G$22,K$22,$G177=$G$25,K$25,$G177=$G$26,K$26,$G177=$G$27,K$27,$G177=$G$29,K$29,$G177=$G$31,K$31,$G177=$G$32,K$150,$G177=$G$248,K$248,$G177=$G$250,K$250)</f>
        <v>BG sentinel + BG lure7</v>
      </c>
      <c r="L177" s="48"/>
      <c r="M177" s="48"/>
      <c r="O177" s="45" t="str">
        <f t="shared" si="10"/>
        <v>A_SP_BCN_11_210610</v>
      </c>
      <c r="P177" s="64">
        <v>44357</v>
      </c>
      <c r="R177" s="72"/>
      <c r="S177" s="64">
        <v>44364</v>
      </c>
      <c r="U177" s="72"/>
      <c r="V177" s="54" t="s">
        <v>66</v>
      </c>
      <c r="X177" s="45">
        <f t="shared" si="5"/>
        <v>7</v>
      </c>
      <c r="Z177" s="69" t="s">
        <v>69</v>
      </c>
      <c r="AA177" s="45">
        <f t="shared" si="15"/>
        <v>12</v>
      </c>
      <c r="AB177" t="str">
        <f t="shared" si="13"/>
        <v>Adult</v>
      </c>
      <c r="AC177" s="69">
        <v>11</v>
      </c>
      <c r="AD177" s="69">
        <v>1</v>
      </c>
      <c r="AE177" s="45" t="str">
        <f t="shared" si="14"/>
        <v>Morphological</v>
      </c>
      <c r="AF177" s="56">
        <v>4</v>
      </c>
    </row>
    <row r="178" spans="1:32" ht="18" customHeight="1" x14ac:dyDescent="0.25">
      <c r="A178" s="45">
        <v>174</v>
      </c>
      <c r="B178" s="45" t="s">
        <v>60</v>
      </c>
      <c r="C178" s="45" t="s">
        <v>61</v>
      </c>
      <c r="D178" s="45" t="s">
        <v>62</v>
      </c>
      <c r="E178" s="45" t="s">
        <v>62</v>
      </c>
      <c r="F178" s="46" cm="1">
        <f t="array" ref="F178">_xlfn.IFS($G178=$G$5,F$5,$G178=$G$6,F$6,$G178=$G$7,F$7,$G178=$G$8,F$8,$G178=$G$9,F$9,$G178=$G$10,F$10,$G178=$G$11,F$11,$G178=$G$12,F$12,$G178=$G$13,F$13,$G178=$G$15,F$15,$G178=$G$16,F$16,$G178=$G$17,F$17,$G178=$G$18,F$18,$G178=$G$19,F$19,$G178=$G$20,F$20,$G178=$G$21,F$21,$G178=$G$22,F$22,$G178=$G$25,F$25,$G178=$G$26,F$26,$G178=$G$27,F$27,$G178=$G$29,F$29,$G178=$G$31,F$31,$G178=$G$32,F$32,$G178=$G$248,F$248,$G178=$G$250,F$250)</f>
        <v>8038</v>
      </c>
      <c r="G178" t="s">
        <v>82</v>
      </c>
      <c r="H178" s="66" cm="1">
        <f t="array" ref="H178">_xlfn.IFS($G178=$G$5,H$5,$G178=$G$6,H$6,$G178=$G$7,H$7,$G178=$G$8,H$8,$G178=$G$9,H$9,$G178=$G$10,H$10,$G178=$G$11,H$11,$G178=$G$12,H$12,$G178=$G$13,H$13,$G178=$G$15,H$15,$G178=$G$16,H$16,$G178=$G$17,H$17,$G178=$G$18,H$18,$G178=$G$19,H$19,$G178=$G$20,H$20,$G178=$G$21,H$21,$G178=$G$22,H$22,$G178=$G$25,H$25,$G178=$G$26,H$26,$G178=$G$27,H$27,$G178=$G$29,H$29,$G178=$G$31,H$31,$G178=$G$32,H$150,$G178=$G$248,H$248,$G178=$G$250,H$250)</f>
        <v>41.367429999999999</v>
      </c>
      <c r="I178" s="60" cm="1">
        <f t="array" ref="I178">_xlfn.IFS($G178=$G$5,I$5,$G178=$G$6,I$6,$G178=$G$7,I$7,$G178=$G$8,I$8,$G178=$G$9,I$9,$G178=$G$10,I$10,$G178=$G$11,I$11,$G178=$G$12,I$12,$G178=$G$13,I$13,$G178=$G$15,I$15,$G178=$G$16,I$16,$G178=$G$17,I$17,$G178=$G$18,I$18,$G178=$G$19,I$19,$G178=$G$20,I$20,$G178=$G$21,I$21,$G178=$G$22,I$22,$G178=$G$25,I$25,$G178=$G$26,I$26,$G178=$G$27,I$27,$G178=$G$29,I$29,$G178=$G$31,I$31,$G178=$G$32,I$150,$G178=$G$248,I$248,$G178=$G$250,I$250)</f>
        <v>2.1569609999999999</v>
      </c>
      <c r="J178" cm="1">
        <f t="array" ref="J178">_xlfn.IFS($G178=$G$5,J$5,$G178=$G$6,J$6,$G178=$G$7,J$7,$G178=$G$8,J$8,$G178=$G$9,J$9,$G178=$G$10,J$10,$G178=$G$11,J$11,$G178=$G$12,J$12,$G178=$G$13,J$13,$G178=$G$15,J$15,$G178=$G$16,J$16,$G178=$G$17,J$17,$G178=$G$18,J$18,$G178=$G$19,J$19,$G178=$G$20,J$20,$G178=$G$21,J$21,$G178=$G$22,J$22,$G178=$G$25,J$25,$G178=$G$26,J$26,$G178=$G$27,J$27,$G178=$G$29,J$29,$G178=$G$31,J$31,$G178=$G$32,J$150,$G178=$G$248,J$248,$G178=$G$250,J$250)</f>
        <v>91</v>
      </c>
      <c r="K178" s="48" t="str" cm="1">
        <f t="array" ref="K178">_xlfn.IFS($G178=$G$5,K$5,$G178=$G$6,K$6,$G178=$G$7,K$7,$G178=$G$8,K$8,$G178=$G$9,K$9,$G178=$G$10,K$10,$G178=$G$11,K$11,$G178=$G$12,K$12,$G178=$G$13,K$13,$G178=$G$15,K$15,$G178=$G$16,K$16,$G178=$G$17,K$17,$G178=$G$18,K$18,$G178=$G$19,K$19,$G178=$G$20,K$20,$G178=$G$21,K$21,$G178=$G$22,K$22,$G178=$G$25,K$25,$G178=$G$26,K$26,$G178=$G$27,K$27,$G178=$G$29,K$29,$G178=$G$31,K$31,$G178=$G$32,K$150,$G178=$G$248,K$248,$G178=$G$250,K$250)</f>
        <v>BG sentinel + BG lure7</v>
      </c>
      <c r="L178" s="48"/>
      <c r="M178" s="48"/>
      <c r="O178" s="45" t="str">
        <f t="shared" si="10"/>
        <v>A_SP_BCN_11_210610</v>
      </c>
      <c r="P178" s="64">
        <v>44357</v>
      </c>
      <c r="R178" s="72"/>
      <c r="S178" s="64">
        <v>44364</v>
      </c>
      <c r="U178" s="72"/>
      <c r="V178" s="54" t="s">
        <v>66</v>
      </c>
      <c r="W178" t="s">
        <v>113</v>
      </c>
      <c r="X178" s="45">
        <f t="shared" si="5"/>
        <v>7</v>
      </c>
      <c r="Z178" s="45" t="s">
        <v>70</v>
      </c>
      <c r="AA178" s="45">
        <f t="shared" si="15"/>
        <v>8</v>
      </c>
      <c r="AB178" t="str">
        <f t="shared" si="13"/>
        <v>Adult</v>
      </c>
      <c r="AC178" s="69">
        <v>6</v>
      </c>
      <c r="AD178" s="69">
        <v>2</v>
      </c>
      <c r="AE178" s="45" t="str">
        <f t="shared" si="14"/>
        <v>Morphological</v>
      </c>
      <c r="AF178" s="56">
        <v>4</v>
      </c>
    </row>
    <row r="179" spans="1:32" ht="18" customHeight="1" x14ac:dyDescent="0.25">
      <c r="A179" s="45">
        <v>175</v>
      </c>
      <c r="B179" s="45" t="s">
        <v>60</v>
      </c>
      <c r="C179" s="45" t="s">
        <v>61</v>
      </c>
      <c r="D179" s="45" t="s">
        <v>62</v>
      </c>
      <c r="E179" s="45" t="s">
        <v>62</v>
      </c>
      <c r="F179" s="46" cm="1">
        <f t="array" ref="F179">_xlfn.IFS($G179=$G$5,F$5,$G179=$G$6,F$6,$G179=$G$7,F$7,$G179=$G$8,F$8,$G179=$G$9,F$9,$G179=$G$10,F$10,$G179=$G$11,F$11,$G179=$G$12,F$12,$G179=$G$13,F$13,$G179=$G$15,F$15,$G179=$G$16,F$16,$G179=$G$17,F$17,$G179=$G$18,F$18,$G179=$G$19,F$19,$G179=$G$20,F$20,$G179=$G$21,F$21,$G179=$G$22,F$22,$G179=$G$25,F$25,$G179=$G$26,F$26,$G179=$G$27,F$27,$G179=$G$29,F$29,$G179=$G$31,F$31,$G179=$G$32,F$32,$G179=$G$248,F$248,$G179=$G$250,F$250)</f>
        <v>8038</v>
      </c>
      <c r="G179" t="s">
        <v>82</v>
      </c>
      <c r="H179" s="66" cm="1">
        <f t="array" ref="H179">_xlfn.IFS($G179=$G$5,H$5,$G179=$G$6,H$6,$G179=$G$7,H$7,$G179=$G$8,H$8,$G179=$G$9,H$9,$G179=$G$10,H$10,$G179=$G$11,H$11,$G179=$G$12,H$12,$G179=$G$13,H$13,$G179=$G$15,H$15,$G179=$G$16,H$16,$G179=$G$17,H$17,$G179=$G$18,H$18,$G179=$G$19,H$19,$G179=$G$20,H$20,$G179=$G$21,H$21,$G179=$G$22,H$22,$G179=$G$25,H$25,$G179=$G$26,H$26,$G179=$G$27,H$27,$G179=$G$29,H$29,$G179=$G$31,H$31,$G179=$G$32,H$150,$G179=$G$248,H$248,$G179=$G$250,H$250)</f>
        <v>41.367429999999999</v>
      </c>
      <c r="I179" s="60" cm="1">
        <f t="array" ref="I179">_xlfn.IFS($G179=$G$5,I$5,$G179=$G$6,I$6,$G179=$G$7,I$7,$G179=$G$8,I$8,$G179=$G$9,I$9,$G179=$G$10,I$10,$G179=$G$11,I$11,$G179=$G$12,I$12,$G179=$G$13,I$13,$G179=$G$15,I$15,$G179=$G$16,I$16,$G179=$G$17,I$17,$G179=$G$18,I$18,$G179=$G$19,I$19,$G179=$G$20,I$20,$G179=$G$21,I$21,$G179=$G$22,I$22,$G179=$G$25,I$25,$G179=$G$26,I$26,$G179=$G$27,I$27,$G179=$G$29,I$29,$G179=$G$31,I$31,$G179=$G$32,I$150,$G179=$G$248,I$248,$G179=$G$250,I$250)</f>
        <v>2.1569609999999999</v>
      </c>
      <c r="J179" cm="1">
        <f t="array" ref="J179">_xlfn.IFS($G179=$G$5,J$5,$G179=$G$6,J$6,$G179=$G$7,J$7,$G179=$G$8,J$8,$G179=$G$9,J$9,$G179=$G$10,J$10,$G179=$G$11,J$11,$G179=$G$12,J$12,$G179=$G$13,J$13,$G179=$G$15,J$15,$G179=$G$16,J$16,$G179=$G$17,J$17,$G179=$G$18,J$18,$G179=$G$19,J$19,$G179=$G$20,J$20,$G179=$G$21,J$21,$G179=$G$22,J$22,$G179=$G$25,J$25,$G179=$G$26,J$26,$G179=$G$27,J$27,$G179=$G$29,J$29,$G179=$G$31,J$31,$G179=$G$32,J$150,$G179=$G$248,J$248,$G179=$G$250,J$250)</f>
        <v>91</v>
      </c>
      <c r="K179" s="48" t="str" cm="1">
        <f t="array" ref="K179">_xlfn.IFS($G179=$G$5,K$5,$G179=$G$6,K$6,$G179=$G$7,K$7,$G179=$G$8,K$8,$G179=$G$9,K$9,$G179=$G$10,K$10,$G179=$G$11,K$11,$G179=$G$12,K$12,$G179=$G$13,K$13,$G179=$G$15,K$15,$G179=$G$16,K$16,$G179=$G$17,K$17,$G179=$G$18,K$18,$G179=$G$19,K$19,$G179=$G$20,K$20,$G179=$G$21,K$21,$G179=$G$22,K$22,$G179=$G$25,K$25,$G179=$G$26,K$26,$G179=$G$27,K$27,$G179=$G$29,K$29,$G179=$G$31,K$31,$G179=$G$32,K$150,$G179=$G$248,K$248,$G179=$G$250,K$250)</f>
        <v>BG sentinel + BG lure7</v>
      </c>
      <c r="L179" s="48"/>
      <c r="M179" s="48"/>
      <c r="O179" s="45" t="str">
        <f t="shared" si="10"/>
        <v>A_SP_BCN_11_210610</v>
      </c>
      <c r="P179" s="64">
        <v>44357</v>
      </c>
      <c r="R179" s="72"/>
      <c r="S179" s="64">
        <v>44364</v>
      </c>
      <c r="U179" s="72"/>
      <c r="V179" s="54" t="s">
        <v>66</v>
      </c>
      <c r="X179" s="45">
        <f t="shared" si="5"/>
        <v>7</v>
      </c>
      <c r="Z179" s="45" t="s">
        <v>80</v>
      </c>
      <c r="AA179" s="45">
        <f t="shared" si="15"/>
        <v>2</v>
      </c>
      <c r="AB179" t="str">
        <f t="shared" si="13"/>
        <v>Adult</v>
      </c>
      <c r="AC179" s="69">
        <v>2</v>
      </c>
      <c r="AD179" s="69">
        <v>0</v>
      </c>
      <c r="AE179" s="45" t="str">
        <f t="shared" si="14"/>
        <v>Morphological</v>
      </c>
      <c r="AF179" s="56">
        <v>4</v>
      </c>
    </row>
    <row r="180" spans="1:32" ht="18" customHeight="1" x14ac:dyDescent="0.25">
      <c r="A180" s="45">
        <v>176</v>
      </c>
      <c r="B180" s="45" t="s">
        <v>60</v>
      </c>
      <c r="C180" s="45" t="s">
        <v>61</v>
      </c>
      <c r="D180" s="45" t="s">
        <v>62</v>
      </c>
      <c r="E180" s="45" t="s">
        <v>62</v>
      </c>
      <c r="F180" s="46" cm="1">
        <f t="array" ref="F180">_xlfn.IFS($G180=$G$5,F$5,$G180=$G$6,F$6,$G180=$G$7,F$7,$G180=$G$8,F$8,$G180=$G$9,F$9,$G180=$G$10,F$10,$G180=$G$11,F$11,$G180=$G$12,F$12,$G180=$G$13,F$13,$G180=$G$15,F$15,$G180=$G$16,F$16,$G180=$G$17,F$17,$G180=$G$18,F$18,$G180=$G$19,F$19,$G180=$G$20,F$20,$G180=$G$21,F$21,$G180=$G$22,F$22,$G180=$G$25,F$25,$G180=$G$26,F$26,$G180=$G$27,F$27,$G180=$G$29,F$29,$G180=$G$31,F$31,$G180=$G$32,F$32,$G180=$G$248,F$248,$G180=$G$250,F$250)</f>
        <v>8038</v>
      </c>
      <c r="G180" t="s">
        <v>84</v>
      </c>
      <c r="H180" s="66" cm="1">
        <f t="array" ref="H180">_xlfn.IFS($G180=$G$5,H$5,$G180=$G$6,H$6,$G180=$G$7,H$7,$G180=$G$8,H$8,$G180=$G$9,H$9,$G180=$G$10,H$10,$G180=$G$11,H$11,$G180=$G$12,H$12,$G180=$G$13,H$13,$G180=$G$15,H$15,$G180=$G$16,H$16,$G180=$G$17,H$17,$G180=$G$18,H$18,$G180=$G$19,H$19,$G180=$G$20,H$20,$G180=$G$21,H$21,$G180=$G$22,H$22,$G180=$G$25,H$25,$G180=$G$26,H$26,$G180=$G$27,H$27,$G180=$G$29,H$29,$G180=$G$31,H$31,$G180=$G$32,H$150,$G180=$G$248,H$248,$G180=$G$250,H$250)</f>
        <v>41.363377999999997</v>
      </c>
      <c r="I180" s="60" cm="1">
        <f t="array" ref="I180">_xlfn.IFS($G180=$G$5,I$5,$G180=$G$6,I$6,$G180=$G$7,I$7,$G180=$G$8,I$8,$G180=$G$9,I$9,$G180=$G$10,I$10,$G180=$G$11,I$11,$G180=$G$12,I$12,$G180=$G$13,I$13,$G180=$G$15,I$15,$G180=$G$16,I$16,$G180=$G$17,I$17,$G180=$G$18,I$18,$G180=$G$19,I$19,$G180=$G$20,I$20,$G180=$G$21,I$21,$G180=$G$22,I$22,$G180=$G$25,I$25,$G180=$G$26,I$26,$G180=$G$27,I$27,$G180=$G$29,I$29,$G180=$G$31,I$31,$G180=$G$32,I$150,$G180=$G$248,I$248,$G180=$G$250,I$250)</f>
        <v>2.164879</v>
      </c>
      <c r="J180" cm="1">
        <f t="array" ref="J180">_xlfn.IFS($G180=$G$5,J$5,$G180=$G$6,J$6,$G180=$G$7,J$7,$G180=$G$8,J$8,$G180=$G$9,J$9,$G180=$G$10,J$10,$G180=$G$11,J$11,$G180=$G$12,J$12,$G180=$G$13,J$13,$G180=$G$15,J$15,$G180=$G$16,J$16,$G180=$G$17,J$17,$G180=$G$18,J$18,$G180=$G$19,J$19,$G180=$G$20,J$20,$G180=$G$21,J$21,$G180=$G$22,J$22,$G180=$G$25,J$25,$G180=$G$26,J$26,$G180=$G$27,J$27,$G180=$G$29,J$29,$G180=$G$31,J$31,$G180=$G$32,J$150,$G180=$G$248,J$248,$G180=$G$250,J$250)</f>
        <v>185</v>
      </c>
      <c r="K180" s="48" t="str" cm="1">
        <f t="array" ref="K180">_xlfn.IFS($G180=$G$5,K$5,$G180=$G$6,K$6,$G180=$G$7,K$7,$G180=$G$8,K$8,$G180=$G$9,K$9,$G180=$G$10,K$10,$G180=$G$11,K$11,$G180=$G$12,K$12,$G180=$G$13,K$13,$G180=$G$15,K$15,$G180=$G$16,K$16,$G180=$G$17,K$17,$G180=$G$18,K$18,$G180=$G$19,K$19,$G180=$G$20,K$20,$G180=$G$21,K$21,$G180=$G$22,K$22,$G180=$G$25,K$25,$G180=$G$26,K$26,$G180=$G$27,K$27,$G180=$G$29,K$29,$G180=$G$31,K$31,$G180=$G$32,K$150,$G180=$G$248,K$248,$G180=$G$250,K$250)</f>
        <v>BG sentinel + BG lure7</v>
      </c>
      <c r="L180" s="48"/>
      <c r="M180" s="48"/>
      <c r="O180" s="45" t="str">
        <f t="shared" si="10"/>
        <v>A_SP_BCN_12_210610</v>
      </c>
      <c r="P180" s="64">
        <v>44357</v>
      </c>
      <c r="R180" s="72"/>
      <c r="S180" s="64">
        <v>44364</v>
      </c>
      <c r="U180" s="72"/>
      <c r="V180" s="54" t="s">
        <v>66</v>
      </c>
      <c r="X180" s="45">
        <f t="shared" si="5"/>
        <v>7</v>
      </c>
      <c r="Z180" s="69" t="s">
        <v>69</v>
      </c>
      <c r="AA180" s="45">
        <f t="shared" si="15"/>
        <v>3</v>
      </c>
      <c r="AB180" t="str">
        <f t="shared" si="13"/>
        <v>Adult</v>
      </c>
      <c r="AC180" s="69">
        <v>3</v>
      </c>
      <c r="AD180" s="69">
        <v>0</v>
      </c>
      <c r="AE180" s="45" t="str">
        <f t="shared" si="14"/>
        <v>Morphological</v>
      </c>
      <c r="AF180" s="56">
        <v>4</v>
      </c>
    </row>
    <row r="181" spans="1:32" ht="18" customHeight="1" x14ac:dyDescent="0.25">
      <c r="A181" s="45">
        <v>177</v>
      </c>
      <c r="B181" s="45" t="s">
        <v>60</v>
      </c>
      <c r="C181" s="45" t="s">
        <v>61</v>
      </c>
      <c r="D181" s="45" t="s">
        <v>62</v>
      </c>
      <c r="E181" s="45" t="s">
        <v>62</v>
      </c>
      <c r="F181" s="46" cm="1">
        <f t="array" ref="F181">_xlfn.IFS($G181=$G$5,F$5,$G181=$G$6,F$6,$G181=$G$7,F$7,$G181=$G$8,F$8,$G181=$G$9,F$9,$G181=$G$10,F$10,$G181=$G$11,F$11,$G181=$G$12,F$12,$G181=$G$13,F$13,$G181=$G$15,F$15,$G181=$G$16,F$16,$G181=$G$17,F$17,$G181=$G$18,F$18,$G181=$G$19,F$19,$G181=$G$20,F$20,$G181=$G$21,F$21,$G181=$G$22,F$22,$G181=$G$25,F$25,$G181=$G$26,F$26,$G181=$G$27,F$27,$G181=$G$29,F$29,$G181=$G$31,F$31,$G181=$G$32,F$32,$G181=$G$248,F$248,$G181=$G$250,F$250)</f>
        <v>8038</v>
      </c>
      <c r="G181" t="s">
        <v>84</v>
      </c>
      <c r="H181" s="66" cm="1">
        <f t="array" ref="H181">_xlfn.IFS($G181=$G$5,H$5,$G181=$G$6,H$6,$G181=$G$7,H$7,$G181=$G$8,H$8,$G181=$G$9,H$9,$G181=$G$10,H$10,$G181=$G$11,H$11,$G181=$G$12,H$12,$G181=$G$13,H$13,$G181=$G$15,H$15,$G181=$G$16,H$16,$G181=$G$17,H$17,$G181=$G$18,H$18,$G181=$G$19,H$19,$G181=$G$20,H$20,$G181=$G$21,H$21,$G181=$G$22,H$22,$G181=$G$25,H$25,$G181=$G$26,H$26,$G181=$G$27,H$27,$G181=$G$29,H$29,$G181=$G$31,H$31,$G181=$G$32,H$150,$G181=$G$248,H$248,$G181=$G$250,H$250)</f>
        <v>41.363377999999997</v>
      </c>
      <c r="I181" s="60" cm="1">
        <f t="array" ref="I181">_xlfn.IFS($G181=$G$5,I$5,$G181=$G$6,I$6,$G181=$G$7,I$7,$G181=$G$8,I$8,$G181=$G$9,I$9,$G181=$G$10,I$10,$G181=$G$11,I$11,$G181=$G$12,I$12,$G181=$G$13,I$13,$G181=$G$15,I$15,$G181=$G$16,I$16,$G181=$G$17,I$17,$G181=$G$18,I$18,$G181=$G$19,I$19,$G181=$G$20,I$20,$G181=$G$21,I$21,$G181=$G$22,I$22,$G181=$G$25,I$25,$G181=$G$26,I$26,$G181=$G$27,I$27,$G181=$G$29,I$29,$G181=$G$31,I$31,$G181=$G$32,I$150,$G181=$G$248,I$248,$G181=$G$250,I$250)</f>
        <v>2.164879</v>
      </c>
      <c r="J181" cm="1">
        <f t="array" ref="J181">_xlfn.IFS($G181=$G$5,J$5,$G181=$G$6,J$6,$G181=$G$7,J$7,$G181=$G$8,J$8,$G181=$G$9,J$9,$G181=$G$10,J$10,$G181=$G$11,J$11,$G181=$G$12,J$12,$G181=$G$13,J$13,$G181=$G$15,J$15,$G181=$G$16,J$16,$G181=$G$17,J$17,$G181=$G$18,J$18,$G181=$G$19,J$19,$G181=$G$20,J$20,$G181=$G$21,J$21,$G181=$G$22,J$22,$G181=$G$25,J$25,$G181=$G$26,J$26,$G181=$G$27,J$27,$G181=$G$29,J$29,$G181=$G$31,J$31,$G181=$G$32,J$150,$G181=$G$248,J$248,$G181=$G$250,J$250)</f>
        <v>185</v>
      </c>
      <c r="K181" s="48" t="str" cm="1">
        <f t="array" ref="K181">_xlfn.IFS($G181=$G$5,K$5,$G181=$G$6,K$6,$G181=$G$7,K$7,$G181=$G$8,K$8,$G181=$G$9,K$9,$G181=$G$10,K$10,$G181=$G$11,K$11,$G181=$G$12,K$12,$G181=$G$13,K$13,$G181=$G$15,K$15,$G181=$G$16,K$16,$G181=$G$17,K$17,$G181=$G$18,K$18,$G181=$G$19,K$19,$G181=$G$20,K$20,$G181=$G$21,K$21,$G181=$G$22,K$22,$G181=$G$25,K$25,$G181=$G$26,K$26,$G181=$G$27,K$27,$G181=$G$29,K$29,$G181=$G$31,K$31,$G181=$G$32,K$150,$G181=$G$248,K$248,$G181=$G$250,K$250)</f>
        <v>BG sentinel + BG lure7</v>
      </c>
      <c r="L181" s="48"/>
      <c r="M181" s="48"/>
      <c r="O181" s="45" t="str">
        <f t="shared" si="10"/>
        <v>A_SP_BCN_12_210610</v>
      </c>
      <c r="P181" s="64">
        <v>44357</v>
      </c>
      <c r="R181" s="72"/>
      <c r="S181" s="64">
        <v>44364</v>
      </c>
      <c r="U181" s="72"/>
      <c r="V181" s="54" t="s">
        <v>66</v>
      </c>
      <c r="X181" s="45">
        <f t="shared" si="5"/>
        <v>7</v>
      </c>
      <c r="Z181" s="45" t="s">
        <v>70</v>
      </c>
      <c r="AA181" s="45">
        <f t="shared" si="15"/>
        <v>12</v>
      </c>
      <c r="AB181" t="str">
        <f t="shared" si="13"/>
        <v>Adult</v>
      </c>
      <c r="AC181" s="69">
        <v>12</v>
      </c>
      <c r="AD181" s="69">
        <v>0</v>
      </c>
      <c r="AE181" s="45" t="str">
        <f t="shared" si="14"/>
        <v>Morphological</v>
      </c>
      <c r="AF181" s="56">
        <v>4</v>
      </c>
    </row>
    <row r="182" spans="1:32" ht="18" customHeight="1" x14ac:dyDescent="0.25">
      <c r="A182" s="45">
        <v>178</v>
      </c>
      <c r="B182" s="45" t="s">
        <v>60</v>
      </c>
      <c r="C182" s="45" t="s">
        <v>61</v>
      </c>
      <c r="D182" s="45" t="s">
        <v>62</v>
      </c>
      <c r="E182" s="45" t="s">
        <v>62</v>
      </c>
      <c r="F182" s="46" cm="1">
        <f t="array" ref="F182">_xlfn.IFS($G182=$G$5,F$5,$G182=$G$6,F$6,$G182=$G$7,F$7,$G182=$G$8,F$8,$G182=$G$9,F$9,$G182=$G$10,F$10,$G182=$G$11,F$11,$G182=$G$12,F$12,$G182=$G$13,F$13,$G182=$G$15,F$15,$G182=$G$16,F$16,$G182=$G$17,F$17,$G182=$G$18,F$18,$G182=$G$19,F$19,$G182=$G$20,F$20,$G182=$G$21,F$21,$G182=$G$22,F$22,$G182=$G$25,F$25,$G182=$G$26,F$26,$G182=$G$27,F$27,$G182=$G$29,F$29,$G182=$G$31,F$31,$G182=$G$32,F$32,$G182=$G$248,F$248,$G182=$G$250,F$250)</f>
        <v>8038</v>
      </c>
      <c r="G182" t="s">
        <v>84</v>
      </c>
      <c r="H182" s="66" cm="1">
        <f t="array" ref="H182">_xlfn.IFS($G182=$G$5,H$5,$G182=$G$6,H$6,$G182=$G$7,H$7,$G182=$G$8,H$8,$G182=$G$9,H$9,$G182=$G$10,H$10,$G182=$G$11,H$11,$G182=$G$12,H$12,$G182=$G$13,H$13,$G182=$G$15,H$15,$G182=$G$16,H$16,$G182=$G$17,H$17,$G182=$G$18,H$18,$G182=$G$19,H$19,$G182=$G$20,H$20,$G182=$G$21,H$21,$G182=$G$22,H$22,$G182=$G$25,H$25,$G182=$G$26,H$26,$G182=$G$27,H$27,$G182=$G$29,H$29,$G182=$G$31,H$31,$G182=$G$32,H$150,$G182=$G$248,H$248,$G182=$G$250,H$250)</f>
        <v>41.363377999999997</v>
      </c>
      <c r="I182" s="60" cm="1">
        <f t="array" ref="I182">_xlfn.IFS($G182=$G$5,I$5,$G182=$G$6,I$6,$G182=$G$7,I$7,$G182=$G$8,I$8,$G182=$G$9,I$9,$G182=$G$10,I$10,$G182=$G$11,I$11,$G182=$G$12,I$12,$G182=$G$13,I$13,$G182=$G$15,I$15,$G182=$G$16,I$16,$G182=$G$17,I$17,$G182=$G$18,I$18,$G182=$G$19,I$19,$G182=$G$20,I$20,$G182=$G$21,I$21,$G182=$G$22,I$22,$G182=$G$25,I$25,$G182=$G$26,I$26,$G182=$G$27,I$27,$G182=$G$29,I$29,$G182=$G$31,I$31,$G182=$G$32,I$150,$G182=$G$248,I$248,$G182=$G$250,I$250)</f>
        <v>2.164879</v>
      </c>
      <c r="J182" cm="1">
        <f t="array" ref="J182">_xlfn.IFS($G182=$G$5,J$5,$G182=$G$6,J$6,$G182=$G$7,J$7,$G182=$G$8,J$8,$G182=$G$9,J$9,$G182=$G$10,J$10,$G182=$G$11,J$11,$G182=$G$12,J$12,$G182=$G$13,J$13,$G182=$G$15,J$15,$G182=$G$16,J$16,$G182=$G$17,J$17,$G182=$G$18,J$18,$G182=$G$19,J$19,$G182=$G$20,J$20,$G182=$G$21,J$21,$G182=$G$22,J$22,$G182=$G$25,J$25,$G182=$G$26,J$26,$G182=$G$27,J$27,$G182=$G$29,J$29,$G182=$G$31,J$31,$G182=$G$32,J$150,$G182=$G$248,J$248,$G182=$G$250,J$250)</f>
        <v>185</v>
      </c>
      <c r="K182" s="48" t="str" cm="1">
        <f t="array" ref="K182">_xlfn.IFS($G182=$G$5,K$5,$G182=$G$6,K$6,$G182=$G$7,K$7,$G182=$G$8,K$8,$G182=$G$9,K$9,$G182=$G$10,K$10,$G182=$G$11,K$11,$G182=$G$12,K$12,$G182=$G$13,K$13,$G182=$G$15,K$15,$G182=$G$16,K$16,$G182=$G$17,K$17,$G182=$G$18,K$18,$G182=$G$19,K$19,$G182=$G$20,K$20,$G182=$G$21,K$21,$G182=$G$22,K$22,$G182=$G$25,K$25,$G182=$G$26,K$26,$G182=$G$27,K$27,$G182=$G$29,K$29,$G182=$G$31,K$31,$G182=$G$32,K$150,$G182=$G$248,K$248,$G182=$G$250,K$250)</f>
        <v>BG sentinel + BG lure7</v>
      </c>
      <c r="L182" s="48"/>
      <c r="M182" s="48"/>
      <c r="O182" s="45" t="str">
        <f t="shared" si="10"/>
        <v>A_SP_BCN_12_210610</v>
      </c>
      <c r="P182" s="64">
        <v>44357</v>
      </c>
      <c r="R182" s="72"/>
      <c r="S182" s="64">
        <v>44364</v>
      </c>
      <c r="U182" s="72"/>
      <c r="V182" s="54" t="s">
        <v>66</v>
      </c>
      <c r="X182" s="45">
        <f t="shared" si="5"/>
        <v>7</v>
      </c>
      <c r="Z182" s="45" t="s">
        <v>80</v>
      </c>
      <c r="AA182" s="45">
        <f t="shared" si="15"/>
        <v>7</v>
      </c>
      <c r="AB182" t="str">
        <f t="shared" si="13"/>
        <v>Adult</v>
      </c>
      <c r="AC182" s="69">
        <v>1</v>
      </c>
      <c r="AD182" s="69">
        <v>6</v>
      </c>
      <c r="AE182" s="45" t="str">
        <f t="shared" si="14"/>
        <v>Morphological</v>
      </c>
      <c r="AF182" s="56">
        <v>4</v>
      </c>
    </row>
    <row r="183" spans="1:32" ht="18" customHeight="1" x14ac:dyDescent="0.25">
      <c r="A183" s="45">
        <v>179</v>
      </c>
      <c r="B183" s="45" t="s">
        <v>60</v>
      </c>
      <c r="C183" s="45" t="s">
        <v>61</v>
      </c>
      <c r="D183" s="45" t="s">
        <v>62</v>
      </c>
      <c r="E183" s="45" t="s">
        <v>62</v>
      </c>
      <c r="F183" s="46" cm="1">
        <f t="array" ref="F183">_xlfn.IFS($G183=$G$5,F$5,$G183=$G$6,F$6,$G183=$G$7,F$7,$G183=$G$8,F$8,$G183=$G$9,F$9,$G183=$G$10,F$10,$G183=$G$11,F$11,$G183=$G$12,F$12,$G183=$G$13,F$13,$G183=$G$15,F$15,$G183=$G$16,F$16,$G183=$G$17,F$17,$G183=$G$18,F$18,$G183=$G$19,F$19,$G183=$G$20,F$20,$G183=$G$21,F$21,$G183=$G$22,F$22,$G183=$G$25,F$25,$G183=$G$26,F$26,$G183=$G$27,F$27,$G183=$G$29,F$29,$G183=$G$31,F$31,$G183=$G$32,F$32,$G183=$G$248,F$248,$G183=$G$250,F$250)</f>
        <v>8035</v>
      </c>
      <c r="G183" t="s">
        <v>85</v>
      </c>
      <c r="H183" s="66" cm="1">
        <f t="array" ref="H183">_xlfn.IFS($G183=$G$5,H$5,$G183=$G$6,H$6,$G183=$G$7,H$7,$G183=$G$8,H$8,$G183=$G$9,H$9,$G183=$G$10,H$10,$G183=$G$11,H$11,$G183=$G$12,H$12,$G183=$G$13,H$13,$G183=$G$15,H$15,$G183=$G$16,H$16,$G183=$G$17,H$17,$G183=$G$18,H$18,$G183=$G$19,H$19,$G183=$G$20,H$20,$G183=$G$21,H$21,$G183=$G$22,H$22,$G183=$G$25,H$25,$G183=$G$26,H$26,$G183=$G$27,H$27,$G183=$G$29,H$29,$G183=$G$31,H$31,$G183=$G$32,H$150,$G183=$G$248,H$248,$G183=$G$250,H$250)</f>
        <v>41.434472</v>
      </c>
      <c r="I183" s="60" cm="1">
        <f t="array" ref="I183">_xlfn.IFS($G183=$G$5,I$5,$G183=$G$6,I$6,$G183=$G$7,I$7,$G183=$G$8,I$8,$G183=$G$9,I$9,$G183=$G$10,I$10,$G183=$G$11,I$11,$G183=$G$12,I$12,$G183=$G$13,I$13,$G183=$G$15,I$15,$G183=$G$16,I$16,$G183=$G$17,I$17,$G183=$G$18,I$18,$G183=$G$19,I$19,$G183=$G$20,I$20,$G183=$G$21,I$21,$G183=$G$22,I$22,$G183=$G$25,I$25,$G183=$G$26,I$26,$G183=$G$27,I$27,$G183=$G$29,I$29,$G183=$G$31,I$31,$G183=$G$32,I$150,$G183=$G$248,I$248,$G183=$G$250,I$250)</f>
        <v>2.1315789999999999</v>
      </c>
      <c r="J183" cm="1">
        <f t="array" ref="J183">_xlfn.IFS($G183=$G$5,J$5,$G183=$G$6,J$6,$G183=$G$7,J$7,$G183=$G$8,J$8,$G183=$G$9,J$9,$G183=$G$10,J$10,$G183=$G$11,J$11,$G183=$G$12,J$12,$G183=$G$13,J$13,$G183=$G$15,J$15,$G183=$G$16,J$16,$G183=$G$17,J$17,$G183=$G$18,J$18,$G183=$G$19,J$19,$G183=$G$20,J$20,$G183=$G$21,J$21,$G183=$G$22,J$22,$G183=$G$25,J$25,$G183=$G$26,J$26,$G183=$G$27,J$27,$G183=$G$29,J$29,$G183=$G$31,J$31,$G183=$G$32,J$150,$G183=$G$248,J$248,$G183=$G$250,J$250)</f>
        <v>365</v>
      </c>
      <c r="K183" s="48" t="str" cm="1">
        <f t="array" ref="K183">_xlfn.IFS($G183=$G$5,K$5,$G183=$G$6,K$6,$G183=$G$7,K$7,$G183=$G$8,K$8,$G183=$G$9,K$9,$G183=$G$10,K$10,$G183=$G$11,K$11,$G183=$G$12,K$12,$G183=$G$13,K$13,$G183=$G$15,K$15,$G183=$G$16,K$16,$G183=$G$17,K$17,$G183=$G$18,K$18,$G183=$G$19,K$19,$G183=$G$20,K$20,$G183=$G$21,K$21,$G183=$G$22,K$22,$G183=$G$25,K$25,$G183=$G$26,K$26,$G183=$G$27,K$27,$G183=$G$29,K$29,$G183=$G$31,K$31,$G183=$G$32,K$150,$G183=$G$248,K$248,$G183=$G$250,K$250)</f>
        <v>BG sentinel + BG lure7</v>
      </c>
      <c r="L183" s="48"/>
      <c r="M183" s="48"/>
      <c r="O183" s="45" t="str">
        <f t="shared" si="10"/>
        <v>A_SP_BCN_13_210609</v>
      </c>
      <c r="P183" s="64">
        <v>44356</v>
      </c>
      <c r="R183" s="72"/>
      <c r="S183" s="64">
        <v>44363</v>
      </c>
      <c r="U183" s="72"/>
      <c r="V183" s="54" t="s">
        <v>66</v>
      </c>
      <c r="X183" s="45">
        <f t="shared" si="5"/>
        <v>7</v>
      </c>
      <c r="Z183" s="69" t="s">
        <v>69</v>
      </c>
      <c r="AA183" s="45">
        <f t="shared" si="15"/>
        <v>1</v>
      </c>
      <c r="AB183" t="str">
        <f t="shared" si="13"/>
        <v>Adult</v>
      </c>
      <c r="AC183" s="69">
        <v>1</v>
      </c>
      <c r="AD183" s="69">
        <v>0</v>
      </c>
      <c r="AE183" s="45" t="str">
        <f t="shared" si="14"/>
        <v>Morphological</v>
      </c>
      <c r="AF183" s="56">
        <v>4</v>
      </c>
    </row>
    <row r="184" spans="1:32" ht="18" customHeight="1" x14ac:dyDescent="0.25">
      <c r="A184" s="45">
        <v>180</v>
      </c>
      <c r="B184" s="45" t="s">
        <v>60</v>
      </c>
      <c r="C184" s="45" t="s">
        <v>61</v>
      </c>
      <c r="D184" s="45" t="s">
        <v>62</v>
      </c>
      <c r="E184" s="45" t="s">
        <v>62</v>
      </c>
      <c r="F184" s="46" cm="1">
        <f t="array" ref="F184">_xlfn.IFS($G184=$G$5,F$5,$G184=$G$6,F$6,$G184=$G$7,F$7,$G184=$G$8,F$8,$G184=$G$9,F$9,$G184=$G$10,F$10,$G184=$G$11,F$11,$G184=$G$12,F$12,$G184=$G$13,F$13,$G184=$G$15,F$15,$G184=$G$16,F$16,$G184=$G$17,F$17,$G184=$G$18,F$18,$G184=$G$19,F$19,$G184=$G$20,F$20,$G184=$G$21,F$21,$G184=$G$22,F$22,$G184=$G$25,F$25,$G184=$G$26,F$26,$G184=$G$27,F$27,$G184=$G$29,F$29,$G184=$G$31,F$31,$G184=$G$32,F$32,$G184=$G$248,F$248,$G184=$G$250,F$250)</f>
        <v>8035</v>
      </c>
      <c r="G184" t="s">
        <v>85</v>
      </c>
      <c r="H184" s="66" cm="1">
        <f t="array" ref="H184">_xlfn.IFS($G184=$G$5,H$5,$G184=$G$6,H$6,$G184=$G$7,H$7,$G184=$G$8,H$8,$G184=$G$9,H$9,$G184=$G$10,H$10,$G184=$G$11,H$11,$G184=$G$12,H$12,$G184=$G$13,H$13,$G184=$G$15,H$15,$G184=$G$16,H$16,$G184=$G$17,H$17,$G184=$G$18,H$18,$G184=$G$19,H$19,$G184=$G$20,H$20,$G184=$G$21,H$21,$G184=$G$22,H$22,$G184=$G$25,H$25,$G184=$G$26,H$26,$G184=$G$27,H$27,$G184=$G$29,H$29,$G184=$G$31,H$31,$G184=$G$32,H$150,$G184=$G$248,H$248,$G184=$G$250,H$250)</f>
        <v>41.434472</v>
      </c>
      <c r="I184" s="60" cm="1">
        <f t="array" ref="I184">_xlfn.IFS($G184=$G$5,I$5,$G184=$G$6,I$6,$G184=$G$7,I$7,$G184=$G$8,I$8,$G184=$G$9,I$9,$G184=$G$10,I$10,$G184=$G$11,I$11,$G184=$G$12,I$12,$G184=$G$13,I$13,$G184=$G$15,I$15,$G184=$G$16,I$16,$G184=$G$17,I$17,$G184=$G$18,I$18,$G184=$G$19,I$19,$G184=$G$20,I$20,$G184=$G$21,I$21,$G184=$G$22,I$22,$G184=$G$25,I$25,$G184=$G$26,I$26,$G184=$G$27,I$27,$G184=$G$29,I$29,$G184=$G$31,I$31,$G184=$G$32,I$150,$G184=$G$248,I$248,$G184=$G$250,I$250)</f>
        <v>2.1315789999999999</v>
      </c>
      <c r="J184" cm="1">
        <f t="array" ref="J184">_xlfn.IFS($G184=$G$5,J$5,$G184=$G$6,J$6,$G184=$G$7,J$7,$G184=$G$8,J$8,$G184=$G$9,J$9,$G184=$G$10,J$10,$G184=$G$11,J$11,$G184=$G$12,J$12,$G184=$G$13,J$13,$G184=$G$15,J$15,$G184=$G$16,J$16,$G184=$G$17,J$17,$G184=$G$18,J$18,$G184=$G$19,J$19,$G184=$G$20,J$20,$G184=$G$21,J$21,$G184=$G$22,J$22,$G184=$G$25,J$25,$G184=$G$26,J$26,$G184=$G$27,J$27,$G184=$G$29,J$29,$G184=$G$31,J$31,$G184=$G$32,J$150,$G184=$G$248,J$248,$G184=$G$250,J$250)</f>
        <v>365</v>
      </c>
      <c r="K184" s="48" t="str" cm="1">
        <f t="array" ref="K184">_xlfn.IFS($G184=$G$5,K$5,$G184=$G$6,K$6,$G184=$G$7,K$7,$G184=$G$8,K$8,$G184=$G$9,K$9,$G184=$G$10,K$10,$G184=$G$11,K$11,$G184=$G$12,K$12,$G184=$G$13,K$13,$G184=$G$15,K$15,$G184=$G$16,K$16,$G184=$G$17,K$17,$G184=$G$18,K$18,$G184=$G$19,K$19,$G184=$G$20,K$20,$G184=$G$21,K$21,$G184=$G$22,K$22,$G184=$G$25,K$25,$G184=$G$26,K$26,$G184=$G$27,K$27,$G184=$G$29,K$29,$G184=$G$31,K$31,$G184=$G$32,K$150,$G184=$G$248,K$248,$G184=$G$250,K$250)</f>
        <v>BG sentinel + BG lure7</v>
      </c>
      <c r="L184" s="48"/>
      <c r="M184" s="48"/>
      <c r="O184" s="45" t="str">
        <f t="shared" si="10"/>
        <v>A_SP_BCN_13_210609</v>
      </c>
      <c r="P184" s="64">
        <v>44356</v>
      </c>
      <c r="R184" s="72"/>
      <c r="S184" s="64">
        <v>44363</v>
      </c>
      <c r="U184" s="72"/>
      <c r="V184" s="54" t="s">
        <v>66</v>
      </c>
      <c r="X184" s="45">
        <f t="shared" si="5"/>
        <v>7</v>
      </c>
      <c r="Z184" s="45" t="s">
        <v>70</v>
      </c>
      <c r="AA184" s="45">
        <f t="shared" si="15"/>
        <v>9</v>
      </c>
      <c r="AB184" t="str">
        <f t="shared" si="13"/>
        <v>Adult</v>
      </c>
      <c r="AC184" s="69">
        <v>7</v>
      </c>
      <c r="AD184" s="69">
        <v>2</v>
      </c>
      <c r="AE184" s="45" t="str">
        <f t="shared" si="14"/>
        <v>Morphological</v>
      </c>
      <c r="AF184" s="56">
        <v>4</v>
      </c>
    </row>
    <row r="185" spans="1:32" ht="18" customHeight="1" x14ac:dyDescent="0.25">
      <c r="A185" s="45">
        <v>181</v>
      </c>
      <c r="B185" s="45" t="s">
        <v>60</v>
      </c>
      <c r="C185" s="45" t="s">
        <v>61</v>
      </c>
      <c r="D185" s="45" t="s">
        <v>62</v>
      </c>
      <c r="E185" s="45" t="s">
        <v>62</v>
      </c>
      <c r="F185" s="46" cm="1">
        <f t="array" ref="F185">_xlfn.IFS($G185=$G$5,F$5,$G185=$G$6,F$6,$G185=$G$7,F$7,$G185=$G$8,F$8,$G185=$G$9,F$9,$G185=$G$10,F$10,$G185=$G$11,F$11,$G185=$G$12,F$12,$G185=$G$13,F$13,$G185=$G$15,F$15,$G185=$G$16,F$16,$G185=$G$17,F$17,$G185=$G$18,F$18,$G185=$G$19,F$19,$G185=$G$20,F$20,$G185=$G$21,F$21,$G185=$G$22,F$22,$G185=$G$25,F$25,$G185=$G$26,F$26,$G185=$G$27,F$27,$G185=$G$29,F$29,$G185=$G$31,F$31,$G185=$G$32,F$32,$G185=$G$248,F$248,$G185=$G$250,F$250)</f>
        <v>8035</v>
      </c>
      <c r="G185" t="s">
        <v>85</v>
      </c>
      <c r="H185" s="66" cm="1">
        <f t="array" ref="H185">_xlfn.IFS($G185=$G$5,H$5,$G185=$G$6,H$6,$G185=$G$7,H$7,$G185=$G$8,H$8,$G185=$G$9,H$9,$G185=$G$10,H$10,$G185=$G$11,H$11,$G185=$G$12,H$12,$G185=$G$13,H$13,$G185=$G$15,H$15,$G185=$G$16,H$16,$G185=$G$17,H$17,$G185=$G$18,H$18,$G185=$G$19,H$19,$G185=$G$20,H$20,$G185=$G$21,H$21,$G185=$G$22,H$22,$G185=$G$25,H$25,$G185=$G$26,H$26,$G185=$G$27,H$27,$G185=$G$29,H$29,$G185=$G$31,H$31,$G185=$G$32,H$150,$G185=$G$248,H$248,$G185=$G$250,H$250)</f>
        <v>41.434472</v>
      </c>
      <c r="I185" s="60" cm="1">
        <f t="array" ref="I185">_xlfn.IFS($G185=$G$5,I$5,$G185=$G$6,I$6,$G185=$G$7,I$7,$G185=$G$8,I$8,$G185=$G$9,I$9,$G185=$G$10,I$10,$G185=$G$11,I$11,$G185=$G$12,I$12,$G185=$G$13,I$13,$G185=$G$15,I$15,$G185=$G$16,I$16,$G185=$G$17,I$17,$G185=$G$18,I$18,$G185=$G$19,I$19,$G185=$G$20,I$20,$G185=$G$21,I$21,$G185=$G$22,I$22,$G185=$G$25,I$25,$G185=$G$26,I$26,$G185=$G$27,I$27,$G185=$G$29,I$29,$G185=$G$31,I$31,$G185=$G$32,I$150,$G185=$G$248,I$248,$G185=$G$250,I$250)</f>
        <v>2.1315789999999999</v>
      </c>
      <c r="J185" cm="1">
        <f t="array" ref="J185">_xlfn.IFS($G185=$G$5,J$5,$G185=$G$6,J$6,$G185=$G$7,J$7,$G185=$G$8,J$8,$G185=$G$9,J$9,$G185=$G$10,J$10,$G185=$G$11,J$11,$G185=$G$12,J$12,$G185=$G$13,J$13,$G185=$G$15,J$15,$G185=$G$16,J$16,$G185=$G$17,J$17,$G185=$G$18,J$18,$G185=$G$19,J$19,$G185=$G$20,J$20,$G185=$G$21,J$21,$G185=$G$22,J$22,$G185=$G$25,J$25,$G185=$G$26,J$26,$G185=$G$27,J$27,$G185=$G$29,J$29,$G185=$G$31,J$31,$G185=$G$32,J$150,$G185=$G$248,J$248,$G185=$G$250,J$250)</f>
        <v>365</v>
      </c>
      <c r="K185" s="48" t="str" cm="1">
        <f t="array" ref="K185">_xlfn.IFS($G185=$G$5,K$5,$G185=$G$6,K$6,$G185=$G$7,K$7,$G185=$G$8,K$8,$G185=$G$9,K$9,$G185=$G$10,K$10,$G185=$G$11,K$11,$G185=$G$12,K$12,$G185=$G$13,K$13,$G185=$G$15,K$15,$G185=$G$16,K$16,$G185=$G$17,K$17,$G185=$G$18,K$18,$G185=$G$19,K$19,$G185=$G$20,K$20,$G185=$G$21,K$21,$G185=$G$22,K$22,$G185=$G$25,K$25,$G185=$G$26,K$26,$G185=$G$27,K$27,$G185=$G$29,K$29,$G185=$G$31,K$31,$G185=$G$32,K$150,$G185=$G$248,K$248,$G185=$G$250,K$250)</f>
        <v>BG sentinel + BG lure7</v>
      </c>
      <c r="L185" s="48"/>
      <c r="M185" s="48"/>
      <c r="O185" s="45" t="str">
        <f t="shared" si="10"/>
        <v>A_SP_BCN_13_210609</v>
      </c>
      <c r="P185" s="64">
        <v>44356</v>
      </c>
      <c r="R185" s="72"/>
      <c r="S185" s="64">
        <v>44363</v>
      </c>
      <c r="U185" s="72"/>
      <c r="V185" s="54" t="s">
        <v>66</v>
      </c>
      <c r="X185" s="45">
        <f t="shared" si="5"/>
        <v>7</v>
      </c>
      <c r="Z185" s="45" t="s">
        <v>80</v>
      </c>
      <c r="AA185" s="45">
        <f t="shared" si="15"/>
        <v>1</v>
      </c>
      <c r="AB185" t="str">
        <f t="shared" si="13"/>
        <v>Adult</v>
      </c>
      <c r="AC185" s="69">
        <v>1</v>
      </c>
      <c r="AD185" s="69">
        <v>0</v>
      </c>
      <c r="AE185" s="45" t="str">
        <f t="shared" si="14"/>
        <v>Morphological</v>
      </c>
      <c r="AF185" s="56">
        <v>4</v>
      </c>
    </row>
    <row r="186" spans="1:32" ht="18" customHeight="1" x14ac:dyDescent="0.25">
      <c r="A186" s="45">
        <v>182</v>
      </c>
      <c r="B186" s="45" t="s">
        <v>60</v>
      </c>
      <c r="C186" s="45" t="s">
        <v>61</v>
      </c>
      <c r="D186" s="45" t="s">
        <v>62</v>
      </c>
      <c r="E186" s="45" t="s">
        <v>62</v>
      </c>
      <c r="F186" s="46" cm="1">
        <f t="array" ref="F186">_xlfn.IFS($G186=$G$5,F$5,$G186=$G$6,F$6,$G186=$G$7,F$7,$G186=$G$8,F$8,$G186=$G$9,F$9,$G186=$G$10,F$10,$G186=$G$11,F$11,$G186=$G$12,F$12,$G186=$G$13,F$13,$G186=$G$15,F$15,$G186=$G$16,F$16,$G186=$G$17,F$17,$G186=$G$18,F$18,$G186=$G$19,F$19,$G186=$G$20,F$20,$G186=$G$21,F$21,$G186=$G$22,F$22,$G186=$G$25,F$25,$G186=$G$26,F$26,$G186=$G$27,F$27,$G186=$G$29,F$29,$G186=$G$31,F$31,$G186=$G$32,F$32,$G186=$G$248,F$248,$G186=$G$250,F$250)</f>
        <v>8017</v>
      </c>
      <c r="G186" t="s">
        <v>86</v>
      </c>
      <c r="H186" s="66" cm="1">
        <f t="array" ref="H186">_xlfn.IFS($G186=$G$5,H$5,$G186=$G$6,H$6,$G186=$G$7,H$7,$G186=$G$8,H$8,$G186=$G$9,H$9,$G186=$G$10,H$10,$G186=$G$11,H$11,$G186=$G$12,H$12,$G186=$G$13,H$13,$G186=$G$15,H$15,$G186=$G$16,H$16,$G186=$G$17,H$17,$G186=$G$18,H$18,$G186=$G$19,H$19,$G186=$G$20,H$20,$G186=$G$21,H$21,$G186=$G$22,H$22,$G186=$G$25,H$25,$G186=$G$26,H$26,$G186=$G$27,H$27,$G186=$G$29,H$29,$G186=$G$31,H$31,$G186=$G$32,H$150,$G186=$G$248,H$248,$G186=$G$250,H$250)</f>
        <v>41.428533999999999</v>
      </c>
      <c r="I186" s="60" cm="1">
        <f t="array" ref="I186">_xlfn.IFS($G186=$G$5,I$5,$G186=$G$6,I$6,$G186=$G$7,I$7,$G186=$G$8,I$8,$G186=$G$9,I$9,$G186=$G$10,I$10,$G186=$G$11,I$11,$G186=$G$12,I$12,$G186=$G$13,I$13,$G186=$G$15,I$15,$G186=$G$16,I$16,$G186=$G$17,I$17,$G186=$G$18,I$18,$G186=$G$19,I$19,$G186=$G$20,I$20,$G186=$G$21,I$21,$G186=$G$22,I$22,$G186=$G$25,I$25,$G186=$G$26,I$26,$G186=$G$27,I$27,$G186=$G$29,I$29,$G186=$G$31,I$31,$G186=$G$32,I$150,$G186=$G$248,I$248,$G186=$G$250,I$250)</f>
        <v>2.090954</v>
      </c>
      <c r="J186" cm="1">
        <f t="array" ref="J186">_xlfn.IFS($G186=$G$5,J$5,$G186=$G$6,J$6,$G186=$G$7,J$7,$G186=$G$8,J$8,$G186=$G$9,J$9,$G186=$G$10,J$10,$G186=$G$11,J$11,$G186=$G$12,J$12,$G186=$G$13,J$13,$G186=$G$15,J$15,$G186=$G$16,J$16,$G186=$G$17,J$17,$G186=$G$18,J$18,$G186=$G$19,J$19,$G186=$G$20,J$20,$G186=$G$21,J$21,$G186=$G$22,J$22,$G186=$G$25,J$25,$G186=$G$26,J$26,$G186=$G$27,J$27,$G186=$G$29,J$29,$G186=$G$31,J$31,$G186=$G$32,J$150,$G186=$G$248,J$248,$G186=$G$250,J$250)</f>
        <v>215</v>
      </c>
      <c r="K186" s="48" t="str" cm="1">
        <f t="array" ref="K186">_xlfn.IFS($G186=$G$5,K$5,$G186=$G$6,K$6,$G186=$G$7,K$7,$G186=$G$8,K$8,$G186=$G$9,K$9,$G186=$G$10,K$10,$G186=$G$11,K$11,$G186=$G$12,K$12,$G186=$G$13,K$13,$G186=$G$15,K$15,$G186=$G$16,K$16,$G186=$G$17,K$17,$G186=$G$18,K$18,$G186=$G$19,K$19,$G186=$G$20,K$20,$G186=$G$21,K$21,$G186=$G$22,K$22,$G186=$G$25,K$25,$G186=$G$26,K$26,$G186=$G$27,K$27,$G186=$G$29,K$29,$G186=$G$31,K$31,$G186=$G$32,K$150,$G186=$G$248,K$248,$G186=$G$250,K$250)</f>
        <v>BG sentinel + BG lure7</v>
      </c>
      <c r="L186" s="48"/>
      <c r="M186" s="48"/>
      <c r="O186" s="45" t="str">
        <f t="shared" si="10"/>
        <v>A_SP_BCN_14_210609</v>
      </c>
      <c r="P186" s="64">
        <v>44356</v>
      </c>
      <c r="R186" s="72"/>
      <c r="S186" s="64">
        <v>44363</v>
      </c>
      <c r="U186" s="72"/>
      <c r="V186" s="54" t="s">
        <v>66</v>
      </c>
      <c r="X186" s="45">
        <f t="shared" si="5"/>
        <v>7</v>
      </c>
      <c r="Z186" s="69" t="s">
        <v>69</v>
      </c>
      <c r="AA186" s="45">
        <f t="shared" si="15"/>
        <v>1</v>
      </c>
      <c r="AB186" t="str">
        <f t="shared" si="13"/>
        <v>Adult</v>
      </c>
      <c r="AC186" s="69">
        <v>1</v>
      </c>
      <c r="AD186" s="69">
        <v>0</v>
      </c>
      <c r="AE186" s="45" t="str">
        <f t="shared" si="14"/>
        <v>Morphological</v>
      </c>
      <c r="AF186" s="56">
        <v>4</v>
      </c>
    </row>
    <row r="187" spans="1:32" ht="18" customHeight="1" x14ac:dyDescent="0.25">
      <c r="A187" s="45">
        <v>183</v>
      </c>
      <c r="B187" s="45" t="s">
        <v>60</v>
      </c>
      <c r="C187" s="45" t="s">
        <v>61</v>
      </c>
      <c r="D187" s="45" t="s">
        <v>62</v>
      </c>
      <c r="E187" s="45" t="s">
        <v>62</v>
      </c>
      <c r="F187" s="46" cm="1">
        <f t="array" ref="F187">_xlfn.IFS($G187=$G$5,F$5,$G187=$G$6,F$6,$G187=$G$7,F$7,$G187=$G$8,F$8,$G187=$G$9,F$9,$G187=$G$10,F$10,$G187=$G$11,F$11,$G187=$G$12,F$12,$G187=$G$13,F$13,$G187=$G$15,F$15,$G187=$G$16,F$16,$G187=$G$17,F$17,$G187=$G$18,F$18,$G187=$G$19,F$19,$G187=$G$20,F$20,$G187=$G$21,F$21,$G187=$G$22,F$22,$G187=$G$25,F$25,$G187=$G$26,F$26,$G187=$G$27,F$27,$G187=$G$29,F$29,$G187=$G$31,F$31,$G187=$G$32,F$32,$G187=$G$248,F$248,$G187=$G$250,F$250)</f>
        <v>8017</v>
      </c>
      <c r="G187" t="s">
        <v>87</v>
      </c>
      <c r="H187" s="66" cm="1">
        <f t="array" ref="H187">_xlfn.IFS($G187=$G$5,H$5,$G187=$G$6,H$6,$G187=$G$7,H$7,$G187=$G$8,H$8,$G187=$G$9,H$9,$G187=$G$10,H$10,$G187=$G$11,H$11,$G187=$G$12,H$12,$G187=$G$13,H$13,$G187=$G$15,H$15,$G187=$G$16,H$16,$G187=$G$17,H$17,$G187=$G$18,H$18,$G187=$G$19,H$19,$G187=$G$20,H$20,$G187=$G$21,H$21,$G187=$G$22,H$22,$G187=$G$25,H$25,$G187=$G$26,H$26,$G187=$G$27,H$27,$G187=$G$29,H$29,$G187=$G$31,H$31,$G187=$G$32,H$150,$G187=$G$248,H$248,$G187=$G$250,H$250)</f>
        <v>41.419471000000001</v>
      </c>
      <c r="I187" s="60" cm="1">
        <f t="array" ref="I187">_xlfn.IFS($G187=$G$5,I$5,$G187=$G$6,I$6,$G187=$G$7,I$7,$G187=$G$8,I$8,$G187=$G$9,I$9,$G187=$G$10,I$10,$G187=$G$11,I$11,$G187=$G$12,I$12,$G187=$G$13,I$13,$G187=$G$15,I$15,$G187=$G$16,I$16,$G187=$G$17,I$17,$G187=$G$18,I$18,$G187=$G$19,I$19,$G187=$G$20,I$20,$G187=$G$21,I$21,$G187=$G$22,I$22,$G187=$G$25,I$25,$G187=$G$26,I$26,$G187=$G$27,I$27,$G187=$G$29,I$29,$G187=$G$31,I$31,$G187=$G$32,I$150,$G187=$G$248,I$248,$G187=$G$250,I$250)</f>
        <v>2.1010149999999999</v>
      </c>
      <c r="J187" cm="1">
        <f t="array" ref="J187">_xlfn.IFS($G187=$G$5,J$5,$G187=$G$6,J$6,$G187=$G$7,J$7,$G187=$G$8,J$8,$G187=$G$9,J$9,$G187=$G$10,J$10,$G187=$G$11,J$11,$G187=$G$12,J$12,$G187=$G$13,J$13,$G187=$G$15,J$15,$G187=$G$16,J$16,$G187=$G$17,J$17,$G187=$G$18,J$18,$G187=$G$19,J$19,$G187=$G$20,J$20,$G187=$G$21,J$21,$G187=$G$22,J$22,$G187=$G$25,J$25,$G187=$G$26,J$26,$G187=$G$27,J$27,$G187=$G$29,J$29,$G187=$G$31,J$31,$G187=$G$32,J$150,$G187=$G$248,J$248,$G187=$G$250,J$250)</f>
        <v>284</v>
      </c>
      <c r="K187" s="48" t="str" cm="1">
        <f t="array" ref="K187">_xlfn.IFS($G187=$G$5,K$5,$G187=$G$6,K$6,$G187=$G$7,K$7,$G187=$G$8,K$8,$G187=$G$9,K$9,$G187=$G$10,K$10,$G187=$G$11,K$11,$G187=$G$12,K$12,$G187=$G$13,K$13,$G187=$G$15,K$15,$G187=$G$16,K$16,$G187=$G$17,K$17,$G187=$G$18,K$18,$G187=$G$19,K$19,$G187=$G$20,K$20,$G187=$G$21,K$21,$G187=$G$22,K$22,$G187=$G$25,K$25,$G187=$G$26,K$26,$G187=$G$27,K$27,$G187=$G$29,K$29,$G187=$G$31,K$31,$G187=$G$32,K$150,$G187=$G$248,K$248,$G187=$G$250,K$250)</f>
        <v>BG sentinel + BG lure7</v>
      </c>
      <c r="L187" s="48"/>
      <c r="M187" s="48"/>
      <c r="O187" s="45" t="str">
        <f t="shared" si="10"/>
        <v>A_SP_BCN_15_210609</v>
      </c>
      <c r="P187" s="64">
        <v>44356</v>
      </c>
      <c r="R187" s="72"/>
      <c r="S187" s="64">
        <v>44363</v>
      </c>
      <c r="U187" s="72"/>
      <c r="V187" s="54" t="s">
        <v>66</v>
      </c>
      <c r="X187" s="45">
        <f t="shared" si="5"/>
        <v>7</v>
      </c>
      <c r="Z187" s="69" t="s">
        <v>69</v>
      </c>
      <c r="AA187" s="45">
        <f t="shared" si="15"/>
        <v>3</v>
      </c>
      <c r="AB187" t="str">
        <f t="shared" si="13"/>
        <v>Adult</v>
      </c>
      <c r="AC187" s="69">
        <v>3</v>
      </c>
      <c r="AD187" s="69">
        <v>0</v>
      </c>
      <c r="AE187" s="45" t="str">
        <f t="shared" si="14"/>
        <v>Morphological</v>
      </c>
      <c r="AF187" s="56">
        <v>4</v>
      </c>
    </row>
    <row r="188" spans="1:32" ht="18" customHeight="1" x14ac:dyDescent="0.25">
      <c r="A188" s="45">
        <v>184</v>
      </c>
      <c r="B188" s="45" t="s">
        <v>60</v>
      </c>
      <c r="C188" s="45" t="s">
        <v>61</v>
      </c>
      <c r="D188" s="45" t="s">
        <v>62</v>
      </c>
      <c r="E188" s="45" t="s">
        <v>62</v>
      </c>
      <c r="F188" s="46" cm="1">
        <f t="array" ref="F188">_xlfn.IFS($G188=$G$5,F$5,$G188=$G$6,F$6,$G188=$G$7,F$7,$G188=$G$8,F$8,$G188=$G$9,F$9,$G188=$G$10,F$10,$G188=$G$11,F$11,$G188=$G$12,F$12,$G188=$G$13,F$13,$G188=$G$15,F$15,$G188=$G$16,F$16,$G188=$G$17,F$17,$G188=$G$18,F$18,$G188=$G$19,F$19,$G188=$G$20,F$20,$G188=$G$21,F$21,$G188=$G$22,F$22,$G188=$G$25,F$25,$G188=$G$26,F$26,$G188=$G$27,F$27,$G188=$G$29,F$29,$G188=$G$31,F$31,$G188=$G$32,F$32,$G188=$G$248,F$248,$G188=$G$250,F$250)</f>
        <v>8017</v>
      </c>
      <c r="G188" t="s">
        <v>88</v>
      </c>
      <c r="H188" s="66" cm="1">
        <f t="array" ref="H188">_xlfn.IFS($G188=$G$5,H$5,$G188=$G$6,H$6,$G188=$G$7,H$7,$G188=$G$8,H$8,$G188=$G$9,H$9,$G188=$G$10,H$10,$G188=$G$11,H$11,$G188=$G$12,H$12,$G188=$G$13,H$13,$G188=$G$15,H$15,$G188=$G$16,H$16,$G188=$G$17,H$17,$G188=$G$18,H$18,$G188=$G$19,H$19,$G188=$G$20,H$20,$G188=$G$21,H$21,$G188=$G$22,H$22,$G188=$G$25,H$25,$G188=$G$26,H$26,$G188=$G$27,H$27,$G188=$G$29,H$29,$G188=$G$31,H$31,$G188=$G$32,H$150,$G188=$G$248,H$248,$G188=$G$250,H$250)</f>
        <v>41.398387</v>
      </c>
      <c r="I188" s="60" cm="1">
        <f t="array" ref="I188">_xlfn.IFS($G188=$G$5,I$5,$G188=$G$6,I$6,$G188=$G$7,I$7,$G188=$G$8,I$8,$G188=$G$9,I$9,$G188=$G$10,I$10,$G188=$G$11,I$11,$G188=$G$12,I$12,$G188=$G$13,I$13,$G188=$G$15,I$15,$G188=$G$16,I$16,$G188=$G$17,I$17,$G188=$G$18,I$18,$G188=$G$19,I$19,$G188=$G$20,I$20,$G188=$G$21,I$21,$G188=$G$22,I$22,$G188=$G$25,I$25,$G188=$G$26,I$26,$G188=$G$27,I$27,$G188=$G$29,I$29,$G188=$G$31,I$31,$G188=$G$32,I$150,$G188=$G$248,I$248,$G188=$G$250,I$250)</f>
        <v>2.1244429999999999</v>
      </c>
      <c r="J188" cm="1">
        <f t="array" ref="J188">_xlfn.IFS($G188=$G$5,J$5,$G188=$G$6,J$6,$G188=$G$7,J$7,$G188=$G$8,J$8,$G188=$G$9,J$9,$G188=$G$10,J$10,$G188=$G$11,J$11,$G188=$G$12,J$12,$G188=$G$13,J$13,$G188=$G$15,J$15,$G188=$G$16,J$16,$G188=$G$17,J$17,$G188=$G$18,J$18,$G188=$G$19,J$19,$G188=$G$20,J$20,$G188=$G$21,J$21,$G188=$G$22,J$22,$G188=$G$25,J$25,$G188=$G$26,J$26,$G188=$G$27,J$27,$G188=$G$29,J$29,$G188=$G$31,J$31,$G188=$G$32,J$150,$G188=$G$248,J$248,$G188=$G$250,J$250)</f>
        <v>106</v>
      </c>
      <c r="K188" s="48" t="str" cm="1">
        <f t="array" ref="K188">_xlfn.IFS($G188=$G$5,K$5,$G188=$G$6,K$6,$G188=$G$7,K$7,$G188=$G$8,K$8,$G188=$G$9,K$9,$G188=$G$10,K$10,$G188=$G$11,K$11,$G188=$G$12,K$12,$G188=$G$13,K$13,$G188=$G$15,K$15,$G188=$G$16,K$16,$G188=$G$17,K$17,$G188=$G$18,K$18,$G188=$G$19,K$19,$G188=$G$20,K$20,$G188=$G$21,K$21,$G188=$G$22,K$22,$G188=$G$25,K$25,$G188=$G$26,K$26,$G188=$G$27,K$27,$G188=$G$29,K$29,$G188=$G$31,K$31,$G188=$G$32,K$150,$G188=$G$248,K$248,$G188=$G$250,K$250)</f>
        <v>BG sentinel + BG lure7</v>
      </c>
      <c r="L188" s="48"/>
      <c r="M188" s="48"/>
      <c r="O188" s="45" t="str">
        <f t="shared" si="10"/>
        <v>A_SP_BCN_16_210609</v>
      </c>
      <c r="P188" s="64">
        <v>44356</v>
      </c>
      <c r="R188" s="72"/>
      <c r="S188" s="64">
        <v>44363</v>
      </c>
      <c r="U188" s="72"/>
      <c r="V188" s="54" t="s">
        <v>66</v>
      </c>
      <c r="X188" s="45">
        <f t="shared" si="5"/>
        <v>7</v>
      </c>
      <c r="Z188" s="69" t="s">
        <v>69</v>
      </c>
      <c r="AA188" s="45">
        <f t="shared" si="15"/>
        <v>11</v>
      </c>
      <c r="AB188" t="str">
        <f t="shared" si="13"/>
        <v>Adult</v>
      </c>
      <c r="AC188" s="69">
        <v>6</v>
      </c>
      <c r="AD188" s="69">
        <v>5</v>
      </c>
      <c r="AE188" s="45" t="str">
        <f t="shared" si="14"/>
        <v>Morphological</v>
      </c>
      <c r="AF188" s="56">
        <v>4</v>
      </c>
    </row>
    <row r="189" spans="1:32" ht="18" customHeight="1" x14ac:dyDescent="0.25">
      <c r="A189" s="45">
        <v>185</v>
      </c>
      <c r="B189" s="45" t="s">
        <v>60</v>
      </c>
      <c r="C189" s="45" t="s">
        <v>61</v>
      </c>
      <c r="D189" s="45" t="s">
        <v>62</v>
      </c>
      <c r="E189" s="45" t="s">
        <v>62</v>
      </c>
      <c r="F189" s="46" cm="1">
        <f t="array" ref="F189">_xlfn.IFS($G189=$G$5,F$5,$G189=$G$6,F$6,$G189=$G$7,F$7,$G189=$G$8,F$8,$G189=$G$9,F$9,$G189=$G$10,F$10,$G189=$G$11,F$11,$G189=$G$12,F$12,$G189=$G$13,F$13,$G189=$G$15,F$15,$G189=$G$16,F$16,$G189=$G$17,F$17,$G189=$G$18,F$18,$G189=$G$19,F$19,$G189=$G$20,F$20,$G189=$G$21,F$21,$G189=$G$22,F$22,$G189=$G$25,F$25,$G189=$G$26,F$26,$G189=$G$27,F$27,$G189=$G$29,F$29,$G189=$G$31,F$31,$G189=$G$32,F$32,$G189=$G$248,F$248,$G189=$G$250,F$250)</f>
        <v>8017</v>
      </c>
      <c r="G189" t="s">
        <v>88</v>
      </c>
      <c r="H189" s="66" cm="1">
        <f t="array" ref="H189">_xlfn.IFS($G189=$G$5,H$5,$G189=$G$6,H$6,$G189=$G$7,H$7,$G189=$G$8,H$8,$G189=$G$9,H$9,$G189=$G$10,H$10,$G189=$G$11,H$11,$G189=$G$12,H$12,$G189=$G$13,H$13,$G189=$G$15,H$15,$G189=$G$16,H$16,$G189=$G$17,H$17,$G189=$G$18,H$18,$G189=$G$19,H$19,$G189=$G$20,H$20,$G189=$G$21,H$21,$G189=$G$22,H$22,$G189=$G$25,H$25,$G189=$G$26,H$26,$G189=$G$27,H$27,$G189=$G$29,H$29,$G189=$G$31,H$31,$G189=$G$32,H$150,$G189=$G$248,H$248,$G189=$G$250,H$250)</f>
        <v>41.398387</v>
      </c>
      <c r="I189" s="60" cm="1">
        <f t="array" ref="I189">_xlfn.IFS($G189=$G$5,I$5,$G189=$G$6,I$6,$G189=$G$7,I$7,$G189=$G$8,I$8,$G189=$G$9,I$9,$G189=$G$10,I$10,$G189=$G$11,I$11,$G189=$G$12,I$12,$G189=$G$13,I$13,$G189=$G$15,I$15,$G189=$G$16,I$16,$G189=$G$17,I$17,$G189=$G$18,I$18,$G189=$G$19,I$19,$G189=$G$20,I$20,$G189=$G$21,I$21,$G189=$G$22,I$22,$G189=$G$25,I$25,$G189=$G$26,I$26,$G189=$G$27,I$27,$G189=$G$29,I$29,$G189=$G$31,I$31,$G189=$G$32,I$150,$G189=$G$248,I$248,$G189=$G$250,I$250)</f>
        <v>2.1244429999999999</v>
      </c>
      <c r="J189" cm="1">
        <f t="array" ref="J189">_xlfn.IFS($G189=$G$5,J$5,$G189=$G$6,J$6,$G189=$G$7,J$7,$G189=$G$8,J$8,$G189=$G$9,J$9,$G189=$G$10,J$10,$G189=$G$11,J$11,$G189=$G$12,J$12,$G189=$G$13,J$13,$G189=$G$15,J$15,$G189=$G$16,J$16,$G189=$G$17,J$17,$G189=$G$18,J$18,$G189=$G$19,J$19,$G189=$G$20,J$20,$G189=$G$21,J$21,$G189=$G$22,J$22,$G189=$G$25,J$25,$G189=$G$26,J$26,$G189=$G$27,J$27,$G189=$G$29,J$29,$G189=$G$31,J$31,$G189=$G$32,J$150,$G189=$G$248,J$248,$G189=$G$250,J$250)</f>
        <v>106</v>
      </c>
      <c r="K189" s="48" t="str" cm="1">
        <f t="array" ref="K189">_xlfn.IFS($G189=$G$5,K$5,$G189=$G$6,K$6,$G189=$G$7,K$7,$G189=$G$8,K$8,$G189=$G$9,K$9,$G189=$G$10,K$10,$G189=$G$11,K$11,$G189=$G$12,K$12,$G189=$G$13,K$13,$G189=$G$15,K$15,$G189=$G$16,K$16,$G189=$G$17,K$17,$G189=$G$18,K$18,$G189=$G$19,K$19,$G189=$G$20,K$20,$G189=$G$21,K$21,$G189=$G$22,K$22,$G189=$G$25,K$25,$G189=$G$26,K$26,$G189=$G$27,K$27,$G189=$G$29,K$29,$G189=$G$31,K$31,$G189=$G$32,K$150,$G189=$G$248,K$248,$G189=$G$250,K$250)</f>
        <v>BG sentinel + BG lure7</v>
      </c>
      <c r="L189" s="48"/>
      <c r="M189" s="48"/>
      <c r="O189" s="45" t="str">
        <f t="shared" si="10"/>
        <v>A_SP_BCN_16_210609</v>
      </c>
      <c r="P189" s="64">
        <v>44356</v>
      </c>
      <c r="R189" s="72"/>
      <c r="S189" s="64">
        <v>44363</v>
      </c>
      <c r="U189" s="72"/>
      <c r="V189" s="54" t="s">
        <v>66</v>
      </c>
      <c r="X189" s="45">
        <f t="shared" si="5"/>
        <v>7</v>
      </c>
      <c r="Z189" s="45" t="s">
        <v>70</v>
      </c>
      <c r="AA189" s="45">
        <f t="shared" si="15"/>
        <v>18</v>
      </c>
      <c r="AB189" t="str">
        <f t="shared" si="13"/>
        <v>Adult</v>
      </c>
      <c r="AC189" s="69">
        <v>15</v>
      </c>
      <c r="AD189" s="69">
        <v>3</v>
      </c>
      <c r="AE189" s="45" t="str">
        <f t="shared" si="14"/>
        <v>Morphological</v>
      </c>
      <c r="AF189" s="56">
        <v>4</v>
      </c>
    </row>
    <row r="190" spans="1:32" ht="18" customHeight="1" x14ac:dyDescent="0.25">
      <c r="A190" s="45">
        <v>186</v>
      </c>
      <c r="B190" s="45" t="s">
        <v>60</v>
      </c>
      <c r="C190" s="45" t="s">
        <v>61</v>
      </c>
      <c r="D190" s="45" t="s">
        <v>62</v>
      </c>
      <c r="E190" s="45" t="s">
        <v>62</v>
      </c>
      <c r="F190" s="46" cm="1">
        <f t="array" ref="F190">_xlfn.IFS($G190=$G$5,F$5,$G190=$G$6,F$6,$G190=$G$7,F$7,$G190=$G$8,F$8,$G190=$G$9,F$9,$G190=$G$10,F$10,$G190=$G$11,F$11,$G190=$G$12,F$12,$G190=$G$13,F$13,$G190=$G$15,F$15,$G190=$G$16,F$16,$G190=$G$17,F$17,$G190=$G$18,F$18,$G190=$G$19,F$19,$G190=$G$20,F$20,$G190=$G$21,F$21,$G190=$G$22,F$22,$G190=$G$25,F$25,$G190=$G$26,F$26,$G190=$G$27,F$27,$G190=$G$29,F$29,$G190=$G$31,F$31,$G190=$G$32,F$32,$G190=$G$248,F$248,$G190=$G$250,F$250)</f>
        <v>8017</v>
      </c>
      <c r="G190" t="s">
        <v>88</v>
      </c>
      <c r="H190" s="66" cm="1">
        <f t="array" ref="H190">_xlfn.IFS($G190=$G$5,H$5,$G190=$G$6,H$6,$G190=$G$7,H$7,$G190=$G$8,H$8,$G190=$G$9,H$9,$G190=$G$10,H$10,$G190=$G$11,H$11,$G190=$G$12,H$12,$G190=$G$13,H$13,$G190=$G$15,H$15,$G190=$G$16,H$16,$G190=$G$17,H$17,$G190=$G$18,H$18,$G190=$G$19,H$19,$G190=$G$20,H$20,$G190=$G$21,H$21,$G190=$G$22,H$22,$G190=$G$25,H$25,$G190=$G$26,H$26,$G190=$G$27,H$27,$G190=$G$29,H$29,$G190=$G$31,H$31,$G190=$G$32,H$150,$G190=$G$248,H$248,$G190=$G$250,H$250)</f>
        <v>41.398387</v>
      </c>
      <c r="I190" s="60" cm="1">
        <f t="array" ref="I190">_xlfn.IFS($G190=$G$5,I$5,$G190=$G$6,I$6,$G190=$G$7,I$7,$G190=$G$8,I$8,$G190=$G$9,I$9,$G190=$G$10,I$10,$G190=$G$11,I$11,$G190=$G$12,I$12,$G190=$G$13,I$13,$G190=$G$15,I$15,$G190=$G$16,I$16,$G190=$G$17,I$17,$G190=$G$18,I$18,$G190=$G$19,I$19,$G190=$G$20,I$20,$G190=$G$21,I$21,$G190=$G$22,I$22,$G190=$G$25,I$25,$G190=$G$26,I$26,$G190=$G$27,I$27,$G190=$G$29,I$29,$G190=$G$31,I$31,$G190=$G$32,I$150,$G190=$G$248,I$248,$G190=$G$250,I$250)</f>
        <v>2.1244429999999999</v>
      </c>
      <c r="J190" cm="1">
        <f t="array" ref="J190">_xlfn.IFS($G190=$G$5,J$5,$G190=$G$6,J$6,$G190=$G$7,J$7,$G190=$G$8,J$8,$G190=$G$9,J$9,$G190=$G$10,J$10,$G190=$G$11,J$11,$G190=$G$12,J$12,$G190=$G$13,J$13,$G190=$G$15,J$15,$G190=$G$16,J$16,$G190=$G$17,J$17,$G190=$G$18,J$18,$G190=$G$19,J$19,$G190=$G$20,J$20,$G190=$G$21,J$21,$G190=$G$22,J$22,$G190=$G$25,J$25,$G190=$G$26,J$26,$G190=$G$27,J$27,$G190=$G$29,J$29,$G190=$G$31,J$31,$G190=$G$32,J$150,$G190=$G$248,J$248,$G190=$G$250,J$250)</f>
        <v>106</v>
      </c>
      <c r="K190" s="48" t="str" cm="1">
        <f t="array" ref="K190">_xlfn.IFS($G190=$G$5,K$5,$G190=$G$6,K$6,$G190=$G$7,K$7,$G190=$G$8,K$8,$G190=$G$9,K$9,$G190=$G$10,K$10,$G190=$G$11,K$11,$G190=$G$12,K$12,$G190=$G$13,K$13,$G190=$G$15,K$15,$G190=$G$16,K$16,$G190=$G$17,K$17,$G190=$G$18,K$18,$G190=$G$19,K$19,$G190=$G$20,K$20,$G190=$G$21,K$21,$G190=$G$22,K$22,$G190=$G$25,K$25,$G190=$G$26,K$26,$G190=$G$27,K$27,$G190=$G$29,K$29,$G190=$G$31,K$31,$G190=$G$32,K$150,$G190=$G$248,K$248,$G190=$G$250,K$250)</f>
        <v>BG sentinel + BG lure7</v>
      </c>
      <c r="L190" s="48"/>
      <c r="M190" s="48"/>
      <c r="O190" s="45" t="str">
        <f t="shared" si="10"/>
        <v>A_SP_BCN_16_210609</v>
      </c>
      <c r="P190" s="64">
        <v>44356</v>
      </c>
      <c r="R190" s="72"/>
      <c r="S190" s="64">
        <v>44363</v>
      </c>
      <c r="U190" s="72"/>
      <c r="V190" s="54" t="s">
        <v>66</v>
      </c>
      <c r="X190" s="45">
        <f t="shared" si="5"/>
        <v>7</v>
      </c>
      <c r="Z190" s="45" t="s">
        <v>80</v>
      </c>
      <c r="AA190" s="45">
        <f>SUM(AC190:AD190)</f>
        <v>12</v>
      </c>
      <c r="AB190" t="str">
        <f t="shared" si="13"/>
        <v>Adult</v>
      </c>
      <c r="AC190" s="69">
        <v>6</v>
      </c>
      <c r="AD190" s="69">
        <v>6</v>
      </c>
      <c r="AE190" s="45" t="str">
        <f t="shared" si="14"/>
        <v>Morphological</v>
      </c>
      <c r="AF190" s="56">
        <v>4</v>
      </c>
    </row>
    <row r="191" spans="1:32" ht="18" customHeight="1" x14ac:dyDescent="0.25">
      <c r="A191" s="45">
        <v>187</v>
      </c>
      <c r="B191" s="45" t="s">
        <v>60</v>
      </c>
      <c r="C191" s="45" t="s">
        <v>61</v>
      </c>
      <c r="D191" s="45" t="s">
        <v>62</v>
      </c>
      <c r="E191" s="45" t="s">
        <v>62</v>
      </c>
      <c r="F191" s="46" cm="1">
        <f t="array" ref="F191">_xlfn.IFS($G191=$G$5,F$5,$G191=$G$6,F$6,$G191=$G$7,F$7,$G191=$G$8,F$8,$G191=$G$9,F$9,$G191=$G$10,F$10,$G191=$G$11,F$11,$G191=$G$12,F$12,$G191=$G$13,F$13,$G191=$G$15,F$15,$G191=$G$16,F$16,$G191=$G$17,F$17,$G191=$G$18,F$18,$G191=$G$19,F$19,$G191=$G$20,F$20,$G191=$G$21,F$21,$G191=$G$22,F$22,$G191=$G$25,F$25,$G191=$G$26,F$26,$G191=$G$27,F$27,$G191=$G$29,F$29,$G191=$G$31,F$31,$G191=$G$32,F$32,$G191=$G$248,F$248,$G191=$G$250,F$250)</f>
        <v>8023</v>
      </c>
      <c r="G191" t="s">
        <v>89</v>
      </c>
      <c r="H191" s="66" cm="1">
        <f t="array" ref="H191">_xlfn.IFS($G191=$G$5,H$5,$G191=$G$6,H$6,$G191=$G$7,H$7,$G191=$G$8,H$8,$G191=$G$9,H$9,$G191=$G$10,H$10,$G191=$G$11,H$11,$G191=$G$12,H$12,$G191=$G$13,H$13,$G191=$G$15,H$15,$G191=$G$16,H$16,$G191=$G$17,H$17,$G191=$G$18,H$18,$G191=$G$19,H$19,$G191=$G$20,H$20,$G191=$G$21,H$21,$G191=$G$22,H$22,$G191=$G$25,H$25,$G191=$G$26,H$26,$G191=$G$27,H$27,$G191=$G$29,H$29,$G191=$G$31,H$31,$G191=$G$32,H$150,$G191=$G$248,H$248,$G191=$G$250,H$250)</f>
        <v>41.417256000000002</v>
      </c>
      <c r="I191" s="60" cm="1">
        <f t="array" ref="I191">_xlfn.IFS($G191=$G$5,I$5,$G191=$G$6,I$6,$G191=$G$7,I$7,$G191=$G$8,I$8,$G191=$G$9,I$9,$G191=$G$10,I$10,$G191=$G$11,I$11,$G191=$G$12,I$12,$G191=$G$13,I$13,$G191=$G$15,I$15,$G191=$G$16,I$16,$G191=$G$17,I$17,$G191=$G$18,I$18,$G191=$G$19,I$19,$G191=$G$20,I$20,$G191=$G$21,I$21,$G191=$G$22,I$22,$G191=$G$25,I$25,$G191=$G$26,I$26,$G191=$G$27,I$27,$G191=$G$29,I$29,$G191=$G$31,I$31,$G191=$G$32,I$150,$G191=$G$248,I$248,$G191=$G$250,I$250)</f>
        <v>2.1455709999999999</v>
      </c>
      <c r="J191" cm="1">
        <f t="array" ref="J191">_xlfn.IFS($G191=$G$5,J$5,$G191=$G$6,J$6,$G191=$G$7,J$7,$G191=$G$8,J$8,$G191=$G$9,J$9,$G191=$G$10,J$10,$G191=$G$11,J$11,$G191=$G$12,J$12,$G191=$G$13,J$13,$G191=$G$15,J$15,$G191=$G$16,J$16,$G191=$G$17,J$17,$G191=$G$18,J$18,$G191=$G$19,J$19,$G191=$G$20,J$20,$G191=$G$21,J$21,$G191=$G$22,J$22,$G191=$G$25,J$25,$G191=$G$26,J$26,$G191=$G$27,J$27,$G191=$G$29,J$29,$G191=$G$31,J$31,$G191=$G$32,J$150,$G191=$G$248,J$248,$G191=$G$250,J$250)</f>
        <v>186</v>
      </c>
      <c r="K191" s="48" t="str" cm="1">
        <f t="array" ref="K191">_xlfn.IFS($G191=$G$5,K$5,$G191=$G$6,K$6,$G191=$G$7,K$7,$G191=$G$8,K$8,$G191=$G$9,K$9,$G191=$G$10,K$10,$G191=$G$11,K$11,$G191=$G$12,K$12,$G191=$G$13,K$13,$G191=$G$15,K$15,$G191=$G$16,K$16,$G191=$G$17,K$17,$G191=$G$18,K$18,$G191=$G$19,K$19,$G191=$G$20,K$20,$G191=$G$21,K$21,$G191=$G$22,K$22,$G191=$G$25,K$25,$G191=$G$26,K$26,$G191=$G$27,K$27,$G191=$G$29,K$29,$G191=$G$31,K$31,$G191=$G$32,K$150,$G191=$G$248,K$248,$G191=$G$250,K$250)</f>
        <v>BG sentinel + BG lure7</v>
      </c>
      <c r="L191" s="48"/>
      <c r="M191" s="48"/>
      <c r="O191" s="45" t="str">
        <f t="shared" si="10"/>
        <v>A_SP_BCN_17_210609</v>
      </c>
      <c r="P191" s="64">
        <v>44356</v>
      </c>
      <c r="R191" s="72"/>
      <c r="S191" s="64">
        <v>44363</v>
      </c>
      <c r="U191" s="72"/>
      <c r="V191" s="54" t="s">
        <v>66</v>
      </c>
      <c r="X191" s="45">
        <f t="shared" si="5"/>
        <v>7</v>
      </c>
      <c r="Z191" s="45" t="s">
        <v>70</v>
      </c>
      <c r="AA191" s="45">
        <f t="shared" ref="AA191:AA342" si="16">SUM(AC191:AD191)</f>
        <v>2</v>
      </c>
      <c r="AB191" t="str">
        <f t="shared" si="13"/>
        <v>Adult</v>
      </c>
      <c r="AC191" s="69">
        <v>1</v>
      </c>
      <c r="AD191" s="69">
        <v>1</v>
      </c>
      <c r="AE191" s="45" t="str">
        <f t="shared" si="14"/>
        <v>Morphological</v>
      </c>
      <c r="AF191" s="56">
        <v>4</v>
      </c>
    </row>
    <row r="192" spans="1:32" ht="18" customHeight="1" x14ac:dyDescent="0.25">
      <c r="A192" s="45">
        <v>188</v>
      </c>
      <c r="B192" s="45" t="s">
        <v>60</v>
      </c>
      <c r="C192" s="45" t="s">
        <v>61</v>
      </c>
      <c r="D192" s="45" t="s">
        <v>62</v>
      </c>
      <c r="E192" s="45" t="s">
        <v>62</v>
      </c>
      <c r="F192" s="46" cm="1">
        <f t="array" ref="F192">_xlfn.IFS($G192=$G$5,F$5,$G192=$G$6,F$6,$G192=$G$7,F$7,$G192=$G$8,F$8,$G192=$G$9,F$9,$G192=$G$10,F$10,$G192=$G$11,F$11,$G192=$G$12,F$12,$G192=$G$13,F$13,$G192=$G$15,F$15,$G192=$G$16,F$16,$G192=$G$17,F$17,$G192=$G$18,F$18,$G192=$G$19,F$19,$G192=$G$20,F$20,$G192=$G$21,F$21,$G192=$G$22,F$22,$G192=$G$25,F$25,$G192=$G$26,F$26,$G192=$G$27,F$27,$G192=$G$29,F$29,$G192=$G$31,F$31,$G192=$G$32,F$32,$G192=$G$248,F$248,$G192=$G$250,F$250)</f>
        <v>8023</v>
      </c>
      <c r="G192" t="s">
        <v>89</v>
      </c>
      <c r="H192" s="66" cm="1">
        <f t="array" ref="H192">_xlfn.IFS($G192=$G$5,H$5,$G192=$G$6,H$6,$G192=$G$7,H$7,$G192=$G$8,H$8,$G192=$G$9,H$9,$G192=$G$10,H$10,$G192=$G$11,H$11,$G192=$G$12,H$12,$G192=$G$13,H$13,$G192=$G$15,H$15,$G192=$G$16,H$16,$G192=$G$17,H$17,$G192=$G$18,H$18,$G192=$G$19,H$19,$G192=$G$20,H$20,$G192=$G$21,H$21,$G192=$G$22,H$22,$G192=$G$25,H$25,$G192=$G$26,H$26,$G192=$G$27,H$27,$G192=$G$29,H$29,$G192=$G$31,H$31,$G192=$G$32,H$150,$G192=$G$248,H$248,$G192=$G$250,H$250)</f>
        <v>41.417256000000002</v>
      </c>
      <c r="I192" s="60" cm="1">
        <f t="array" ref="I192">_xlfn.IFS($G192=$G$5,I$5,$G192=$G$6,I$6,$G192=$G$7,I$7,$G192=$G$8,I$8,$G192=$G$9,I$9,$G192=$G$10,I$10,$G192=$G$11,I$11,$G192=$G$12,I$12,$G192=$G$13,I$13,$G192=$G$15,I$15,$G192=$G$16,I$16,$G192=$G$17,I$17,$G192=$G$18,I$18,$G192=$G$19,I$19,$G192=$G$20,I$20,$G192=$G$21,I$21,$G192=$G$22,I$22,$G192=$G$25,I$25,$G192=$G$26,I$26,$G192=$G$27,I$27,$G192=$G$29,I$29,$G192=$G$31,I$31,$G192=$G$32,I$150,$G192=$G$248,I$248,$G192=$G$250,I$250)</f>
        <v>2.1455709999999999</v>
      </c>
      <c r="J192" cm="1">
        <f t="array" ref="J192">_xlfn.IFS($G192=$G$5,J$5,$G192=$G$6,J$6,$G192=$G$7,J$7,$G192=$G$8,J$8,$G192=$G$9,J$9,$G192=$G$10,J$10,$G192=$G$11,J$11,$G192=$G$12,J$12,$G192=$G$13,J$13,$G192=$G$15,J$15,$G192=$G$16,J$16,$G192=$G$17,J$17,$G192=$G$18,J$18,$G192=$G$19,J$19,$G192=$G$20,J$20,$G192=$G$21,J$21,$G192=$G$22,J$22,$G192=$G$25,J$25,$G192=$G$26,J$26,$G192=$G$27,J$27,$G192=$G$29,J$29,$G192=$G$31,J$31,$G192=$G$32,J$150,$G192=$G$248,J$248,$G192=$G$250,J$250)</f>
        <v>186</v>
      </c>
      <c r="K192" s="48" t="str" cm="1">
        <f t="array" ref="K192">_xlfn.IFS($G192=$G$5,K$5,$G192=$G$6,K$6,$G192=$G$7,K$7,$G192=$G$8,K$8,$G192=$G$9,K$9,$G192=$G$10,K$10,$G192=$G$11,K$11,$G192=$G$12,K$12,$G192=$G$13,K$13,$G192=$G$15,K$15,$G192=$G$16,K$16,$G192=$G$17,K$17,$G192=$G$18,K$18,$G192=$G$19,K$19,$G192=$G$20,K$20,$G192=$G$21,K$21,$G192=$G$22,K$22,$G192=$G$25,K$25,$G192=$G$26,K$26,$G192=$G$27,K$27,$G192=$G$29,K$29,$G192=$G$31,K$31,$G192=$G$32,K$150,$G192=$G$248,K$248,$G192=$G$250,K$250)</f>
        <v>BG sentinel + BG lure7</v>
      </c>
      <c r="L192" s="48"/>
      <c r="M192" s="48"/>
      <c r="O192" s="45" t="str">
        <f t="shared" si="10"/>
        <v>A_SP_BCN_17_210609</v>
      </c>
      <c r="P192" s="64">
        <v>44356</v>
      </c>
      <c r="R192" s="72"/>
      <c r="S192" s="64">
        <v>44363</v>
      </c>
      <c r="U192" s="72"/>
      <c r="V192" s="54" t="s">
        <v>66</v>
      </c>
      <c r="X192" s="45">
        <f t="shared" si="5"/>
        <v>7</v>
      </c>
      <c r="Z192" s="45" t="s">
        <v>80</v>
      </c>
      <c r="AA192" s="45">
        <f t="shared" si="16"/>
        <v>2</v>
      </c>
      <c r="AB192" t="str">
        <f t="shared" si="13"/>
        <v>Adult</v>
      </c>
      <c r="AC192" s="69">
        <v>1</v>
      </c>
      <c r="AD192" s="69">
        <v>1</v>
      </c>
      <c r="AE192" s="45" t="str">
        <f t="shared" si="14"/>
        <v>Morphological</v>
      </c>
      <c r="AF192" s="56">
        <v>4</v>
      </c>
    </row>
    <row r="193" spans="1:32" ht="18" customHeight="1" x14ac:dyDescent="0.25">
      <c r="A193" s="45">
        <v>189</v>
      </c>
      <c r="B193" s="45" t="s">
        <v>60</v>
      </c>
      <c r="C193" s="45" t="s">
        <v>61</v>
      </c>
      <c r="D193" s="45" t="s">
        <v>62</v>
      </c>
      <c r="E193" s="45" t="s">
        <v>62</v>
      </c>
      <c r="F193" s="46" cm="1">
        <f t="array" ref="F193">_xlfn.IFS($G193=$G$5,F$5,$G193=$G$6,F$6,$G193=$G$7,F$7,$G193=$G$8,F$8,$G193=$G$9,F$9,$G193=$G$10,F$10,$G193=$G$11,F$11,$G193=$G$12,F$12,$G193=$G$13,F$13,$G193=$G$15,F$15,$G193=$G$16,F$16,$G193=$G$17,F$17,$G193=$G$18,F$18,$G193=$G$19,F$19,$G193=$G$20,F$20,$G193=$G$21,F$21,$G193=$G$22,F$22,$G193=$G$25,F$25,$G193=$G$26,F$26,$G193=$G$27,F$27,$G193=$G$29,F$29,$G193=$G$31,F$31,$G193=$G$32,F$32,$G193=$G$248,F$248,$G193=$G$250,F$250)</f>
        <v>8031</v>
      </c>
      <c r="G193" t="s">
        <v>92</v>
      </c>
      <c r="H193" s="66" cm="1">
        <f t="array" ref="H193">_xlfn.IFS($G193=$G$5,H$5,$G193=$G$6,H$6,$G193=$G$7,H$7,$G193=$G$8,H$8,$G193=$G$9,H$9,$G193=$G$10,H$10,$G193=$G$11,H$11,$G193=$G$12,H$12,$G193=$G$13,H$13,$G193=$G$15,H$15,$G193=$G$16,H$16,$G193=$G$17,H$17,$G193=$G$18,H$18,$G193=$G$19,H$19,$G193=$G$20,H$20,$G193=$G$21,H$21,$G193=$G$22,H$22,$G193=$G$25,H$25,$G193=$G$26,H$26,$G193=$G$27,H$27,$G193=$G$29,H$29,$G193=$G$31,H$31,$G193=$G$32,H$150,$G193=$G$248,H$248,$G193=$G$250,H$250)</f>
        <v>41.433618000000003</v>
      </c>
      <c r="I193" s="60" cm="1">
        <f t="array" ref="I193">_xlfn.IFS($G193=$G$5,I$5,$G193=$G$6,I$6,$G193=$G$7,I$7,$G193=$G$8,I$8,$G193=$G$9,I$9,$G193=$G$10,I$10,$G193=$G$11,I$11,$G193=$G$12,I$12,$G193=$G$13,I$13,$G193=$G$15,I$15,$G193=$G$16,I$16,$G193=$G$17,I$17,$G193=$G$18,I$18,$G193=$G$19,I$19,$G193=$G$20,I$20,$G193=$G$21,I$21,$G193=$G$22,I$22,$G193=$G$25,I$25,$G193=$G$26,I$26,$G193=$G$27,I$27,$G193=$G$29,I$29,$G193=$G$31,I$31,$G193=$G$32,I$150,$G193=$G$248,I$248,$G193=$G$250,I$250)</f>
        <v>2.1677469999999999</v>
      </c>
      <c r="J193" cm="1">
        <f t="array" ref="J193">_xlfn.IFS($G193=$G$5,J$5,$G193=$G$6,J$6,$G193=$G$7,J$7,$G193=$G$8,J$8,$G193=$G$9,J$9,$G193=$G$10,J$10,$G193=$G$11,J$11,$G193=$G$12,J$12,$G193=$G$13,J$13,$G193=$G$15,J$15,$G193=$G$16,J$16,$G193=$G$17,J$17,$G193=$G$18,J$18,$G193=$G$19,J$19,$G193=$G$20,J$20,$G193=$G$21,J$21,$G193=$G$22,J$22,$G193=$G$25,J$25,$G193=$G$26,J$26,$G193=$G$27,J$27,$G193=$G$29,J$29,$G193=$G$31,J$31,$G193=$G$32,J$150,$G193=$G$248,J$248,$G193=$G$250,J$250)</f>
        <v>96.85</v>
      </c>
      <c r="K193" s="48" t="str" cm="1">
        <f t="array" ref="K193">_xlfn.IFS($G193=$G$5,K$5,$G193=$G$6,K$6,$G193=$G$7,K$7,$G193=$G$8,K$8,$G193=$G$9,K$9,$G193=$G$10,K$10,$G193=$G$11,K$11,$G193=$G$12,K$12,$G193=$G$13,K$13,$G193=$G$15,K$15,$G193=$G$16,K$16,$G193=$G$17,K$17,$G193=$G$18,K$18,$G193=$G$19,K$19,$G193=$G$20,K$20,$G193=$G$21,K$21,$G193=$G$22,K$22,$G193=$G$25,K$25,$G193=$G$26,K$26,$G193=$G$27,K$27,$G193=$G$29,K$29,$G193=$G$31,K$31,$G193=$G$32,K$150,$G193=$G$248,K$248,$G193=$G$250,K$250)</f>
        <v>BG sentinel + BG lure7</v>
      </c>
      <c r="L193" s="48"/>
      <c r="M193" s="48"/>
      <c r="O193" s="45" t="str">
        <f t="shared" si="10"/>
        <v>A_SP_BCN_18_210609</v>
      </c>
      <c r="P193" s="64">
        <v>44356</v>
      </c>
      <c r="R193" s="72"/>
      <c r="S193" s="64">
        <v>44363</v>
      </c>
      <c r="U193" s="72"/>
      <c r="V193" s="54" t="s">
        <v>66</v>
      </c>
      <c r="X193" s="45">
        <f t="shared" si="5"/>
        <v>7</v>
      </c>
      <c r="Z193" s="69" t="s">
        <v>69</v>
      </c>
      <c r="AA193" s="45">
        <f t="shared" si="16"/>
        <v>1</v>
      </c>
      <c r="AB193" t="str">
        <f t="shared" si="13"/>
        <v>Adult</v>
      </c>
      <c r="AC193" s="69">
        <v>1</v>
      </c>
      <c r="AD193" s="69">
        <v>0</v>
      </c>
      <c r="AE193" s="45" t="str">
        <f t="shared" si="14"/>
        <v>Morphological</v>
      </c>
      <c r="AF193" s="56">
        <v>4</v>
      </c>
    </row>
    <row r="194" spans="1:32" ht="18" customHeight="1" x14ac:dyDescent="0.25">
      <c r="A194" s="45">
        <v>190</v>
      </c>
      <c r="B194" s="45" t="s">
        <v>60</v>
      </c>
      <c r="C194" s="45" t="s">
        <v>61</v>
      </c>
      <c r="D194" s="45" t="s">
        <v>62</v>
      </c>
      <c r="E194" s="45" t="s">
        <v>62</v>
      </c>
      <c r="F194" s="46" cm="1">
        <f t="array" ref="F194">_xlfn.IFS($G194=$G$5,F$5,$G194=$G$6,F$6,$G194=$G$7,F$7,$G194=$G$8,F$8,$G194=$G$9,F$9,$G194=$G$10,F$10,$G194=$G$11,F$11,$G194=$G$12,F$12,$G194=$G$13,F$13,$G194=$G$15,F$15,$G194=$G$16,F$16,$G194=$G$17,F$17,$G194=$G$18,F$18,$G194=$G$19,F$19,$G194=$G$20,F$20,$G194=$G$21,F$21,$G194=$G$22,F$22,$G194=$G$25,F$25,$G194=$G$26,F$26,$G194=$G$27,F$27,$G194=$G$29,F$29,$G194=$G$31,F$31,$G194=$G$32,F$32,$G194=$G$248,F$248,$G194=$G$250,F$250)</f>
        <v>8031</v>
      </c>
      <c r="G194" t="s">
        <v>92</v>
      </c>
      <c r="H194" s="66" cm="1">
        <f t="array" ref="H194">_xlfn.IFS($G194=$G$5,H$5,$G194=$G$6,H$6,$G194=$G$7,H$7,$G194=$G$8,H$8,$G194=$G$9,H$9,$G194=$G$10,H$10,$G194=$G$11,H$11,$G194=$G$12,H$12,$G194=$G$13,H$13,$G194=$G$15,H$15,$G194=$G$16,H$16,$G194=$G$17,H$17,$G194=$G$18,H$18,$G194=$G$19,H$19,$G194=$G$20,H$20,$G194=$G$21,H$21,$G194=$G$22,H$22,$G194=$G$25,H$25,$G194=$G$26,H$26,$G194=$G$27,H$27,$G194=$G$29,H$29,$G194=$G$31,H$31,$G194=$G$32,H$150,$G194=$G$248,H$248,$G194=$G$250,H$250)</f>
        <v>41.433618000000003</v>
      </c>
      <c r="I194" s="60" cm="1">
        <f t="array" ref="I194">_xlfn.IFS($G194=$G$5,I$5,$G194=$G$6,I$6,$G194=$G$7,I$7,$G194=$G$8,I$8,$G194=$G$9,I$9,$G194=$G$10,I$10,$G194=$G$11,I$11,$G194=$G$12,I$12,$G194=$G$13,I$13,$G194=$G$15,I$15,$G194=$G$16,I$16,$G194=$G$17,I$17,$G194=$G$18,I$18,$G194=$G$19,I$19,$G194=$G$20,I$20,$G194=$G$21,I$21,$G194=$G$22,I$22,$G194=$G$25,I$25,$G194=$G$26,I$26,$G194=$G$27,I$27,$G194=$G$29,I$29,$G194=$G$31,I$31,$G194=$G$32,I$150,$G194=$G$248,I$248,$G194=$G$250,I$250)</f>
        <v>2.1677469999999999</v>
      </c>
      <c r="J194" cm="1">
        <f t="array" ref="J194">_xlfn.IFS($G194=$G$5,J$5,$G194=$G$6,J$6,$G194=$G$7,J$7,$G194=$G$8,J$8,$G194=$G$9,J$9,$G194=$G$10,J$10,$G194=$G$11,J$11,$G194=$G$12,J$12,$G194=$G$13,J$13,$G194=$G$15,J$15,$G194=$G$16,J$16,$G194=$G$17,J$17,$G194=$G$18,J$18,$G194=$G$19,J$19,$G194=$G$20,J$20,$G194=$G$21,J$21,$G194=$G$22,J$22,$G194=$G$25,J$25,$G194=$G$26,J$26,$G194=$G$27,J$27,$G194=$G$29,J$29,$G194=$G$31,J$31,$G194=$G$32,J$150,$G194=$G$248,J$248,$G194=$G$250,J$250)</f>
        <v>96.85</v>
      </c>
      <c r="K194" s="48" t="str" cm="1">
        <f t="array" ref="K194">_xlfn.IFS($G194=$G$5,K$5,$G194=$G$6,K$6,$G194=$G$7,K$7,$G194=$G$8,K$8,$G194=$G$9,K$9,$G194=$G$10,K$10,$G194=$G$11,K$11,$G194=$G$12,K$12,$G194=$G$13,K$13,$G194=$G$15,K$15,$G194=$G$16,K$16,$G194=$G$17,K$17,$G194=$G$18,K$18,$G194=$G$19,K$19,$G194=$G$20,K$20,$G194=$G$21,K$21,$G194=$G$22,K$22,$G194=$G$25,K$25,$G194=$G$26,K$26,$G194=$G$27,K$27,$G194=$G$29,K$29,$G194=$G$31,K$31,$G194=$G$32,K$150,$G194=$G$248,K$248,$G194=$G$250,K$250)</f>
        <v>BG sentinel + BG lure7</v>
      </c>
      <c r="L194" s="48"/>
      <c r="M194" s="48"/>
      <c r="O194" s="45" t="str">
        <f t="shared" si="10"/>
        <v>A_SP_BCN_18_210609</v>
      </c>
      <c r="P194" s="64">
        <v>44356</v>
      </c>
      <c r="R194" s="72"/>
      <c r="S194" s="64">
        <v>44363</v>
      </c>
      <c r="U194" s="72"/>
      <c r="V194" s="54" t="s">
        <v>66</v>
      </c>
      <c r="X194" s="45">
        <f t="shared" si="5"/>
        <v>7</v>
      </c>
      <c r="Z194" s="45" t="s">
        <v>80</v>
      </c>
      <c r="AA194" s="45">
        <f t="shared" si="16"/>
        <v>9</v>
      </c>
      <c r="AB194" t="str">
        <f t="shared" si="13"/>
        <v>Adult</v>
      </c>
      <c r="AC194" s="69">
        <v>5</v>
      </c>
      <c r="AD194" s="69">
        <v>4</v>
      </c>
      <c r="AE194" s="45" t="str">
        <f t="shared" si="14"/>
        <v>Morphological</v>
      </c>
      <c r="AF194" s="56">
        <v>4</v>
      </c>
    </row>
    <row r="195" spans="1:32" ht="18" customHeight="1" x14ac:dyDescent="0.25">
      <c r="A195" s="45">
        <v>191</v>
      </c>
      <c r="B195" s="45" t="s">
        <v>60</v>
      </c>
      <c r="C195" s="45" t="s">
        <v>61</v>
      </c>
      <c r="D195" s="45" t="s">
        <v>62</v>
      </c>
      <c r="E195" s="45" t="s">
        <v>62</v>
      </c>
      <c r="F195" s="46" cm="1">
        <f t="array" ref="F195">_xlfn.IFS($G195=$G$5,F$5,$G195=$G$6,F$6,$G195=$G$7,F$7,$G195=$G$8,F$8,$G195=$G$9,F$9,$G195=$G$10,F$10,$G195=$G$11,F$11,$G195=$G$12,F$12,$G195=$G$13,F$13,$G195=$G$15,F$15,$G195=$G$16,F$16,$G195=$G$17,F$17,$G195=$G$18,F$18,$G195=$G$19,F$19,$G195=$G$20,F$20,$G195=$G$21,F$21,$G195=$G$22,F$22,$G195=$G$25,F$25,$G195=$G$26,F$26,$G195=$G$27,F$27,$G195=$G$29,F$29,$G195=$G$31,F$31,$G195=$G$32,F$32,$G195=$G$248,F$248,$G195=$G$250,F$250)</f>
        <v>8038</v>
      </c>
      <c r="G195" t="s">
        <v>93</v>
      </c>
      <c r="H195" s="66" cm="1">
        <f t="array" ref="H195">_xlfn.IFS($G195=$G$5,H$5,$G195=$G$6,H$6,$G195=$G$7,H$7,$G195=$G$8,H$8,$G195=$G$9,H$9,$G195=$G$10,H$10,$G195=$G$11,H$11,$G195=$G$12,H$12,$G195=$G$13,H$13,$G195=$G$15,H$15,$G195=$G$16,H$16,$G195=$G$17,H$17,$G195=$G$18,H$18,$G195=$G$19,H$19,$G195=$G$20,H$20,$G195=$G$21,H$21,$G195=$G$22,H$22,$G195=$G$25,H$25,$G195=$G$26,H$26,$G195=$G$27,H$27,$G195=$G$29,H$29,$G195=$G$31,H$31,$G195=$G$32,H$150,$G195=$G$248,H$248,$G195=$G$250,H$250)</f>
        <v>41.359864999999999</v>
      </c>
      <c r="I195" s="60" cm="1">
        <f t="array" ref="I195">_xlfn.IFS($G195=$G$5,I$5,$G195=$G$6,I$6,$G195=$G$7,I$7,$G195=$G$8,I$8,$G195=$G$9,I$9,$G195=$G$10,I$10,$G195=$G$11,I$11,$G195=$G$12,I$12,$G195=$G$13,I$13,$G195=$G$15,I$15,$G195=$G$16,I$16,$G195=$G$17,I$17,$G195=$G$18,I$18,$G195=$G$19,I$19,$G195=$G$20,I$20,$G195=$G$21,I$21,$G195=$G$22,I$22,$G195=$G$25,I$25,$G195=$G$26,I$26,$G195=$G$27,I$27,$G195=$G$29,I$29,$G195=$G$31,I$31,$G195=$G$32,I$150,$G195=$G$248,I$248,$G195=$G$250,I$250)</f>
        <v>2.1445430000000001</v>
      </c>
      <c r="J195" cm="1">
        <f t="array" ref="J195">_xlfn.IFS($G195=$G$5,J$5,$G195=$G$6,J$6,$G195=$G$7,J$7,$G195=$G$8,J$8,$G195=$G$9,J$9,$G195=$G$10,J$10,$G195=$G$11,J$11,$G195=$G$12,J$12,$G195=$G$13,J$13,$G195=$G$15,J$15,$G195=$G$16,J$16,$G195=$G$17,J$17,$G195=$G$18,J$18,$G195=$G$19,J$19,$G195=$G$20,J$20,$G195=$G$21,J$21,$G195=$G$22,J$22,$G195=$G$25,J$25,$G195=$G$26,J$26,$G195=$G$27,J$27,$G195=$G$29,J$29,$G195=$G$31,J$31,$G195=$G$32,J$150,$G195=$G$248,J$248,$G195=$G$250,J$250)</f>
        <v>11.4</v>
      </c>
      <c r="K195" s="48" t="str" cm="1">
        <f t="array" ref="K195">_xlfn.IFS($G195=$G$5,K$5,$G195=$G$6,K$6,$G195=$G$7,K$7,$G195=$G$8,K$8,$G195=$G$9,K$9,$G195=$G$10,K$10,$G195=$G$11,K$11,$G195=$G$12,K$12,$G195=$G$13,K$13,$G195=$G$15,K$15,$G195=$G$16,K$16,$G195=$G$17,K$17,$G195=$G$18,K$18,$G195=$G$19,K$19,$G195=$G$20,K$20,$G195=$G$21,K$21,$G195=$G$22,K$22,$G195=$G$25,K$25,$G195=$G$26,K$26,$G195=$G$27,K$27,$G195=$G$29,K$29,$G195=$G$31,K$31,$G195=$G$32,K$150,$G195=$G$248,K$248,$G195=$G$250,K$250)</f>
        <v>BG sentinel + BG lure7</v>
      </c>
      <c r="L195" s="48"/>
      <c r="M195" s="48"/>
      <c r="O195" s="45" t="str">
        <f t="shared" si="10"/>
        <v>A_SP_BCN_19_210610</v>
      </c>
      <c r="P195" s="64">
        <v>44357</v>
      </c>
      <c r="R195" s="72"/>
      <c r="S195" s="64">
        <v>44364</v>
      </c>
      <c r="U195" s="72"/>
      <c r="V195" s="54" t="s">
        <v>66</v>
      </c>
      <c r="X195" s="45">
        <f t="shared" si="5"/>
        <v>7</v>
      </c>
      <c r="Z195" s="69" t="s">
        <v>69</v>
      </c>
      <c r="AA195" s="45">
        <f t="shared" si="16"/>
        <v>47</v>
      </c>
      <c r="AB195" t="str">
        <f t="shared" si="13"/>
        <v>Adult</v>
      </c>
      <c r="AC195" s="69">
        <v>27</v>
      </c>
      <c r="AD195" s="69">
        <v>20</v>
      </c>
      <c r="AE195" s="45" t="str">
        <f t="shared" si="14"/>
        <v>Morphological</v>
      </c>
      <c r="AF195" s="56">
        <v>4</v>
      </c>
    </row>
    <row r="196" spans="1:32" ht="18" customHeight="1" x14ac:dyDescent="0.25">
      <c r="A196" s="45">
        <v>192</v>
      </c>
      <c r="B196" s="45" t="s">
        <v>60</v>
      </c>
      <c r="C196" s="45" t="s">
        <v>61</v>
      </c>
      <c r="D196" s="45" t="s">
        <v>62</v>
      </c>
      <c r="E196" s="45" t="s">
        <v>62</v>
      </c>
      <c r="F196" s="46" cm="1">
        <f t="array" ref="F196">_xlfn.IFS($G196=$G$5,F$5,$G196=$G$6,F$6,$G196=$G$7,F$7,$G196=$G$8,F$8,$G196=$G$9,F$9,$G196=$G$10,F$10,$G196=$G$11,F$11,$G196=$G$12,F$12,$G196=$G$13,F$13,$G196=$G$15,F$15,$G196=$G$16,F$16,$G196=$G$17,F$17,$G196=$G$18,F$18,$G196=$G$19,F$19,$G196=$G$20,F$20,$G196=$G$21,F$21,$G196=$G$22,F$22,$G196=$G$25,F$25,$G196=$G$26,F$26,$G196=$G$27,F$27,$G196=$G$29,F$29,$G196=$G$31,F$31,$G196=$G$32,F$32,$G196=$G$248,F$248,$G196=$G$250,F$250)</f>
        <v>8038</v>
      </c>
      <c r="G196" t="s">
        <v>93</v>
      </c>
      <c r="H196" s="66" cm="1">
        <f t="array" ref="H196">_xlfn.IFS($G196=$G$5,H$5,$G196=$G$6,H$6,$G196=$G$7,H$7,$G196=$G$8,H$8,$G196=$G$9,H$9,$G196=$G$10,H$10,$G196=$G$11,H$11,$G196=$G$12,H$12,$G196=$G$13,H$13,$G196=$G$15,H$15,$G196=$G$16,H$16,$G196=$G$17,H$17,$G196=$G$18,H$18,$G196=$G$19,H$19,$G196=$G$20,H$20,$G196=$G$21,H$21,$G196=$G$22,H$22,$G196=$G$25,H$25,$G196=$G$26,H$26,$G196=$G$27,H$27,$G196=$G$29,H$29,$G196=$G$31,H$31,$G196=$G$32,H$150,$G196=$G$248,H$248,$G196=$G$250,H$250)</f>
        <v>41.359864999999999</v>
      </c>
      <c r="I196" s="60" cm="1">
        <f t="array" ref="I196">_xlfn.IFS($G196=$G$5,I$5,$G196=$G$6,I$6,$G196=$G$7,I$7,$G196=$G$8,I$8,$G196=$G$9,I$9,$G196=$G$10,I$10,$G196=$G$11,I$11,$G196=$G$12,I$12,$G196=$G$13,I$13,$G196=$G$15,I$15,$G196=$G$16,I$16,$G196=$G$17,I$17,$G196=$G$18,I$18,$G196=$G$19,I$19,$G196=$G$20,I$20,$G196=$G$21,I$21,$G196=$G$22,I$22,$G196=$G$25,I$25,$G196=$G$26,I$26,$G196=$G$27,I$27,$G196=$G$29,I$29,$G196=$G$31,I$31,$G196=$G$32,I$150,$G196=$G$248,I$248,$G196=$G$250,I$250)</f>
        <v>2.1445430000000001</v>
      </c>
      <c r="J196" cm="1">
        <f t="array" ref="J196">_xlfn.IFS($G196=$G$5,J$5,$G196=$G$6,J$6,$G196=$G$7,J$7,$G196=$G$8,J$8,$G196=$G$9,J$9,$G196=$G$10,J$10,$G196=$G$11,J$11,$G196=$G$12,J$12,$G196=$G$13,J$13,$G196=$G$15,J$15,$G196=$G$16,J$16,$G196=$G$17,J$17,$G196=$G$18,J$18,$G196=$G$19,J$19,$G196=$G$20,J$20,$G196=$G$21,J$21,$G196=$G$22,J$22,$G196=$G$25,J$25,$G196=$G$26,J$26,$G196=$G$27,J$27,$G196=$G$29,J$29,$G196=$G$31,J$31,$G196=$G$32,J$150,$G196=$G$248,J$248,$G196=$G$250,J$250)</f>
        <v>11.4</v>
      </c>
      <c r="K196" s="48" t="str" cm="1">
        <f t="array" ref="K196">_xlfn.IFS($G196=$G$5,K$5,$G196=$G$6,K$6,$G196=$G$7,K$7,$G196=$G$8,K$8,$G196=$G$9,K$9,$G196=$G$10,K$10,$G196=$G$11,K$11,$G196=$G$12,K$12,$G196=$G$13,K$13,$G196=$G$15,K$15,$G196=$G$16,K$16,$G196=$G$17,K$17,$G196=$G$18,K$18,$G196=$G$19,K$19,$G196=$G$20,K$20,$G196=$G$21,K$21,$G196=$G$22,K$22,$G196=$G$25,K$25,$G196=$G$26,K$26,$G196=$G$27,K$27,$G196=$G$29,K$29,$G196=$G$31,K$31,$G196=$G$32,K$150,$G196=$G$248,K$248,$G196=$G$250,K$250)</f>
        <v>BG sentinel + BG lure7</v>
      </c>
      <c r="L196" s="48"/>
      <c r="M196" s="48"/>
      <c r="O196" s="45" t="str">
        <f t="shared" si="10"/>
        <v>A_SP_BCN_19_210610</v>
      </c>
      <c r="P196" s="64">
        <v>44357</v>
      </c>
      <c r="R196" s="72"/>
      <c r="S196" s="64">
        <v>44364</v>
      </c>
      <c r="U196" s="72"/>
      <c r="V196" s="54" t="s">
        <v>66</v>
      </c>
      <c r="W196" t="s">
        <v>114</v>
      </c>
      <c r="X196" s="45">
        <f t="shared" si="5"/>
        <v>7</v>
      </c>
      <c r="Z196" s="45" t="s">
        <v>70</v>
      </c>
      <c r="AA196" s="45">
        <f t="shared" si="16"/>
        <v>40</v>
      </c>
      <c r="AB196" t="str">
        <f t="shared" si="13"/>
        <v>Adult</v>
      </c>
      <c r="AC196" s="69">
        <v>38</v>
      </c>
      <c r="AD196" s="69">
        <v>2</v>
      </c>
      <c r="AE196" s="45" t="str">
        <f t="shared" si="14"/>
        <v>Morphological</v>
      </c>
      <c r="AF196" s="56">
        <v>4</v>
      </c>
    </row>
    <row r="197" spans="1:32" ht="18" customHeight="1" x14ac:dyDescent="0.25">
      <c r="A197" s="45">
        <v>193</v>
      </c>
      <c r="B197" s="45" t="s">
        <v>60</v>
      </c>
      <c r="C197" s="45" t="s">
        <v>61</v>
      </c>
      <c r="D197" s="45" t="s">
        <v>62</v>
      </c>
      <c r="E197" s="45" t="s">
        <v>62</v>
      </c>
      <c r="F197" s="46" cm="1">
        <f t="array" ref="F197">_xlfn.IFS($G197=$G$5,F$5,$G197=$G$6,F$6,$G197=$G$7,F$7,$G197=$G$8,F$8,$G197=$G$9,F$9,$G197=$G$10,F$10,$G197=$G$11,F$11,$G197=$G$12,F$12,$G197=$G$13,F$13,$G197=$G$15,F$15,$G197=$G$16,F$16,$G197=$G$17,F$17,$G197=$G$18,F$18,$G197=$G$19,F$19,$G197=$G$20,F$20,$G197=$G$21,F$21,$G197=$G$22,F$22,$G197=$G$25,F$25,$G197=$G$26,F$26,$G197=$G$27,F$27,$G197=$G$29,F$29,$G197=$G$31,F$31,$G197=$G$32,F$32,$G197=$G$248,F$248,$G197=$G$250,F$250)</f>
        <v>8038</v>
      </c>
      <c r="G197" t="s">
        <v>93</v>
      </c>
      <c r="H197" s="66" cm="1">
        <f t="array" ref="H197">_xlfn.IFS($G197=$G$5,H$5,$G197=$G$6,H$6,$G197=$G$7,H$7,$G197=$G$8,H$8,$G197=$G$9,H$9,$G197=$G$10,H$10,$G197=$G$11,H$11,$G197=$G$12,H$12,$G197=$G$13,H$13,$G197=$G$15,H$15,$G197=$G$16,H$16,$G197=$G$17,H$17,$G197=$G$18,H$18,$G197=$G$19,H$19,$G197=$G$20,H$20,$G197=$G$21,H$21,$G197=$G$22,H$22,$G197=$G$25,H$25,$G197=$G$26,H$26,$G197=$G$27,H$27,$G197=$G$29,H$29,$G197=$G$31,H$31,$G197=$G$32,H$150,$G197=$G$248,H$248,$G197=$G$250,H$250)</f>
        <v>41.359864999999999</v>
      </c>
      <c r="I197" s="60" cm="1">
        <f t="array" ref="I197">_xlfn.IFS($G197=$G$5,I$5,$G197=$G$6,I$6,$G197=$G$7,I$7,$G197=$G$8,I$8,$G197=$G$9,I$9,$G197=$G$10,I$10,$G197=$G$11,I$11,$G197=$G$12,I$12,$G197=$G$13,I$13,$G197=$G$15,I$15,$G197=$G$16,I$16,$G197=$G$17,I$17,$G197=$G$18,I$18,$G197=$G$19,I$19,$G197=$G$20,I$20,$G197=$G$21,I$21,$G197=$G$22,I$22,$G197=$G$25,I$25,$G197=$G$26,I$26,$G197=$G$27,I$27,$G197=$G$29,I$29,$G197=$G$31,I$31,$G197=$G$32,I$150,$G197=$G$248,I$248,$G197=$G$250,I$250)</f>
        <v>2.1445430000000001</v>
      </c>
      <c r="J197" cm="1">
        <f t="array" ref="J197">_xlfn.IFS($G197=$G$5,J$5,$G197=$G$6,J$6,$G197=$G$7,J$7,$G197=$G$8,J$8,$G197=$G$9,J$9,$G197=$G$10,J$10,$G197=$G$11,J$11,$G197=$G$12,J$12,$G197=$G$13,J$13,$G197=$G$15,J$15,$G197=$G$16,J$16,$G197=$G$17,J$17,$G197=$G$18,J$18,$G197=$G$19,J$19,$G197=$G$20,J$20,$G197=$G$21,J$21,$G197=$G$22,J$22,$G197=$G$25,J$25,$G197=$G$26,J$26,$G197=$G$27,J$27,$G197=$G$29,J$29,$G197=$G$31,J$31,$G197=$G$32,J$150,$G197=$G$248,J$248,$G197=$G$250,J$250)</f>
        <v>11.4</v>
      </c>
      <c r="K197" s="48" t="str" cm="1">
        <f t="array" ref="K197">_xlfn.IFS($G197=$G$5,K$5,$G197=$G$6,K$6,$G197=$G$7,K$7,$G197=$G$8,K$8,$G197=$G$9,K$9,$G197=$G$10,K$10,$G197=$G$11,K$11,$G197=$G$12,K$12,$G197=$G$13,K$13,$G197=$G$15,K$15,$G197=$G$16,K$16,$G197=$G$17,K$17,$G197=$G$18,K$18,$G197=$G$19,K$19,$G197=$G$20,K$20,$G197=$G$21,K$21,$G197=$G$22,K$22,$G197=$G$25,K$25,$G197=$G$26,K$26,$G197=$G$27,K$27,$G197=$G$29,K$29,$G197=$G$31,K$31,$G197=$G$32,K$150,$G197=$G$248,K$248,$G197=$G$250,K$250)</f>
        <v>BG sentinel + BG lure7</v>
      </c>
      <c r="L197" s="48"/>
      <c r="M197" s="48"/>
      <c r="O197" s="45" t="str">
        <f t="shared" si="10"/>
        <v>A_SP_BCN_19_210610</v>
      </c>
      <c r="P197" s="64">
        <v>44357</v>
      </c>
      <c r="R197" s="72"/>
      <c r="S197" s="64">
        <v>44364</v>
      </c>
      <c r="U197" s="72"/>
      <c r="V197" s="54" t="s">
        <v>66</v>
      </c>
      <c r="X197" s="45">
        <f t="shared" si="5"/>
        <v>7</v>
      </c>
      <c r="Z197" s="45" t="s">
        <v>80</v>
      </c>
      <c r="AA197" s="45">
        <f t="shared" si="16"/>
        <v>2</v>
      </c>
      <c r="AB197" t="str">
        <f t="shared" si="13"/>
        <v>Adult</v>
      </c>
      <c r="AC197" s="69">
        <v>1</v>
      </c>
      <c r="AD197" s="69">
        <v>1</v>
      </c>
      <c r="AE197" s="45" t="str">
        <f t="shared" si="14"/>
        <v>Morphological</v>
      </c>
      <c r="AF197" s="56">
        <v>4</v>
      </c>
    </row>
    <row r="198" spans="1:32" ht="18" customHeight="1" x14ac:dyDescent="0.25">
      <c r="A198" s="45">
        <v>194</v>
      </c>
      <c r="B198" s="45" t="s">
        <v>60</v>
      </c>
      <c r="C198" s="45" t="s">
        <v>61</v>
      </c>
      <c r="D198" s="45" t="s">
        <v>62</v>
      </c>
      <c r="E198" s="45" t="s">
        <v>62</v>
      </c>
      <c r="F198" s="46" cm="1">
        <f t="array" ref="F198">_xlfn.IFS($G198=$G$5,F$5,$G198=$G$6,F$6,$G198=$G$7,F$7,$G198=$G$8,F$8,$G198=$G$9,F$9,$G198=$G$10,F$10,$G198=$G$11,F$11,$G198=$G$12,F$12,$G198=$G$13,F$13,$G198=$G$15,F$15,$G198=$G$16,F$16,$G198=$G$17,F$17,$G198=$G$18,F$18,$G198=$G$19,F$19,$G198=$G$20,F$20,$G198=$G$21,F$21,$G198=$G$22,F$22,$G198=$G$25,F$25,$G198=$G$26,F$26,$G198=$G$27,F$27,$G198=$G$29,F$29,$G198=$G$31,F$31,$G198=$G$32,F$32,$G198=$G$248,F$248,$G198=$G$250,F$250)</f>
        <v>8002</v>
      </c>
      <c r="G198" t="s">
        <v>94</v>
      </c>
      <c r="H198" s="66" cm="1">
        <f t="array" ref="H198">_xlfn.IFS($G198=$G$5,H$5,$G198=$G$6,H$6,$G198=$G$7,H$7,$G198=$G$8,H$8,$G198=$G$9,H$9,$G198=$G$10,H$10,$G198=$G$11,H$11,$G198=$G$12,H$12,$G198=$G$13,H$13,$G198=$G$15,H$15,$G198=$G$16,H$16,$G198=$G$17,H$17,$G198=$G$18,H$18,$G198=$G$19,H$19,$G198=$G$20,H$20,$G198=$G$21,H$21,$G198=$G$22,H$22,$G198=$G$25,H$25,$G198=$G$26,H$26,$G198=$G$27,H$27,$G198=$G$29,H$29,$G198=$G$31,H$31,$G198=$G$32,H$150,$G198=$G$248,H$248,$G198=$G$250,H$250)</f>
        <v>41.385213</v>
      </c>
      <c r="I198" s="60" cm="1">
        <f t="array" ref="I198">_xlfn.IFS($G198=$G$5,I$5,$G198=$G$6,I$6,$G198=$G$7,I$7,$G198=$G$8,I$8,$G198=$G$9,I$9,$G198=$G$10,I$10,$G198=$G$11,I$11,$G198=$G$12,I$12,$G198=$G$13,I$13,$G198=$G$15,I$15,$G198=$G$16,I$16,$G198=$G$17,I$17,$G198=$G$18,I$18,$G198=$G$19,I$19,$G198=$G$20,I$20,$G198=$G$21,I$21,$G198=$G$22,I$22,$G198=$G$25,I$25,$G198=$G$26,I$26,$G198=$G$27,I$27,$G198=$G$29,I$29,$G198=$G$31,I$31,$G198=$G$32,I$150,$G198=$G$248,I$248,$G198=$G$250,I$250)</f>
        <v>2.174852</v>
      </c>
      <c r="J198" cm="1">
        <f t="array" ref="J198">_xlfn.IFS($G198=$G$5,J$5,$G198=$G$6,J$6,$G198=$G$7,J$7,$G198=$G$8,J$8,$G198=$G$9,J$9,$G198=$G$10,J$10,$G198=$G$11,J$11,$G198=$G$12,J$12,$G198=$G$13,J$13,$G198=$G$15,J$15,$G198=$G$16,J$16,$G198=$G$17,J$17,$G198=$G$18,J$18,$G198=$G$19,J$19,$G198=$G$20,J$20,$G198=$G$21,J$21,$G198=$G$22,J$22,$G198=$G$25,J$25,$G198=$G$26,J$26,$G198=$G$27,J$27,$G198=$G$29,J$29,$G198=$G$31,J$31,$G198=$G$32,J$150,$G198=$G$248,J$248,$G198=$G$250,J$250)</f>
        <v>14</v>
      </c>
      <c r="K198" s="48" t="str" cm="1">
        <f t="array" ref="K198">_xlfn.IFS($G198=$G$5,K$5,$G198=$G$6,K$6,$G198=$G$7,K$7,$G198=$G$8,K$8,$G198=$G$9,K$9,$G198=$G$10,K$10,$G198=$G$11,K$11,$G198=$G$12,K$12,$G198=$G$13,K$13,$G198=$G$15,K$15,$G198=$G$16,K$16,$G198=$G$17,K$17,$G198=$G$18,K$18,$G198=$G$19,K$19,$G198=$G$20,K$20,$G198=$G$21,K$21,$G198=$G$22,K$22,$G198=$G$25,K$25,$G198=$G$26,K$26,$G198=$G$27,K$27,$G198=$G$29,K$29,$G198=$G$31,K$31,$G198=$G$32,K$150,$G198=$G$248,K$248,$G198=$G$250,K$250)</f>
        <v>BG sentinel + BG lure7</v>
      </c>
      <c r="L198" s="48"/>
      <c r="M198" s="48"/>
      <c r="O198" s="45" t="str">
        <f t="shared" si="10"/>
        <v>A_SP_BCN_20_210610</v>
      </c>
      <c r="P198" s="64">
        <v>44357</v>
      </c>
      <c r="R198" s="72"/>
      <c r="S198" s="64">
        <v>44364</v>
      </c>
      <c r="U198" s="72"/>
      <c r="V198" s="54" t="s">
        <v>66</v>
      </c>
      <c r="X198" s="45">
        <f t="shared" si="5"/>
        <v>7</v>
      </c>
      <c r="Z198" s="69" t="s">
        <v>69</v>
      </c>
      <c r="AA198" s="45">
        <f t="shared" si="16"/>
        <v>1</v>
      </c>
      <c r="AB198" t="str">
        <f t="shared" si="13"/>
        <v>Adult</v>
      </c>
      <c r="AC198" s="69">
        <v>1</v>
      </c>
      <c r="AD198" s="69">
        <v>0</v>
      </c>
      <c r="AE198" s="45" t="str">
        <f t="shared" si="14"/>
        <v>Morphological</v>
      </c>
      <c r="AF198" s="56">
        <v>4</v>
      </c>
    </row>
    <row r="199" spans="1:32" ht="18" customHeight="1" x14ac:dyDescent="0.25">
      <c r="A199" s="45">
        <v>195</v>
      </c>
      <c r="B199" s="45" t="s">
        <v>60</v>
      </c>
      <c r="C199" s="45" t="s">
        <v>61</v>
      </c>
      <c r="D199" s="45" t="s">
        <v>62</v>
      </c>
      <c r="E199" s="45" t="s">
        <v>62</v>
      </c>
      <c r="F199" s="46" cm="1">
        <f t="array" ref="F199">_xlfn.IFS($G199=$G$5,F$5,$G199=$G$6,F$6,$G199=$G$7,F$7,$G199=$G$8,F$8,$G199=$G$9,F$9,$G199=$G$10,F$10,$G199=$G$11,F$11,$G199=$G$12,F$12,$G199=$G$13,F$13,$G199=$G$15,F$15,$G199=$G$16,F$16,$G199=$G$17,F$17,$G199=$G$18,F$18,$G199=$G$19,F$19,$G199=$G$20,F$20,$G199=$G$21,F$21,$G199=$G$22,F$22,$G199=$G$25,F$25,$G199=$G$26,F$26,$G199=$G$27,F$27,$G199=$G$29,F$29,$G199=$G$31,F$31,$G199=$G$32,F$32,$G199=$G$248,F$248,$G199=$G$250,F$250)</f>
        <v>8002</v>
      </c>
      <c r="G199" t="s">
        <v>94</v>
      </c>
      <c r="H199" s="66" cm="1">
        <f t="array" ref="H199">_xlfn.IFS($G199=$G$5,H$5,$G199=$G$6,H$6,$G199=$G$7,H$7,$G199=$G$8,H$8,$G199=$G$9,H$9,$G199=$G$10,H$10,$G199=$G$11,H$11,$G199=$G$12,H$12,$G199=$G$13,H$13,$G199=$G$15,H$15,$G199=$G$16,H$16,$G199=$G$17,H$17,$G199=$G$18,H$18,$G199=$G$19,H$19,$G199=$G$20,H$20,$G199=$G$21,H$21,$G199=$G$22,H$22,$G199=$G$25,H$25,$G199=$G$26,H$26,$G199=$G$27,H$27,$G199=$G$29,H$29,$G199=$G$31,H$31,$G199=$G$32,H$150,$G199=$G$248,H$248,$G199=$G$250,H$250)</f>
        <v>41.385213</v>
      </c>
      <c r="I199" s="60" cm="1">
        <f t="array" ref="I199">_xlfn.IFS($G199=$G$5,I$5,$G199=$G$6,I$6,$G199=$G$7,I$7,$G199=$G$8,I$8,$G199=$G$9,I$9,$G199=$G$10,I$10,$G199=$G$11,I$11,$G199=$G$12,I$12,$G199=$G$13,I$13,$G199=$G$15,I$15,$G199=$G$16,I$16,$G199=$G$17,I$17,$G199=$G$18,I$18,$G199=$G$19,I$19,$G199=$G$20,I$20,$G199=$G$21,I$21,$G199=$G$22,I$22,$G199=$G$25,I$25,$G199=$G$26,I$26,$G199=$G$27,I$27,$G199=$G$29,I$29,$G199=$G$31,I$31,$G199=$G$32,I$150,$G199=$G$248,I$248,$G199=$G$250,I$250)</f>
        <v>2.174852</v>
      </c>
      <c r="J199" cm="1">
        <f t="array" ref="J199">_xlfn.IFS($G199=$G$5,J$5,$G199=$G$6,J$6,$G199=$G$7,J$7,$G199=$G$8,J$8,$G199=$G$9,J$9,$G199=$G$10,J$10,$G199=$G$11,J$11,$G199=$G$12,J$12,$G199=$G$13,J$13,$G199=$G$15,J$15,$G199=$G$16,J$16,$G199=$G$17,J$17,$G199=$G$18,J$18,$G199=$G$19,J$19,$G199=$G$20,J$20,$G199=$G$21,J$21,$G199=$G$22,J$22,$G199=$G$25,J$25,$G199=$G$26,J$26,$G199=$G$27,J$27,$G199=$G$29,J$29,$G199=$G$31,J$31,$G199=$G$32,J$150,$G199=$G$248,J$248,$G199=$G$250,J$250)</f>
        <v>14</v>
      </c>
      <c r="K199" s="48" t="str" cm="1">
        <f t="array" ref="K199">_xlfn.IFS($G199=$G$5,K$5,$G199=$G$6,K$6,$G199=$G$7,K$7,$G199=$G$8,K$8,$G199=$G$9,K$9,$G199=$G$10,K$10,$G199=$G$11,K$11,$G199=$G$12,K$12,$G199=$G$13,K$13,$G199=$G$15,K$15,$G199=$G$16,K$16,$G199=$G$17,K$17,$G199=$G$18,K$18,$G199=$G$19,K$19,$G199=$G$20,K$20,$G199=$G$21,K$21,$G199=$G$22,K$22,$G199=$G$25,K$25,$G199=$G$26,K$26,$G199=$G$27,K$27,$G199=$G$29,K$29,$G199=$G$31,K$31,$G199=$G$32,K$150,$G199=$G$248,K$248,$G199=$G$250,K$250)</f>
        <v>BG sentinel + BG lure7</v>
      </c>
      <c r="L199" s="48"/>
      <c r="M199" s="48"/>
      <c r="O199" s="45" t="str">
        <f t="shared" si="10"/>
        <v>A_SP_BCN_20_210610</v>
      </c>
      <c r="P199" s="64">
        <v>44357</v>
      </c>
      <c r="R199" s="72"/>
      <c r="S199" s="64">
        <v>44364</v>
      </c>
      <c r="U199" s="72"/>
      <c r="V199" s="54" t="s">
        <v>66</v>
      </c>
      <c r="X199" s="45">
        <f t="shared" si="5"/>
        <v>7</v>
      </c>
      <c r="Z199" s="45" t="s">
        <v>70</v>
      </c>
      <c r="AA199" s="45">
        <f t="shared" si="16"/>
        <v>5</v>
      </c>
      <c r="AB199" t="str">
        <f t="shared" si="13"/>
        <v>Adult</v>
      </c>
      <c r="AC199" s="69">
        <v>5</v>
      </c>
      <c r="AD199" s="69">
        <v>0</v>
      </c>
      <c r="AE199" s="45" t="str">
        <f t="shared" si="14"/>
        <v>Morphological</v>
      </c>
      <c r="AF199" s="56">
        <v>4</v>
      </c>
    </row>
    <row r="200" spans="1:32" ht="18" customHeight="1" x14ac:dyDescent="0.25">
      <c r="A200" s="45">
        <v>196</v>
      </c>
      <c r="B200" s="45" t="s">
        <v>60</v>
      </c>
      <c r="C200" s="45" t="s">
        <v>61</v>
      </c>
      <c r="D200" s="45" t="s">
        <v>62</v>
      </c>
      <c r="E200" s="45" t="s">
        <v>62</v>
      </c>
      <c r="F200" s="46" cm="1">
        <f t="array" ref="F200">_xlfn.IFS($G200=$G$5,F$5,$G200=$G$6,F$6,$G200=$G$7,F$7,$G200=$G$8,F$8,$G200=$G$9,F$9,$G200=$G$10,F$10,$G200=$G$11,F$11,$G200=$G$12,F$12,$G200=$G$13,F$13,$G200=$G$15,F$15,$G200=$G$16,F$16,$G200=$G$17,F$17,$G200=$G$18,F$18,$G200=$G$19,F$19,$G200=$G$20,F$20,$G200=$G$21,F$21,$G200=$G$22,F$22,$G200=$G$25,F$25,$G200=$G$26,F$26,$G200=$G$27,F$27,$G200=$G$29,F$29,$G200=$G$31,F$31,$G200=$G$32,F$32,$G200=$G$248,F$248,$G200=$G$250,F$250)</f>
        <v>8002</v>
      </c>
      <c r="G200" t="s">
        <v>94</v>
      </c>
      <c r="H200" s="66" cm="1">
        <f t="array" ref="H200">_xlfn.IFS($G200=$G$5,H$5,$G200=$G$6,H$6,$G200=$G$7,H$7,$G200=$G$8,H$8,$G200=$G$9,H$9,$G200=$G$10,H$10,$G200=$G$11,H$11,$G200=$G$12,H$12,$G200=$G$13,H$13,$G200=$G$15,H$15,$G200=$G$16,H$16,$G200=$G$17,H$17,$G200=$G$18,H$18,$G200=$G$19,H$19,$G200=$G$20,H$20,$G200=$G$21,H$21,$G200=$G$22,H$22,$G200=$G$25,H$25,$G200=$G$26,H$26,$G200=$G$27,H$27,$G200=$G$29,H$29,$G200=$G$31,H$31,$G200=$G$32,H$150,$G200=$G$248,H$248,$G200=$G$250,H$250)</f>
        <v>41.385213</v>
      </c>
      <c r="I200" s="60" cm="1">
        <f t="array" ref="I200">_xlfn.IFS($G200=$G$5,I$5,$G200=$G$6,I$6,$G200=$G$7,I$7,$G200=$G$8,I$8,$G200=$G$9,I$9,$G200=$G$10,I$10,$G200=$G$11,I$11,$G200=$G$12,I$12,$G200=$G$13,I$13,$G200=$G$15,I$15,$G200=$G$16,I$16,$G200=$G$17,I$17,$G200=$G$18,I$18,$G200=$G$19,I$19,$G200=$G$20,I$20,$G200=$G$21,I$21,$G200=$G$22,I$22,$G200=$G$25,I$25,$G200=$G$26,I$26,$G200=$G$27,I$27,$G200=$G$29,I$29,$G200=$G$31,I$31,$G200=$G$32,I$150,$G200=$G$248,I$248,$G200=$G$250,I$250)</f>
        <v>2.174852</v>
      </c>
      <c r="J200" cm="1">
        <f t="array" ref="J200">_xlfn.IFS($G200=$G$5,J$5,$G200=$G$6,J$6,$G200=$G$7,J$7,$G200=$G$8,J$8,$G200=$G$9,J$9,$G200=$G$10,J$10,$G200=$G$11,J$11,$G200=$G$12,J$12,$G200=$G$13,J$13,$G200=$G$15,J$15,$G200=$G$16,J$16,$G200=$G$17,J$17,$G200=$G$18,J$18,$G200=$G$19,J$19,$G200=$G$20,J$20,$G200=$G$21,J$21,$G200=$G$22,J$22,$G200=$G$25,J$25,$G200=$G$26,J$26,$G200=$G$27,J$27,$G200=$G$29,J$29,$G200=$G$31,J$31,$G200=$G$32,J$150,$G200=$G$248,J$248,$G200=$G$250,J$250)</f>
        <v>14</v>
      </c>
      <c r="K200" s="48" t="str" cm="1">
        <f t="array" ref="K200">_xlfn.IFS($G200=$G$5,K$5,$G200=$G$6,K$6,$G200=$G$7,K$7,$G200=$G$8,K$8,$G200=$G$9,K$9,$G200=$G$10,K$10,$G200=$G$11,K$11,$G200=$G$12,K$12,$G200=$G$13,K$13,$G200=$G$15,K$15,$G200=$G$16,K$16,$G200=$G$17,K$17,$G200=$G$18,K$18,$G200=$G$19,K$19,$G200=$G$20,K$20,$G200=$G$21,K$21,$G200=$G$22,K$22,$G200=$G$25,K$25,$G200=$G$26,K$26,$G200=$G$27,K$27,$G200=$G$29,K$29,$G200=$G$31,K$31,$G200=$G$32,K$150,$G200=$G$248,K$248,$G200=$G$250,K$250)</f>
        <v>BG sentinel + BG lure7</v>
      </c>
      <c r="L200" s="48"/>
      <c r="M200" s="48"/>
      <c r="O200" s="45" t="str">
        <f t="shared" si="10"/>
        <v>A_SP_BCN_20_210610</v>
      </c>
      <c r="P200" s="64">
        <v>44357</v>
      </c>
      <c r="R200" s="72"/>
      <c r="S200" s="64">
        <v>44364</v>
      </c>
      <c r="U200" s="72"/>
      <c r="V200" s="54" t="s">
        <v>66</v>
      </c>
      <c r="X200" s="45">
        <f t="shared" si="5"/>
        <v>7</v>
      </c>
      <c r="Z200" s="45" t="s">
        <v>80</v>
      </c>
      <c r="AA200" s="45">
        <f t="shared" si="16"/>
        <v>6</v>
      </c>
      <c r="AB200" t="str">
        <f t="shared" si="13"/>
        <v>Adult</v>
      </c>
      <c r="AC200" s="69">
        <v>4</v>
      </c>
      <c r="AD200" s="69">
        <v>2</v>
      </c>
      <c r="AE200" s="45" t="str">
        <f t="shared" si="14"/>
        <v>Morphological</v>
      </c>
      <c r="AF200" s="56">
        <v>4</v>
      </c>
    </row>
    <row r="201" spans="1:32" ht="18" customHeight="1" x14ac:dyDescent="0.25">
      <c r="A201" s="45">
        <v>197</v>
      </c>
      <c r="B201" s="45" t="s">
        <v>60</v>
      </c>
      <c r="C201" s="45" t="s">
        <v>61</v>
      </c>
      <c r="D201" s="45" t="s">
        <v>62</v>
      </c>
      <c r="E201" s="45" t="s">
        <v>62</v>
      </c>
      <c r="F201" s="46" cm="1">
        <f t="array" ref="F201">_xlfn.IFS($G201=$G$5,F$5,$G201=$G$6,F$6,$G201=$G$7,F$7,$G201=$G$8,F$8,$G201=$G$9,F$9,$G201=$G$10,F$10,$G201=$G$11,F$11,$G201=$G$12,F$12,$G201=$G$13,F$13,$G201=$G$15,F$15,$G201=$G$16,F$16,$G201=$G$17,F$17,$G201=$G$18,F$18,$G201=$G$19,F$19,$G201=$G$20,F$20,$G201=$G$21,F$21,$G201=$G$22,F$22,$G201=$G$25,F$25,$G201=$G$26,F$26,$G201=$G$27,F$27,$G201=$G$29,F$29,$G201=$G$31,F$31,$G201=$G$32,F$32,$G201=$G$248,F$248,$G201=$G$250,F$250)</f>
        <v>8001</v>
      </c>
      <c r="G201" t="s">
        <v>96</v>
      </c>
      <c r="H201" s="66" cm="1">
        <f t="array" ref="H201">_xlfn.IFS($G201=$G$5,H$5,$G201=$G$6,H$6,$G201=$G$7,H$7,$G201=$G$8,H$8,$G201=$G$9,H$9,$G201=$G$10,H$10,$G201=$G$11,H$11,$G201=$G$12,H$12,$G201=$G$13,H$13,$G201=$G$15,H$15,$G201=$G$16,H$16,$G201=$G$17,H$17,$G201=$G$18,H$18,$G201=$G$19,H$19,$G201=$G$20,H$20,$G201=$G$21,H$21,$G201=$G$22,H$22,$G201=$G$25,H$25,$G201=$G$26,H$26,$G201=$G$27,H$27,$G201=$G$29,H$29,$G201=$G$31,H$31,$G201=$G$32,H$150,$G201=$G$248,H$248,$G201=$G$250,H$250)</f>
        <v>41.377169000000002</v>
      </c>
      <c r="I201" s="60" cm="1">
        <f t="array" ref="I201">_xlfn.IFS($G201=$G$5,I$5,$G201=$G$6,I$6,$G201=$G$7,I$7,$G201=$G$8,I$8,$G201=$G$9,I$9,$G201=$G$10,I$10,$G201=$G$11,I$11,$G201=$G$12,I$12,$G201=$G$13,I$13,$G201=$G$15,I$15,$G201=$G$16,I$16,$G201=$G$17,I$17,$G201=$G$18,I$18,$G201=$G$19,I$19,$G201=$G$20,I$20,$G201=$G$21,I$21,$G201=$G$22,I$22,$G201=$G$25,I$25,$G201=$G$26,I$26,$G201=$G$27,I$27,$G201=$G$29,I$29,$G201=$G$31,I$31,$G201=$G$32,I$150,$G201=$G$248,I$248,$G201=$G$250,I$250)</f>
        <v>2.1674190000000002</v>
      </c>
      <c r="J201" cm="1">
        <f t="array" ref="J201">_xlfn.IFS($G201=$G$5,J$5,$G201=$G$6,J$6,$G201=$G$7,J$7,$G201=$G$8,J$8,$G201=$G$9,J$9,$G201=$G$10,J$10,$G201=$G$11,J$11,$G201=$G$12,J$12,$G201=$G$13,J$13,$G201=$G$15,J$15,$G201=$G$16,J$16,$G201=$G$17,J$17,$G201=$G$18,J$18,$G201=$G$19,J$19,$G201=$G$20,J$20,$G201=$G$21,J$21,$G201=$G$22,J$22,$G201=$G$25,J$25,$G201=$G$26,J$26,$G201=$G$27,J$27,$G201=$G$29,J$29,$G201=$G$31,J$31,$G201=$G$32,J$150,$G201=$G$248,J$248,$G201=$G$250,J$250)</f>
        <v>11</v>
      </c>
      <c r="K201" s="48" t="str" cm="1">
        <f t="array" ref="K201">_xlfn.IFS($G201=$G$5,K$5,$G201=$G$6,K$6,$G201=$G$7,K$7,$G201=$G$8,K$8,$G201=$G$9,K$9,$G201=$G$10,K$10,$G201=$G$11,K$11,$G201=$G$12,K$12,$G201=$G$13,K$13,$G201=$G$15,K$15,$G201=$G$16,K$16,$G201=$G$17,K$17,$G201=$G$18,K$18,$G201=$G$19,K$19,$G201=$G$20,K$20,$G201=$G$21,K$21,$G201=$G$22,K$22,$G201=$G$25,K$25,$G201=$G$26,K$26,$G201=$G$27,K$27,$G201=$G$29,K$29,$G201=$G$31,K$31,$G201=$G$32,K$150,$G201=$G$248,K$248,$G201=$G$250,K$250)</f>
        <v>BG sentinel + BG lure7</v>
      </c>
      <c r="L201" s="48"/>
      <c r="M201" s="48"/>
      <c r="O201" s="45" t="str">
        <f t="shared" si="10"/>
        <v>A_SP_BCN_21_210610</v>
      </c>
      <c r="P201" s="64">
        <v>44357</v>
      </c>
      <c r="R201" s="72"/>
      <c r="S201" s="64">
        <v>44364</v>
      </c>
      <c r="U201" s="72"/>
      <c r="V201" s="54" t="s">
        <v>115</v>
      </c>
      <c r="W201" s="75"/>
      <c r="X201" s="45">
        <f t="shared" si="5"/>
        <v>7</v>
      </c>
      <c r="Z201" s="69" t="s">
        <v>69</v>
      </c>
      <c r="AA201" s="45">
        <f t="shared" si="16"/>
        <v>1</v>
      </c>
      <c r="AB201" t="str">
        <f t="shared" si="13"/>
        <v>Adult</v>
      </c>
      <c r="AC201" s="69">
        <v>1</v>
      </c>
      <c r="AD201" s="69">
        <v>0</v>
      </c>
      <c r="AE201" s="45" t="str">
        <f t="shared" si="14"/>
        <v>Morphological</v>
      </c>
      <c r="AF201" s="56">
        <v>1</v>
      </c>
    </row>
    <row r="202" spans="1:32" ht="18" customHeight="1" x14ac:dyDescent="0.25">
      <c r="A202" s="45">
        <v>198</v>
      </c>
      <c r="B202" s="45" t="s">
        <v>60</v>
      </c>
      <c r="C202" s="45" t="s">
        <v>61</v>
      </c>
      <c r="D202" s="45" t="s">
        <v>62</v>
      </c>
      <c r="E202" s="45" t="s">
        <v>62</v>
      </c>
      <c r="F202" s="46" cm="1">
        <f t="array" ref="F202">_xlfn.IFS($G202=$G$5,F$5,$G202=$G$6,F$6,$G202=$G$7,F$7,$G202=$G$8,F$8,$G202=$G$9,F$9,$G202=$G$10,F$10,$G202=$G$11,F$11,$G202=$G$12,F$12,$G202=$G$13,F$13,$G202=$G$15,F$15,$G202=$G$16,F$16,$G202=$G$17,F$17,$G202=$G$18,F$18,$G202=$G$19,F$19,$G202=$G$20,F$20,$G202=$G$21,F$21,$G202=$G$22,F$22,$G202=$G$25,F$25,$G202=$G$26,F$26,$G202=$G$27,F$27,$G202=$G$29,F$29,$G202=$G$31,F$31,$G202=$G$32,F$32,$G202=$G$248,F$248,$G202=$G$250,F$250)</f>
        <v>8001</v>
      </c>
      <c r="G202" t="s">
        <v>96</v>
      </c>
      <c r="H202" s="66" cm="1">
        <f t="array" ref="H202">_xlfn.IFS($G202=$G$5,H$5,$G202=$G$6,H$6,$G202=$G$7,H$7,$G202=$G$8,H$8,$G202=$G$9,H$9,$G202=$G$10,H$10,$G202=$G$11,H$11,$G202=$G$12,H$12,$G202=$G$13,H$13,$G202=$G$15,H$15,$G202=$G$16,H$16,$G202=$G$17,H$17,$G202=$G$18,H$18,$G202=$G$19,H$19,$G202=$G$20,H$20,$G202=$G$21,H$21,$G202=$G$22,H$22,$G202=$G$25,H$25,$G202=$G$26,H$26,$G202=$G$27,H$27,$G202=$G$29,H$29,$G202=$G$31,H$31,$G202=$G$32,H$150,$G202=$G$248,H$248,$G202=$G$250,H$250)</f>
        <v>41.377169000000002</v>
      </c>
      <c r="I202" s="60" cm="1">
        <f t="array" ref="I202">_xlfn.IFS($G202=$G$5,I$5,$G202=$G$6,I$6,$G202=$G$7,I$7,$G202=$G$8,I$8,$G202=$G$9,I$9,$G202=$G$10,I$10,$G202=$G$11,I$11,$G202=$G$12,I$12,$G202=$G$13,I$13,$G202=$G$15,I$15,$G202=$G$16,I$16,$G202=$G$17,I$17,$G202=$G$18,I$18,$G202=$G$19,I$19,$G202=$G$20,I$20,$G202=$G$21,I$21,$G202=$G$22,I$22,$G202=$G$25,I$25,$G202=$G$26,I$26,$G202=$G$27,I$27,$G202=$G$29,I$29,$G202=$G$31,I$31,$G202=$G$32,I$150,$G202=$G$248,I$248,$G202=$G$250,I$250)</f>
        <v>2.1674190000000002</v>
      </c>
      <c r="J202" cm="1">
        <f t="array" ref="J202">_xlfn.IFS($G202=$G$5,J$5,$G202=$G$6,J$6,$G202=$G$7,J$7,$G202=$G$8,J$8,$G202=$G$9,J$9,$G202=$G$10,J$10,$G202=$G$11,J$11,$G202=$G$12,J$12,$G202=$G$13,J$13,$G202=$G$15,J$15,$G202=$G$16,J$16,$G202=$G$17,J$17,$G202=$G$18,J$18,$G202=$G$19,J$19,$G202=$G$20,J$20,$G202=$G$21,J$21,$G202=$G$22,J$22,$G202=$G$25,J$25,$G202=$G$26,J$26,$G202=$G$27,J$27,$G202=$G$29,J$29,$G202=$G$31,J$31,$G202=$G$32,J$150,$G202=$G$248,J$248,$G202=$G$250,J$250)</f>
        <v>11</v>
      </c>
      <c r="K202" s="48" t="str" cm="1">
        <f t="array" ref="K202">_xlfn.IFS($G202=$G$5,K$5,$G202=$G$6,K$6,$G202=$G$7,K$7,$G202=$G$8,K$8,$G202=$G$9,K$9,$G202=$G$10,K$10,$G202=$G$11,K$11,$G202=$G$12,K$12,$G202=$G$13,K$13,$G202=$G$15,K$15,$G202=$G$16,K$16,$G202=$G$17,K$17,$G202=$G$18,K$18,$G202=$G$19,K$19,$G202=$G$20,K$20,$G202=$G$21,K$21,$G202=$G$22,K$22,$G202=$G$25,K$25,$G202=$G$26,K$26,$G202=$G$27,K$27,$G202=$G$29,K$29,$G202=$G$31,K$31,$G202=$G$32,K$150,$G202=$G$248,K$248,$G202=$G$250,K$250)</f>
        <v>BG sentinel + BG lure7</v>
      </c>
      <c r="L202" s="48"/>
      <c r="M202" s="48"/>
      <c r="O202" s="45" t="str">
        <f t="shared" si="10"/>
        <v>A_SP_BCN_21_210610</v>
      </c>
      <c r="P202" s="64">
        <v>44357</v>
      </c>
      <c r="R202" s="72"/>
      <c r="S202" s="64">
        <v>44364</v>
      </c>
      <c r="U202" s="72"/>
      <c r="V202" s="54" t="s">
        <v>115</v>
      </c>
      <c r="X202" s="45">
        <f t="shared" si="5"/>
        <v>7</v>
      </c>
      <c r="Z202" s="45" t="s">
        <v>70</v>
      </c>
      <c r="AA202" s="45">
        <f t="shared" si="16"/>
        <v>3</v>
      </c>
      <c r="AB202" t="str">
        <f t="shared" si="13"/>
        <v>Adult</v>
      </c>
      <c r="AC202" s="69">
        <v>2</v>
      </c>
      <c r="AD202" s="69">
        <v>1</v>
      </c>
      <c r="AE202" s="45" t="str">
        <f t="shared" si="14"/>
        <v>Morphological</v>
      </c>
      <c r="AF202" s="56">
        <v>1</v>
      </c>
    </row>
    <row r="203" spans="1:32" ht="18" customHeight="1" x14ac:dyDescent="0.25">
      <c r="A203" s="45">
        <v>199</v>
      </c>
      <c r="B203" s="45" t="s">
        <v>60</v>
      </c>
      <c r="C203" s="45" t="s">
        <v>61</v>
      </c>
      <c r="D203" s="45" t="s">
        <v>62</v>
      </c>
      <c r="E203" s="45" t="s">
        <v>62</v>
      </c>
      <c r="F203" s="46" cm="1">
        <f t="array" ref="F203">_xlfn.IFS($G203=$G$5,F$5,$G203=$G$6,F$6,$G203=$G$7,F$7,$G203=$G$8,F$8,$G203=$G$9,F$9,$G203=$G$10,F$10,$G203=$G$11,F$11,$G203=$G$12,F$12,$G203=$G$13,F$13,$G203=$G$15,F$15,$G203=$G$16,F$16,$G203=$G$17,F$17,$G203=$G$18,F$18,$G203=$G$19,F$19,$G203=$G$20,F$20,$G203=$G$21,F$21,$G203=$G$22,F$22,$G203=$G$25,F$25,$G203=$G$26,F$26,$G203=$G$27,F$27,$G203=$G$29,F$29,$G203=$G$31,F$31,$G203=$G$32,F$32,$G203=$G$248,F$248,$G203=$G$250,F$250)</f>
        <v>8017</v>
      </c>
      <c r="G203" t="s">
        <v>98</v>
      </c>
      <c r="H203" s="66" cm="1">
        <f t="array" ref="H203">_xlfn.IFS($G203=$G$5,H$5,$G203=$G$6,H$6,$G203=$G$7,H$7,$G203=$G$8,H$8,$G203=$G$9,H$9,$G203=$G$10,H$10,$G203=$G$11,H$11,$G203=$G$12,H$12,$G203=$G$13,H$13,$G203=$G$15,H$15,$G203=$G$16,H$16,$G203=$G$17,H$17,$G203=$G$18,H$18,$G203=$G$19,H$19,$G203=$G$20,H$20,$G203=$G$21,H$21,$G203=$G$22,H$22,$G203=$G$25,H$25,$G203=$G$26,H$26,$G203=$G$27,H$27,$G203=$G$29,H$29,$G203=$G$31,H$31,$G203=$G$32,H$150,$G203=$G$248,H$248,$G203=$G$250,H$250)</f>
        <v>41.430315999999998</v>
      </c>
      <c r="I203" s="60" cm="1">
        <f t="array" ref="I203">_xlfn.IFS($G203=$G$5,I$5,$G203=$G$6,I$6,$G203=$G$7,I$7,$G203=$G$8,I$8,$G203=$G$9,I$9,$G203=$G$10,I$10,$G203=$G$11,I$11,$G203=$G$12,I$12,$G203=$G$13,I$13,$G203=$G$15,I$15,$G203=$G$16,I$16,$G203=$G$17,I$17,$G203=$G$18,I$18,$G203=$G$19,I$19,$G203=$G$20,I$20,$G203=$G$21,I$21,$G203=$G$22,I$22,$G203=$G$25,I$25,$G203=$G$26,I$26,$G203=$G$27,I$27,$G203=$G$29,I$29,$G203=$G$31,I$31,$G203=$G$32,I$150,$G203=$G$248,I$248,$G203=$G$250,I$250)</f>
        <v>2.077556</v>
      </c>
      <c r="J203" cm="1">
        <f t="array" ref="J203">_xlfn.IFS($G203=$G$5,J$5,$G203=$G$6,J$6,$G203=$G$7,J$7,$G203=$G$8,J$8,$G203=$G$9,J$9,$G203=$G$10,J$10,$G203=$G$11,J$11,$G203=$G$12,J$12,$G203=$G$13,J$13,$G203=$G$15,J$15,$G203=$G$16,J$16,$G203=$G$17,J$17,$G203=$G$18,J$18,$G203=$G$19,J$19,$G203=$G$20,J$20,$G203=$G$21,J$21,$G203=$G$22,J$22,$G203=$G$25,J$25,$G203=$G$26,J$26,$G203=$G$27,J$27,$G203=$G$29,J$29,$G203=$G$31,J$31,$G203=$G$32,J$150,$G203=$G$248,J$248,$G203=$G$250,J$250)</f>
        <v>243.3</v>
      </c>
      <c r="K203" s="48" t="str" cm="1">
        <f t="array" ref="K203">_xlfn.IFS($G203=$G$5,K$5,$G203=$G$6,K$6,$G203=$G$7,K$7,$G203=$G$8,K$8,$G203=$G$9,K$9,$G203=$G$10,K$10,$G203=$G$11,K$11,$G203=$G$12,K$12,$G203=$G$13,K$13,$G203=$G$15,K$15,$G203=$G$16,K$16,$G203=$G$17,K$17,$G203=$G$18,K$18,$G203=$G$19,K$19,$G203=$G$20,K$20,$G203=$G$21,K$21,$G203=$G$22,K$22,$G203=$G$25,K$25,$G203=$G$26,K$26,$G203=$G$27,K$27,$G203=$G$29,K$29,$G203=$G$31,K$31,$G203=$G$32,K$150,$G203=$G$248,K$248,$G203=$G$250,K$250)</f>
        <v>BG sentinel + BG lure7</v>
      </c>
      <c r="L203" s="48"/>
      <c r="M203" s="48"/>
      <c r="O203" s="45" t="str">
        <f t="shared" si="10"/>
        <v>A_SP_BCN_22_210609</v>
      </c>
      <c r="P203" s="64">
        <v>44356</v>
      </c>
      <c r="R203" s="72"/>
      <c r="S203" s="64">
        <v>44363</v>
      </c>
      <c r="U203" s="72"/>
      <c r="V203" s="54" t="s">
        <v>66</v>
      </c>
      <c r="X203" s="45">
        <f t="shared" si="5"/>
        <v>7</v>
      </c>
      <c r="Z203" s="69" t="s">
        <v>69</v>
      </c>
      <c r="AA203" s="45">
        <f t="shared" si="16"/>
        <v>2</v>
      </c>
      <c r="AB203" t="str">
        <f t="shared" ref="AB203:AB266" si="17">IF(AA203=0,"",IF(AA203="","",IF(AA203&gt;0,"Adult")))</f>
        <v>Adult</v>
      </c>
      <c r="AC203" s="69">
        <v>1</v>
      </c>
      <c r="AD203" s="69">
        <v>1</v>
      </c>
      <c r="AE203" s="45" t="str">
        <f t="shared" ref="AE203:AE266" si="18">IF(AA203=0,"",IF(AA203="","",IF(AA203&gt;0,"Morphological")))</f>
        <v>Morphological</v>
      </c>
      <c r="AF203" s="56">
        <v>4</v>
      </c>
    </row>
    <row r="204" spans="1:32" ht="18" customHeight="1" x14ac:dyDescent="0.25">
      <c r="A204" s="45">
        <v>200</v>
      </c>
      <c r="B204" s="45" t="s">
        <v>60</v>
      </c>
      <c r="C204" s="45" t="s">
        <v>61</v>
      </c>
      <c r="D204" s="45" t="s">
        <v>62</v>
      </c>
      <c r="E204" s="45" t="s">
        <v>62</v>
      </c>
      <c r="F204" s="46" cm="1">
        <f t="array" ref="F204">_xlfn.IFS($G204=$G$5,F$5,$G204=$G$6,F$6,$G204=$G$7,F$7,$G204=$G$8,F$8,$G204=$G$9,F$9,$G204=$G$10,F$10,$G204=$G$11,F$11,$G204=$G$12,F$12,$G204=$G$13,F$13,$G204=$G$15,F$15,$G204=$G$16,F$16,$G204=$G$17,F$17,$G204=$G$18,F$18,$G204=$G$19,F$19,$G204=$G$20,F$20,$G204=$G$21,F$21,$G204=$G$22,F$22,$G204=$G$25,F$25,$G204=$G$26,F$26,$G204=$G$27,F$27,$G204=$G$29,F$29,$G204=$G$31,F$31,$G204=$G$32,F$32,$G204=$G$248,F$248,$G204=$G$250,F$250)</f>
        <v>8017</v>
      </c>
      <c r="G204" t="s">
        <v>98</v>
      </c>
      <c r="H204" s="66" cm="1">
        <f t="array" ref="H204">_xlfn.IFS($G204=$G$5,H$5,$G204=$G$6,H$6,$G204=$G$7,H$7,$G204=$G$8,H$8,$G204=$G$9,H$9,$G204=$G$10,H$10,$G204=$G$11,H$11,$G204=$G$12,H$12,$G204=$G$13,H$13,$G204=$G$15,H$15,$G204=$G$16,H$16,$G204=$G$17,H$17,$G204=$G$18,H$18,$G204=$G$19,H$19,$G204=$G$20,H$20,$G204=$G$21,H$21,$G204=$G$22,H$22,$G204=$G$25,H$25,$G204=$G$26,H$26,$G204=$G$27,H$27,$G204=$G$29,H$29,$G204=$G$31,H$31,$G204=$G$32,H$150,$G204=$G$248,H$248,$G204=$G$250,H$250)</f>
        <v>41.430315999999998</v>
      </c>
      <c r="I204" s="60" cm="1">
        <f t="array" ref="I204">_xlfn.IFS($G204=$G$5,I$5,$G204=$G$6,I$6,$G204=$G$7,I$7,$G204=$G$8,I$8,$G204=$G$9,I$9,$G204=$G$10,I$10,$G204=$G$11,I$11,$G204=$G$12,I$12,$G204=$G$13,I$13,$G204=$G$15,I$15,$G204=$G$16,I$16,$G204=$G$17,I$17,$G204=$G$18,I$18,$G204=$G$19,I$19,$G204=$G$20,I$20,$G204=$G$21,I$21,$G204=$G$22,I$22,$G204=$G$25,I$25,$G204=$G$26,I$26,$G204=$G$27,I$27,$G204=$G$29,I$29,$G204=$G$31,I$31,$G204=$G$32,I$150,$G204=$G$248,I$248,$G204=$G$250,I$250)</f>
        <v>2.077556</v>
      </c>
      <c r="J204" cm="1">
        <f t="array" ref="J204">_xlfn.IFS($G204=$G$5,J$5,$G204=$G$6,J$6,$G204=$G$7,J$7,$G204=$G$8,J$8,$G204=$G$9,J$9,$G204=$G$10,J$10,$G204=$G$11,J$11,$G204=$G$12,J$12,$G204=$G$13,J$13,$G204=$G$15,J$15,$G204=$G$16,J$16,$G204=$G$17,J$17,$G204=$G$18,J$18,$G204=$G$19,J$19,$G204=$G$20,J$20,$G204=$G$21,J$21,$G204=$G$22,J$22,$G204=$G$25,J$25,$G204=$G$26,J$26,$G204=$G$27,J$27,$G204=$G$29,J$29,$G204=$G$31,J$31,$G204=$G$32,J$150,$G204=$G$248,J$248,$G204=$G$250,J$250)</f>
        <v>243.3</v>
      </c>
      <c r="K204" s="48" t="str" cm="1">
        <f t="array" ref="K204">_xlfn.IFS($G204=$G$5,K$5,$G204=$G$6,K$6,$G204=$G$7,K$7,$G204=$G$8,K$8,$G204=$G$9,K$9,$G204=$G$10,K$10,$G204=$G$11,K$11,$G204=$G$12,K$12,$G204=$G$13,K$13,$G204=$G$15,K$15,$G204=$G$16,K$16,$G204=$G$17,K$17,$G204=$G$18,K$18,$G204=$G$19,K$19,$G204=$G$20,K$20,$G204=$G$21,K$21,$G204=$G$22,K$22,$G204=$G$25,K$25,$G204=$G$26,K$26,$G204=$G$27,K$27,$G204=$G$29,K$29,$G204=$G$31,K$31,$G204=$G$32,K$150,$G204=$G$248,K$248,$G204=$G$250,K$250)</f>
        <v>BG sentinel + BG lure7</v>
      </c>
      <c r="L204" s="48"/>
      <c r="M204" s="48"/>
      <c r="O204" s="45" t="str">
        <f t="shared" si="10"/>
        <v>A_SP_BCN_22_210609</v>
      </c>
      <c r="P204" s="64">
        <v>44356</v>
      </c>
      <c r="R204" s="72"/>
      <c r="S204" s="64">
        <v>44363</v>
      </c>
      <c r="U204" s="72"/>
      <c r="V204" s="54" t="s">
        <v>66</v>
      </c>
      <c r="X204" s="45">
        <f t="shared" si="5"/>
        <v>7</v>
      </c>
      <c r="Z204" s="45" t="s">
        <v>70</v>
      </c>
      <c r="AA204" s="45">
        <f t="shared" si="16"/>
        <v>1</v>
      </c>
      <c r="AB204" t="str">
        <f t="shared" si="17"/>
        <v>Adult</v>
      </c>
      <c r="AC204" s="69">
        <v>1</v>
      </c>
      <c r="AD204" s="69">
        <v>0</v>
      </c>
      <c r="AE204" s="45" t="str">
        <f t="shared" si="18"/>
        <v>Morphological</v>
      </c>
      <c r="AF204" s="56">
        <v>4</v>
      </c>
    </row>
    <row r="205" spans="1:32" ht="18" customHeight="1" x14ac:dyDescent="0.25">
      <c r="A205" s="45">
        <v>201</v>
      </c>
      <c r="B205" s="45" t="s">
        <v>60</v>
      </c>
      <c r="C205" s="45" t="s">
        <v>61</v>
      </c>
      <c r="D205" s="45" t="s">
        <v>62</v>
      </c>
      <c r="E205" s="45" t="s">
        <v>62</v>
      </c>
      <c r="F205" s="46" cm="1">
        <f t="array" ref="F205">_xlfn.IFS($G205=$G$5,F$5,$G205=$G$6,F$6,$G205=$G$7,F$7,$G205=$G$8,F$8,$G205=$G$9,F$9,$G205=$G$10,F$10,$G205=$G$11,F$11,$G205=$G$12,F$12,$G205=$G$13,F$13,$G205=$G$15,F$15,$G205=$G$16,F$16,$G205=$G$17,F$17,$G205=$G$18,F$18,$G205=$G$19,F$19,$G205=$G$20,F$20,$G205=$G$21,F$21,$G205=$G$22,F$22,$G205=$G$25,F$25,$G205=$G$26,F$26,$G205=$G$27,F$27,$G205=$G$29,F$29,$G205=$G$31,F$31,$G205=$G$32,F$32,$G205=$G$248,F$248,$G205=$G$250,F$250)</f>
        <v>8038</v>
      </c>
      <c r="G205" t="s">
        <v>103</v>
      </c>
      <c r="H205" s="66" cm="1">
        <f t="array" ref="H205">_xlfn.IFS($G205=$G$5,H$5,$G205=$G$6,H$6,$G205=$G$7,H$7,$G205=$G$8,H$8,$G205=$G$9,H$9,$G205=$G$10,H$10,$G205=$G$11,H$11,$G205=$G$12,H$12,$G205=$G$13,H$13,$G205=$G$15,H$15,$G205=$G$16,H$16,$G205=$G$17,H$17,$G205=$G$18,H$18,$G205=$G$19,H$19,$G205=$G$20,H$20,$G205=$G$21,H$21,$G205=$G$22,H$22,$G205=$G$25,H$25,$G205=$G$26,H$26,$G205=$G$27,H$27,$G205=$G$29,H$29,$G205=$G$31,H$31,$G205=$G$32,H$150,$G205=$G$248,H$248,$G205=$G$250,H$250)</f>
        <v>41.367100000000001</v>
      </c>
      <c r="I205" s="60" cm="1">
        <f t="array" ref="I205">_xlfn.IFS($G205=$G$5,I$5,$G205=$G$6,I$6,$G205=$G$7,I$7,$G205=$G$8,I$8,$G205=$G$9,I$9,$G205=$G$10,I$10,$G205=$G$11,I$11,$G205=$G$12,I$12,$G205=$G$13,I$13,$G205=$G$15,I$15,$G205=$G$16,I$16,$G205=$G$17,I$17,$G205=$G$18,I$18,$G205=$G$19,I$19,$G205=$G$20,I$20,$G205=$G$21,I$21,$G205=$G$22,I$22,$G205=$G$25,I$25,$G205=$G$26,I$26,$G205=$G$27,I$27,$G205=$G$29,I$29,$G205=$G$31,I$31,$G205=$G$32,I$150,$G205=$G$248,I$248,$G205=$G$250,I$250)</f>
        <v>2.1539079999999999</v>
      </c>
      <c r="J205" cm="1">
        <f t="array" ref="J205">_xlfn.IFS($G205=$G$5,J$5,$G205=$G$6,J$6,$G205=$G$7,J$7,$G205=$G$8,J$8,$G205=$G$9,J$9,$G205=$G$10,J$10,$G205=$G$11,J$11,$G205=$G$12,J$12,$G205=$G$13,J$13,$G205=$G$15,J$15,$G205=$G$16,J$16,$G205=$G$17,J$17,$G205=$G$18,J$18,$G205=$G$19,J$19,$G205=$G$20,J$20,$G205=$G$21,J$21,$G205=$G$22,J$22,$G205=$G$25,J$25,$G205=$G$26,J$26,$G205=$G$27,J$27,$G205=$G$29,J$29,$G205=$G$31,J$31,$G205=$G$32,J$150,$G205=$G$248,J$248,$G205=$G$250,J$250)</f>
        <v>68</v>
      </c>
      <c r="K205" s="48" t="str" cm="1">
        <f t="array" ref="K205">_xlfn.IFS($G205=$G$5,K$5,$G205=$G$6,K$6,$G205=$G$7,K$7,$G205=$G$8,K$8,$G205=$G$9,K$9,$G205=$G$10,K$10,$G205=$G$11,K$11,$G205=$G$12,K$12,$G205=$G$13,K$13,$G205=$G$15,K$15,$G205=$G$16,K$16,$G205=$G$17,K$17,$G205=$G$18,K$18,$G205=$G$19,K$19,$G205=$G$20,K$20,$G205=$G$21,K$21,$G205=$G$22,K$22,$G205=$G$25,K$25,$G205=$G$26,K$26,$G205=$G$27,K$27,$G205=$G$29,K$29,$G205=$G$31,K$31,$G205=$G$32,K$150,$G205=$G$248,K$248,$G205=$G$250,K$250)</f>
        <v>BG sentinel + BG lure7</v>
      </c>
      <c r="L205" s="48"/>
      <c r="M205" s="48"/>
      <c r="O205" s="45" t="str">
        <f t="shared" si="10"/>
        <v>A_SP_BCN_23_210610</v>
      </c>
      <c r="P205" s="64">
        <v>44357</v>
      </c>
      <c r="R205" s="72"/>
      <c r="S205" s="64">
        <v>44364</v>
      </c>
      <c r="U205" s="72"/>
      <c r="V205" s="54" t="s">
        <v>66</v>
      </c>
      <c r="X205" s="45">
        <f t="shared" si="5"/>
        <v>7</v>
      </c>
      <c r="Z205" s="69" t="s">
        <v>69</v>
      </c>
      <c r="AA205" s="45">
        <f t="shared" si="16"/>
        <v>23</v>
      </c>
      <c r="AB205" t="str">
        <f t="shared" si="17"/>
        <v>Adult</v>
      </c>
      <c r="AC205" s="69">
        <v>21</v>
      </c>
      <c r="AD205" s="69">
        <v>2</v>
      </c>
      <c r="AE205" s="45" t="str">
        <f t="shared" si="18"/>
        <v>Morphological</v>
      </c>
      <c r="AF205" s="56">
        <v>4</v>
      </c>
    </row>
    <row r="206" spans="1:32" ht="18" customHeight="1" x14ac:dyDescent="0.25">
      <c r="A206" s="45">
        <v>202</v>
      </c>
      <c r="B206" s="45" t="s">
        <v>60</v>
      </c>
      <c r="C206" s="45" t="s">
        <v>61</v>
      </c>
      <c r="D206" s="45" t="s">
        <v>62</v>
      </c>
      <c r="E206" s="45" t="s">
        <v>62</v>
      </c>
      <c r="F206" s="46" cm="1">
        <f t="array" ref="F206">_xlfn.IFS($G206=$G$5,F$5,$G206=$G$6,F$6,$G206=$G$7,F$7,$G206=$G$8,F$8,$G206=$G$9,F$9,$G206=$G$10,F$10,$G206=$G$11,F$11,$G206=$G$12,F$12,$G206=$G$13,F$13,$G206=$G$15,F$15,$G206=$G$16,F$16,$G206=$G$17,F$17,$G206=$G$18,F$18,$G206=$G$19,F$19,$G206=$G$20,F$20,$G206=$G$21,F$21,$G206=$G$22,F$22,$G206=$G$25,F$25,$G206=$G$26,F$26,$G206=$G$27,F$27,$G206=$G$29,F$29,$G206=$G$31,F$31,$G206=$G$32,F$32,$G206=$G$248,F$248,$G206=$G$250,F$250)</f>
        <v>8038</v>
      </c>
      <c r="G206" t="s">
        <v>103</v>
      </c>
      <c r="H206" s="66" cm="1">
        <f t="array" ref="H206">_xlfn.IFS($G206=$G$5,H$5,$G206=$G$6,H$6,$G206=$G$7,H$7,$G206=$G$8,H$8,$G206=$G$9,H$9,$G206=$G$10,H$10,$G206=$G$11,H$11,$G206=$G$12,H$12,$G206=$G$13,H$13,$G206=$G$15,H$15,$G206=$G$16,H$16,$G206=$G$17,H$17,$G206=$G$18,H$18,$G206=$G$19,H$19,$G206=$G$20,H$20,$G206=$G$21,H$21,$G206=$G$22,H$22,$G206=$G$25,H$25,$G206=$G$26,H$26,$G206=$G$27,H$27,$G206=$G$29,H$29,$G206=$G$31,H$31,$G206=$G$32,H$150,$G206=$G$248,H$248,$G206=$G$250,H$250)</f>
        <v>41.367100000000001</v>
      </c>
      <c r="I206" s="60" cm="1">
        <f t="array" ref="I206">_xlfn.IFS($G206=$G$5,I$5,$G206=$G$6,I$6,$G206=$G$7,I$7,$G206=$G$8,I$8,$G206=$G$9,I$9,$G206=$G$10,I$10,$G206=$G$11,I$11,$G206=$G$12,I$12,$G206=$G$13,I$13,$G206=$G$15,I$15,$G206=$G$16,I$16,$G206=$G$17,I$17,$G206=$G$18,I$18,$G206=$G$19,I$19,$G206=$G$20,I$20,$G206=$G$21,I$21,$G206=$G$22,I$22,$G206=$G$25,I$25,$G206=$G$26,I$26,$G206=$G$27,I$27,$G206=$G$29,I$29,$G206=$G$31,I$31,$G206=$G$32,I$150,$G206=$G$248,I$248,$G206=$G$250,I$250)</f>
        <v>2.1539079999999999</v>
      </c>
      <c r="J206" cm="1">
        <f t="array" ref="J206">_xlfn.IFS($G206=$G$5,J$5,$G206=$G$6,J$6,$G206=$G$7,J$7,$G206=$G$8,J$8,$G206=$G$9,J$9,$G206=$G$10,J$10,$G206=$G$11,J$11,$G206=$G$12,J$12,$G206=$G$13,J$13,$G206=$G$15,J$15,$G206=$G$16,J$16,$G206=$G$17,J$17,$G206=$G$18,J$18,$G206=$G$19,J$19,$G206=$G$20,J$20,$G206=$G$21,J$21,$G206=$G$22,J$22,$G206=$G$25,J$25,$G206=$G$26,J$26,$G206=$G$27,J$27,$G206=$G$29,J$29,$G206=$G$31,J$31,$G206=$G$32,J$150,$G206=$G$248,J$248,$G206=$G$250,J$250)</f>
        <v>68</v>
      </c>
      <c r="K206" s="48" t="str" cm="1">
        <f t="array" ref="K206">_xlfn.IFS($G206=$G$5,K$5,$G206=$G$6,K$6,$G206=$G$7,K$7,$G206=$G$8,K$8,$G206=$G$9,K$9,$G206=$G$10,K$10,$G206=$G$11,K$11,$G206=$G$12,K$12,$G206=$G$13,K$13,$G206=$G$15,K$15,$G206=$G$16,K$16,$G206=$G$17,K$17,$G206=$G$18,K$18,$G206=$G$19,K$19,$G206=$G$20,K$20,$G206=$G$21,K$21,$G206=$G$22,K$22,$G206=$G$25,K$25,$G206=$G$26,K$26,$G206=$G$27,K$27,$G206=$G$29,K$29,$G206=$G$31,K$31,$G206=$G$32,K$150,$G206=$G$248,K$248,$G206=$G$250,K$250)</f>
        <v>BG sentinel + BG lure7</v>
      </c>
      <c r="L206" s="48"/>
      <c r="M206" s="48"/>
      <c r="O206" s="45" t="str">
        <f t="shared" si="10"/>
        <v>A_SP_BCN_23_210610</v>
      </c>
      <c r="P206" s="64">
        <v>44357</v>
      </c>
      <c r="R206" s="72"/>
      <c r="S206" s="64">
        <v>44364</v>
      </c>
      <c r="U206" s="72"/>
      <c r="V206" s="54" t="s">
        <v>66</v>
      </c>
      <c r="X206" s="45">
        <f t="shared" si="5"/>
        <v>7</v>
      </c>
      <c r="Z206" s="45" t="s">
        <v>70</v>
      </c>
      <c r="AA206" s="45">
        <f t="shared" si="16"/>
        <v>11</v>
      </c>
      <c r="AB206" t="str">
        <f t="shared" si="17"/>
        <v>Adult</v>
      </c>
      <c r="AC206" s="69">
        <v>7</v>
      </c>
      <c r="AD206" s="69">
        <v>4</v>
      </c>
      <c r="AE206" s="45" t="str">
        <f t="shared" si="18"/>
        <v>Morphological</v>
      </c>
      <c r="AF206" s="56">
        <v>4</v>
      </c>
    </row>
    <row r="207" spans="1:32" ht="18" customHeight="1" x14ac:dyDescent="0.25">
      <c r="A207" s="45">
        <v>203</v>
      </c>
      <c r="B207" s="45" t="s">
        <v>60</v>
      </c>
      <c r="C207" s="45" t="s">
        <v>61</v>
      </c>
      <c r="D207" s="45" t="s">
        <v>62</v>
      </c>
      <c r="E207" s="45" t="s">
        <v>62</v>
      </c>
      <c r="F207" s="46" cm="1">
        <f t="array" ref="F207">_xlfn.IFS($G207=$G$5,F$5,$G207=$G$6,F$6,$G207=$G$7,F$7,$G207=$G$8,F$8,$G207=$G$9,F$9,$G207=$G$10,F$10,$G207=$G$11,F$11,$G207=$G$12,F$12,$G207=$G$13,F$13,$G207=$G$15,F$15,$G207=$G$16,F$16,$G207=$G$17,F$17,$G207=$G$18,F$18,$G207=$G$19,F$19,$G207=$G$20,F$20,$G207=$G$21,F$21,$G207=$G$22,F$22,$G207=$G$25,F$25,$G207=$G$26,F$26,$G207=$G$27,F$27,$G207=$G$29,F$29,$G207=$G$31,F$31,$G207=$G$32,F$32,$G207=$G$248,F$248,$G207=$G$250,F$250)</f>
        <v>8024</v>
      </c>
      <c r="G207" t="s">
        <v>63</v>
      </c>
      <c r="H207" s="66" cm="1">
        <f t="array" ref="H207">_xlfn.IFS($G207=$G$5,H$5,$G207=$G$6,H$6,$G207=$G$7,H$7,$G207=$G$8,H$8,$G207=$G$9,H$9,$G207=$G$10,H$10,$G207=$G$11,H$11,$G207=$G$12,H$12,$G207=$G$13,H$13,$G207=$G$15,H$15,$G207=$G$16,H$16,$G207=$G$17,H$17,$G207=$G$18,H$18,$G207=$G$19,H$19,$G207=$G$20,H$20,$G207=$G$21,H$21,$G207=$G$22,H$22,$G207=$G$25,H$25,$G207=$G$26,H$26,$G207=$G$27,H$27,$G207=$G$29,H$29,$G207=$G$31,H$31,$G207=$G$32,H$150,$G207=$G$248,H$248,$G207=$G$250,H$250)</f>
        <v>41.413573999999997</v>
      </c>
      <c r="I207" s="60" cm="1">
        <f t="array" ref="I207">_xlfn.IFS($G207=$G$5,I$5,$G207=$G$6,I$6,$G207=$G$7,I$7,$G207=$G$8,I$8,$G207=$G$9,I$9,$G207=$G$10,I$10,$G207=$G$11,I$11,$G207=$G$12,I$12,$G207=$G$13,I$13,$G207=$G$15,I$15,$G207=$G$16,I$16,$G207=$G$17,I$17,$G207=$G$18,I$18,$G207=$G$19,I$19,$G207=$G$20,I$20,$G207=$G$21,I$21,$G207=$G$22,I$22,$G207=$G$25,I$25,$G207=$G$26,I$26,$G207=$G$27,I$27,$G207=$G$29,I$29,$G207=$G$31,I$31,$G207=$G$32,I$150,$G207=$G$248,I$248,$G207=$G$250,I$250)</f>
        <v>2.1520730000000001</v>
      </c>
      <c r="J207" cm="1">
        <f t="array" ref="J207">_xlfn.IFS($G207=$G$5,J$5,$G207=$G$6,J$6,$G207=$G$7,J$7,$G207=$G$8,J$8,$G207=$G$9,J$9,$G207=$G$10,J$10,$G207=$G$11,J$11,$G207=$G$12,J$12,$G207=$G$13,J$13,$G207=$G$15,J$15,$G207=$G$16,J$16,$G207=$G$17,J$17,$G207=$G$18,J$18,$G207=$G$19,J$19,$G207=$G$20,J$20,$G207=$G$21,J$21,$G207=$G$22,J$22,$G207=$G$25,J$25,$G207=$G$26,J$26,$G207=$G$27,J$27,$G207=$G$29,J$29,$G207=$G$31,J$31,$G207=$G$32,J$150,$G207=$G$248,J$248,$G207=$G$250,J$250)</f>
        <v>141</v>
      </c>
      <c r="K207" s="48" t="str" cm="1">
        <f t="array" ref="K207">_xlfn.IFS($G207=$G$5,K$5,$G207=$G$6,K$6,$G207=$G$7,K$7,$G207=$G$8,K$8,$G207=$G$9,K$9,$G207=$G$10,K$10,$G207=$G$11,K$11,$G207=$G$12,K$12,$G207=$G$13,K$13,$G207=$G$15,K$15,$G207=$G$16,K$16,$G207=$G$17,K$17,$G207=$G$18,K$18,$G207=$G$19,K$19,$G207=$G$20,K$20,$G207=$G$21,K$21,$G207=$G$22,K$22,$G207=$G$25,K$25,$G207=$G$26,K$26,$G207=$G$27,K$27,$G207=$G$29,K$29,$G207=$G$31,K$31,$G207=$G$32,K$150,$G207=$G$248,K$248,$G207=$G$250,K$250)</f>
        <v>BG sentinel + BG lure7</v>
      </c>
      <c r="L207" s="48"/>
      <c r="M207" s="48"/>
      <c r="O207" s="45" t="str">
        <f t="shared" si="10"/>
        <v>A_SP_BCN_1_210616</v>
      </c>
      <c r="P207" s="64">
        <v>44363</v>
      </c>
      <c r="R207" s="72"/>
      <c r="S207" s="64">
        <v>44369</v>
      </c>
      <c r="U207" s="72"/>
      <c r="V207" s="54" t="s">
        <v>66</v>
      </c>
      <c r="X207" s="45">
        <f t="shared" si="5"/>
        <v>6</v>
      </c>
      <c r="Z207" s="69" t="s">
        <v>69</v>
      </c>
      <c r="AA207" s="45">
        <f t="shared" si="16"/>
        <v>2</v>
      </c>
      <c r="AB207" t="str">
        <f t="shared" si="17"/>
        <v>Adult</v>
      </c>
      <c r="AC207" s="69">
        <v>2</v>
      </c>
      <c r="AD207" s="69">
        <v>0</v>
      </c>
      <c r="AE207" s="45" t="str">
        <f t="shared" si="18"/>
        <v>Morphological</v>
      </c>
      <c r="AF207" s="56">
        <v>4</v>
      </c>
    </row>
    <row r="208" spans="1:32" ht="18" customHeight="1" x14ac:dyDescent="0.25">
      <c r="A208" s="45">
        <v>204</v>
      </c>
      <c r="B208" s="45" t="s">
        <v>60</v>
      </c>
      <c r="C208" s="45" t="s">
        <v>61</v>
      </c>
      <c r="D208" s="45" t="s">
        <v>62</v>
      </c>
      <c r="E208" s="45" t="s">
        <v>62</v>
      </c>
      <c r="F208" s="46" cm="1">
        <f t="array" ref="F208">_xlfn.IFS($G208=$G$5,F$5,$G208=$G$6,F$6,$G208=$G$7,F$7,$G208=$G$8,F$8,$G208=$G$9,F$9,$G208=$G$10,F$10,$G208=$G$11,F$11,$G208=$G$12,F$12,$G208=$G$13,F$13,$G208=$G$15,F$15,$G208=$G$16,F$16,$G208=$G$17,F$17,$G208=$G$18,F$18,$G208=$G$19,F$19,$G208=$G$20,F$20,$G208=$G$21,F$21,$G208=$G$22,F$22,$G208=$G$25,F$25,$G208=$G$26,F$26,$G208=$G$27,F$27,$G208=$G$29,F$29,$G208=$G$31,F$31,$G208=$G$32,F$32,$G208=$G$248,F$248,$G208=$G$250,F$250)</f>
        <v>8035</v>
      </c>
      <c r="G208" t="s">
        <v>67</v>
      </c>
      <c r="H208" s="66" cm="1">
        <f t="array" ref="H208">_xlfn.IFS($G208=$G$5,H$5,$G208=$G$6,H$6,$G208=$G$7,H$7,$G208=$G$8,H$8,$G208=$G$9,H$9,$G208=$G$10,H$10,$G208=$G$11,H$11,$G208=$G$12,H$12,$G208=$G$13,H$13,$G208=$G$15,H$15,$G208=$G$16,H$16,$G208=$G$17,H$17,$G208=$G$18,H$18,$G208=$G$19,H$19,$G208=$G$20,H$20,$G208=$G$21,H$21,$G208=$G$22,H$22,$G208=$G$25,H$25,$G208=$G$26,H$26,$G208=$G$27,H$27,$G208=$G$29,H$29,$G208=$G$31,H$31,$G208=$G$32,H$150,$G208=$G$248,H$248,$G208=$G$250,H$250)</f>
        <v>41.424387000000003</v>
      </c>
      <c r="I208" s="60" cm="1">
        <f t="array" ref="I208">_xlfn.IFS($G208=$G$5,I$5,$G208=$G$6,I$6,$G208=$G$7,I$7,$G208=$G$8,I$8,$G208=$G$9,I$9,$G208=$G$10,I$10,$G208=$G$11,I$11,$G208=$G$12,I$12,$G208=$G$13,I$13,$G208=$G$15,I$15,$G208=$G$16,I$16,$G208=$G$17,I$17,$G208=$G$18,I$18,$G208=$G$19,I$19,$G208=$G$20,I$20,$G208=$G$21,I$21,$G208=$G$22,I$22,$G208=$G$25,I$25,$G208=$G$26,I$26,$G208=$G$27,I$27,$G208=$G$29,I$29,$G208=$G$31,I$31,$G208=$G$32,I$150,$G208=$G$248,I$248,$G208=$G$250,I$250)</f>
        <v>2.1431439999999999</v>
      </c>
      <c r="J208" cm="1">
        <f t="array" ref="J208">_xlfn.IFS($G208=$G$5,J$5,$G208=$G$6,J$6,$G208=$G$7,J$7,$G208=$G$8,J$8,$G208=$G$9,J$9,$G208=$G$10,J$10,$G208=$G$11,J$11,$G208=$G$12,J$12,$G208=$G$13,J$13,$G208=$G$15,J$15,$G208=$G$16,J$16,$G208=$G$17,J$17,$G208=$G$18,J$18,$G208=$G$19,J$19,$G208=$G$20,J$20,$G208=$G$21,J$21,$G208=$G$22,J$22,$G208=$G$25,J$25,$G208=$G$26,J$26,$G208=$G$27,J$27,$G208=$G$29,J$29,$G208=$G$31,J$31,$G208=$G$32,J$150,$G208=$G$248,J$248,$G208=$G$250,J$250)</f>
        <v>160</v>
      </c>
      <c r="K208" s="48" t="str" cm="1">
        <f t="array" ref="K208">_xlfn.IFS($G208=$G$5,K$5,$G208=$G$6,K$6,$G208=$G$7,K$7,$G208=$G$8,K$8,$G208=$G$9,K$9,$G208=$G$10,K$10,$G208=$G$11,K$11,$G208=$G$12,K$12,$G208=$G$13,K$13,$G208=$G$15,K$15,$G208=$G$16,K$16,$G208=$G$17,K$17,$G208=$G$18,K$18,$G208=$G$19,K$19,$G208=$G$20,K$20,$G208=$G$21,K$21,$G208=$G$22,K$22,$G208=$G$25,K$25,$G208=$G$26,K$26,$G208=$G$27,K$27,$G208=$G$29,K$29,$G208=$G$31,K$31,$G208=$G$32,K$150,$G208=$G$248,K$248,$G208=$G$250,K$250)</f>
        <v>BG sentinel + BG lure7</v>
      </c>
      <c r="L208" s="48"/>
      <c r="M208" s="48"/>
      <c r="O208" s="45" t="str">
        <f t="shared" si="10"/>
        <v>A_SP_BCN_2_210616</v>
      </c>
      <c r="P208" s="64">
        <v>44363</v>
      </c>
      <c r="R208" s="72"/>
      <c r="S208" s="64">
        <v>44369</v>
      </c>
      <c r="U208" s="72"/>
      <c r="V208" s="54" t="s">
        <v>66</v>
      </c>
      <c r="X208" s="45">
        <f t="shared" si="5"/>
        <v>6</v>
      </c>
      <c r="Z208" s="69" t="s">
        <v>69</v>
      </c>
      <c r="AA208" s="45">
        <f t="shared" si="16"/>
        <v>1</v>
      </c>
      <c r="AB208" t="str">
        <f t="shared" si="17"/>
        <v>Adult</v>
      </c>
      <c r="AC208" s="69">
        <v>1</v>
      </c>
      <c r="AD208" s="69">
        <v>0</v>
      </c>
      <c r="AE208" s="45" t="str">
        <f t="shared" si="18"/>
        <v>Morphological</v>
      </c>
      <c r="AF208" s="56">
        <v>4</v>
      </c>
    </row>
    <row r="209" spans="1:32" ht="18" customHeight="1" x14ac:dyDescent="0.25">
      <c r="A209" s="45">
        <v>205</v>
      </c>
      <c r="B209" s="45" t="s">
        <v>60</v>
      </c>
      <c r="C209" s="45" t="s">
        <v>61</v>
      </c>
      <c r="D209" s="45" t="s">
        <v>62</v>
      </c>
      <c r="E209" s="45" t="s">
        <v>62</v>
      </c>
      <c r="F209" s="46" cm="1">
        <f t="array" ref="F209">_xlfn.IFS($G209=$G$5,F$5,$G209=$G$6,F$6,$G209=$G$7,F$7,$G209=$G$8,F$8,$G209=$G$9,F$9,$G209=$G$10,F$10,$G209=$G$11,F$11,$G209=$G$12,F$12,$G209=$G$13,F$13,$G209=$G$15,F$15,$G209=$G$16,F$16,$G209=$G$17,F$17,$G209=$G$18,F$18,$G209=$G$19,F$19,$G209=$G$20,F$20,$G209=$G$21,F$21,$G209=$G$22,F$22,$G209=$G$25,F$25,$G209=$G$26,F$26,$G209=$G$27,F$27,$G209=$G$29,F$29,$G209=$G$31,F$31,$G209=$G$32,F$32,$G209=$G$248,F$248,$G209=$G$250,F$250)</f>
        <v>8016</v>
      </c>
      <c r="G209" t="s">
        <v>68</v>
      </c>
      <c r="H209" s="66" cm="1">
        <f t="array" ref="H209">_xlfn.IFS($G209=$G$5,H$5,$G209=$G$6,H$6,$G209=$G$7,H$7,$G209=$G$8,H$8,$G209=$G$9,H$9,$G209=$G$10,H$10,$G209=$G$11,H$11,$G209=$G$12,H$12,$G209=$G$13,H$13,$G209=$G$15,H$15,$G209=$G$16,H$16,$G209=$G$17,H$17,$G209=$G$18,H$18,$G209=$G$19,H$19,$G209=$G$20,H$20,$G209=$G$21,H$21,$G209=$G$22,H$22,$G209=$G$25,H$25,$G209=$G$26,H$26,$G209=$G$27,H$27,$G209=$G$29,H$29,$G209=$G$31,H$31,$G209=$G$32,H$150,$G209=$G$248,H$248,$G209=$G$250,H$250)</f>
        <v>41.437435000000001</v>
      </c>
      <c r="I209" s="60" cm="1">
        <f t="array" ref="I209">_xlfn.IFS($G209=$G$5,I$5,$G209=$G$6,I$6,$G209=$G$7,I$7,$G209=$G$8,I$8,$G209=$G$9,I$9,$G209=$G$10,I$10,$G209=$G$11,I$11,$G209=$G$12,I$12,$G209=$G$13,I$13,$G209=$G$15,I$15,$G209=$G$16,I$16,$G209=$G$17,I$17,$G209=$G$18,I$18,$G209=$G$19,I$19,$G209=$G$20,I$20,$G209=$G$21,I$21,$G209=$G$22,I$22,$G209=$G$25,I$25,$G209=$G$26,I$26,$G209=$G$27,I$27,$G209=$G$29,I$29,$G209=$G$31,I$31,$G209=$G$32,I$150,$G209=$G$248,I$248,$G209=$G$250,I$250)</f>
        <v>2.1812779999999998</v>
      </c>
      <c r="J209" cm="1">
        <f t="array" ref="J209">_xlfn.IFS($G209=$G$5,J$5,$G209=$G$6,J$6,$G209=$G$7,J$7,$G209=$G$8,J$8,$G209=$G$9,J$9,$G209=$G$10,J$10,$G209=$G$11,J$11,$G209=$G$12,J$12,$G209=$G$13,J$13,$G209=$G$15,J$15,$G209=$G$16,J$16,$G209=$G$17,J$17,$G209=$G$18,J$18,$G209=$G$19,J$19,$G209=$G$20,J$20,$G209=$G$21,J$21,$G209=$G$22,J$22,$G209=$G$25,J$25,$G209=$G$26,J$26,$G209=$G$27,J$27,$G209=$G$29,J$29,$G209=$G$31,J$31,$G209=$G$32,J$150,$G209=$G$248,J$248,$G209=$G$250,J$250)</f>
        <v>47</v>
      </c>
      <c r="K209" s="48" t="str" cm="1">
        <f t="array" ref="K209">_xlfn.IFS($G209=$G$5,K$5,$G209=$G$6,K$6,$G209=$G$7,K$7,$G209=$G$8,K$8,$G209=$G$9,K$9,$G209=$G$10,K$10,$G209=$G$11,K$11,$G209=$G$12,K$12,$G209=$G$13,K$13,$G209=$G$15,K$15,$G209=$G$16,K$16,$G209=$G$17,K$17,$G209=$G$18,K$18,$G209=$G$19,K$19,$G209=$G$20,K$20,$G209=$G$21,K$21,$G209=$G$22,K$22,$G209=$G$25,K$25,$G209=$G$26,K$26,$G209=$G$27,K$27,$G209=$G$29,K$29,$G209=$G$31,K$31,$G209=$G$32,K$150,$G209=$G$248,K$248,$G209=$G$250,K$250)</f>
        <v>BG sentinel + BG lure7</v>
      </c>
      <c r="L209" s="48"/>
      <c r="M209" s="48"/>
      <c r="O209" s="45" t="str">
        <f t="shared" si="10"/>
        <v>A_SP_BCN_3_210616</v>
      </c>
      <c r="P209" s="64">
        <v>44363</v>
      </c>
      <c r="R209" s="72"/>
      <c r="S209" s="64">
        <v>44370</v>
      </c>
      <c r="U209" s="72"/>
      <c r="V209" s="54" t="s">
        <v>66</v>
      </c>
      <c r="X209" s="45">
        <f t="shared" si="5"/>
        <v>7</v>
      </c>
      <c r="Z209" s="69" t="s">
        <v>69</v>
      </c>
      <c r="AA209" s="45">
        <f t="shared" si="16"/>
        <v>1</v>
      </c>
      <c r="AB209" t="str">
        <f t="shared" si="17"/>
        <v>Adult</v>
      </c>
      <c r="AC209" s="69">
        <v>1</v>
      </c>
      <c r="AD209" s="69">
        <v>0</v>
      </c>
      <c r="AE209" s="45" t="str">
        <f t="shared" si="18"/>
        <v>Morphological</v>
      </c>
      <c r="AF209" s="56">
        <v>4</v>
      </c>
    </row>
    <row r="210" spans="1:32" ht="18" customHeight="1" x14ac:dyDescent="0.25">
      <c r="A210" s="45">
        <v>206</v>
      </c>
      <c r="B210" s="45" t="s">
        <v>60</v>
      </c>
      <c r="C210" s="45" t="s">
        <v>61</v>
      </c>
      <c r="D210" s="45" t="s">
        <v>62</v>
      </c>
      <c r="E210" s="45" t="s">
        <v>62</v>
      </c>
      <c r="F210" s="46" cm="1">
        <f t="array" ref="F210">_xlfn.IFS($G210=$G$5,F$5,$G210=$G$6,F$6,$G210=$G$7,F$7,$G210=$G$8,F$8,$G210=$G$9,F$9,$G210=$G$10,F$10,$G210=$G$11,F$11,$G210=$G$12,F$12,$G210=$G$13,F$13,$G210=$G$15,F$15,$G210=$G$16,F$16,$G210=$G$17,F$17,$G210=$G$18,F$18,$G210=$G$19,F$19,$G210=$G$20,F$20,$G210=$G$21,F$21,$G210=$G$22,F$22,$G210=$G$25,F$25,$G210=$G$26,F$26,$G210=$G$27,F$27,$G210=$G$29,F$29,$G210=$G$31,F$31,$G210=$G$32,F$32,$G210=$G$248,F$248,$G210=$G$250,F$250)</f>
        <v>8016</v>
      </c>
      <c r="G210" t="s">
        <v>68</v>
      </c>
      <c r="H210" s="66" cm="1">
        <f t="array" ref="H210">_xlfn.IFS($G210=$G$5,H$5,$G210=$G$6,H$6,$G210=$G$7,H$7,$G210=$G$8,H$8,$G210=$G$9,H$9,$G210=$G$10,H$10,$G210=$G$11,H$11,$G210=$G$12,H$12,$G210=$G$13,H$13,$G210=$G$15,H$15,$G210=$G$16,H$16,$G210=$G$17,H$17,$G210=$G$18,H$18,$G210=$G$19,H$19,$G210=$G$20,H$20,$G210=$G$21,H$21,$G210=$G$22,H$22,$G210=$G$25,H$25,$G210=$G$26,H$26,$G210=$G$27,H$27,$G210=$G$29,H$29,$G210=$G$31,H$31,$G210=$G$32,H$150,$G210=$G$248,H$248,$G210=$G$250,H$250)</f>
        <v>41.437435000000001</v>
      </c>
      <c r="I210" s="60" cm="1">
        <f t="array" ref="I210">_xlfn.IFS($G210=$G$5,I$5,$G210=$G$6,I$6,$G210=$G$7,I$7,$G210=$G$8,I$8,$G210=$G$9,I$9,$G210=$G$10,I$10,$G210=$G$11,I$11,$G210=$G$12,I$12,$G210=$G$13,I$13,$G210=$G$15,I$15,$G210=$G$16,I$16,$G210=$G$17,I$17,$G210=$G$18,I$18,$G210=$G$19,I$19,$G210=$G$20,I$20,$G210=$G$21,I$21,$G210=$G$22,I$22,$G210=$G$25,I$25,$G210=$G$26,I$26,$G210=$G$27,I$27,$G210=$G$29,I$29,$G210=$G$31,I$31,$G210=$G$32,I$150,$G210=$G$248,I$248,$G210=$G$250,I$250)</f>
        <v>2.1812779999999998</v>
      </c>
      <c r="J210" cm="1">
        <f t="array" ref="J210">_xlfn.IFS($G210=$G$5,J$5,$G210=$G$6,J$6,$G210=$G$7,J$7,$G210=$G$8,J$8,$G210=$G$9,J$9,$G210=$G$10,J$10,$G210=$G$11,J$11,$G210=$G$12,J$12,$G210=$G$13,J$13,$G210=$G$15,J$15,$G210=$G$16,J$16,$G210=$G$17,J$17,$G210=$G$18,J$18,$G210=$G$19,J$19,$G210=$G$20,J$20,$G210=$G$21,J$21,$G210=$G$22,J$22,$G210=$G$25,J$25,$G210=$G$26,J$26,$G210=$G$27,J$27,$G210=$G$29,J$29,$G210=$G$31,J$31,$G210=$G$32,J$150,$G210=$G$248,J$248,$G210=$G$250,J$250)</f>
        <v>47</v>
      </c>
      <c r="K210" s="48" t="str" cm="1">
        <f t="array" ref="K210">_xlfn.IFS($G210=$G$5,K$5,$G210=$G$6,K$6,$G210=$G$7,K$7,$G210=$G$8,K$8,$G210=$G$9,K$9,$G210=$G$10,K$10,$G210=$G$11,K$11,$G210=$G$12,K$12,$G210=$G$13,K$13,$G210=$G$15,K$15,$G210=$G$16,K$16,$G210=$G$17,K$17,$G210=$G$18,K$18,$G210=$G$19,K$19,$G210=$G$20,K$20,$G210=$G$21,K$21,$G210=$G$22,K$22,$G210=$G$25,K$25,$G210=$G$26,K$26,$G210=$G$27,K$27,$G210=$G$29,K$29,$G210=$G$31,K$31,$G210=$G$32,K$150,$G210=$G$248,K$248,$G210=$G$250,K$250)</f>
        <v>BG sentinel + BG lure7</v>
      </c>
      <c r="L210" s="48"/>
      <c r="M210" s="48"/>
      <c r="O210" s="45" t="str">
        <f t="shared" si="10"/>
        <v>A_SP_BCN_3_210616</v>
      </c>
      <c r="P210" s="64">
        <v>44363</v>
      </c>
      <c r="R210" s="72"/>
      <c r="S210" s="64">
        <v>44370</v>
      </c>
      <c r="U210" s="72"/>
      <c r="V210" s="54" t="s">
        <v>66</v>
      </c>
      <c r="X210" s="45">
        <f t="shared" si="5"/>
        <v>7</v>
      </c>
      <c r="Z210" s="45" t="s">
        <v>70</v>
      </c>
      <c r="AA210" s="45">
        <f t="shared" si="16"/>
        <v>1</v>
      </c>
      <c r="AB210" t="str">
        <f t="shared" si="17"/>
        <v>Adult</v>
      </c>
      <c r="AC210" s="69">
        <v>1</v>
      </c>
      <c r="AD210" s="69">
        <v>0</v>
      </c>
      <c r="AE210" s="45" t="str">
        <f t="shared" si="18"/>
        <v>Morphological</v>
      </c>
      <c r="AF210" s="56">
        <v>4</v>
      </c>
    </row>
    <row r="211" spans="1:32" ht="18" customHeight="1" x14ac:dyDescent="0.25">
      <c r="A211" s="45">
        <v>207</v>
      </c>
      <c r="B211" s="45" t="s">
        <v>60</v>
      </c>
      <c r="C211" s="45" t="s">
        <v>61</v>
      </c>
      <c r="D211" s="45" t="s">
        <v>62</v>
      </c>
      <c r="E211" s="45" t="s">
        <v>62</v>
      </c>
      <c r="F211" s="46" cm="1">
        <f t="array" ref="F211">_xlfn.IFS($G211=$G$5,F$5,$G211=$G$6,F$6,$G211=$G$7,F$7,$G211=$G$8,F$8,$G211=$G$9,F$9,$G211=$G$10,F$10,$G211=$G$11,F$11,$G211=$G$12,F$12,$G211=$G$13,F$13,$G211=$G$15,F$15,$G211=$G$16,F$16,$G211=$G$17,F$17,$G211=$G$18,F$18,$G211=$G$19,F$19,$G211=$G$20,F$20,$G211=$G$21,F$21,$G211=$G$22,F$22,$G211=$G$25,F$25,$G211=$G$26,F$26,$G211=$G$27,F$27,$G211=$G$29,F$29,$G211=$G$31,F$31,$G211=$G$32,F$32,$G211=$G$248,F$248,$G211=$G$250,F$250)</f>
        <v>8016</v>
      </c>
      <c r="G211" t="s">
        <v>68</v>
      </c>
      <c r="H211" s="66" cm="1">
        <f t="array" ref="H211">_xlfn.IFS($G211=$G$5,H$5,$G211=$G$6,H$6,$G211=$G$7,H$7,$G211=$G$8,H$8,$G211=$G$9,H$9,$G211=$G$10,H$10,$G211=$G$11,H$11,$G211=$G$12,H$12,$G211=$G$13,H$13,$G211=$G$15,H$15,$G211=$G$16,H$16,$G211=$G$17,H$17,$G211=$G$18,H$18,$G211=$G$19,H$19,$G211=$G$20,H$20,$G211=$G$21,H$21,$G211=$G$22,H$22,$G211=$G$25,H$25,$G211=$G$26,H$26,$G211=$G$27,H$27,$G211=$G$29,H$29,$G211=$G$31,H$31,$G211=$G$32,H$150,$G211=$G$248,H$248,$G211=$G$250,H$250)</f>
        <v>41.437435000000001</v>
      </c>
      <c r="I211" s="60" cm="1">
        <f t="array" ref="I211">_xlfn.IFS($G211=$G$5,I$5,$G211=$G$6,I$6,$G211=$G$7,I$7,$G211=$G$8,I$8,$G211=$G$9,I$9,$G211=$G$10,I$10,$G211=$G$11,I$11,$G211=$G$12,I$12,$G211=$G$13,I$13,$G211=$G$15,I$15,$G211=$G$16,I$16,$G211=$G$17,I$17,$G211=$G$18,I$18,$G211=$G$19,I$19,$G211=$G$20,I$20,$G211=$G$21,I$21,$G211=$G$22,I$22,$G211=$G$25,I$25,$G211=$G$26,I$26,$G211=$G$27,I$27,$G211=$G$29,I$29,$G211=$G$31,I$31,$G211=$G$32,I$150,$G211=$G$248,I$248,$G211=$G$250,I$250)</f>
        <v>2.1812779999999998</v>
      </c>
      <c r="J211" cm="1">
        <f t="array" ref="J211">_xlfn.IFS($G211=$G$5,J$5,$G211=$G$6,J$6,$G211=$G$7,J$7,$G211=$G$8,J$8,$G211=$G$9,J$9,$G211=$G$10,J$10,$G211=$G$11,J$11,$G211=$G$12,J$12,$G211=$G$13,J$13,$G211=$G$15,J$15,$G211=$G$16,J$16,$G211=$G$17,J$17,$G211=$G$18,J$18,$G211=$G$19,J$19,$G211=$G$20,J$20,$G211=$G$21,J$21,$G211=$G$22,J$22,$G211=$G$25,J$25,$G211=$G$26,J$26,$G211=$G$27,J$27,$G211=$G$29,J$29,$G211=$G$31,J$31,$G211=$G$32,J$150,$G211=$G$248,J$248,$G211=$G$250,J$250)</f>
        <v>47</v>
      </c>
      <c r="K211" s="48" t="str" cm="1">
        <f t="array" ref="K211">_xlfn.IFS($G211=$G$5,K$5,$G211=$G$6,K$6,$G211=$G$7,K$7,$G211=$G$8,K$8,$G211=$G$9,K$9,$G211=$G$10,K$10,$G211=$G$11,K$11,$G211=$G$12,K$12,$G211=$G$13,K$13,$G211=$G$15,K$15,$G211=$G$16,K$16,$G211=$G$17,K$17,$G211=$G$18,K$18,$G211=$G$19,K$19,$G211=$G$20,K$20,$G211=$G$21,K$21,$G211=$G$22,K$22,$G211=$G$25,K$25,$G211=$G$26,K$26,$G211=$G$27,K$27,$G211=$G$29,K$29,$G211=$G$31,K$31,$G211=$G$32,K$150,$G211=$G$248,K$248,$G211=$G$250,K$250)</f>
        <v>BG sentinel + BG lure7</v>
      </c>
      <c r="L211" s="48"/>
      <c r="M211" s="48"/>
      <c r="O211" s="45" t="str">
        <f t="shared" si="10"/>
        <v>A_SP_BCN_3_210616</v>
      </c>
      <c r="P211" s="64">
        <v>44363</v>
      </c>
      <c r="R211" s="72"/>
      <c r="S211" s="64">
        <v>44370</v>
      </c>
      <c r="U211" s="72"/>
      <c r="V211" s="54" t="s">
        <v>66</v>
      </c>
      <c r="X211" s="45">
        <f t="shared" si="5"/>
        <v>7</v>
      </c>
      <c r="Z211" s="45" t="s">
        <v>80</v>
      </c>
      <c r="AA211" s="45">
        <f t="shared" si="16"/>
        <v>4</v>
      </c>
      <c r="AB211" t="str">
        <f t="shared" si="17"/>
        <v>Adult</v>
      </c>
      <c r="AC211" s="69">
        <v>2</v>
      </c>
      <c r="AD211" s="69">
        <v>2</v>
      </c>
      <c r="AE211" s="45" t="str">
        <f t="shared" si="18"/>
        <v>Morphological</v>
      </c>
      <c r="AF211" s="56">
        <v>4</v>
      </c>
    </row>
    <row r="212" spans="1:32" ht="18" customHeight="1" x14ac:dyDescent="0.25">
      <c r="A212" s="45">
        <v>208</v>
      </c>
      <c r="B212" s="45" t="s">
        <v>60</v>
      </c>
      <c r="C212" s="45" t="s">
        <v>61</v>
      </c>
      <c r="D212" s="45" t="s">
        <v>62</v>
      </c>
      <c r="E212" s="45" t="s">
        <v>62</v>
      </c>
      <c r="F212" s="46" cm="1">
        <f t="array" ref="F212">_xlfn.IFS($G212=$G$5,F$5,$G212=$G$6,F$6,$G212=$G$7,F$7,$G212=$G$8,F$8,$G212=$G$9,F$9,$G212=$G$10,F$10,$G212=$G$11,F$11,$G212=$G$12,F$12,$G212=$G$13,F$13,$G212=$G$15,F$15,$G212=$G$16,F$16,$G212=$G$17,F$17,$G212=$G$18,F$18,$G212=$G$19,F$19,$G212=$G$20,F$20,$G212=$G$21,F$21,$G212=$G$22,F$22,$G212=$G$25,F$25,$G212=$G$26,F$26,$G212=$G$27,F$27,$G212=$G$29,F$29,$G212=$G$31,F$31,$G212=$G$32,F$32,$G212=$G$248,F$248,$G212=$G$250,F$250)</f>
        <v>8018</v>
      </c>
      <c r="G212" t="s">
        <v>71</v>
      </c>
      <c r="H212" s="66" cm="1">
        <f t="array" ref="H212">_xlfn.IFS($G212=$G$5,H$5,$G212=$G$6,H$6,$G212=$G$7,H$7,$G212=$G$8,H$8,$G212=$G$9,H$9,$G212=$G$10,H$10,$G212=$G$11,H$11,$G212=$G$12,H$12,$G212=$G$13,H$13,$G212=$G$15,H$15,$G212=$G$16,H$16,$G212=$G$17,H$17,$G212=$G$18,H$18,$G212=$G$19,H$19,$G212=$G$20,H$20,$G212=$G$21,H$21,$G212=$G$22,H$22,$G212=$G$25,H$25,$G212=$G$26,H$26,$G212=$G$27,H$27,$G212=$G$29,H$29,$G212=$G$31,H$31,$G212=$G$32,H$150,$G212=$G$248,H$248,$G212=$G$250,H$250)</f>
        <v>41.410684000000003</v>
      </c>
      <c r="I212" s="60" cm="1">
        <f t="array" ref="I212">_xlfn.IFS($G212=$G$5,I$5,$G212=$G$6,I$6,$G212=$G$7,I$7,$G212=$G$8,I$8,$G212=$G$9,I$9,$G212=$G$10,I$10,$G212=$G$11,I$11,$G212=$G$12,I$12,$G212=$G$13,I$13,$G212=$G$15,I$15,$G212=$G$16,I$16,$G212=$G$17,I$17,$G212=$G$18,I$18,$G212=$G$19,I$19,$G212=$G$20,I$20,$G212=$G$21,I$21,$G212=$G$22,I$22,$G212=$G$25,I$25,$G212=$G$26,I$26,$G212=$G$27,I$27,$G212=$G$29,I$29,$G212=$G$31,I$31,$G212=$G$32,I$150,$G212=$G$248,I$248,$G212=$G$250,I$250)</f>
        <v>2.2208019999999999</v>
      </c>
      <c r="J212" cm="1">
        <f t="array" ref="J212">_xlfn.IFS($G212=$G$5,J$5,$G212=$G$6,J$6,$G212=$G$7,J$7,$G212=$G$8,J$8,$G212=$G$9,J$9,$G212=$G$10,J$10,$G212=$G$11,J$11,$G212=$G$12,J$12,$G212=$G$13,J$13,$G212=$G$15,J$15,$G212=$G$16,J$16,$G212=$G$17,J$17,$G212=$G$18,J$18,$G212=$G$19,J$19,$G212=$G$20,J$20,$G212=$G$21,J$21,$G212=$G$22,J$22,$G212=$G$25,J$25,$G212=$G$26,J$26,$G212=$G$27,J$27,$G212=$G$29,J$29,$G212=$G$31,J$31,$G212=$G$32,J$150,$G212=$G$248,J$248,$G212=$G$250,J$250)</f>
        <v>4</v>
      </c>
      <c r="K212" s="48" t="str" cm="1">
        <f t="array" ref="K212">_xlfn.IFS($G212=$G$5,K$5,$G212=$G$6,K$6,$G212=$G$7,K$7,$G212=$G$8,K$8,$G212=$G$9,K$9,$G212=$G$10,K$10,$G212=$G$11,K$11,$G212=$G$12,K$12,$G212=$G$13,K$13,$G212=$G$15,K$15,$G212=$G$16,K$16,$G212=$G$17,K$17,$G212=$G$18,K$18,$G212=$G$19,K$19,$G212=$G$20,K$20,$G212=$G$21,K$21,$G212=$G$22,K$22,$G212=$G$25,K$25,$G212=$G$26,K$26,$G212=$G$27,K$27,$G212=$G$29,K$29,$G212=$G$31,K$31,$G212=$G$32,K$150,$G212=$G$248,K$248,$G212=$G$250,K$250)</f>
        <v>BG sentinel + BG lure7</v>
      </c>
      <c r="L212" s="48"/>
      <c r="M212" s="48"/>
      <c r="O212" s="45" t="str">
        <f t="shared" si="10"/>
        <v>A_SP_BCN_4_210617</v>
      </c>
      <c r="P212" s="64">
        <v>44364</v>
      </c>
      <c r="R212" s="72"/>
      <c r="S212" s="64">
        <v>44370</v>
      </c>
      <c r="U212" s="72"/>
      <c r="V212" s="54" t="s">
        <v>66</v>
      </c>
      <c r="X212" s="45">
        <f t="shared" si="5"/>
        <v>6</v>
      </c>
      <c r="Z212" s="45" t="s">
        <v>70</v>
      </c>
      <c r="AA212" s="45">
        <f t="shared" si="16"/>
        <v>1</v>
      </c>
      <c r="AB212" t="str">
        <f t="shared" si="17"/>
        <v>Adult</v>
      </c>
      <c r="AC212" s="69">
        <v>1</v>
      </c>
      <c r="AD212" s="69">
        <v>0</v>
      </c>
      <c r="AE212" s="45" t="str">
        <f t="shared" si="18"/>
        <v>Morphological</v>
      </c>
      <c r="AF212" s="56">
        <v>4</v>
      </c>
    </row>
    <row r="213" spans="1:32" ht="18" customHeight="1" x14ac:dyDescent="0.25">
      <c r="A213" s="45">
        <v>209</v>
      </c>
      <c r="B213" s="45" t="s">
        <v>60</v>
      </c>
      <c r="C213" s="45" t="s">
        <v>61</v>
      </c>
      <c r="D213" s="45" t="s">
        <v>62</v>
      </c>
      <c r="E213" s="45" t="s">
        <v>62</v>
      </c>
      <c r="F213" s="46" cm="1">
        <f t="array" ref="F213">_xlfn.IFS($G213=$G$5,F$5,$G213=$G$6,F$6,$G213=$G$7,F$7,$G213=$G$8,F$8,$G213=$G$9,F$9,$G213=$G$10,F$10,$G213=$G$11,F$11,$G213=$G$12,F$12,$G213=$G$13,F$13,$G213=$G$15,F$15,$G213=$G$16,F$16,$G213=$G$17,F$17,$G213=$G$18,F$18,$G213=$G$19,F$19,$G213=$G$20,F$20,$G213=$G$21,F$21,$G213=$G$22,F$22,$G213=$G$25,F$25,$G213=$G$26,F$26,$G213=$G$27,F$27,$G213=$G$29,F$29,$G213=$G$31,F$31,$G213=$G$32,F$32,$G213=$G$248,F$248,$G213=$G$250,F$250)</f>
        <v>8019</v>
      </c>
      <c r="G213" t="s">
        <v>72</v>
      </c>
      <c r="H213" s="66" cm="1">
        <f t="array" ref="H213">_xlfn.IFS($G213=$G$5,H$5,$G213=$G$6,H$6,$G213=$G$7,H$7,$G213=$G$8,H$8,$G213=$G$9,H$9,$G213=$G$10,H$10,$G213=$G$11,H$11,$G213=$G$12,H$12,$G213=$G$13,H$13,$G213=$G$15,H$15,$G213=$G$16,H$16,$G213=$G$17,H$17,$G213=$G$18,H$18,$G213=$G$19,H$19,$G213=$G$20,H$20,$G213=$G$21,H$21,$G213=$G$22,H$22,$G213=$G$25,H$25,$G213=$G$26,H$26,$G213=$G$27,H$27,$G213=$G$29,H$29,$G213=$G$31,H$31,$G213=$G$32,H$150,$G213=$G$248,H$248,$G213=$G$250,H$250)</f>
        <v>41.382339999999999</v>
      </c>
      <c r="I213" s="60" cm="1">
        <f t="array" ref="I213">_xlfn.IFS($G213=$G$5,I$5,$G213=$G$6,I$6,$G213=$G$7,I$7,$G213=$G$8,I$8,$G213=$G$9,I$9,$G213=$G$10,I$10,$G213=$G$11,I$11,$G213=$G$12,I$12,$G213=$G$13,I$13,$G213=$G$15,I$15,$G213=$G$16,I$16,$G213=$G$17,I$17,$G213=$G$18,I$18,$G213=$G$19,I$19,$G213=$G$20,I$20,$G213=$G$21,I$21,$G213=$G$22,I$22,$G213=$G$25,I$25,$G213=$G$26,I$26,$G213=$G$27,I$27,$G213=$G$29,I$29,$G213=$G$31,I$31,$G213=$G$32,I$150,$G213=$G$248,I$248,$G213=$G$250,I$250)</f>
        <v>2.1714790000000002</v>
      </c>
      <c r="J213" cm="1">
        <f t="array" ref="J213">_xlfn.IFS($G213=$G$5,J$5,$G213=$G$6,J$6,$G213=$G$7,J$7,$G213=$G$8,J$8,$G213=$G$9,J$9,$G213=$G$10,J$10,$G213=$G$11,J$11,$G213=$G$12,J$12,$G213=$G$13,J$13,$G213=$G$15,J$15,$G213=$G$16,J$16,$G213=$G$17,J$17,$G213=$G$18,J$18,$G213=$G$19,J$19,$G213=$G$20,J$20,$G213=$G$21,J$21,$G213=$G$22,J$22,$G213=$G$25,J$25,$G213=$G$26,J$26,$G213=$G$27,J$27,$G213=$G$29,J$29,$G213=$G$31,J$31,$G213=$G$32,J$150,$G213=$G$248,J$248,$G213=$G$250,J$250)</f>
        <v>18</v>
      </c>
      <c r="K213" s="48" t="str" cm="1">
        <f t="array" ref="K213">_xlfn.IFS($G213=$G$5,K$5,$G213=$G$6,K$6,$G213=$G$7,K$7,$G213=$G$8,K$8,$G213=$G$9,K$9,$G213=$G$10,K$10,$G213=$G$11,K$11,$G213=$G$12,K$12,$G213=$G$13,K$13,$G213=$G$15,K$15,$G213=$G$16,K$16,$G213=$G$17,K$17,$G213=$G$18,K$18,$G213=$G$19,K$19,$G213=$G$20,K$20,$G213=$G$21,K$21,$G213=$G$22,K$22,$G213=$G$25,K$25,$G213=$G$26,K$26,$G213=$G$27,K$27,$G213=$G$29,K$29,$G213=$G$31,K$31,$G213=$G$32,K$150,$G213=$G$248,K$248,$G213=$G$250,K$250)</f>
        <v>BG sentinel + BG lure7</v>
      </c>
      <c r="L213" s="48"/>
      <c r="M213" s="48"/>
      <c r="O213" s="45" t="str">
        <f t="shared" si="10"/>
        <v>A_SP_BCN_5_210617</v>
      </c>
      <c r="P213" s="64">
        <v>44364</v>
      </c>
      <c r="R213" s="72"/>
      <c r="S213" s="64">
        <v>44370</v>
      </c>
      <c r="U213" s="72"/>
      <c r="V213" s="54" t="s">
        <v>66</v>
      </c>
      <c r="X213" s="45">
        <f t="shared" si="5"/>
        <v>6</v>
      </c>
      <c r="Z213" s="69" t="s">
        <v>69</v>
      </c>
      <c r="AA213" s="45">
        <f t="shared" si="16"/>
        <v>1</v>
      </c>
      <c r="AB213" t="str">
        <f t="shared" si="17"/>
        <v>Adult</v>
      </c>
      <c r="AC213" s="69">
        <v>0</v>
      </c>
      <c r="AD213" s="69">
        <v>1</v>
      </c>
      <c r="AE213" s="45" t="str">
        <f t="shared" si="18"/>
        <v>Morphological</v>
      </c>
      <c r="AF213" s="56">
        <v>4</v>
      </c>
    </row>
    <row r="214" spans="1:32" ht="18" customHeight="1" x14ac:dyDescent="0.25">
      <c r="A214" s="45">
        <v>210</v>
      </c>
      <c r="B214" s="45" t="s">
        <v>60</v>
      </c>
      <c r="C214" s="45" t="s">
        <v>61</v>
      </c>
      <c r="D214" s="45" t="s">
        <v>62</v>
      </c>
      <c r="E214" s="45" t="s">
        <v>62</v>
      </c>
      <c r="F214" s="46" cm="1">
        <f t="array" ref="F214">_xlfn.IFS($G214=$G$5,F$5,$G214=$G$6,F$6,$G214=$G$7,F$7,$G214=$G$8,F$8,$G214=$G$9,F$9,$G214=$G$10,F$10,$G214=$G$11,F$11,$G214=$G$12,F$12,$G214=$G$13,F$13,$G214=$G$15,F$15,$G214=$G$16,F$16,$G214=$G$17,F$17,$G214=$G$18,F$18,$G214=$G$19,F$19,$G214=$G$20,F$20,$G214=$G$21,F$21,$G214=$G$22,F$22,$G214=$G$25,F$25,$G214=$G$26,F$26,$G214=$G$27,F$27,$G214=$G$29,F$29,$G214=$G$31,F$31,$G214=$G$32,F$32,$G214=$G$248,F$248,$G214=$G$250,F$250)</f>
        <v>8019</v>
      </c>
      <c r="G214" t="s">
        <v>72</v>
      </c>
      <c r="H214" s="66" cm="1">
        <f t="array" ref="H214">_xlfn.IFS($G214=$G$5,H$5,$G214=$G$6,H$6,$G214=$G$7,H$7,$G214=$G$8,H$8,$G214=$G$9,H$9,$G214=$G$10,H$10,$G214=$G$11,H$11,$G214=$G$12,H$12,$G214=$G$13,H$13,$G214=$G$15,H$15,$G214=$G$16,H$16,$G214=$G$17,H$17,$G214=$G$18,H$18,$G214=$G$19,H$19,$G214=$G$20,H$20,$G214=$G$21,H$21,$G214=$G$22,H$22,$G214=$G$25,H$25,$G214=$G$26,H$26,$G214=$G$27,H$27,$G214=$G$29,H$29,$G214=$G$31,H$31,$G214=$G$32,H$150,$G214=$G$248,H$248,$G214=$G$250,H$250)</f>
        <v>41.382339999999999</v>
      </c>
      <c r="I214" s="60" cm="1">
        <f t="array" ref="I214">_xlfn.IFS($G214=$G$5,I$5,$G214=$G$6,I$6,$G214=$G$7,I$7,$G214=$G$8,I$8,$G214=$G$9,I$9,$G214=$G$10,I$10,$G214=$G$11,I$11,$G214=$G$12,I$12,$G214=$G$13,I$13,$G214=$G$15,I$15,$G214=$G$16,I$16,$G214=$G$17,I$17,$G214=$G$18,I$18,$G214=$G$19,I$19,$G214=$G$20,I$20,$G214=$G$21,I$21,$G214=$G$22,I$22,$G214=$G$25,I$25,$G214=$G$26,I$26,$G214=$G$27,I$27,$G214=$G$29,I$29,$G214=$G$31,I$31,$G214=$G$32,I$150,$G214=$G$248,I$248,$G214=$G$250,I$250)</f>
        <v>2.1714790000000002</v>
      </c>
      <c r="J214" cm="1">
        <f t="array" ref="J214">_xlfn.IFS($G214=$G$5,J$5,$G214=$G$6,J$6,$G214=$G$7,J$7,$G214=$G$8,J$8,$G214=$G$9,J$9,$G214=$G$10,J$10,$G214=$G$11,J$11,$G214=$G$12,J$12,$G214=$G$13,J$13,$G214=$G$15,J$15,$G214=$G$16,J$16,$G214=$G$17,J$17,$G214=$G$18,J$18,$G214=$G$19,J$19,$G214=$G$20,J$20,$G214=$G$21,J$21,$G214=$G$22,J$22,$G214=$G$25,J$25,$G214=$G$26,J$26,$G214=$G$27,J$27,$G214=$G$29,J$29,$G214=$G$31,J$31,$G214=$G$32,J$150,$G214=$G$248,J$248,$G214=$G$250,J$250)</f>
        <v>18</v>
      </c>
      <c r="K214" s="48" t="str" cm="1">
        <f t="array" ref="K214">_xlfn.IFS($G214=$G$5,K$5,$G214=$G$6,K$6,$G214=$G$7,K$7,$G214=$G$8,K$8,$G214=$G$9,K$9,$G214=$G$10,K$10,$G214=$G$11,K$11,$G214=$G$12,K$12,$G214=$G$13,K$13,$G214=$G$15,K$15,$G214=$G$16,K$16,$G214=$G$17,K$17,$G214=$G$18,K$18,$G214=$G$19,K$19,$G214=$G$20,K$20,$G214=$G$21,K$21,$G214=$G$22,K$22,$G214=$G$25,K$25,$G214=$G$26,K$26,$G214=$G$27,K$27,$G214=$G$29,K$29,$G214=$G$31,K$31,$G214=$G$32,K$150,$G214=$G$248,K$248,$G214=$G$250,K$250)</f>
        <v>BG sentinel + BG lure7</v>
      </c>
      <c r="L214" s="48"/>
      <c r="M214" s="48"/>
      <c r="O214" s="45" t="str">
        <f t="shared" si="10"/>
        <v>A_SP_BCN_5_210617</v>
      </c>
      <c r="P214" s="64">
        <v>44364</v>
      </c>
      <c r="R214" s="72"/>
      <c r="S214" s="64">
        <v>44370</v>
      </c>
      <c r="U214" s="72"/>
      <c r="V214" s="54" t="s">
        <v>66</v>
      </c>
      <c r="X214" s="45">
        <f t="shared" si="5"/>
        <v>6</v>
      </c>
      <c r="Z214" s="45" t="s">
        <v>70</v>
      </c>
      <c r="AA214" s="45">
        <f t="shared" si="16"/>
        <v>1</v>
      </c>
      <c r="AB214" t="str">
        <f t="shared" si="17"/>
        <v>Adult</v>
      </c>
      <c r="AC214" s="69">
        <v>0</v>
      </c>
      <c r="AD214" s="69">
        <v>1</v>
      </c>
      <c r="AE214" s="45" t="str">
        <f t="shared" si="18"/>
        <v>Morphological</v>
      </c>
      <c r="AF214" s="56">
        <v>4</v>
      </c>
    </row>
    <row r="215" spans="1:32" ht="18" customHeight="1" x14ac:dyDescent="0.25">
      <c r="A215" s="45">
        <v>211</v>
      </c>
      <c r="B215" s="45" t="s">
        <v>60</v>
      </c>
      <c r="C215" s="45" t="s">
        <v>61</v>
      </c>
      <c r="D215" s="45" t="s">
        <v>62</v>
      </c>
      <c r="E215" s="45" t="s">
        <v>62</v>
      </c>
      <c r="F215" s="46" cm="1">
        <f t="array" ref="F215">_xlfn.IFS($G215=$G$5,F$5,$G215=$G$6,F$6,$G215=$G$7,F$7,$G215=$G$8,F$8,$G215=$G$9,F$9,$G215=$G$10,F$10,$G215=$G$11,F$11,$G215=$G$12,F$12,$G215=$G$13,F$13,$G215=$G$15,F$15,$G215=$G$16,F$16,$G215=$G$17,F$17,$G215=$G$18,F$18,$G215=$G$19,F$19,$G215=$G$20,F$20,$G215=$G$21,F$21,$G215=$G$22,F$22,$G215=$G$25,F$25,$G215=$G$26,F$26,$G215=$G$27,F$27,$G215=$G$29,F$29,$G215=$G$31,F$31,$G215=$G$32,F$32,$G215=$G$248,F$248,$G215=$G$250,F$250)</f>
        <v>8002</v>
      </c>
      <c r="G215" t="s">
        <v>73</v>
      </c>
      <c r="H215" s="66" cm="1">
        <f t="array" ref="H215">_xlfn.IFS($G215=$G$5,H$5,$G215=$G$6,H$6,$G215=$G$7,H$7,$G215=$G$8,H$8,$G215=$G$9,H$9,$G215=$G$10,H$10,$G215=$G$11,H$11,$G215=$G$12,H$12,$G215=$G$13,H$13,$G215=$G$15,H$15,$G215=$G$16,H$16,$G215=$G$17,H$17,$G215=$G$18,H$18,$G215=$G$19,H$19,$G215=$G$20,H$20,$G215=$G$21,H$21,$G215=$G$22,H$22,$G215=$G$25,H$25,$G215=$G$26,H$26,$G215=$G$27,H$27,$G215=$G$29,H$29,$G215=$G$31,H$31,$G215=$G$32,H$150,$G215=$G$248,H$248,$G215=$G$250,H$250)</f>
        <v>41.371864000000002</v>
      </c>
      <c r="I215" s="60" cm="1">
        <f t="array" ref="I215">_xlfn.IFS($G215=$G$5,I$5,$G215=$G$6,I$6,$G215=$G$7,I$7,$G215=$G$8,I$8,$G215=$G$9,I$9,$G215=$G$10,I$10,$G215=$G$11,I$11,$G215=$G$12,I$12,$G215=$G$13,I$13,$G215=$G$15,I$15,$G215=$G$16,I$16,$G215=$G$17,I$17,$G215=$G$18,I$18,$G215=$G$19,I$19,$G215=$G$20,I$20,$G215=$G$21,I$21,$G215=$G$22,I$22,$G215=$G$25,I$25,$G215=$G$26,I$26,$G215=$G$27,I$27,$G215=$G$29,I$29,$G215=$G$31,I$31,$G215=$G$32,I$150,$G215=$G$248,I$248,$G215=$G$250,I$250)</f>
        <v>2.173899</v>
      </c>
      <c r="J215" cm="1">
        <f t="array" ref="J215">_xlfn.IFS($G215=$G$5,J$5,$G215=$G$6,J$6,$G215=$G$7,J$7,$G215=$G$8,J$8,$G215=$G$9,J$9,$G215=$G$10,J$10,$G215=$G$11,J$11,$G215=$G$12,J$12,$G215=$G$13,J$13,$G215=$G$15,J$15,$G215=$G$16,J$16,$G215=$G$17,J$17,$G215=$G$18,J$18,$G215=$G$19,J$19,$G215=$G$20,J$20,$G215=$G$21,J$21,$G215=$G$22,J$22,$G215=$G$25,J$25,$G215=$G$26,J$26,$G215=$G$27,J$27,$G215=$G$29,J$29,$G215=$G$31,J$31,$G215=$G$32,J$150,$G215=$G$248,J$248,$G215=$G$250,J$250)</f>
        <v>19</v>
      </c>
      <c r="K215" s="48" t="str" cm="1">
        <f t="array" ref="K215">_xlfn.IFS($G215=$G$5,K$5,$G215=$G$6,K$6,$G215=$G$7,K$7,$G215=$G$8,K$8,$G215=$G$9,K$9,$G215=$G$10,K$10,$G215=$G$11,K$11,$G215=$G$12,K$12,$G215=$G$13,K$13,$G215=$G$15,K$15,$G215=$G$16,K$16,$G215=$G$17,K$17,$G215=$G$18,K$18,$G215=$G$19,K$19,$G215=$G$20,K$20,$G215=$G$21,K$21,$G215=$G$22,K$22,$G215=$G$25,K$25,$G215=$G$26,K$26,$G215=$G$27,K$27,$G215=$G$29,K$29,$G215=$G$31,K$31,$G215=$G$32,K$150,$G215=$G$248,K$248,$G215=$G$250,K$250)</f>
        <v>BG sentinel + BG lure7</v>
      </c>
      <c r="L215" s="48"/>
      <c r="M215" s="48"/>
      <c r="O215" s="45" t="str">
        <f t="shared" si="10"/>
        <v>A_SP_BCN_6_210617</v>
      </c>
      <c r="P215" s="64">
        <v>44364</v>
      </c>
      <c r="R215" s="72"/>
      <c r="S215" s="64">
        <v>44369</v>
      </c>
      <c r="U215" s="72"/>
      <c r="V215" s="54" t="s">
        <v>66</v>
      </c>
      <c r="X215" s="45">
        <f t="shared" si="5"/>
        <v>5</v>
      </c>
      <c r="Z215" s="69" t="s">
        <v>69</v>
      </c>
      <c r="AA215" s="45">
        <f t="shared" si="16"/>
        <v>1</v>
      </c>
      <c r="AB215" t="str">
        <f t="shared" si="17"/>
        <v>Adult</v>
      </c>
      <c r="AC215" s="69">
        <v>1</v>
      </c>
      <c r="AD215" s="69">
        <v>0</v>
      </c>
      <c r="AE215" s="45" t="str">
        <f t="shared" si="18"/>
        <v>Morphological</v>
      </c>
      <c r="AF215" s="56">
        <v>4</v>
      </c>
    </row>
    <row r="216" spans="1:32" ht="18" customHeight="1" x14ac:dyDescent="0.25">
      <c r="A216" s="45">
        <v>212</v>
      </c>
      <c r="B216" s="45" t="s">
        <v>60</v>
      </c>
      <c r="C216" s="45" t="s">
        <v>61</v>
      </c>
      <c r="D216" s="45" t="s">
        <v>62</v>
      </c>
      <c r="E216" s="45" t="s">
        <v>62</v>
      </c>
      <c r="F216" s="46" cm="1">
        <f t="array" ref="F216">_xlfn.IFS($G216=$G$5,F$5,$G216=$G$6,F$6,$G216=$G$7,F$7,$G216=$G$8,F$8,$G216=$G$9,F$9,$G216=$G$10,F$10,$G216=$G$11,F$11,$G216=$G$12,F$12,$G216=$G$13,F$13,$G216=$G$15,F$15,$G216=$G$16,F$16,$G216=$G$17,F$17,$G216=$G$18,F$18,$G216=$G$19,F$19,$G216=$G$20,F$20,$G216=$G$21,F$21,$G216=$G$22,F$22,$G216=$G$25,F$25,$G216=$G$26,F$26,$G216=$G$27,F$27,$G216=$G$29,F$29,$G216=$G$31,F$31,$G216=$G$32,F$32,$G216=$G$248,F$248,$G216=$G$250,F$250)</f>
        <v>8038</v>
      </c>
      <c r="G216" t="s">
        <v>74</v>
      </c>
      <c r="H216" s="66" cm="1">
        <f t="array" ref="H216">_xlfn.IFS($G216=$G$5,H$5,$G216=$G$6,H$6,$G216=$G$7,H$7,$G216=$G$8,H$8,$G216=$G$9,H$9,$G216=$G$10,H$10,$G216=$G$11,H$11,$G216=$G$12,H$12,$G216=$G$13,H$13,$G216=$G$15,H$15,$G216=$G$16,H$16,$G216=$G$17,H$17,$G216=$G$18,H$18,$G216=$G$19,H$19,$G216=$G$20,H$20,$G216=$G$21,H$21,$G216=$G$22,H$22,$G216=$G$25,H$25,$G216=$G$26,H$26,$G216=$G$27,H$27,$G216=$G$29,H$29,$G216=$G$31,H$31,$G216=$G$32,H$150,$G216=$G$248,H$248,$G216=$G$250,H$250)</f>
        <v>41.371864000000002</v>
      </c>
      <c r="I216" s="60" cm="1">
        <f t="array" ref="I216">_xlfn.IFS($G216=$G$5,I$5,$G216=$G$6,I$6,$G216=$G$7,I$7,$G216=$G$8,I$8,$G216=$G$9,I$9,$G216=$G$10,I$10,$G216=$G$11,I$11,$G216=$G$12,I$12,$G216=$G$13,I$13,$G216=$G$15,I$15,$G216=$G$16,I$16,$G216=$G$17,I$17,$G216=$G$18,I$18,$G216=$G$19,I$19,$G216=$G$20,I$20,$G216=$G$21,I$21,$G216=$G$22,I$22,$G216=$G$25,I$25,$G216=$G$26,I$26,$G216=$G$27,I$27,$G216=$G$29,I$29,$G216=$G$31,I$31,$G216=$G$32,I$150,$G216=$G$248,I$248,$G216=$G$250,I$250)</f>
        <v>2.173899</v>
      </c>
      <c r="J216" cm="1">
        <f t="array" ref="J216">_xlfn.IFS($G216=$G$5,J$5,$G216=$G$6,J$6,$G216=$G$7,J$7,$G216=$G$8,J$8,$G216=$G$9,J$9,$G216=$G$10,J$10,$G216=$G$11,J$11,$G216=$G$12,J$12,$G216=$G$13,J$13,$G216=$G$15,J$15,$G216=$G$16,J$16,$G216=$G$17,J$17,$G216=$G$18,J$18,$G216=$G$19,J$19,$G216=$G$20,J$20,$G216=$G$21,J$21,$G216=$G$22,J$22,$G216=$G$25,J$25,$G216=$G$26,J$26,$G216=$G$27,J$27,$G216=$G$29,J$29,$G216=$G$31,J$31,$G216=$G$32,J$150,$G216=$G$248,J$248,$G216=$G$250,J$250)</f>
        <v>5</v>
      </c>
      <c r="K216" s="48" t="str" cm="1">
        <f t="array" ref="K216">_xlfn.IFS($G216=$G$5,K$5,$G216=$G$6,K$6,$G216=$G$7,K$7,$G216=$G$8,K$8,$G216=$G$9,K$9,$G216=$G$10,K$10,$G216=$G$11,K$11,$G216=$G$12,K$12,$G216=$G$13,K$13,$G216=$G$15,K$15,$G216=$G$16,K$16,$G216=$G$17,K$17,$G216=$G$18,K$18,$G216=$G$19,K$19,$G216=$G$20,K$20,$G216=$G$21,K$21,$G216=$G$22,K$22,$G216=$G$25,K$25,$G216=$G$26,K$26,$G216=$G$27,K$27,$G216=$G$29,K$29,$G216=$G$31,K$31,$G216=$G$32,K$150,$G216=$G$248,K$248,$G216=$G$250,K$250)</f>
        <v>BG sentinel + BG lure7</v>
      </c>
      <c r="L216" s="48"/>
      <c r="M216" s="48"/>
      <c r="O216" s="45" t="str">
        <f t="shared" si="10"/>
        <v>A_SP_BCN_7_210617</v>
      </c>
      <c r="P216" s="64">
        <v>44364</v>
      </c>
      <c r="R216" s="72"/>
      <c r="S216" s="64">
        <v>44370</v>
      </c>
      <c r="U216" s="72"/>
      <c r="V216" t="s">
        <v>116</v>
      </c>
      <c r="X216" s="45">
        <f t="shared" si="5"/>
        <v>6</v>
      </c>
      <c r="Z216" s="69" t="s">
        <v>69</v>
      </c>
      <c r="AA216" s="45">
        <f t="shared" si="16"/>
        <v>1</v>
      </c>
      <c r="AB216" t="str">
        <f t="shared" si="17"/>
        <v>Adult</v>
      </c>
      <c r="AC216" s="69">
        <v>1</v>
      </c>
      <c r="AD216" s="69">
        <v>0</v>
      </c>
      <c r="AE216" s="45" t="str">
        <f t="shared" si="18"/>
        <v>Morphological</v>
      </c>
      <c r="AF216">
        <v>1</v>
      </c>
    </row>
    <row r="217" spans="1:32" ht="18" customHeight="1" x14ac:dyDescent="0.25">
      <c r="A217" s="45">
        <v>213</v>
      </c>
      <c r="B217" s="45" t="s">
        <v>60</v>
      </c>
      <c r="C217" s="45" t="s">
        <v>61</v>
      </c>
      <c r="D217" s="45" t="s">
        <v>62</v>
      </c>
      <c r="E217" s="45" t="s">
        <v>62</v>
      </c>
      <c r="F217" s="46" cm="1">
        <f t="array" ref="F217">_xlfn.IFS($G217=$G$5,F$5,$G217=$G$6,F$6,$G217=$G$7,F$7,$G217=$G$8,F$8,$G217=$G$9,F$9,$G217=$G$10,F$10,$G217=$G$11,F$11,$G217=$G$12,F$12,$G217=$G$13,F$13,$G217=$G$15,F$15,$G217=$G$16,F$16,$G217=$G$17,F$17,$G217=$G$18,F$18,$G217=$G$19,F$19,$G217=$G$20,F$20,$G217=$G$21,F$21,$G217=$G$22,F$22,$G217=$G$25,F$25,$G217=$G$26,F$26,$G217=$G$27,F$27,$G217=$G$29,F$29,$G217=$G$31,F$31,$G217=$G$32,F$32,$G217=$G$248,F$248,$G217=$G$250,F$250)</f>
        <v>8038</v>
      </c>
      <c r="G217" t="s">
        <v>75</v>
      </c>
      <c r="H217" s="66" cm="1">
        <f t="array" ref="H217">_xlfn.IFS($G217=$G$5,H$5,$G217=$G$6,H$6,$G217=$G$7,H$7,$G217=$G$8,H$8,$G217=$G$9,H$9,$G217=$G$10,H$10,$G217=$G$11,H$11,$G217=$G$12,H$12,$G217=$G$13,H$13,$G217=$G$15,H$15,$G217=$G$16,H$16,$G217=$G$17,H$17,$G217=$G$18,H$18,$G217=$G$19,H$19,$G217=$G$20,H$20,$G217=$G$21,H$21,$G217=$G$22,H$22,$G217=$G$25,H$25,$G217=$G$26,H$26,$G217=$G$27,H$27,$G217=$G$29,H$29,$G217=$G$31,H$31,$G217=$G$32,H$150,$G217=$G$248,H$248,$G217=$G$250,H$250)</f>
        <v>41.368589</v>
      </c>
      <c r="I217" s="60" cm="1">
        <f t="array" ref="I217">_xlfn.IFS($G217=$G$5,I$5,$G217=$G$6,I$6,$G217=$G$7,I$7,$G217=$G$8,I$8,$G217=$G$9,I$9,$G217=$G$10,I$10,$G217=$G$11,I$11,$G217=$G$12,I$12,$G217=$G$13,I$13,$G217=$G$15,I$15,$G217=$G$16,I$16,$G217=$G$17,I$17,$G217=$G$18,I$18,$G217=$G$19,I$19,$G217=$G$20,I$20,$G217=$G$21,I$21,$G217=$G$22,I$22,$G217=$G$25,I$25,$G217=$G$26,I$26,$G217=$G$27,I$27,$G217=$G$29,I$29,$G217=$G$31,I$31,$G217=$G$32,I$150,$G217=$G$248,I$248,$G217=$G$250,I$250)</f>
        <v>2.1620900000000001</v>
      </c>
      <c r="J217" cm="1">
        <f t="array" ref="J217">_xlfn.IFS($G217=$G$5,J$5,$G217=$G$6,J$6,$G217=$G$7,J$7,$G217=$G$8,J$8,$G217=$G$9,J$9,$G217=$G$10,J$10,$G217=$G$11,J$11,$G217=$G$12,J$12,$G217=$G$13,J$13,$G217=$G$15,J$15,$G217=$G$16,J$16,$G217=$G$17,J$17,$G217=$G$18,J$18,$G217=$G$19,J$19,$G217=$G$20,J$20,$G217=$G$21,J$21,$G217=$G$22,J$22,$G217=$G$25,J$25,$G217=$G$26,J$26,$G217=$G$27,J$27,$G217=$G$29,J$29,$G217=$G$31,J$31,$G217=$G$32,J$150,$G217=$G$248,J$248,$G217=$G$250,J$250)</f>
        <v>95</v>
      </c>
      <c r="K217" s="48" t="str" cm="1">
        <f t="array" ref="K217">_xlfn.IFS($G217=$G$5,K$5,$G217=$G$6,K$6,$G217=$G$7,K$7,$G217=$G$8,K$8,$G217=$G$9,K$9,$G217=$G$10,K$10,$G217=$G$11,K$11,$G217=$G$12,K$12,$G217=$G$13,K$13,$G217=$G$15,K$15,$G217=$G$16,K$16,$G217=$G$17,K$17,$G217=$G$18,K$18,$G217=$G$19,K$19,$G217=$G$20,K$20,$G217=$G$21,K$21,$G217=$G$22,K$22,$G217=$G$25,K$25,$G217=$G$26,K$26,$G217=$G$27,K$27,$G217=$G$29,K$29,$G217=$G$31,K$31,$G217=$G$32,K$150,$G217=$G$248,K$248,$G217=$G$250,K$250)</f>
        <v>BG sentinel + BG lure7</v>
      </c>
      <c r="L217" s="48"/>
      <c r="M217" s="48"/>
      <c r="O217" s="45" t="str">
        <f t="shared" si="10"/>
        <v>A_SP_BCN_8_210617</v>
      </c>
      <c r="P217" s="64">
        <v>44364</v>
      </c>
      <c r="R217" s="72"/>
      <c r="S217" s="64">
        <v>44370</v>
      </c>
      <c r="U217" s="72"/>
      <c r="V217" s="54" t="s">
        <v>66</v>
      </c>
      <c r="X217" s="45">
        <f t="shared" si="5"/>
        <v>6</v>
      </c>
      <c r="Z217" s="69" t="s">
        <v>69</v>
      </c>
      <c r="AA217" s="45">
        <f t="shared" si="16"/>
        <v>9</v>
      </c>
      <c r="AB217" t="str">
        <f t="shared" si="17"/>
        <v>Adult</v>
      </c>
      <c r="AC217" s="69">
        <v>9</v>
      </c>
      <c r="AD217" s="69">
        <v>0</v>
      </c>
      <c r="AE217" s="45" t="str">
        <f t="shared" si="18"/>
        <v>Morphological</v>
      </c>
      <c r="AF217" s="56">
        <v>4</v>
      </c>
    </row>
    <row r="218" spans="1:32" ht="18" customHeight="1" x14ac:dyDescent="0.25">
      <c r="A218" s="45">
        <v>214</v>
      </c>
      <c r="B218" s="45" t="s">
        <v>60</v>
      </c>
      <c r="C218" s="45" t="s">
        <v>61</v>
      </c>
      <c r="D218" s="45" t="s">
        <v>62</v>
      </c>
      <c r="E218" s="45" t="s">
        <v>62</v>
      </c>
      <c r="F218" s="46" cm="1">
        <f t="array" ref="F218">_xlfn.IFS($G218=$G$5,F$5,$G218=$G$6,F$6,$G218=$G$7,F$7,$G218=$G$8,F$8,$G218=$G$9,F$9,$G218=$G$10,F$10,$G218=$G$11,F$11,$G218=$G$12,F$12,$G218=$G$13,F$13,$G218=$G$15,F$15,$G218=$G$16,F$16,$G218=$G$17,F$17,$G218=$G$18,F$18,$G218=$G$19,F$19,$G218=$G$20,F$20,$G218=$G$21,F$21,$G218=$G$22,F$22,$G218=$G$25,F$25,$G218=$G$26,F$26,$G218=$G$27,F$27,$G218=$G$29,F$29,$G218=$G$31,F$31,$G218=$G$32,F$32,$G218=$G$248,F$248,$G218=$G$250,F$250)</f>
        <v>8038</v>
      </c>
      <c r="G218" t="s">
        <v>75</v>
      </c>
      <c r="H218" s="66" cm="1">
        <f t="array" ref="H218">_xlfn.IFS($G218=$G$5,H$5,$G218=$G$6,H$6,$G218=$G$7,H$7,$G218=$G$8,H$8,$G218=$G$9,H$9,$G218=$G$10,H$10,$G218=$G$11,H$11,$G218=$G$12,H$12,$G218=$G$13,H$13,$G218=$G$15,H$15,$G218=$G$16,H$16,$G218=$G$17,H$17,$G218=$G$18,H$18,$G218=$G$19,H$19,$G218=$G$20,H$20,$G218=$G$21,H$21,$G218=$G$22,H$22,$G218=$G$25,H$25,$G218=$G$26,H$26,$G218=$G$27,H$27,$G218=$G$29,H$29,$G218=$G$31,H$31,$G218=$G$32,H$150,$G218=$G$248,H$248,$G218=$G$250,H$250)</f>
        <v>41.368589</v>
      </c>
      <c r="I218" s="60" cm="1">
        <f t="array" ref="I218">_xlfn.IFS($G218=$G$5,I$5,$G218=$G$6,I$6,$G218=$G$7,I$7,$G218=$G$8,I$8,$G218=$G$9,I$9,$G218=$G$10,I$10,$G218=$G$11,I$11,$G218=$G$12,I$12,$G218=$G$13,I$13,$G218=$G$15,I$15,$G218=$G$16,I$16,$G218=$G$17,I$17,$G218=$G$18,I$18,$G218=$G$19,I$19,$G218=$G$20,I$20,$G218=$G$21,I$21,$G218=$G$22,I$22,$G218=$G$25,I$25,$G218=$G$26,I$26,$G218=$G$27,I$27,$G218=$G$29,I$29,$G218=$G$31,I$31,$G218=$G$32,I$150,$G218=$G$248,I$248,$G218=$G$250,I$250)</f>
        <v>2.1620900000000001</v>
      </c>
      <c r="J218" cm="1">
        <f t="array" ref="J218">_xlfn.IFS($G218=$G$5,J$5,$G218=$G$6,J$6,$G218=$G$7,J$7,$G218=$G$8,J$8,$G218=$G$9,J$9,$G218=$G$10,J$10,$G218=$G$11,J$11,$G218=$G$12,J$12,$G218=$G$13,J$13,$G218=$G$15,J$15,$G218=$G$16,J$16,$G218=$G$17,J$17,$G218=$G$18,J$18,$G218=$G$19,J$19,$G218=$G$20,J$20,$G218=$G$21,J$21,$G218=$G$22,J$22,$G218=$G$25,J$25,$G218=$G$26,J$26,$G218=$G$27,J$27,$G218=$G$29,J$29,$G218=$G$31,J$31,$G218=$G$32,J$150,$G218=$G$248,J$248,$G218=$G$250,J$250)</f>
        <v>95</v>
      </c>
      <c r="K218" s="48" t="str" cm="1">
        <f t="array" ref="K218">_xlfn.IFS($G218=$G$5,K$5,$G218=$G$6,K$6,$G218=$G$7,K$7,$G218=$G$8,K$8,$G218=$G$9,K$9,$G218=$G$10,K$10,$G218=$G$11,K$11,$G218=$G$12,K$12,$G218=$G$13,K$13,$G218=$G$15,K$15,$G218=$G$16,K$16,$G218=$G$17,K$17,$G218=$G$18,K$18,$G218=$G$19,K$19,$G218=$G$20,K$20,$G218=$G$21,K$21,$G218=$G$22,K$22,$G218=$G$25,K$25,$G218=$G$26,K$26,$G218=$G$27,K$27,$G218=$G$29,K$29,$G218=$G$31,K$31,$G218=$G$32,K$150,$G218=$G$248,K$248,$G218=$G$250,K$250)</f>
        <v>BG sentinel + BG lure7</v>
      </c>
      <c r="L218" s="48" t="str" cm="1">
        <f t="array" ref="L218">_xlfn.IFS($G218=$G$5,L$5,$G218=$G$6,L$6,$G218=$G$7,L$7,$G218=$G$8,L$8,$G218=$G$9,L$9,$G218=$G$10,L$10,$G218=$G$11,L$11,$G218=$G$12,L$12,$G218=$G$13,L$13,$G218=$G$15,L$15,$G218=$G$16,L$16,$G218=$G$17,L$17,$G218=$G$18,L$18,$G218=$G$19,L$19,$G218=$G$20,L$20,$G218=$G$21,L$21,$G218=$G$22,L$22,$G218=$G$25,L$25,$G218=$G$26,L$26,$G218=$G$27,L$27,$G218=$G$29,L$29,$G218=$G$31,L$31,$G218=$G$32,L$32,$G218=$G$248,L$248,$G218=$G$250,L$250)</f>
        <v>Other</v>
      </c>
      <c r="M218" s="48"/>
      <c r="O218" s="45" t="str">
        <f t="shared" si="10"/>
        <v>A_SP_BCN_8_210617</v>
      </c>
      <c r="P218" s="64">
        <v>44364</v>
      </c>
      <c r="R218" s="72"/>
      <c r="S218" s="64">
        <v>44370</v>
      </c>
      <c r="U218" s="72"/>
      <c r="V218" s="54" t="s">
        <v>66</v>
      </c>
      <c r="X218" s="45">
        <f t="shared" si="5"/>
        <v>6</v>
      </c>
      <c r="Z218" s="45" t="s">
        <v>70</v>
      </c>
      <c r="AA218" s="45">
        <f t="shared" si="16"/>
        <v>4</v>
      </c>
      <c r="AB218" t="str">
        <f t="shared" si="17"/>
        <v>Adult</v>
      </c>
      <c r="AC218" s="69">
        <v>4</v>
      </c>
      <c r="AD218" s="69">
        <v>0</v>
      </c>
      <c r="AE218" s="45" t="str">
        <f t="shared" si="18"/>
        <v>Morphological</v>
      </c>
      <c r="AF218" s="56">
        <v>4</v>
      </c>
    </row>
    <row r="219" spans="1:32" ht="18" customHeight="1" x14ac:dyDescent="0.25">
      <c r="A219" s="45">
        <v>215</v>
      </c>
      <c r="B219" s="45" t="s">
        <v>60</v>
      </c>
      <c r="C219" s="45" t="s">
        <v>61</v>
      </c>
      <c r="D219" s="45" t="s">
        <v>62</v>
      </c>
      <c r="E219" s="45" t="s">
        <v>62</v>
      </c>
      <c r="F219" s="46" cm="1">
        <f t="array" ref="F219">_xlfn.IFS($G219=$G$5,F$5,$G219=$G$6,F$6,$G219=$G$7,F$7,$G219=$G$8,F$8,$G219=$G$9,F$9,$G219=$G$10,F$10,$G219=$G$11,F$11,$G219=$G$12,F$12,$G219=$G$13,F$13,$G219=$G$15,F$15,$G219=$G$16,F$16,$G219=$G$17,F$17,$G219=$G$18,F$18,$G219=$G$19,F$19,$G219=$G$20,F$20,$G219=$G$21,F$21,$G219=$G$22,F$22,$G219=$G$25,F$25,$G219=$G$26,F$26,$G219=$G$27,F$27,$G219=$G$29,F$29,$G219=$G$31,F$31,$G219=$G$32,F$32,$G219=$G$248,F$248,$G219=$G$250,F$250)</f>
        <v>8038</v>
      </c>
      <c r="G219" t="s">
        <v>75</v>
      </c>
      <c r="H219" s="66" cm="1">
        <f t="array" ref="H219">_xlfn.IFS($G219=$G$5,H$5,$G219=$G$6,H$6,$G219=$G$7,H$7,$G219=$G$8,H$8,$G219=$G$9,H$9,$G219=$G$10,H$10,$G219=$G$11,H$11,$G219=$G$12,H$12,$G219=$G$13,H$13,$G219=$G$15,H$15,$G219=$G$16,H$16,$G219=$G$17,H$17,$G219=$G$18,H$18,$G219=$G$19,H$19,$G219=$G$20,H$20,$G219=$G$21,H$21,$G219=$G$22,H$22,$G219=$G$25,H$25,$G219=$G$26,H$26,$G219=$G$27,H$27,$G219=$G$29,H$29,$G219=$G$31,H$31,$G219=$G$32,H$150,$G219=$G$248,H$248,$G219=$G$250,H$250)</f>
        <v>41.368589</v>
      </c>
      <c r="I219" s="60" cm="1">
        <f t="array" ref="I219">_xlfn.IFS($G219=$G$5,I$5,$G219=$G$6,I$6,$G219=$G$7,I$7,$G219=$G$8,I$8,$G219=$G$9,I$9,$G219=$G$10,I$10,$G219=$G$11,I$11,$G219=$G$12,I$12,$G219=$G$13,I$13,$G219=$G$15,I$15,$G219=$G$16,I$16,$G219=$G$17,I$17,$G219=$G$18,I$18,$G219=$G$19,I$19,$G219=$G$20,I$20,$G219=$G$21,I$21,$G219=$G$22,I$22,$G219=$G$25,I$25,$G219=$G$26,I$26,$G219=$G$27,I$27,$G219=$G$29,I$29,$G219=$G$31,I$31,$G219=$G$32,I$150,$G219=$G$248,I$248,$G219=$G$250,I$250)</f>
        <v>2.1620900000000001</v>
      </c>
      <c r="J219" cm="1">
        <f t="array" ref="J219">_xlfn.IFS($G219=$G$5,J$5,$G219=$G$6,J$6,$G219=$G$7,J$7,$G219=$G$8,J$8,$G219=$G$9,J$9,$G219=$G$10,J$10,$G219=$G$11,J$11,$G219=$G$12,J$12,$G219=$G$13,J$13,$G219=$G$15,J$15,$G219=$G$16,J$16,$G219=$G$17,J$17,$G219=$G$18,J$18,$G219=$G$19,J$19,$G219=$G$20,J$20,$G219=$G$21,J$21,$G219=$G$22,J$22,$G219=$G$25,J$25,$G219=$G$26,J$26,$G219=$G$27,J$27,$G219=$G$29,J$29,$G219=$G$31,J$31,$G219=$G$32,J$150,$G219=$G$248,J$248,$G219=$G$250,J$250)</f>
        <v>95</v>
      </c>
      <c r="K219" s="48" t="str" cm="1">
        <f t="array" ref="K219">_xlfn.IFS($G219=$G$5,K$5,$G219=$G$6,K$6,$G219=$G$7,K$7,$G219=$G$8,K$8,$G219=$G$9,K$9,$G219=$G$10,K$10,$G219=$G$11,K$11,$G219=$G$12,K$12,$G219=$G$13,K$13,$G219=$G$15,K$15,$G219=$G$16,K$16,$G219=$G$17,K$17,$G219=$G$18,K$18,$G219=$G$19,K$19,$G219=$G$20,K$20,$G219=$G$21,K$21,$G219=$G$22,K$22,$G219=$G$25,K$25,$G219=$G$26,K$26,$G219=$G$27,K$27,$G219=$G$29,K$29,$G219=$G$31,K$31,$G219=$G$32,K$150,$G219=$G$248,K$248,$G219=$G$250,K$250)</f>
        <v>BG sentinel + BG lure7</v>
      </c>
      <c r="L219" s="48" t="str" cm="1">
        <f t="array" ref="L219">_xlfn.IFS($G219=$G$5,L$5,$G219=$G$6,L$6,$G219=$G$7,L$7,$G219=$G$8,L$8,$G219=$G$9,L$9,$G219=$G$10,L$10,$G219=$G$11,L$11,$G219=$G$12,L$12,$G219=$G$13,L$13,$G219=$G$15,L$15,$G219=$G$16,L$16,$G219=$G$17,L$17,$G219=$G$18,L$18,$G219=$G$19,L$19,$G219=$G$20,L$20,$G219=$G$21,L$21,$G219=$G$22,L$22,$G219=$G$25,L$25,$G219=$G$26,L$26,$G219=$G$27,L$27,$G219=$G$29,L$29,$G219=$G$31,L$31,$G219=$G$32,L$32,$G219=$G$248,L$248,$G219=$G$250,L$250)</f>
        <v>Other</v>
      </c>
      <c r="M219" s="48"/>
      <c r="O219" s="45" t="str">
        <f t="shared" si="10"/>
        <v>A_SP_BCN_8_210617</v>
      </c>
      <c r="P219" s="64">
        <v>44364</v>
      </c>
      <c r="R219" s="72"/>
      <c r="S219" s="64">
        <v>44370</v>
      </c>
      <c r="U219" s="72"/>
      <c r="V219" s="54" t="s">
        <v>66</v>
      </c>
      <c r="X219" s="45">
        <f t="shared" si="5"/>
        <v>6</v>
      </c>
      <c r="Z219" s="45" t="s">
        <v>80</v>
      </c>
      <c r="AA219" s="45">
        <f t="shared" si="16"/>
        <v>9</v>
      </c>
      <c r="AB219" t="str">
        <f t="shared" si="17"/>
        <v>Adult</v>
      </c>
      <c r="AC219" s="69">
        <v>5</v>
      </c>
      <c r="AD219" s="69">
        <v>4</v>
      </c>
      <c r="AE219" s="45" t="str">
        <f t="shared" si="18"/>
        <v>Morphological</v>
      </c>
      <c r="AF219" s="56">
        <v>4</v>
      </c>
    </row>
    <row r="220" spans="1:32" ht="18" customHeight="1" x14ac:dyDescent="0.25">
      <c r="A220" s="45">
        <v>216</v>
      </c>
      <c r="B220" s="45" t="s">
        <v>60</v>
      </c>
      <c r="C220" s="45" t="s">
        <v>61</v>
      </c>
      <c r="D220" s="45" t="s">
        <v>62</v>
      </c>
      <c r="E220" s="45" t="s">
        <v>62</v>
      </c>
      <c r="F220" s="46" cm="1">
        <f t="array" ref="F220">_xlfn.IFS($G220=$G$5,F$5,$G220=$G$6,F$6,$G220=$G$7,F$7,$G220=$G$8,F$8,$G220=$G$9,F$9,$G220=$G$10,F$10,$G220=$G$11,F$11,$G220=$G$12,F$12,$G220=$G$13,F$13,$G220=$G$15,F$15,$G220=$G$16,F$16,$G220=$G$17,F$17,$G220=$G$18,F$18,$G220=$G$19,F$19,$G220=$G$20,F$20,$G220=$G$21,F$21,$G220=$G$22,F$22,$G220=$G$25,F$25,$G220=$G$26,F$26,$G220=$G$27,F$27,$G220=$G$29,F$29,$G220=$G$31,F$31,$G220=$G$32,F$32,$G220=$G$248,F$248,$G220=$G$250,F$250)</f>
        <v>8034</v>
      </c>
      <c r="G220" t="s">
        <v>78</v>
      </c>
      <c r="H220" s="66" cm="1">
        <f t="array" ref="H220">_xlfn.IFS($G220=$G$5,H$5,$G220=$G$6,H$6,$G220=$G$7,H$7,$G220=$G$8,H$8,$G220=$G$9,H$9,$G220=$G$10,H$10,$G220=$G$11,H$11,$G220=$G$12,H$12,$G220=$G$13,H$13,$G220=$G$15,H$15,$G220=$G$16,H$16,$G220=$G$17,H$17,$G220=$G$18,H$18,$G220=$G$19,H$19,$G220=$G$20,H$20,$G220=$G$21,H$21,$G220=$G$22,H$22,$G220=$G$25,H$25,$G220=$G$26,H$26,$G220=$G$27,H$27,$G220=$G$29,H$29,$G220=$G$31,H$31,$G220=$G$32,H$150,$G220=$G$248,H$248,$G220=$G$250,H$250)</f>
        <v>41.393644999999999</v>
      </c>
      <c r="I220" s="60" cm="1">
        <f t="array" ref="I220">_xlfn.IFS($G220=$G$5,I$5,$G220=$G$6,I$6,$G220=$G$7,I$7,$G220=$G$8,I$8,$G220=$G$9,I$9,$G220=$G$10,I$10,$G220=$G$11,I$11,$G220=$G$12,I$12,$G220=$G$13,I$13,$G220=$G$15,I$15,$G220=$G$16,I$16,$G220=$G$17,I$17,$G220=$G$18,I$18,$G220=$G$19,I$19,$G220=$G$20,I$20,$G220=$G$21,I$21,$G220=$G$22,I$22,$G220=$G$25,I$25,$G220=$G$26,I$26,$G220=$G$27,I$27,$G220=$G$29,I$29,$G220=$G$31,I$31,$G220=$G$32,I$150,$G220=$G$248,I$248,$G220=$G$250,I$250)</f>
        <v>2.1216780000000002</v>
      </c>
      <c r="J220" cm="1">
        <f t="array" ref="J220">_xlfn.IFS($G220=$G$5,J$5,$G220=$G$6,J$6,$G220=$G$7,J$7,$G220=$G$8,J$8,$G220=$G$9,J$9,$G220=$G$10,J$10,$G220=$G$11,J$11,$G220=$G$12,J$12,$G220=$G$13,J$13,$G220=$G$15,J$15,$G220=$G$16,J$16,$G220=$G$17,J$17,$G220=$G$18,J$18,$G220=$G$19,J$19,$G220=$G$20,J$20,$G220=$G$21,J$21,$G220=$G$22,J$22,$G220=$G$25,J$25,$G220=$G$26,J$26,$G220=$G$27,J$27,$G220=$G$29,J$29,$G220=$G$31,J$31,$G220=$G$32,J$150,$G220=$G$248,J$248,$G220=$G$250,J$250)</f>
        <v>98</v>
      </c>
      <c r="K220" s="48" t="str" cm="1">
        <f t="array" ref="K220">_xlfn.IFS($G220=$G$5,K$5,$G220=$G$6,K$6,$G220=$G$7,K$7,$G220=$G$8,K$8,$G220=$G$9,K$9,$G220=$G$10,K$10,$G220=$G$11,K$11,$G220=$G$12,K$12,$G220=$G$13,K$13,$G220=$G$15,K$15,$G220=$G$16,K$16,$G220=$G$17,K$17,$G220=$G$18,K$18,$G220=$G$19,K$19,$G220=$G$20,K$20,$G220=$G$21,K$21,$G220=$G$22,K$22,$G220=$G$25,K$25,$G220=$G$26,K$26,$G220=$G$27,K$27,$G220=$G$29,K$29,$G220=$G$31,K$31,$G220=$G$32,K$150,$G220=$G$248,K$248,$G220=$G$250,K$250)</f>
        <v>BG sentinel + BG lure7</v>
      </c>
      <c r="L220" s="48"/>
      <c r="M220" s="48"/>
      <c r="O220" s="45" t="str">
        <f t="shared" si="10"/>
        <v>A_SP_BCN_9_210616</v>
      </c>
      <c r="P220" s="64">
        <v>44363</v>
      </c>
      <c r="R220" s="72"/>
      <c r="S220" s="64">
        <v>44369</v>
      </c>
      <c r="U220" s="72"/>
      <c r="V220" s="54" t="s">
        <v>66</v>
      </c>
      <c r="X220" s="45">
        <f t="shared" si="5"/>
        <v>6</v>
      </c>
      <c r="Z220" s="45" t="s">
        <v>80</v>
      </c>
      <c r="AA220" s="45">
        <f t="shared" si="16"/>
        <v>3</v>
      </c>
      <c r="AB220" t="str">
        <f t="shared" si="17"/>
        <v>Adult</v>
      </c>
      <c r="AC220" s="69">
        <v>2</v>
      </c>
      <c r="AD220" s="69">
        <v>1</v>
      </c>
      <c r="AE220" s="45" t="str">
        <f t="shared" si="18"/>
        <v>Morphological</v>
      </c>
      <c r="AF220" s="56">
        <v>4</v>
      </c>
    </row>
    <row r="221" spans="1:32" ht="18" customHeight="1" x14ac:dyDescent="0.25">
      <c r="A221" s="45">
        <v>217</v>
      </c>
      <c r="B221" s="45" t="s">
        <v>60</v>
      </c>
      <c r="C221" s="45" t="s">
        <v>61</v>
      </c>
      <c r="D221" s="45" t="s">
        <v>62</v>
      </c>
      <c r="E221" s="45" t="s">
        <v>62</v>
      </c>
      <c r="F221" s="46" cm="1">
        <f t="array" ref="F221">_xlfn.IFS($G221=$G$5,F$5,$G221=$G$6,F$6,$G221=$G$7,F$7,$G221=$G$8,F$8,$G221=$G$9,F$9,$G221=$G$10,F$10,$G221=$G$11,F$11,$G221=$G$12,F$12,$G221=$G$13,F$13,$G221=$G$15,F$15,$G221=$G$16,F$16,$G221=$G$17,F$17,$G221=$G$18,F$18,$G221=$G$19,F$19,$G221=$G$20,F$20,$G221=$G$21,F$21,$G221=$G$22,F$22,$G221=$G$25,F$25,$G221=$G$26,F$26,$G221=$G$27,F$27,$G221=$G$29,F$29,$G221=$G$31,F$31,$G221=$G$32,F$32,$G221=$G$248,F$248,$G221=$G$250,F$250)</f>
        <v>8040</v>
      </c>
      <c r="G221" t="s">
        <v>81</v>
      </c>
      <c r="H221" s="66" cm="1">
        <f t="array" ref="H221">_xlfn.IFS($G221=$G$5,H$5,$G221=$G$6,H$6,$G221=$G$7,H$7,$G221=$G$8,H$8,$G221=$G$9,H$9,$G221=$G$10,H$10,$G221=$G$11,H$11,$G221=$G$12,H$12,$G221=$G$13,H$13,$G221=$G$15,H$15,$G221=$G$16,H$16,$G221=$G$17,H$17,$G221=$G$18,H$18,$G221=$G$19,H$19,$G221=$G$20,H$20,$G221=$G$21,H$21,$G221=$G$22,H$22,$G221=$G$25,H$25,$G221=$G$26,H$26,$G221=$G$27,H$27,$G221=$G$29,H$29,$G221=$G$31,H$31,$G221=$G$32,H$150,$G221=$G$248,H$248,$G221=$G$250,H$250)</f>
        <v>41.343685000000001</v>
      </c>
      <c r="I221" s="60" cm="1">
        <f t="array" ref="I221">_xlfn.IFS($G221=$G$5,I$5,$G221=$G$6,I$6,$G221=$G$7,I$7,$G221=$G$8,I$8,$G221=$G$9,I$9,$G221=$G$10,I$10,$G221=$G$11,I$11,$G221=$G$12,I$12,$G221=$G$13,I$13,$G221=$G$15,I$15,$G221=$G$16,I$16,$G221=$G$17,I$17,$G221=$G$18,I$18,$G221=$G$19,I$19,$G221=$G$20,I$20,$G221=$G$21,I$21,$G221=$G$22,I$22,$G221=$G$25,I$25,$G221=$G$26,I$26,$G221=$G$27,I$27,$G221=$G$29,I$29,$G221=$G$31,I$31,$G221=$G$32,I$150,$G221=$G$248,I$248,$G221=$G$250,I$250)</f>
        <v>2.1441490000000001</v>
      </c>
      <c r="J221" cm="1">
        <f t="array" ref="J221">_xlfn.IFS($G221=$G$5,J$5,$G221=$G$6,J$6,$G221=$G$7,J$7,$G221=$G$8,J$8,$G221=$G$9,J$9,$G221=$G$10,J$10,$G221=$G$11,J$11,$G221=$G$12,J$12,$G221=$G$13,J$13,$G221=$G$15,J$15,$G221=$G$16,J$16,$G221=$G$17,J$17,$G221=$G$18,J$18,$G221=$G$19,J$19,$G221=$G$20,J$20,$G221=$G$21,J$21,$G221=$G$22,J$22,$G221=$G$25,J$25,$G221=$G$26,J$26,$G221=$G$27,J$27,$G221=$G$29,J$29,$G221=$G$31,J$31,$G221=$G$32,J$150,$G221=$G$248,J$248,$G221=$G$250,J$250)</f>
        <v>4</v>
      </c>
      <c r="K221" s="48" t="str" cm="1">
        <f t="array" ref="K221">_xlfn.IFS($G221=$G$5,K$5,$G221=$G$6,K$6,$G221=$G$7,K$7,$G221=$G$8,K$8,$G221=$G$9,K$9,$G221=$G$10,K$10,$G221=$G$11,K$11,$G221=$G$12,K$12,$G221=$G$13,K$13,$G221=$G$15,K$15,$G221=$G$16,K$16,$G221=$G$17,K$17,$G221=$G$18,K$18,$G221=$G$19,K$19,$G221=$G$20,K$20,$G221=$G$21,K$21,$G221=$G$22,K$22,$G221=$G$25,K$25,$G221=$G$26,K$26,$G221=$G$27,K$27,$G221=$G$29,K$29,$G221=$G$31,K$31,$G221=$G$32,K$150,$G221=$G$248,K$248,$G221=$G$250,K$250)</f>
        <v>BG sentinel + BG lure7</v>
      </c>
      <c r="L221" s="48"/>
      <c r="M221" s="48"/>
      <c r="O221" s="45" t="str">
        <f t="shared" si="10"/>
        <v>A_SP_BCN_10_210617</v>
      </c>
      <c r="P221" s="64">
        <v>44364</v>
      </c>
      <c r="R221" s="72"/>
      <c r="S221" s="64">
        <v>44370</v>
      </c>
      <c r="U221" s="72"/>
      <c r="V221" s="54" t="s">
        <v>66</v>
      </c>
      <c r="X221" s="45">
        <f t="shared" si="5"/>
        <v>6</v>
      </c>
      <c r="Z221" s="69" t="s">
        <v>69</v>
      </c>
      <c r="AA221" s="45">
        <f t="shared" si="16"/>
        <v>2</v>
      </c>
      <c r="AB221" t="str">
        <f t="shared" si="17"/>
        <v>Adult</v>
      </c>
      <c r="AC221" s="69">
        <v>2</v>
      </c>
      <c r="AD221" s="69">
        <v>0</v>
      </c>
      <c r="AE221" s="45" t="str">
        <f t="shared" si="18"/>
        <v>Morphological</v>
      </c>
      <c r="AF221" s="56">
        <v>4</v>
      </c>
    </row>
    <row r="222" spans="1:32" ht="18" customHeight="1" x14ac:dyDescent="0.25">
      <c r="A222" s="45">
        <v>218</v>
      </c>
      <c r="B222" s="45" t="s">
        <v>60</v>
      </c>
      <c r="C222" s="45" t="s">
        <v>61</v>
      </c>
      <c r="D222" s="45" t="s">
        <v>62</v>
      </c>
      <c r="E222" s="45" t="s">
        <v>62</v>
      </c>
      <c r="F222" s="46" cm="1">
        <f t="array" ref="F222">_xlfn.IFS($G222=$G$5,F$5,$G222=$G$6,F$6,$G222=$G$7,F$7,$G222=$G$8,F$8,$G222=$G$9,F$9,$G222=$G$10,F$10,$G222=$G$11,F$11,$G222=$G$12,F$12,$G222=$G$13,F$13,$G222=$G$15,F$15,$G222=$G$16,F$16,$G222=$G$17,F$17,$G222=$G$18,F$18,$G222=$G$19,F$19,$G222=$G$20,F$20,$G222=$G$21,F$21,$G222=$G$22,F$22,$G222=$G$25,F$25,$G222=$G$26,F$26,$G222=$G$27,F$27,$G222=$G$29,F$29,$G222=$G$31,F$31,$G222=$G$32,F$32,$G222=$G$248,F$248,$G222=$G$250,F$250)</f>
        <v>8040</v>
      </c>
      <c r="G222" t="s">
        <v>81</v>
      </c>
      <c r="H222" s="66" cm="1">
        <f t="array" ref="H222">_xlfn.IFS($G222=$G$5,H$5,$G222=$G$6,H$6,$G222=$G$7,H$7,$G222=$G$8,H$8,$G222=$G$9,H$9,$G222=$G$10,H$10,$G222=$G$11,H$11,$G222=$G$12,H$12,$G222=$G$13,H$13,$G222=$G$15,H$15,$G222=$G$16,H$16,$G222=$G$17,H$17,$G222=$G$18,H$18,$G222=$G$19,H$19,$G222=$G$20,H$20,$G222=$G$21,H$21,$G222=$G$22,H$22,$G222=$G$25,H$25,$G222=$G$26,H$26,$G222=$G$27,H$27,$G222=$G$29,H$29,$G222=$G$31,H$31,$G222=$G$32,H$150,$G222=$G$248,H$248,$G222=$G$250,H$250)</f>
        <v>41.343685000000001</v>
      </c>
      <c r="I222" s="60" cm="1">
        <f t="array" ref="I222">_xlfn.IFS($G222=$G$5,I$5,$G222=$G$6,I$6,$G222=$G$7,I$7,$G222=$G$8,I$8,$G222=$G$9,I$9,$G222=$G$10,I$10,$G222=$G$11,I$11,$G222=$G$12,I$12,$G222=$G$13,I$13,$G222=$G$15,I$15,$G222=$G$16,I$16,$G222=$G$17,I$17,$G222=$G$18,I$18,$G222=$G$19,I$19,$G222=$G$20,I$20,$G222=$G$21,I$21,$G222=$G$22,I$22,$G222=$G$25,I$25,$G222=$G$26,I$26,$G222=$G$27,I$27,$G222=$G$29,I$29,$G222=$G$31,I$31,$G222=$G$32,I$150,$G222=$G$248,I$248,$G222=$G$250,I$250)</f>
        <v>2.1441490000000001</v>
      </c>
      <c r="J222" cm="1">
        <f t="array" ref="J222">_xlfn.IFS($G222=$G$5,J$5,$G222=$G$6,J$6,$G222=$G$7,J$7,$G222=$G$8,J$8,$G222=$G$9,J$9,$G222=$G$10,J$10,$G222=$G$11,J$11,$G222=$G$12,J$12,$G222=$G$13,J$13,$G222=$G$15,J$15,$G222=$G$16,J$16,$G222=$G$17,J$17,$G222=$G$18,J$18,$G222=$G$19,J$19,$G222=$G$20,J$20,$G222=$G$21,J$21,$G222=$G$22,J$22,$G222=$G$25,J$25,$G222=$G$26,J$26,$G222=$G$27,J$27,$G222=$G$29,J$29,$G222=$G$31,J$31,$G222=$G$32,J$150,$G222=$G$248,J$248,$G222=$G$250,J$250)</f>
        <v>4</v>
      </c>
      <c r="K222" s="48" t="str" cm="1">
        <f t="array" ref="K222">_xlfn.IFS($G222=$G$5,K$5,$G222=$G$6,K$6,$G222=$G$7,K$7,$G222=$G$8,K$8,$G222=$G$9,K$9,$G222=$G$10,K$10,$G222=$G$11,K$11,$G222=$G$12,K$12,$G222=$G$13,K$13,$G222=$G$15,K$15,$G222=$G$16,K$16,$G222=$G$17,K$17,$G222=$G$18,K$18,$G222=$G$19,K$19,$G222=$G$20,K$20,$G222=$G$21,K$21,$G222=$G$22,K$22,$G222=$G$25,K$25,$G222=$G$26,K$26,$G222=$G$27,K$27,$G222=$G$29,K$29,$G222=$G$31,K$31,$G222=$G$32,K$150,$G222=$G$248,K$248,$G222=$G$250,K$250)</f>
        <v>BG sentinel + BG lure7</v>
      </c>
      <c r="L222" s="48"/>
      <c r="M222" s="48"/>
      <c r="O222" s="45" t="str">
        <f t="shared" si="10"/>
        <v>A_SP_BCN_10_210617</v>
      </c>
      <c r="P222" s="64">
        <v>44364</v>
      </c>
      <c r="R222" s="72"/>
      <c r="S222" s="64">
        <v>44370</v>
      </c>
      <c r="U222" s="72"/>
      <c r="V222" s="54" t="s">
        <v>66</v>
      </c>
      <c r="X222" s="45">
        <f t="shared" ref="X222:X285" si="19">S222-P222</f>
        <v>6</v>
      </c>
      <c r="Z222" s="45" t="s">
        <v>70</v>
      </c>
      <c r="AA222" s="45">
        <f t="shared" si="16"/>
        <v>31</v>
      </c>
      <c r="AB222" t="str">
        <f t="shared" si="17"/>
        <v>Adult</v>
      </c>
      <c r="AC222" s="69">
        <v>25</v>
      </c>
      <c r="AD222" s="69">
        <v>6</v>
      </c>
      <c r="AE222" s="45" t="str">
        <f t="shared" si="18"/>
        <v>Morphological</v>
      </c>
      <c r="AF222" s="56">
        <v>4</v>
      </c>
    </row>
    <row r="223" spans="1:32" ht="18" customHeight="1" x14ac:dyDescent="0.25">
      <c r="A223" s="45">
        <v>219</v>
      </c>
      <c r="B223" s="45" t="s">
        <v>60</v>
      </c>
      <c r="C223" s="45" t="s">
        <v>61</v>
      </c>
      <c r="D223" s="45" t="s">
        <v>62</v>
      </c>
      <c r="E223" s="45" t="s">
        <v>62</v>
      </c>
      <c r="F223" s="46" cm="1">
        <f t="array" ref="F223">_xlfn.IFS($G223=$G$5,F$5,$G223=$G$6,F$6,$G223=$G$7,F$7,$G223=$G$8,F$8,$G223=$G$9,F$9,$G223=$G$10,F$10,$G223=$G$11,F$11,$G223=$G$12,F$12,$G223=$G$13,F$13,$G223=$G$15,F$15,$G223=$G$16,F$16,$G223=$G$17,F$17,$G223=$G$18,F$18,$G223=$G$19,F$19,$G223=$G$20,F$20,$G223=$G$21,F$21,$G223=$G$22,F$22,$G223=$G$25,F$25,$G223=$G$26,F$26,$G223=$G$27,F$27,$G223=$G$29,F$29,$G223=$G$31,F$31,$G223=$G$32,F$32,$G223=$G$248,F$248,$G223=$G$250,F$250)</f>
        <v>8040</v>
      </c>
      <c r="G223" t="s">
        <v>81</v>
      </c>
      <c r="H223" s="66" cm="1">
        <f t="array" ref="H223">_xlfn.IFS($G223=$G$5,H$5,$G223=$G$6,H$6,$G223=$G$7,H$7,$G223=$G$8,H$8,$G223=$G$9,H$9,$G223=$G$10,H$10,$G223=$G$11,H$11,$G223=$G$12,H$12,$G223=$G$13,H$13,$G223=$G$15,H$15,$G223=$G$16,H$16,$G223=$G$17,H$17,$G223=$G$18,H$18,$G223=$G$19,H$19,$G223=$G$20,H$20,$G223=$G$21,H$21,$G223=$G$22,H$22,$G223=$G$25,H$25,$G223=$G$26,H$26,$G223=$G$27,H$27,$G223=$G$29,H$29,$G223=$G$31,H$31,$G223=$G$32,H$150,$G223=$G$248,H$248,$G223=$G$250,H$250)</f>
        <v>41.343685000000001</v>
      </c>
      <c r="I223" s="60" cm="1">
        <f t="array" ref="I223">_xlfn.IFS($G223=$G$5,I$5,$G223=$G$6,I$6,$G223=$G$7,I$7,$G223=$G$8,I$8,$G223=$G$9,I$9,$G223=$G$10,I$10,$G223=$G$11,I$11,$G223=$G$12,I$12,$G223=$G$13,I$13,$G223=$G$15,I$15,$G223=$G$16,I$16,$G223=$G$17,I$17,$G223=$G$18,I$18,$G223=$G$19,I$19,$G223=$G$20,I$20,$G223=$G$21,I$21,$G223=$G$22,I$22,$G223=$G$25,I$25,$G223=$G$26,I$26,$G223=$G$27,I$27,$G223=$G$29,I$29,$G223=$G$31,I$31,$G223=$G$32,I$150,$G223=$G$248,I$248,$G223=$G$250,I$250)</f>
        <v>2.1441490000000001</v>
      </c>
      <c r="J223" cm="1">
        <f t="array" ref="J223">_xlfn.IFS($G223=$G$5,J$5,$G223=$G$6,J$6,$G223=$G$7,J$7,$G223=$G$8,J$8,$G223=$G$9,J$9,$G223=$G$10,J$10,$G223=$G$11,J$11,$G223=$G$12,J$12,$G223=$G$13,J$13,$G223=$G$15,J$15,$G223=$G$16,J$16,$G223=$G$17,J$17,$G223=$G$18,J$18,$G223=$G$19,J$19,$G223=$G$20,J$20,$G223=$G$21,J$21,$G223=$G$22,J$22,$G223=$G$25,J$25,$G223=$G$26,J$26,$G223=$G$27,J$27,$G223=$G$29,J$29,$G223=$G$31,J$31,$G223=$G$32,J$150,$G223=$G$248,J$248,$G223=$G$250,J$250)</f>
        <v>4</v>
      </c>
      <c r="K223" s="48" t="str" cm="1">
        <f t="array" ref="K223">_xlfn.IFS($G223=$G$5,K$5,$G223=$G$6,K$6,$G223=$G$7,K$7,$G223=$G$8,K$8,$G223=$G$9,K$9,$G223=$G$10,K$10,$G223=$G$11,K$11,$G223=$G$12,K$12,$G223=$G$13,K$13,$G223=$G$15,K$15,$G223=$G$16,K$16,$G223=$G$17,K$17,$G223=$G$18,K$18,$G223=$G$19,K$19,$G223=$G$20,K$20,$G223=$G$21,K$21,$G223=$G$22,K$22,$G223=$G$25,K$25,$G223=$G$26,K$26,$G223=$G$27,K$27,$G223=$G$29,K$29,$G223=$G$31,K$31,$G223=$G$32,K$150,$G223=$G$248,K$248,$G223=$G$250,K$250)</f>
        <v>BG sentinel + BG lure7</v>
      </c>
      <c r="L223" s="48"/>
      <c r="M223" s="48"/>
      <c r="O223" s="45" t="str">
        <f t="shared" si="10"/>
        <v>A_SP_BCN_10_210617</v>
      </c>
      <c r="P223" s="64">
        <v>44364</v>
      </c>
      <c r="R223" s="72"/>
      <c r="S223" s="64">
        <v>44370</v>
      </c>
      <c r="U223" s="72"/>
      <c r="V223" s="54" t="s">
        <v>66</v>
      </c>
      <c r="X223" s="45">
        <f t="shared" si="19"/>
        <v>6</v>
      </c>
      <c r="Z223" s="45" t="s">
        <v>80</v>
      </c>
      <c r="AA223" s="45">
        <f t="shared" si="16"/>
        <v>4</v>
      </c>
      <c r="AB223" t="str">
        <f t="shared" si="17"/>
        <v>Adult</v>
      </c>
      <c r="AC223" s="69">
        <v>3</v>
      </c>
      <c r="AD223" s="69">
        <v>1</v>
      </c>
      <c r="AE223" s="45" t="str">
        <f t="shared" si="18"/>
        <v>Morphological</v>
      </c>
      <c r="AF223" s="56">
        <v>4</v>
      </c>
    </row>
    <row r="224" spans="1:32" ht="18" customHeight="1" x14ac:dyDescent="0.25">
      <c r="A224" s="45">
        <v>220</v>
      </c>
      <c r="B224" s="45" t="s">
        <v>60</v>
      </c>
      <c r="C224" s="45" t="s">
        <v>61</v>
      </c>
      <c r="D224" s="45" t="s">
        <v>62</v>
      </c>
      <c r="E224" s="45" t="s">
        <v>62</v>
      </c>
      <c r="F224" s="46" cm="1">
        <f t="array" ref="F224">_xlfn.IFS($G224=$G$5,F$5,$G224=$G$6,F$6,$G224=$G$7,F$7,$G224=$G$8,F$8,$G224=$G$9,F$9,$G224=$G$10,F$10,$G224=$G$11,F$11,$G224=$G$12,F$12,$G224=$G$13,F$13,$G224=$G$15,F$15,$G224=$G$16,F$16,$G224=$G$17,F$17,$G224=$G$18,F$18,$G224=$G$19,F$19,$G224=$G$20,F$20,$G224=$G$21,F$21,$G224=$G$22,F$22,$G224=$G$25,F$25,$G224=$G$26,F$26,$G224=$G$27,F$27,$G224=$G$29,F$29,$G224=$G$31,F$31,$G224=$G$32,F$32,$G224=$G$248,F$248,$G224=$G$250,F$250)</f>
        <v>8038</v>
      </c>
      <c r="G224" t="s">
        <v>82</v>
      </c>
      <c r="H224" s="66" cm="1">
        <f t="array" ref="H224">_xlfn.IFS($G224=$G$5,H$5,$G224=$G$6,H$6,$G224=$G$7,H$7,$G224=$G$8,H$8,$G224=$G$9,H$9,$G224=$G$10,H$10,$G224=$G$11,H$11,$G224=$G$12,H$12,$G224=$G$13,H$13,$G224=$G$15,H$15,$G224=$G$16,H$16,$G224=$G$17,H$17,$G224=$G$18,H$18,$G224=$G$19,H$19,$G224=$G$20,H$20,$G224=$G$21,H$21,$G224=$G$22,H$22,$G224=$G$25,H$25,$G224=$G$26,H$26,$G224=$G$27,H$27,$G224=$G$29,H$29,$G224=$G$31,H$31,$G224=$G$32,H$150,$G224=$G$248,H$248,$G224=$G$250,H$250)</f>
        <v>41.367429999999999</v>
      </c>
      <c r="I224" s="60" cm="1">
        <f t="array" ref="I224">_xlfn.IFS($G224=$G$5,I$5,$G224=$G$6,I$6,$G224=$G$7,I$7,$G224=$G$8,I$8,$G224=$G$9,I$9,$G224=$G$10,I$10,$G224=$G$11,I$11,$G224=$G$12,I$12,$G224=$G$13,I$13,$G224=$G$15,I$15,$G224=$G$16,I$16,$G224=$G$17,I$17,$G224=$G$18,I$18,$G224=$G$19,I$19,$G224=$G$20,I$20,$G224=$G$21,I$21,$G224=$G$22,I$22,$G224=$G$25,I$25,$G224=$G$26,I$26,$G224=$G$27,I$27,$G224=$G$29,I$29,$G224=$G$31,I$31,$G224=$G$32,I$150,$G224=$G$248,I$248,$G224=$G$250,I$250)</f>
        <v>2.1569609999999999</v>
      </c>
      <c r="J224" cm="1">
        <f t="array" ref="J224">_xlfn.IFS($G224=$G$5,J$5,$G224=$G$6,J$6,$G224=$G$7,J$7,$G224=$G$8,J$8,$G224=$G$9,J$9,$G224=$G$10,J$10,$G224=$G$11,J$11,$G224=$G$12,J$12,$G224=$G$13,J$13,$G224=$G$15,J$15,$G224=$G$16,J$16,$G224=$G$17,J$17,$G224=$G$18,J$18,$G224=$G$19,J$19,$G224=$G$20,J$20,$G224=$G$21,J$21,$G224=$G$22,J$22,$G224=$G$25,J$25,$G224=$G$26,J$26,$G224=$G$27,J$27,$G224=$G$29,J$29,$G224=$G$31,J$31,$G224=$G$32,J$150,$G224=$G$248,J$248,$G224=$G$250,J$250)</f>
        <v>91</v>
      </c>
      <c r="K224" s="48" t="str" cm="1">
        <f t="array" ref="K224">_xlfn.IFS($G224=$G$5,K$5,$G224=$G$6,K$6,$G224=$G$7,K$7,$G224=$G$8,K$8,$G224=$G$9,K$9,$G224=$G$10,K$10,$G224=$G$11,K$11,$G224=$G$12,K$12,$G224=$G$13,K$13,$G224=$G$15,K$15,$G224=$G$16,K$16,$G224=$G$17,K$17,$G224=$G$18,K$18,$G224=$G$19,K$19,$G224=$G$20,K$20,$G224=$G$21,K$21,$G224=$G$22,K$22,$G224=$G$25,K$25,$G224=$G$26,K$26,$G224=$G$27,K$27,$G224=$G$29,K$29,$G224=$G$31,K$31,$G224=$G$32,K$150,$G224=$G$248,K$248,$G224=$G$250,K$250)</f>
        <v>BG sentinel + BG lure7</v>
      </c>
      <c r="L224" s="48"/>
      <c r="M224" s="48"/>
      <c r="O224" s="45" t="str">
        <f t="shared" si="10"/>
        <v>A_SP_BCN_11_210617</v>
      </c>
      <c r="P224" s="64">
        <v>44364</v>
      </c>
      <c r="R224" s="72"/>
      <c r="S224" s="64">
        <v>44370</v>
      </c>
      <c r="U224" s="72"/>
      <c r="V224" s="54" t="s">
        <v>66</v>
      </c>
      <c r="X224" s="45">
        <f t="shared" si="19"/>
        <v>6</v>
      </c>
      <c r="Z224" s="69" t="s">
        <v>69</v>
      </c>
      <c r="AA224" s="45">
        <f t="shared" si="16"/>
        <v>5</v>
      </c>
      <c r="AB224" t="str">
        <f t="shared" si="17"/>
        <v>Adult</v>
      </c>
      <c r="AC224" s="69">
        <v>5</v>
      </c>
      <c r="AD224" s="69">
        <v>0</v>
      </c>
      <c r="AE224" s="45" t="str">
        <f t="shared" si="18"/>
        <v>Morphological</v>
      </c>
      <c r="AF224" s="56">
        <v>4</v>
      </c>
    </row>
    <row r="225" spans="1:32" ht="18" customHeight="1" x14ac:dyDescent="0.25">
      <c r="A225" s="45">
        <v>221</v>
      </c>
      <c r="B225" s="45" t="s">
        <v>60</v>
      </c>
      <c r="C225" s="45" t="s">
        <v>61</v>
      </c>
      <c r="D225" s="45" t="s">
        <v>62</v>
      </c>
      <c r="E225" s="45" t="s">
        <v>62</v>
      </c>
      <c r="F225" s="46" cm="1">
        <f t="array" ref="F225">_xlfn.IFS($G225=$G$5,F$5,$G225=$G$6,F$6,$G225=$G$7,F$7,$G225=$G$8,F$8,$G225=$G$9,F$9,$G225=$G$10,F$10,$G225=$G$11,F$11,$G225=$G$12,F$12,$G225=$G$13,F$13,$G225=$G$15,F$15,$G225=$G$16,F$16,$G225=$G$17,F$17,$G225=$G$18,F$18,$G225=$G$19,F$19,$G225=$G$20,F$20,$G225=$G$21,F$21,$G225=$G$22,F$22,$G225=$G$25,F$25,$G225=$G$26,F$26,$G225=$G$27,F$27,$G225=$G$29,F$29,$G225=$G$31,F$31,$G225=$G$32,F$32,$G225=$G$248,F$248,$G225=$G$250,F$250)</f>
        <v>8038</v>
      </c>
      <c r="G225" t="s">
        <v>82</v>
      </c>
      <c r="H225" s="66" cm="1">
        <f t="array" ref="H225">_xlfn.IFS($G225=$G$5,H$5,$G225=$G$6,H$6,$G225=$G$7,H$7,$G225=$G$8,H$8,$G225=$G$9,H$9,$G225=$G$10,H$10,$G225=$G$11,H$11,$G225=$G$12,H$12,$G225=$G$13,H$13,$G225=$G$15,H$15,$G225=$G$16,H$16,$G225=$G$17,H$17,$G225=$G$18,H$18,$G225=$G$19,H$19,$G225=$G$20,H$20,$G225=$G$21,H$21,$G225=$G$22,H$22,$G225=$G$25,H$25,$G225=$G$26,H$26,$G225=$G$27,H$27,$G225=$G$29,H$29,$G225=$G$31,H$31,$G225=$G$32,H$150,$G225=$G$248,H$248,$G225=$G$250,H$250)</f>
        <v>41.367429999999999</v>
      </c>
      <c r="I225" s="60" cm="1">
        <f t="array" ref="I225">_xlfn.IFS($G225=$G$5,I$5,$G225=$G$6,I$6,$G225=$G$7,I$7,$G225=$G$8,I$8,$G225=$G$9,I$9,$G225=$G$10,I$10,$G225=$G$11,I$11,$G225=$G$12,I$12,$G225=$G$13,I$13,$G225=$G$15,I$15,$G225=$G$16,I$16,$G225=$G$17,I$17,$G225=$G$18,I$18,$G225=$G$19,I$19,$G225=$G$20,I$20,$G225=$G$21,I$21,$G225=$G$22,I$22,$G225=$G$25,I$25,$G225=$G$26,I$26,$G225=$G$27,I$27,$G225=$G$29,I$29,$G225=$G$31,I$31,$G225=$G$32,I$150,$G225=$G$248,I$248,$G225=$G$250,I$250)</f>
        <v>2.1569609999999999</v>
      </c>
      <c r="J225" cm="1">
        <f t="array" ref="J225">_xlfn.IFS($G225=$G$5,J$5,$G225=$G$6,J$6,$G225=$G$7,J$7,$G225=$G$8,J$8,$G225=$G$9,J$9,$G225=$G$10,J$10,$G225=$G$11,J$11,$G225=$G$12,J$12,$G225=$G$13,J$13,$G225=$G$15,J$15,$G225=$G$16,J$16,$G225=$G$17,J$17,$G225=$G$18,J$18,$G225=$G$19,J$19,$G225=$G$20,J$20,$G225=$G$21,J$21,$G225=$G$22,J$22,$G225=$G$25,J$25,$G225=$G$26,J$26,$G225=$G$27,J$27,$G225=$G$29,J$29,$G225=$G$31,J$31,$G225=$G$32,J$150,$G225=$G$248,J$248,$G225=$G$250,J$250)</f>
        <v>91</v>
      </c>
      <c r="K225" s="48" t="str" cm="1">
        <f t="array" ref="K225">_xlfn.IFS($G225=$G$5,K$5,$G225=$G$6,K$6,$G225=$G$7,K$7,$G225=$G$8,K$8,$G225=$G$9,K$9,$G225=$G$10,K$10,$G225=$G$11,K$11,$G225=$G$12,K$12,$G225=$G$13,K$13,$G225=$G$15,K$15,$G225=$G$16,K$16,$G225=$G$17,K$17,$G225=$G$18,K$18,$G225=$G$19,K$19,$G225=$G$20,K$20,$G225=$G$21,K$21,$G225=$G$22,K$22,$G225=$G$25,K$25,$G225=$G$26,K$26,$G225=$G$27,K$27,$G225=$G$29,K$29,$G225=$G$31,K$31,$G225=$G$32,K$150,$G225=$G$248,K$248,$G225=$G$250,K$250)</f>
        <v>BG sentinel + BG lure7</v>
      </c>
      <c r="L225" s="48"/>
      <c r="M225" s="48"/>
      <c r="O225" s="45" t="str">
        <f t="shared" si="10"/>
        <v>A_SP_BCN_11_210617</v>
      </c>
      <c r="P225" s="64">
        <v>44364</v>
      </c>
      <c r="R225" s="72"/>
      <c r="S225" s="64">
        <v>44370</v>
      </c>
      <c r="U225" s="72"/>
      <c r="V225" s="54" t="s">
        <v>66</v>
      </c>
      <c r="X225" s="45">
        <f t="shared" si="19"/>
        <v>6</v>
      </c>
      <c r="Z225" s="45" t="s">
        <v>70</v>
      </c>
      <c r="AA225" s="45">
        <f t="shared" si="16"/>
        <v>4</v>
      </c>
      <c r="AB225" t="str">
        <f t="shared" si="17"/>
        <v>Adult</v>
      </c>
      <c r="AC225" s="69">
        <v>4</v>
      </c>
      <c r="AD225" s="69">
        <v>0</v>
      </c>
      <c r="AE225" s="45" t="str">
        <f t="shared" si="18"/>
        <v>Morphological</v>
      </c>
      <c r="AF225" s="56">
        <v>4</v>
      </c>
    </row>
    <row r="226" spans="1:32" ht="18" customHeight="1" x14ac:dyDescent="0.25">
      <c r="A226" s="45">
        <v>222</v>
      </c>
      <c r="B226" s="45" t="s">
        <v>60</v>
      </c>
      <c r="C226" s="45" t="s">
        <v>61</v>
      </c>
      <c r="D226" s="45" t="s">
        <v>62</v>
      </c>
      <c r="E226" s="45" t="s">
        <v>62</v>
      </c>
      <c r="F226" s="46" cm="1">
        <f t="array" ref="F226">_xlfn.IFS($G226=$G$5,F$5,$G226=$G$6,F$6,$G226=$G$7,F$7,$G226=$G$8,F$8,$G226=$G$9,F$9,$G226=$G$10,F$10,$G226=$G$11,F$11,$G226=$G$12,F$12,$G226=$G$13,F$13,$G226=$G$15,F$15,$G226=$G$16,F$16,$G226=$G$17,F$17,$G226=$G$18,F$18,$G226=$G$19,F$19,$G226=$G$20,F$20,$G226=$G$21,F$21,$G226=$G$22,F$22,$G226=$G$25,F$25,$G226=$G$26,F$26,$G226=$G$27,F$27,$G226=$G$29,F$29,$G226=$G$31,F$31,$G226=$G$32,F$32,$G226=$G$248,F$248,$G226=$G$250,F$250)</f>
        <v>8038</v>
      </c>
      <c r="G226" t="s">
        <v>84</v>
      </c>
      <c r="H226" s="66" cm="1">
        <f t="array" ref="H226">_xlfn.IFS($G226=$G$5,H$5,$G226=$G$6,H$6,$G226=$G$7,H$7,$G226=$G$8,H$8,$G226=$G$9,H$9,$G226=$G$10,H$10,$G226=$G$11,H$11,$G226=$G$12,H$12,$G226=$G$13,H$13,$G226=$G$15,H$15,$G226=$G$16,H$16,$G226=$G$17,H$17,$G226=$G$18,H$18,$G226=$G$19,H$19,$G226=$G$20,H$20,$G226=$G$21,H$21,$G226=$G$22,H$22,$G226=$G$25,H$25,$G226=$G$26,H$26,$G226=$G$27,H$27,$G226=$G$29,H$29,$G226=$G$31,H$31,$G226=$G$32,H$150,$G226=$G$248,H$248,$G226=$G$250,H$250)</f>
        <v>41.363377999999997</v>
      </c>
      <c r="I226" s="60" cm="1">
        <f t="array" ref="I226">_xlfn.IFS($G226=$G$5,I$5,$G226=$G$6,I$6,$G226=$G$7,I$7,$G226=$G$8,I$8,$G226=$G$9,I$9,$G226=$G$10,I$10,$G226=$G$11,I$11,$G226=$G$12,I$12,$G226=$G$13,I$13,$G226=$G$15,I$15,$G226=$G$16,I$16,$G226=$G$17,I$17,$G226=$G$18,I$18,$G226=$G$19,I$19,$G226=$G$20,I$20,$G226=$G$21,I$21,$G226=$G$22,I$22,$G226=$G$25,I$25,$G226=$G$26,I$26,$G226=$G$27,I$27,$G226=$G$29,I$29,$G226=$G$31,I$31,$G226=$G$32,I$150,$G226=$G$248,I$248,$G226=$G$250,I$250)</f>
        <v>2.164879</v>
      </c>
      <c r="J226" cm="1">
        <f t="array" ref="J226">_xlfn.IFS($G226=$G$5,J$5,$G226=$G$6,J$6,$G226=$G$7,J$7,$G226=$G$8,J$8,$G226=$G$9,J$9,$G226=$G$10,J$10,$G226=$G$11,J$11,$G226=$G$12,J$12,$G226=$G$13,J$13,$G226=$G$15,J$15,$G226=$G$16,J$16,$G226=$G$17,J$17,$G226=$G$18,J$18,$G226=$G$19,J$19,$G226=$G$20,J$20,$G226=$G$21,J$21,$G226=$G$22,J$22,$G226=$G$25,J$25,$G226=$G$26,J$26,$G226=$G$27,J$27,$G226=$G$29,J$29,$G226=$G$31,J$31,$G226=$G$32,J$150,$G226=$G$248,J$248,$G226=$G$250,J$250)</f>
        <v>185</v>
      </c>
      <c r="K226" s="48" t="str" cm="1">
        <f t="array" ref="K226">_xlfn.IFS($G226=$G$5,K$5,$G226=$G$6,K$6,$G226=$G$7,K$7,$G226=$G$8,K$8,$G226=$G$9,K$9,$G226=$G$10,K$10,$G226=$G$11,K$11,$G226=$G$12,K$12,$G226=$G$13,K$13,$G226=$G$15,K$15,$G226=$G$16,K$16,$G226=$G$17,K$17,$G226=$G$18,K$18,$G226=$G$19,K$19,$G226=$G$20,K$20,$G226=$G$21,K$21,$G226=$G$22,K$22,$G226=$G$25,K$25,$G226=$G$26,K$26,$G226=$G$27,K$27,$G226=$G$29,K$29,$G226=$G$31,K$31,$G226=$G$32,K$150,$G226=$G$248,K$248,$G226=$G$250,K$250)</f>
        <v>BG sentinel + BG lure7</v>
      </c>
      <c r="L226" s="48"/>
      <c r="M226" s="48"/>
      <c r="O226" s="45" t="str">
        <f t="shared" si="10"/>
        <v>A_SP_BCN_12_210617</v>
      </c>
      <c r="P226" s="64">
        <v>44364</v>
      </c>
      <c r="R226" s="72"/>
      <c r="S226" s="64">
        <v>44370</v>
      </c>
      <c r="U226" s="72"/>
      <c r="V226" s="54" t="s">
        <v>66</v>
      </c>
      <c r="X226" s="45">
        <f t="shared" si="19"/>
        <v>6</v>
      </c>
      <c r="Z226" s="69" t="s">
        <v>69</v>
      </c>
      <c r="AA226" s="45">
        <f t="shared" si="16"/>
        <v>4</v>
      </c>
      <c r="AB226" t="str">
        <f t="shared" si="17"/>
        <v>Adult</v>
      </c>
      <c r="AC226" s="69">
        <v>4</v>
      </c>
      <c r="AD226" s="69">
        <v>0</v>
      </c>
      <c r="AE226" s="45" t="str">
        <f t="shared" si="18"/>
        <v>Morphological</v>
      </c>
      <c r="AF226" s="56">
        <v>4</v>
      </c>
    </row>
    <row r="227" spans="1:32" ht="18" customHeight="1" x14ac:dyDescent="0.25">
      <c r="A227" s="45">
        <v>223</v>
      </c>
      <c r="B227" s="45" t="s">
        <v>60</v>
      </c>
      <c r="C227" s="45" t="s">
        <v>61</v>
      </c>
      <c r="D227" s="45" t="s">
        <v>62</v>
      </c>
      <c r="E227" s="45" t="s">
        <v>62</v>
      </c>
      <c r="F227" s="46" cm="1">
        <f t="array" ref="F227">_xlfn.IFS($G227=$G$5,F$5,$G227=$G$6,F$6,$G227=$G$7,F$7,$G227=$G$8,F$8,$G227=$G$9,F$9,$G227=$G$10,F$10,$G227=$G$11,F$11,$G227=$G$12,F$12,$G227=$G$13,F$13,$G227=$G$15,F$15,$G227=$G$16,F$16,$G227=$G$17,F$17,$G227=$G$18,F$18,$G227=$G$19,F$19,$G227=$G$20,F$20,$G227=$G$21,F$21,$G227=$G$22,F$22,$G227=$G$25,F$25,$G227=$G$26,F$26,$G227=$G$27,F$27,$G227=$G$29,F$29,$G227=$G$31,F$31,$G227=$G$32,F$32,$G227=$G$248,F$248,$G227=$G$250,F$250)</f>
        <v>8038</v>
      </c>
      <c r="G227" t="s">
        <v>84</v>
      </c>
      <c r="H227" s="66" cm="1">
        <f t="array" ref="H227">_xlfn.IFS($G227=$G$5,H$5,$G227=$G$6,H$6,$G227=$G$7,H$7,$G227=$G$8,H$8,$G227=$G$9,H$9,$G227=$G$10,H$10,$G227=$G$11,H$11,$G227=$G$12,H$12,$G227=$G$13,H$13,$G227=$G$15,H$15,$G227=$G$16,H$16,$G227=$G$17,H$17,$G227=$G$18,H$18,$G227=$G$19,H$19,$G227=$G$20,H$20,$G227=$G$21,H$21,$G227=$G$22,H$22,$G227=$G$25,H$25,$G227=$G$26,H$26,$G227=$G$27,H$27,$G227=$G$29,H$29,$G227=$G$31,H$31,$G227=$G$32,H$150,$G227=$G$248,H$248,$G227=$G$250,H$250)</f>
        <v>41.363377999999997</v>
      </c>
      <c r="I227" s="60" cm="1">
        <f t="array" ref="I227">_xlfn.IFS($G227=$G$5,I$5,$G227=$G$6,I$6,$G227=$G$7,I$7,$G227=$G$8,I$8,$G227=$G$9,I$9,$G227=$G$10,I$10,$G227=$G$11,I$11,$G227=$G$12,I$12,$G227=$G$13,I$13,$G227=$G$15,I$15,$G227=$G$16,I$16,$G227=$G$17,I$17,$G227=$G$18,I$18,$G227=$G$19,I$19,$G227=$G$20,I$20,$G227=$G$21,I$21,$G227=$G$22,I$22,$G227=$G$25,I$25,$G227=$G$26,I$26,$G227=$G$27,I$27,$G227=$G$29,I$29,$G227=$G$31,I$31,$G227=$G$32,I$150,$G227=$G$248,I$248,$G227=$G$250,I$250)</f>
        <v>2.164879</v>
      </c>
      <c r="J227" cm="1">
        <f t="array" ref="J227">_xlfn.IFS($G227=$G$5,J$5,$G227=$G$6,J$6,$G227=$G$7,J$7,$G227=$G$8,J$8,$G227=$G$9,J$9,$G227=$G$10,J$10,$G227=$G$11,J$11,$G227=$G$12,J$12,$G227=$G$13,J$13,$G227=$G$15,J$15,$G227=$G$16,J$16,$G227=$G$17,J$17,$G227=$G$18,J$18,$G227=$G$19,J$19,$G227=$G$20,J$20,$G227=$G$21,J$21,$G227=$G$22,J$22,$G227=$G$25,J$25,$G227=$G$26,J$26,$G227=$G$27,J$27,$G227=$G$29,J$29,$G227=$G$31,J$31,$G227=$G$32,J$150,$G227=$G$248,J$248,$G227=$G$250,J$250)</f>
        <v>185</v>
      </c>
      <c r="K227" s="48" t="str" cm="1">
        <f t="array" ref="K227">_xlfn.IFS($G227=$G$5,K$5,$G227=$G$6,K$6,$G227=$G$7,K$7,$G227=$G$8,K$8,$G227=$G$9,K$9,$G227=$G$10,K$10,$G227=$G$11,K$11,$G227=$G$12,K$12,$G227=$G$13,K$13,$G227=$G$15,K$15,$G227=$G$16,K$16,$G227=$G$17,K$17,$G227=$G$18,K$18,$G227=$G$19,K$19,$G227=$G$20,K$20,$G227=$G$21,K$21,$G227=$G$22,K$22,$G227=$G$25,K$25,$G227=$G$26,K$26,$G227=$G$27,K$27,$G227=$G$29,K$29,$G227=$G$31,K$31,$G227=$G$32,K$150,$G227=$G$248,K$248,$G227=$G$250,K$250)</f>
        <v>BG sentinel + BG lure7</v>
      </c>
      <c r="L227" s="48" t="str" cm="1">
        <f t="array" ref="L227">_xlfn.IFS($G227=$G$5,L$5,$G227=$G$6,L$6,$G227=$G$7,L$7,$G227=$G$8,L$8,$G227=$G$9,L$9,$G227=$G$10,L$10,$G227=$G$11,L$11,$G227=$G$12,L$12,$G227=$G$13,L$13,$G227=$G$15,L$15,$G227=$G$16,L$16,$G227=$G$17,L$17,$G227=$G$18,L$18,$G227=$G$19,L$19,$G227=$G$20,L$20,$G227=$G$21,L$21,$G227=$G$22,L$22,$G227=$G$25,L$25,$G227=$G$26,L$26,$G227=$G$27,L$27,$G227=$G$29,L$29,$G227=$G$31,L$31,$G227=$G$32,L$32,$G227=$G$248,L$248,$G227=$G$250,L$250)</f>
        <v>Other</v>
      </c>
      <c r="M227" s="48"/>
      <c r="O227" s="45" t="str">
        <f t="shared" si="10"/>
        <v>A_SP_BCN_12_210617</v>
      </c>
      <c r="P227" s="64">
        <v>44364</v>
      </c>
      <c r="R227" s="72"/>
      <c r="S227" s="64">
        <v>44370</v>
      </c>
      <c r="U227" s="72"/>
      <c r="V227" s="54" t="s">
        <v>66</v>
      </c>
      <c r="X227" s="45">
        <f t="shared" si="19"/>
        <v>6</v>
      </c>
      <c r="Z227" s="45" t="s">
        <v>70</v>
      </c>
      <c r="AA227" s="45">
        <f t="shared" si="16"/>
        <v>15</v>
      </c>
      <c r="AB227" t="str">
        <f t="shared" si="17"/>
        <v>Adult</v>
      </c>
      <c r="AC227" s="69">
        <v>15</v>
      </c>
      <c r="AD227" s="69">
        <v>0</v>
      </c>
      <c r="AE227" s="45" t="str">
        <f t="shared" si="18"/>
        <v>Morphological</v>
      </c>
      <c r="AF227" s="56">
        <v>4</v>
      </c>
    </row>
    <row r="228" spans="1:32" ht="18" customHeight="1" x14ac:dyDescent="0.25">
      <c r="A228" s="45">
        <v>224</v>
      </c>
      <c r="B228" s="45" t="s">
        <v>60</v>
      </c>
      <c r="C228" s="45" t="s">
        <v>61</v>
      </c>
      <c r="D228" s="45" t="s">
        <v>62</v>
      </c>
      <c r="E228" s="45" t="s">
        <v>62</v>
      </c>
      <c r="F228" s="46" cm="1">
        <f t="array" ref="F228">_xlfn.IFS($G228=$G$5,F$5,$G228=$G$6,F$6,$G228=$G$7,F$7,$G228=$G$8,F$8,$G228=$G$9,F$9,$G228=$G$10,F$10,$G228=$G$11,F$11,$G228=$G$12,F$12,$G228=$G$13,F$13,$G228=$G$15,F$15,$G228=$G$16,F$16,$G228=$G$17,F$17,$G228=$G$18,F$18,$G228=$G$19,F$19,$G228=$G$20,F$20,$G228=$G$21,F$21,$G228=$G$22,F$22,$G228=$G$25,F$25,$G228=$G$26,F$26,$G228=$G$27,F$27,$G228=$G$29,F$29,$G228=$G$31,F$31,$G228=$G$32,F$32,$G228=$G$248,F$248,$G228=$G$250,F$250)</f>
        <v>8038</v>
      </c>
      <c r="G228" t="s">
        <v>84</v>
      </c>
      <c r="H228" s="66" cm="1">
        <f t="array" ref="H228">_xlfn.IFS($G228=$G$5,H$5,$G228=$G$6,H$6,$G228=$G$7,H$7,$G228=$G$8,H$8,$G228=$G$9,H$9,$G228=$G$10,H$10,$G228=$G$11,H$11,$G228=$G$12,H$12,$G228=$G$13,H$13,$G228=$G$15,H$15,$G228=$G$16,H$16,$G228=$G$17,H$17,$G228=$G$18,H$18,$G228=$G$19,H$19,$G228=$G$20,H$20,$G228=$G$21,H$21,$G228=$G$22,H$22,$G228=$G$25,H$25,$G228=$G$26,H$26,$G228=$G$27,H$27,$G228=$G$29,H$29,$G228=$G$31,H$31,$G228=$G$32,H$150,$G228=$G$248,H$248,$G228=$G$250,H$250)</f>
        <v>41.363377999999997</v>
      </c>
      <c r="I228" s="60" cm="1">
        <f t="array" ref="I228">_xlfn.IFS($G228=$G$5,I$5,$G228=$G$6,I$6,$G228=$G$7,I$7,$G228=$G$8,I$8,$G228=$G$9,I$9,$G228=$G$10,I$10,$G228=$G$11,I$11,$G228=$G$12,I$12,$G228=$G$13,I$13,$G228=$G$15,I$15,$G228=$G$16,I$16,$G228=$G$17,I$17,$G228=$G$18,I$18,$G228=$G$19,I$19,$G228=$G$20,I$20,$G228=$G$21,I$21,$G228=$G$22,I$22,$G228=$G$25,I$25,$G228=$G$26,I$26,$G228=$G$27,I$27,$G228=$G$29,I$29,$G228=$G$31,I$31,$G228=$G$32,I$150,$G228=$G$248,I$248,$G228=$G$250,I$250)</f>
        <v>2.164879</v>
      </c>
      <c r="J228" cm="1">
        <f t="array" ref="J228">_xlfn.IFS($G228=$G$5,J$5,$G228=$G$6,J$6,$G228=$G$7,J$7,$G228=$G$8,J$8,$G228=$G$9,J$9,$G228=$G$10,J$10,$G228=$G$11,J$11,$G228=$G$12,J$12,$G228=$G$13,J$13,$G228=$G$15,J$15,$G228=$G$16,J$16,$G228=$G$17,J$17,$G228=$G$18,J$18,$G228=$G$19,J$19,$G228=$G$20,J$20,$G228=$G$21,J$21,$G228=$G$22,J$22,$G228=$G$25,J$25,$G228=$G$26,J$26,$G228=$G$27,J$27,$G228=$G$29,J$29,$G228=$G$31,J$31,$G228=$G$32,J$150,$G228=$G$248,J$248,$G228=$G$250,J$250)</f>
        <v>185</v>
      </c>
      <c r="K228" s="48" t="str" cm="1">
        <f t="array" ref="K228">_xlfn.IFS($G228=$G$5,K$5,$G228=$G$6,K$6,$G228=$G$7,K$7,$G228=$G$8,K$8,$G228=$G$9,K$9,$G228=$G$10,K$10,$G228=$G$11,K$11,$G228=$G$12,K$12,$G228=$G$13,K$13,$G228=$G$15,K$15,$G228=$G$16,K$16,$G228=$G$17,K$17,$G228=$G$18,K$18,$G228=$G$19,K$19,$G228=$G$20,K$20,$G228=$G$21,K$21,$G228=$G$22,K$22,$G228=$G$25,K$25,$G228=$G$26,K$26,$G228=$G$27,K$27,$G228=$G$29,K$29,$G228=$G$31,K$31,$G228=$G$32,K$150,$G228=$G$248,K$248,$G228=$G$250,K$250)</f>
        <v>BG sentinel + BG lure7</v>
      </c>
      <c r="L228" s="48" t="str" cm="1">
        <f t="array" ref="L228">_xlfn.IFS($G228=$G$5,L$5,$G228=$G$6,L$6,$G228=$G$7,L$7,$G228=$G$8,L$8,$G228=$G$9,L$9,$G228=$G$10,L$10,$G228=$G$11,L$11,$G228=$G$12,L$12,$G228=$G$13,L$13,$G228=$G$15,L$15,$G228=$G$16,L$16,$G228=$G$17,L$17,$G228=$G$18,L$18,$G228=$G$19,L$19,$G228=$G$20,L$20,$G228=$G$21,L$21,$G228=$G$22,L$22,$G228=$G$25,L$25,$G228=$G$26,L$26,$G228=$G$27,L$27,$G228=$G$29,L$29,$G228=$G$31,L$31,$G228=$G$32,L$32,$G228=$G$248,L$248,$G228=$G$250,L$250)</f>
        <v>Other</v>
      </c>
      <c r="M228" s="48"/>
      <c r="O228" s="45" t="str">
        <f t="shared" si="10"/>
        <v>A_SP_BCN_12_210617</v>
      </c>
      <c r="P228" s="64">
        <v>44364</v>
      </c>
      <c r="R228" s="72"/>
      <c r="S228" s="64">
        <v>44370</v>
      </c>
      <c r="U228" s="72"/>
      <c r="V228" s="54" t="s">
        <v>66</v>
      </c>
      <c r="X228" s="45">
        <f t="shared" si="19"/>
        <v>6</v>
      </c>
      <c r="Z228" s="45" t="s">
        <v>80</v>
      </c>
      <c r="AA228" s="45">
        <f t="shared" si="16"/>
        <v>6</v>
      </c>
      <c r="AB228" t="str">
        <f t="shared" si="17"/>
        <v>Adult</v>
      </c>
      <c r="AC228" s="69">
        <v>3</v>
      </c>
      <c r="AD228" s="69">
        <v>3</v>
      </c>
      <c r="AE228" s="45" t="str">
        <f t="shared" si="18"/>
        <v>Morphological</v>
      </c>
      <c r="AF228" s="56">
        <v>4</v>
      </c>
    </row>
    <row r="229" spans="1:32" ht="18" customHeight="1" x14ac:dyDescent="0.25">
      <c r="A229" s="45">
        <v>225</v>
      </c>
      <c r="B229" s="45" t="s">
        <v>60</v>
      </c>
      <c r="C229" s="45" t="s">
        <v>61</v>
      </c>
      <c r="D229" s="45" t="s">
        <v>62</v>
      </c>
      <c r="E229" s="45" t="s">
        <v>62</v>
      </c>
      <c r="F229" s="46" cm="1">
        <f t="array" ref="F229">_xlfn.IFS($G229=$G$5,F$5,$G229=$G$6,F$6,$G229=$G$7,F$7,$G229=$G$8,F$8,$G229=$G$9,F$9,$G229=$G$10,F$10,$G229=$G$11,F$11,$G229=$G$12,F$12,$G229=$G$13,F$13,$G229=$G$15,F$15,$G229=$G$16,F$16,$G229=$G$17,F$17,$G229=$G$18,F$18,$G229=$G$19,F$19,$G229=$G$20,F$20,$G229=$G$21,F$21,$G229=$G$22,F$22,$G229=$G$25,F$25,$G229=$G$26,F$26,$G229=$G$27,F$27,$G229=$G$29,F$29,$G229=$G$31,F$31,$G229=$G$32,F$32,$G229=$G$248,F$248,$G229=$G$250,F$250)</f>
        <v>8035</v>
      </c>
      <c r="G229" t="s">
        <v>85</v>
      </c>
      <c r="H229" s="66" cm="1">
        <f t="array" ref="H229">_xlfn.IFS($G229=$G$5,H$5,$G229=$G$6,H$6,$G229=$G$7,H$7,$G229=$G$8,H$8,$G229=$G$9,H$9,$G229=$G$10,H$10,$G229=$G$11,H$11,$G229=$G$12,H$12,$G229=$G$13,H$13,$G229=$G$15,H$15,$G229=$G$16,H$16,$G229=$G$17,H$17,$G229=$G$18,H$18,$G229=$G$19,H$19,$G229=$G$20,H$20,$G229=$G$21,H$21,$G229=$G$22,H$22,$G229=$G$25,H$25,$G229=$G$26,H$26,$G229=$G$27,H$27,$G229=$G$29,H$29,$G229=$G$31,H$31,$G229=$G$32,H$150,$G229=$G$248,H$248,$G229=$G$250,H$250)</f>
        <v>41.434472</v>
      </c>
      <c r="I229" s="60" cm="1">
        <f t="array" ref="I229">_xlfn.IFS($G229=$G$5,I$5,$G229=$G$6,I$6,$G229=$G$7,I$7,$G229=$G$8,I$8,$G229=$G$9,I$9,$G229=$G$10,I$10,$G229=$G$11,I$11,$G229=$G$12,I$12,$G229=$G$13,I$13,$G229=$G$15,I$15,$G229=$G$16,I$16,$G229=$G$17,I$17,$G229=$G$18,I$18,$G229=$G$19,I$19,$G229=$G$20,I$20,$G229=$G$21,I$21,$G229=$G$22,I$22,$G229=$G$25,I$25,$G229=$G$26,I$26,$G229=$G$27,I$27,$G229=$G$29,I$29,$G229=$G$31,I$31,$G229=$G$32,I$150,$G229=$G$248,I$248,$G229=$G$250,I$250)</f>
        <v>2.1315789999999999</v>
      </c>
      <c r="J229" cm="1">
        <f t="array" ref="J229">_xlfn.IFS($G229=$G$5,J$5,$G229=$G$6,J$6,$G229=$G$7,J$7,$G229=$G$8,J$8,$G229=$G$9,J$9,$G229=$G$10,J$10,$G229=$G$11,J$11,$G229=$G$12,J$12,$G229=$G$13,J$13,$G229=$G$15,J$15,$G229=$G$16,J$16,$G229=$G$17,J$17,$G229=$G$18,J$18,$G229=$G$19,J$19,$G229=$G$20,J$20,$G229=$G$21,J$21,$G229=$G$22,J$22,$G229=$G$25,J$25,$G229=$G$26,J$26,$G229=$G$27,J$27,$G229=$G$29,J$29,$G229=$G$31,J$31,$G229=$G$32,J$150,$G229=$G$248,J$248,$G229=$G$250,J$250)</f>
        <v>365</v>
      </c>
      <c r="K229" s="48" t="str" cm="1">
        <f t="array" ref="K229">_xlfn.IFS($G229=$G$5,K$5,$G229=$G$6,K$6,$G229=$G$7,K$7,$G229=$G$8,K$8,$G229=$G$9,K$9,$G229=$G$10,K$10,$G229=$G$11,K$11,$G229=$G$12,K$12,$G229=$G$13,K$13,$G229=$G$15,K$15,$G229=$G$16,K$16,$G229=$G$17,K$17,$G229=$G$18,K$18,$G229=$G$19,K$19,$G229=$G$20,K$20,$G229=$G$21,K$21,$G229=$G$22,K$22,$G229=$G$25,K$25,$G229=$G$26,K$26,$G229=$G$27,K$27,$G229=$G$29,K$29,$G229=$G$31,K$31,$G229=$G$32,K$150,$G229=$G$248,K$248,$G229=$G$250,K$250)</f>
        <v>BG sentinel + BG lure7</v>
      </c>
      <c r="L229" s="48"/>
      <c r="M229" s="48"/>
      <c r="O229" s="45" t="str">
        <f t="shared" si="10"/>
        <v>A_SP_BCN_13_210616</v>
      </c>
      <c r="P229" s="64">
        <v>44363</v>
      </c>
      <c r="R229" s="72"/>
      <c r="S229" s="64">
        <v>44369</v>
      </c>
      <c r="U229" s="72"/>
      <c r="V229" s="54" t="s">
        <v>66</v>
      </c>
      <c r="X229" s="45">
        <f t="shared" si="19"/>
        <v>6</v>
      </c>
      <c r="Z229" s="45" t="s">
        <v>70</v>
      </c>
      <c r="AA229" s="45">
        <f t="shared" si="16"/>
        <v>1</v>
      </c>
      <c r="AB229" t="str">
        <f t="shared" si="17"/>
        <v>Adult</v>
      </c>
      <c r="AC229" s="69">
        <v>1</v>
      </c>
      <c r="AD229" s="69">
        <v>0</v>
      </c>
      <c r="AE229" s="45" t="str">
        <f t="shared" si="18"/>
        <v>Morphological</v>
      </c>
      <c r="AF229" s="56">
        <v>4</v>
      </c>
    </row>
    <row r="230" spans="1:32" ht="18" customHeight="1" x14ac:dyDescent="0.25">
      <c r="A230" s="45">
        <v>226</v>
      </c>
      <c r="B230" s="45" t="s">
        <v>60</v>
      </c>
      <c r="C230" s="45" t="s">
        <v>61</v>
      </c>
      <c r="D230" s="45" t="s">
        <v>62</v>
      </c>
      <c r="E230" s="45" t="s">
        <v>62</v>
      </c>
      <c r="F230" s="46" cm="1">
        <f t="array" ref="F230">_xlfn.IFS($G230=$G$5,F$5,$G230=$G$6,F$6,$G230=$G$7,F$7,$G230=$G$8,F$8,$G230=$G$9,F$9,$G230=$G$10,F$10,$G230=$G$11,F$11,$G230=$G$12,F$12,$G230=$G$13,F$13,$G230=$G$15,F$15,$G230=$G$16,F$16,$G230=$G$17,F$17,$G230=$G$18,F$18,$G230=$G$19,F$19,$G230=$G$20,F$20,$G230=$G$21,F$21,$G230=$G$22,F$22,$G230=$G$25,F$25,$G230=$G$26,F$26,$G230=$G$27,F$27,$G230=$G$29,F$29,$G230=$G$31,F$31,$G230=$G$32,F$32,$G230=$G$248,F$248,$G230=$G$250,F$250)</f>
        <v>8035</v>
      </c>
      <c r="G230" t="s">
        <v>85</v>
      </c>
      <c r="H230" s="66" cm="1">
        <f t="array" ref="H230">_xlfn.IFS($G230=$G$5,H$5,$G230=$G$6,H$6,$G230=$G$7,H$7,$G230=$G$8,H$8,$G230=$G$9,H$9,$G230=$G$10,H$10,$G230=$G$11,H$11,$G230=$G$12,H$12,$G230=$G$13,H$13,$G230=$G$15,H$15,$G230=$G$16,H$16,$G230=$G$17,H$17,$G230=$G$18,H$18,$G230=$G$19,H$19,$G230=$G$20,H$20,$G230=$G$21,H$21,$G230=$G$22,H$22,$G230=$G$25,H$25,$G230=$G$26,H$26,$G230=$G$27,H$27,$G230=$G$29,H$29,$G230=$G$31,H$31,$G230=$G$32,H$150,$G230=$G$248,H$248,$G230=$G$250,H$250)</f>
        <v>41.434472</v>
      </c>
      <c r="I230" s="60" cm="1">
        <f t="array" ref="I230">_xlfn.IFS($G230=$G$5,I$5,$G230=$G$6,I$6,$G230=$G$7,I$7,$G230=$G$8,I$8,$G230=$G$9,I$9,$G230=$G$10,I$10,$G230=$G$11,I$11,$G230=$G$12,I$12,$G230=$G$13,I$13,$G230=$G$15,I$15,$G230=$G$16,I$16,$G230=$G$17,I$17,$G230=$G$18,I$18,$G230=$G$19,I$19,$G230=$G$20,I$20,$G230=$G$21,I$21,$G230=$G$22,I$22,$G230=$G$25,I$25,$G230=$G$26,I$26,$G230=$G$27,I$27,$G230=$G$29,I$29,$G230=$G$31,I$31,$G230=$G$32,I$150,$G230=$G$248,I$248,$G230=$G$250,I$250)</f>
        <v>2.1315789999999999</v>
      </c>
      <c r="J230" cm="1">
        <f t="array" ref="J230">_xlfn.IFS($G230=$G$5,J$5,$G230=$G$6,J$6,$G230=$G$7,J$7,$G230=$G$8,J$8,$G230=$G$9,J$9,$G230=$G$10,J$10,$G230=$G$11,J$11,$G230=$G$12,J$12,$G230=$G$13,J$13,$G230=$G$15,J$15,$G230=$G$16,J$16,$G230=$G$17,J$17,$G230=$G$18,J$18,$G230=$G$19,J$19,$G230=$G$20,J$20,$G230=$G$21,J$21,$G230=$G$22,J$22,$G230=$G$25,J$25,$G230=$G$26,J$26,$G230=$G$27,J$27,$G230=$G$29,J$29,$G230=$G$31,J$31,$G230=$G$32,J$150,$G230=$G$248,J$248,$G230=$G$250,J$250)</f>
        <v>365</v>
      </c>
      <c r="K230" s="48" t="str" cm="1">
        <f t="array" ref="K230">_xlfn.IFS($G230=$G$5,K$5,$G230=$G$6,K$6,$G230=$G$7,K$7,$G230=$G$8,K$8,$G230=$G$9,K$9,$G230=$G$10,K$10,$G230=$G$11,K$11,$G230=$G$12,K$12,$G230=$G$13,K$13,$G230=$G$15,K$15,$G230=$G$16,K$16,$G230=$G$17,K$17,$G230=$G$18,K$18,$G230=$G$19,K$19,$G230=$G$20,K$20,$G230=$G$21,K$21,$G230=$G$22,K$22,$G230=$G$25,K$25,$G230=$G$26,K$26,$G230=$G$27,K$27,$G230=$G$29,K$29,$G230=$G$31,K$31,$G230=$G$32,K$150,$G230=$G$248,K$248,$G230=$G$250,K$250)</f>
        <v>BG sentinel + BG lure7</v>
      </c>
      <c r="L230" s="48"/>
      <c r="M230" s="48"/>
      <c r="O230" s="45" t="str">
        <f t="shared" ref="O230:O293" si="20">G230&amp;"_"&amp;TEXT(P230, "AAMMDD")</f>
        <v>A_SP_BCN_13_210616</v>
      </c>
      <c r="P230" s="64">
        <v>44363</v>
      </c>
      <c r="R230" s="72"/>
      <c r="S230" s="64">
        <v>44369</v>
      </c>
      <c r="U230" s="72"/>
      <c r="V230" s="54" t="s">
        <v>66</v>
      </c>
      <c r="X230" s="45">
        <f t="shared" si="19"/>
        <v>6</v>
      </c>
      <c r="Z230" s="45" t="s">
        <v>80</v>
      </c>
      <c r="AA230" s="45">
        <f t="shared" si="16"/>
        <v>2</v>
      </c>
      <c r="AB230" t="str">
        <f t="shared" si="17"/>
        <v>Adult</v>
      </c>
      <c r="AC230" s="69">
        <v>1</v>
      </c>
      <c r="AD230" s="69">
        <v>1</v>
      </c>
      <c r="AE230" s="45" t="str">
        <f t="shared" si="18"/>
        <v>Morphological</v>
      </c>
      <c r="AF230" s="56">
        <v>4</v>
      </c>
    </row>
    <row r="231" spans="1:32" ht="18" customHeight="1" x14ac:dyDescent="0.25">
      <c r="A231" s="45">
        <v>227</v>
      </c>
      <c r="B231" s="45" t="s">
        <v>60</v>
      </c>
      <c r="C231" s="45" t="s">
        <v>61</v>
      </c>
      <c r="D231" s="45" t="s">
        <v>62</v>
      </c>
      <c r="E231" s="45" t="s">
        <v>62</v>
      </c>
      <c r="F231" s="46" cm="1">
        <f t="array" ref="F231">_xlfn.IFS($G231=$G$5,F$5,$G231=$G$6,F$6,$G231=$G$7,F$7,$G231=$G$8,F$8,$G231=$G$9,F$9,$G231=$G$10,F$10,$G231=$G$11,F$11,$G231=$G$12,F$12,$G231=$G$13,F$13,$G231=$G$15,F$15,$G231=$G$16,F$16,$G231=$G$17,F$17,$G231=$G$18,F$18,$G231=$G$19,F$19,$G231=$G$20,F$20,$G231=$G$21,F$21,$G231=$G$22,F$22,$G231=$G$25,F$25,$G231=$G$26,F$26,$G231=$G$27,F$27,$G231=$G$29,F$29,$G231=$G$31,F$31,$G231=$G$32,F$32,$G231=$G$248,F$248,$G231=$G$250,F$250)</f>
        <v>8017</v>
      </c>
      <c r="G231" t="s">
        <v>86</v>
      </c>
      <c r="H231" s="66" cm="1">
        <f t="array" ref="H231">_xlfn.IFS($G231=$G$5,H$5,$G231=$G$6,H$6,$G231=$G$7,H$7,$G231=$G$8,H$8,$G231=$G$9,H$9,$G231=$G$10,H$10,$G231=$G$11,H$11,$G231=$G$12,H$12,$G231=$G$13,H$13,$G231=$G$15,H$15,$G231=$G$16,H$16,$G231=$G$17,H$17,$G231=$G$18,H$18,$G231=$G$19,H$19,$G231=$G$20,H$20,$G231=$G$21,H$21,$G231=$G$22,H$22,$G231=$G$25,H$25,$G231=$G$26,H$26,$G231=$G$27,H$27,$G231=$G$29,H$29,$G231=$G$31,H$31,$G231=$G$32,H$150,$G231=$G$248,H$248,$G231=$G$250,H$250)</f>
        <v>41.428533999999999</v>
      </c>
      <c r="I231" s="60" cm="1">
        <f t="array" ref="I231">_xlfn.IFS($G231=$G$5,I$5,$G231=$G$6,I$6,$G231=$G$7,I$7,$G231=$G$8,I$8,$G231=$G$9,I$9,$G231=$G$10,I$10,$G231=$G$11,I$11,$G231=$G$12,I$12,$G231=$G$13,I$13,$G231=$G$15,I$15,$G231=$G$16,I$16,$G231=$G$17,I$17,$G231=$G$18,I$18,$G231=$G$19,I$19,$G231=$G$20,I$20,$G231=$G$21,I$21,$G231=$G$22,I$22,$G231=$G$25,I$25,$G231=$G$26,I$26,$G231=$G$27,I$27,$G231=$G$29,I$29,$G231=$G$31,I$31,$G231=$G$32,I$150,$G231=$G$248,I$248,$G231=$G$250,I$250)</f>
        <v>2.090954</v>
      </c>
      <c r="J231" cm="1">
        <f t="array" ref="J231">_xlfn.IFS($G231=$G$5,J$5,$G231=$G$6,J$6,$G231=$G$7,J$7,$G231=$G$8,J$8,$G231=$G$9,J$9,$G231=$G$10,J$10,$G231=$G$11,J$11,$G231=$G$12,J$12,$G231=$G$13,J$13,$G231=$G$15,J$15,$G231=$G$16,J$16,$G231=$G$17,J$17,$G231=$G$18,J$18,$G231=$G$19,J$19,$G231=$G$20,J$20,$G231=$G$21,J$21,$G231=$G$22,J$22,$G231=$G$25,J$25,$G231=$G$26,J$26,$G231=$G$27,J$27,$G231=$G$29,J$29,$G231=$G$31,J$31,$G231=$G$32,J$150,$G231=$G$248,J$248,$G231=$G$250,J$250)</f>
        <v>215</v>
      </c>
      <c r="K231" s="48" t="str" cm="1">
        <f t="array" ref="K231">_xlfn.IFS($G231=$G$5,K$5,$G231=$G$6,K$6,$G231=$G$7,K$7,$G231=$G$8,K$8,$G231=$G$9,K$9,$G231=$G$10,K$10,$G231=$G$11,K$11,$G231=$G$12,K$12,$G231=$G$13,K$13,$G231=$G$15,K$15,$G231=$G$16,K$16,$G231=$G$17,K$17,$G231=$G$18,K$18,$G231=$G$19,K$19,$G231=$G$20,K$20,$G231=$G$21,K$21,$G231=$G$22,K$22,$G231=$G$25,K$25,$G231=$G$26,K$26,$G231=$G$27,K$27,$G231=$G$29,K$29,$G231=$G$31,K$31,$G231=$G$32,K$150,$G231=$G$248,K$248,$G231=$G$250,K$250)</f>
        <v>BG sentinel + BG lure7</v>
      </c>
      <c r="L231" s="48"/>
      <c r="M231" s="48"/>
      <c r="O231" s="45" t="str">
        <f t="shared" si="20"/>
        <v>A_SP_BCN_14_210616</v>
      </c>
      <c r="P231" s="64">
        <v>44363</v>
      </c>
      <c r="R231" s="72"/>
      <c r="S231" s="64">
        <v>44369</v>
      </c>
      <c r="U231" s="72"/>
      <c r="V231" s="54" t="s">
        <v>66</v>
      </c>
      <c r="X231" s="45">
        <f t="shared" si="19"/>
        <v>6</v>
      </c>
      <c r="Z231" s="69" t="s">
        <v>69</v>
      </c>
      <c r="AA231" s="45">
        <f t="shared" si="16"/>
        <v>2</v>
      </c>
      <c r="AB231" t="str">
        <f t="shared" si="17"/>
        <v>Adult</v>
      </c>
      <c r="AC231" s="69">
        <v>1</v>
      </c>
      <c r="AD231" s="69">
        <v>1</v>
      </c>
      <c r="AE231" s="45" t="str">
        <f t="shared" si="18"/>
        <v>Morphological</v>
      </c>
      <c r="AF231" s="56">
        <v>4</v>
      </c>
    </row>
    <row r="232" spans="1:32" ht="18" customHeight="1" x14ac:dyDescent="0.25">
      <c r="A232" s="45">
        <v>228</v>
      </c>
      <c r="B232" s="45" t="s">
        <v>60</v>
      </c>
      <c r="C232" s="45" t="s">
        <v>61</v>
      </c>
      <c r="D232" s="45" t="s">
        <v>62</v>
      </c>
      <c r="E232" s="45" t="s">
        <v>62</v>
      </c>
      <c r="F232" s="46" cm="1">
        <f t="array" ref="F232">_xlfn.IFS($G232=$G$5,F$5,$G232=$G$6,F$6,$G232=$G$7,F$7,$G232=$G$8,F$8,$G232=$G$9,F$9,$G232=$G$10,F$10,$G232=$G$11,F$11,$G232=$G$12,F$12,$G232=$G$13,F$13,$G232=$G$15,F$15,$G232=$G$16,F$16,$G232=$G$17,F$17,$G232=$G$18,F$18,$G232=$G$19,F$19,$G232=$G$20,F$20,$G232=$G$21,F$21,$G232=$G$22,F$22,$G232=$G$25,F$25,$G232=$G$26,F$26,$G232=$G$27,F$27,$G232=$G$29,F$29,$G232=$G$31,F$31,$G232=$G$32,F$32,$G232=$G$248,F$248,$G232=$G$250,F$250)</f>
        <v>8017</v>
      </c>
      <c r="G232" t="s">
        <v>86</v>
      </c>
      <c r="H232" s="66" cm="1">
        <f t="array" ref="H232">_xlfn.IFS($G232=$G$5,H$5,$G232=$G$6,H$6,$G232=$G$7,H$7,$G232=$G$8,H$8,$G232=$G$9,H$9,$G232=$G$10,H$10,$G232=$G$11,H$11,$G232=$G$12,H$12,$G232=$G$13,H$13,$G232=$G$15,H$15,$G232=$G$16,H$16,$G232=$G$17,H$17,$G232=$G$18,H$18,$G232=$G$19,H$19,$G232=$G$20,H$20,$G232=$G$21,H$21,$G232=$G$22,H$22,$G232=$G$25,H$25,$G232=$G$26,H$26,$G232=$G$27,H$27,$G232=$G$29,H$29,$G232=$G$31,H$31,$G232=$G$32,H$150,$G232=$G$248,H$248,$G232=$G$250,H$250)</f>
        <v>41.428533999999999</v>
      </c>
      <c r="I232" s="60" cm="1">
        <f t="array" ref="I232">_xlfn.IFS($G232=$G$5,I$5,$G232=$G$6,I$6,$G232=$G$7,I$7,$G232=$G$8,I$8,$G232=$G$9,I$9,$G232=$G$10,I$10,$G232=$G$11,I$11,$G232=$G$12,I$12,$G232=$G$13,I$13,$G232=$G$15,I$15,$G232=$G$16,I$16,$G232=$G$17,I$17,$G232=$G$18,I$18,$G232=$G$19,I$19,$G232=$G$20,I$20,$G232=$G$21,I$21,$G232=$G$22,I$22,$G232=$G$25,I$25,$G232=$G$26,I$26,$G232=$G$27,I$27,$G232=$G$29,I$29,$G232=$G$31,I$31,$G232=$G$32,I$150,$G232=$G$248,I$248,$G232=$G$250,I$250)</f>
        <v>2.090954</v>
      </c>
      <c r="J232" cm="1">
        <f t="array" ref="J232">_xlfn.IFS($G232=$G$5,J$5,$G232=$G$6,J$6,$G232=$G$7,J$7,$G232=$G$8,J$8,$G232=$G$9,J$9,$G232=$G$10,J$10,$G232=$G$11,J$11,$G232=$G$12,J$12,$G232=$G$13,J$13,$G232=$G$15,J$15,$G232=$G$16,J$16,$G232=$G$17,J$17,$G232=$G$18,J$18,$G232=$G$19,J$19,$G232=$G$20,J$20,$G232=$G$21,J$21,$G232=$G$22,J$22,$G232=$G$25,J$25,$G232=$G$26,J$26,$G232=$G$27,J$27,$G232=$G$29,J$29,$G232=$G$31,J$31,$G232=$G$32,J$150,$G232=$G$248,J$248,$G232=$G$250,J$250)</f>
        <v>215</v>
      </c>
      <c r="K232" s="48" t="str" cm="1">
        <f t="array" ref="K232">_xlfn.IFS($G232=$G$5,K$5,$G232=$G$6,K$6,$G232=$G$7,K$7,$G232=$G$8,K$8,$G232=$G$9,K$9,$G232=$G$10,K$10,$G232=$G$11,K$11,$G232=$G$12,K$12,$G232=$G$13,K$13,$G232=$G$15,K$15,$G232=$G$16,K$16,$G232=$G$17,K$17,$G232=$G$18,K$18,$G232=$G$19,K$19,$G232=$G$20,K$20,$G232=$G$21,K$21,$G232=$G$22,K$22,$G232=$G$25,K$25,$G232=$G$26,K$26,$G232=$G$27,K$27,$G232=$G$29,K$29,$G232=$G$31,K$31,$G232=$G$32,K$150,$G232=$G$248,K$248,$G232=$G$250,K$250)</f>
        <v>BG sentinel + BG lure7</v>
      </c>
      <c r="L232" s="48"/>
      <c r="M232" s="48"/>
      <c r="O232" s="45" t="str">
        <f t="shared" si="20"/>
        <v>A_SP_BCN_14_210616</v>
      </c>
      <c r="P232" s="64">
        <v>44363</v>
      </c>
      <c r="R232" s="72"/>
      <c r="S232" s="64">
        <v>44369</v>
      </c>
      <c r="U232" s="72"/>
      <c r="V232" s="54" t="s">
        <v>66</v>
      </c>
      <c r="X232" s="45">
        <f t="shared" si="19"/>
        <v>6</v>
      </c>
      <c r="Z232" s="45" t="s">
        <v>80</v>
      </c>
      <c r="AA232" s="45">
        <f t="shared" si="16"/>
        <v>1</v>
      </c>
      <c r="AB232" t="str">
        <f t="shared" si="17"/>
        <v>Adult</v>
      </c>
      <c r="AC232" s="69">
        <v>1</v>
      </c>
      <c r="AD232" s="69">
        <v>0</v>
      </c>
      <c r="AE232" s="45" t="str">
        <f t="shared" si="18"/>
        <v>Morphological</v>
      </c>
      <c r="AF232" s="56">
        <v>4</v>
      </c>
    </row>
    <row r="233" spans="1:32" ht="18" customHeight="1" x14ac:dyDescent="0.25">
      <c r="A233" s="45">
        <v>229</v>
      </c>
      <c r="B233" s="45" t="s">
        <v>60</v>
      </c>
      <c r="C233" s="45" t="s">
        <v>61</v>
      </c>
      <c r="D233" s="45" t="s">
        <v>62</v>
      </c>
      <c r="E233" s="45" t="s">
        <v>62</v>
      </c>
      <c r="F233" s="46" cm="1">
        <f t="array" ref="F233">_xlfn.IFS($G233=$G$5,F$5,$G233=$G$6,F$6,$G233=$G$7,F$7,$G233=$G$8,F$8,$G233=$G$9,F$9,$G233=$G$10,F$10,$G233=$G$11,F$11,$G233=$G$12,F$12,$G233=$G$13,F$13,$G233=$G$15,F$15,$G233=$G$16,F$16,$G233=$G$17,F$17,$G233=$G$18,F$18,$G233=$G$19,F$19,$G233=$G$20,F$20,$G233=$G$21,F$21,$G233=$G$22,F$22,$G233=$G$25,F$25,$G233=$G$26,F$26,$G233=$G$27,F$27,$G233=$G$29,F$29,$G233=$G$31,F$31,$G233=$G$32,F$32,$G233=$G$248,F$248,$G233=$G$250,F$250)</f>
        <v>8017</v>
      </c>
      <c r="G233" t="s">
        <v>87</v>
      </c>
      <c r="H233" s="66" cm="1">
        <f t="array" ref="H233">_xlfn.IFS($G233=$G$5,H$5,$G233=$G$6,H$6,$G233=$G$7,H$7,$G233=$G$8,H$8,$G233=$G$9,H$9,$G233=$G$10,H$10,$G233=$G$11,H$11,$G233=$G$12,H$12,$G233=$G$13,H$13,$G233=$G$15,H$15,$G233=$G$16,H$16,$G233=$G$17,H$17,$G233=$G$18,H$18,$G233=$G$19,H$19,$G233=$G$20,H$20,$G233=$G$21,H$21,$G233=$G$22,H$22,$G233=$G$25,H$25,$G233=$G$26,H$26,$G233=$G$27,H$27,$G233=$G$29,H$29,$G233=$G$31,H$31,$G233=$G$32,H$150,$G233=$G$248,H$248,$G233=$G$250,H$250)</f>
        <v>41.419471000000001</v>
      </c>
      <c r="I233" s="60" cm="1">
        <f t="array" ref="I233">_xlfn.IFS($G233=$G$5,I$5,$G233=$G$6,I$6,$G233=$G$7,I$7,$G233=$G$8,I$8,$G233=$G$9,I$9,$G233=$G$10,I$10,$G233=$G$11,I$11,$G233=$G$12,I$12,$G233=$G$13,I$13,$G233=$G$15,I$15,$G233=$G$16,I$16,$G233=$G$17,I$17,$G233=$G$18,I$18,$G233=$G$19,I$19,$G233=$G$20,I$20,$G233=$G$21,I$21,$G233=$G$22,I$22,$G233=$G$25,I$25,$G233=$G$26,I$26,$G233=$G$27,I$27,$G233=$G$29,I$29,$G233=$G$31,I$31,$G233=$G$32,I$150,$G233=$G$248,I$248,$G233=$G$250,I$250)</f>
        <v>2.1010149999999999</v>
      </c>
      <c r="J233" cm="1">
        <f t="array" ref="J233">_xlfn.IFS($G233=$G$5,J$5,$G233=$G$6,J$6,$G233=$G$7,J$7,$G233=$G$8,J$8,$G233=$G$9,J$9,$G233=$G$10,J$10,$G233=$G$11,J$11,$G233=$G$12,J$12,$G233=$G$13,J$13,$G233=$G$15,J$15,$G233=$G$16,J$16,$G233=$G$17,J$17,$G233=$G$18,J$18,$G233=$G$19,J$19,$G233=$G$20,J$20,$G233=$G$21,J$21,$G233=$G$22,J$22,$G233=$G$25,J$25,$G233=$G$26,J$26,$G233=$G$27,J$27,$G233=$G$29,J$29,$G233=$G$31,J$31,$G233=$G$32,J$150,$G233=$G$248,J$248,$G233=$G$250,J$250)</f>
        <v>284</v>
      </c>
      <c r="K233" s="48" t="str" cm="1">
        <f t="array" ref="K233">_xlfn.IFS($G233=$G$5,K$5,$G233=$G$6,K$6,$G233=$G$7,K$7,$G233=$G$8,K$8,$G233=$G$9,K$9,$G233=$G$10,K$10,$G233=$G$11,K$11,$G233=$G$12,K$12,$G233=$G$13,K$13,$G233=$G$15,K$15,$G233=$G$16,K$16,$G233=$G$17,K$17,$G233=$G$18,K$18,$G233=$G$19,K$19,$G233=$G$20,K$20,$G233=$G$21,K$21,$G233=$G$22,K$22,$G233=$G$25,K$25,$G233=$G$26,K$26,$G233=$G$27,K$27,$G233=$G$29,K$29,$G233=$G$31,K$31,$G233=$G$32,K$150,$G233=$G$248,K$248,$G233=$G$250,K$250)</f>
        <v>BG sentinel + BG lure7</v>
      </c>
      <c r="L233" s="48"/>
      <c r="M233" s="48"/>
      <c r="O233" s="45" t="str">
        <f t="shared" si="20"/>
        <v>A_SP_BCN_15_210616</v>
      </c>
      <c r="P233" s="64">
        <v>44363</v>
      </c>
      <c r="R233" s="72"/>
      <c r="S233" s="64">
        <v>44369</v>
      </c>
      <c r="U233" s="72"/>
      <c r="V233" s="54" t="s">
        <v>66</v>
      </c>
      <c r="X233" s="45">
        <f t="shared" si="19"/>
        <v>6</v>
      </c>
      <c r="Z233" s="45" t="s">
        <v>70</v>
      </c>
      <c r="AA233" s="45">
        <f t="shared" si="16"/>
        <v>1</v>
      </c>
      <c r="AB233" t="str">
        <f t="shared" si="17"/>
        <v>Adult</v>
      </c>
      <c r="AC233" s="69">
        <v>1</v>
      </c>
      <c r="AD233" s="69">
        <v>0</v>
      </c>
      <c r="AE233" s="45" t="str">
        <f t="shared" si="18"/>
        <v>Morphological</v>
      </c>
      <c r="AF233" s="56">
        <v>4</v>
      </c>
    </row>
    <row r="234" spans="1:32" ht="18" customHeight="1" x14ac:dyDescent="0.25">
      <c r="A234" s="45">
        <v>230</v>
      </c>
      <c r="B234" s="45" t="s">
        <v>60</v>
      </c>
      <c r="C234" s="45" t="s">
        <v>61</v>
      </c>
      <c r="D234" s="45" t="s">
        <v>62</v>
      </c>
      <c r="E234" s="45" t="s">
        <v>62</v>
      </c>
      <c r="F234" s="46" cm="1">
        <f t="array" ref="F234">_xlfn.IFS($G234=$G$5,F$5,$G234=$G$6,F$6,$G234=$G$7,F$7,$G234=$G$8,F$8,$G234=$G$9,F$9,$G234=$G$10,F$10,$G234=$G$11,F$11,$G234=$G$12,F$12,$G234=$G$13,F$13,$G234=$G$15,F$15,$G234=$G$16,F$16,$G234=$G$17,F$17,$G234=$G$18,F$18,$G234=$G$19,F$19,$G234=$G$20,F$20,$G234=$G$21,F$21,$G234=$G$22,F$22,$G234=$G$25,F$25,$G234=$G$26,F$26,$G234=$G$27,F$27,$G234=$G$29,F$29,$G234=$G$31,F$31,$G234=$G$32,F$32,$G234=$G$248,F$248,$G234=$G$250,F$250)</f>
        <v>8017</v>
      </c>
      <c r="G234" t="s">
        <v>88</v>
      </c>
      <c r="H234" s="66" cm="1">
        <f t="array" ref="H234">_xlfn.IFS($G234=$G$5,H$5,$G234=$G$6,H$6,$G234=$G$7,H$7,$G234=$G$8,H$8,$G234=$G$9,H$9,$G234=$G$10,H$10,$G234=$G$11,H$11,$G234=$G$12,H$12,$G234=$G$13,H$13,$G234=$G$15,H$15,$G234=$G$16,H$16,$G234=$G$17,H$17,$G234=$G$18,H$18,$G234=$G$19,H$19,$G234=$G$20,H$20,$G234=$G$21,H$21,$G234=$G$22,H$22,$G234=$G$25,H$25,$G234=$G$26,H$26,$G234=$G$27,H$27,$G234=$G$29,H$29,$G234=$G$31,H$31,$G234=$G$32,H$150,$G234=$G$248,H$248,$G234=$G$250,H$250)</f>
        <v>41.398387</v>
      </c>
      <c r="I234" s="60" cm="1">
        <f t="array" ref="I234">_xlfn.IFS($G234=$G$5,I$5,$G234=$G$6,I$6,$G234=$G$7,I$7,$G234=$G$8,I$8,$G234=$G$9,I$9,$G234=$G$10,I$10,$G234=$G$11,I$11,$G234=$G$12,I$12,$G234=$G$13,I$13,$G234=$G$15,I$15,$G234=$G$16,I$16,$G234=$G$17,I$17,$G234=$G$18,I$18,$G234=$G$19,I$19,$G234=$G$20,I$20,$G234=$G$21,I$21,$G234=$G$22,I$22,$G234=$G$25,I$25,$G234=$G$26,I$26,$G234=$G$27,I$27,$G234=$G$29,I$29,$G234=$G$31,I$31,$G234=$G$32,I$150,$G234=$G$248,I$248,$G234=$G$250,I$250)</f>
        <v>2.1244429999999999</v>
      </c>
      <c r="J234" cm="1">
        <f t="array" ref="J234">_xlfn.IFS($G234=$G$5,J$5,$G234=$G$6,J$6,$G234=$G$7,J$7,$G234=$G$8,J$8,$G234=$G$9,J$9,$G234=$G$10,J$10,$G234=$G$11,J$11,$G234=$G$12,J$12,$G234=$G$13,J$13,$G234=$G$15,J$15,$G234=$G$16,J$16,$G234=$G$17,J$17,$G234=$G$18,J$18,$G234=$G$19,J$19,$G234=$G$20,J$20,$G234=$G$21,J$21,$G234=$G$22,J$22,$G234=$G$25,J$25,$G234=$G$26,J$26,$G234=$G$27,J$27,$G234=$G$29,J$29,$G234=$G$31,J$31,$G234=$G$32,J$150,$G234=$G$248,J$248,$G234=$G$250,J$250)</f>
        <v>106</v>
      </c>
      <c r="K234" s="48" t="str" cm="1">
        <f t="array" ref="K234">_xlfn.IFS($G234=$G$5,K$5,$G234=$G$6,K$6,$G234=$G$7,K$7,$G234=$G$8,K$8,$G234=$G$9,K$9,$G234=$G$10,K$10,$G234=$G$11,K$11,$G234=$G$12,K$12,$G234=$G$13,K$13,$G234=$G$15,K$15,$G234=$G$16,K$16,$G234=$G$17,K$17,$G234=$G$18,K$18,$G234=$G$19,K$19,$G234=$G$20,K$20,$G234=$G$21,K$21,$G234=$G$22,K$22,$G234=$G$25,K$25,$G234=$G$26,K$26,$G234=$G$27,K$27,$G234=$G$29,K$29,$G234=$G$31,K$31,$G234=$G$32,K$150,$G234=$G$248,K$248,$G234=$G$250,K$250)</f>
        <v>BG sentinel + BG lure7</v>
      </c>
      <c r="L234" s="48"/>
      <c r="M234" s="48"/>
      <c r="O234" s="45" t="str">
        <f t="shared" si="20"/>
        <v>A_SP_BCN_16_210616</v>
      </c>
      <c r="P234" s="64">
        <v>44363</v>
      </c>
      <c r="R234" s="72"/>
      <c r="S234" s="64">
        <v>44369</v>
      </c>
      <c r="U234" s="72"/>
      <c r="V234" s="54" t="s">
        <v>66</v>
      </c>
      <c r="X234" s="45">
        <f t="shared" si="19"/>
        <v>6</v>
      </c>
      <c r="Z234" s="69" t="s">
        <v>69</v>
      </c>
      <c r="AA234" s="45">
        <f t="shared" si="16"/>
        <v>7</v>
      </c>
      <c r="AB234" t="str">
        <f t="shared" si="17"/>
        <v>Adult</v>
      </c>
      <c r="AC234" s="69">
        <v>3</v>
      </c>
      <c r="AD234" s="69">
        <v>4</v>
      </c>
      <c r="AE234" s="45" t="str">
        <f t="shared" si="18"/>
        <v>Morphological</v>
      </c>
      <c r="AF234" s="56">
        <v>4</v>
      </c>
    </row>
    <row r="235" spans="1:32" ht="18" customHeight="1" x14ac:dyDescent="0.25">
      <c r="A235" s="45">
        <v>231</v>
      </c>
      <c r="B235" s="45" t="s">
        <v>60</v>
      </c>
      <c r="C235" s="45" t="s">
        <v>61</v>
      </c>
      <c r="D235" s="45" t="s">
        <v>62</v>
      </c>
      <c r="E235" s="45" t="s">
        <v>62</v>
      </c>
      <c r="F235" s="46" cm="1">
        <f t="array" ref="F235">_xlfn.IFS($G235=$G$5,F$5,$G235=$G$6,F$6,$G235=$G$7,F$7,$G235=$G$8,F$8,$G235=$G$9,F$9,$G235=$G$10,F$10,$G235=$G$11,F$11,$G235=$G$12,F$12,$G235=$G$13,F$13,$G235=$G$15,F$15,$G235=$G$16,F$16,$G235=$G$17,F$17,$G235=$G$18,F$18,$G235=$G$19,F$19,$G235=$G$20,F$20,$G235=$G$21,F$21,$G235=$G$22,F$22,$G235=$G$25,F$25,$G235=$G$26,F$26,$G235=$G$27,F$27,$G235=$G$29,F$29,$G235=$G$31,F$31,$G235=$G$32,F$32,$G235=$G$248,F$248,$G235=$G$250,F$250)</f>
        <v>8017</v>
      </c>
      <c r="G235" t="s">
        <v>88</v>
      </c>
      <c r="H235" s="66" cm="1">
        <f t="array" ref="H235">_xlfn.IFS($G235=$G$5,H$5,$G235=$G$6,H$6,$G235=$G$7,H$7,$G235=$G$8,H$8,$G235=$G$9,H$9,$G235=$G$10,H$10,$G235=$G$11,H$11,$G235=$G$12,H$12,$G235=$G$13,H$13,$G235=$G$15,H$15,$G235=$G$16,H$16,$G235=$G$17,H$17,$G235=$G$18,H$18,$G235=$G$19,H$19,$G235=$G$20,H$20,$G235=$G$21,H$21,$G235=$G$22,H$22,$G235=$G$25,H$25,$G235=$G$26,H$26,$G235=$G$27,H$27,$G235=$G$29,H$29,$G235=$G$31,H$31,$G235=$G$32,H$150,$G235=$G$248,H$248,$G235=$G$250,H$250)</f>
        <v>41.398387</v>
      </c>
      <c r="I235" s="60" cm="1">
        <f t="array" ref="I235">_xlfn.IFS($G235=$G$5,I$5,$G235=$G$6,I$6,$G235=$G$7,I$7,$G235=$G$8,I$8,$G235=$G$9,I$9,$G235=$G$10,I$10,$G235=$G$11,I$11,$G235=$G$12,I$12,$G235=$G$13,I$13,$G235=$G$15,I$15,$G235=$G$16,I$16,$G235=$G$17,I$17,$G235=$G$18,I$18,$G235=$G$19,I$19,$G235=$G$20,I$20,$G235=$G$21,I$21,$G235=$G$22,I$22,$G235=$G$25,I$25,$G235=$G$26,I$26,$G235=$G$27,I$27,$G235=$G$29,I$29,$G235=$G$31,I$31,$G235=$G$32,I$150,$G235=$G$248,I$248,$G235=$G$250,I$250)</f>
        <v>2.1244429999999999</v>
      </c>
      <c r="J235" cm="1">
        <f t="array" ref="J235">_xlfn.IFS($G235=$G$5,J$5,$G235=$G$6,J$6,$G235=$G$7,J$7,$G235=$G$8,J$8,$G235=$G$9,J$9,$G235=$G$10,J$10,$G235=$G$11,J$11,$G235=$G$12,J$12,$G235=$G$13,J$13,$G235=$G$15,J$15,$G235=$G$16,J$16,$G235=$G$17,J$17,$G235=$G$18,J$18,$G235=$G$19,J$19,$G235=$G$20,J$20,$G235=$G$21,J$21,$G235=$G$22,J$22,$G235=$G$25,J$25,$G235=$G$26,J$26,$G235=$G$27,J$27,$G235=$G$29,J$29,$G235=$G$31,J$31,$G235=$G$32,J$150,$G235=$G$248,J$248,$G235=$G$250,J$250)</f>
        <v>106</v>
      </c>
      <c r="K235" s="48" t="str" cm="1">
        <f t="array" ref="K235">_xlfn.IFS($G235=$G$5,K$5,$G235=$G$6,K$6,$G235=$G$7,K$7,$G235=$G$8,K$8,$G235=$G$9,K$9,$G235=$G$10,K$10,$G235=$G$11,K$11,$G235=$G$12,K$12,$G235=$G$13,K$13,$G235=$G$15,K$15,$G235=$G$16,K$16,$G235=$G$17,K$17,$G235=$G$18,K$18,$G235=$G$19,K$19,$G235=$G$20,K$20,$G235=$G$21,K$21,$G235=$G$22,K$22,$G235=$G$25,K$25,$G235=$G$26,K$26,$G235=$G$27,K$27,$G235=$G$29,K$29,$G235=$G$31,K$31,$G235=$G$32,K$150,$G235=$G$248,K$248,$G235=$G$250,K$250)</f>
        <v>BG sentinel + BG lure7</v>
      </c>
      <c r="L235" s="48"/>
      <c r="M235" s="48"/>
      <c r="O235" s="45" t="str">
        <f t="shared" si="20"/>
        <v>A_SP_BCN_16_210616</v>
      </c>
      <c r="P235" s="64">
        <v>44363</v>
      </c>
      <c r="R235" s="72"/>
      <c r="S235" s="64">
        <v>44369</v>
      </c>
      <c r="U235" s="72"/>
      <c r="V235" s="54" t="s">
        <v>66</v>
      </c>
      <c r="X235" s="45">
        <f t="shared" si="19"/>
        <v>6</v>
      </c>
      <c r="Z235" s="45" t="s">
        <v>70</v>
      </c>
      <c r="AA235" s="45">
        <f t="shared" si="16"/>
        <v>6</v>
      </c>
      <c r="AB235" t="str">
        <f t="shared" si="17"/>
        <v>Adult</v>
      </c>
      <c r="AC235" s="69">
        <v>3</v>
      </c>
      <c r="AD235" s="69">
        <v>3</v>
      </c>
      <c r="AE235" s="45" t="str">
        <f t="shared" si="18"/>
        <v>Morphological</v>
      </c>
      <c r="AF235" s="56">
        <v>4</v>
      </c>
    </row>
    <row r="236" spans="1:32" ht="18" customHeight="1" x14ac:dyDescent="0.25">
      <c r="A236" s="45">
        <v>232</v>
      </c>
      <c r="B236" s="45" t="s">
        <v>60</v>
      </c>
      <c r="C236" s="45" t="s">
        <v>61</v>
      </c>
      <c r="D236" s="45" t="s">
        <v>62</v>
      </c>
      <c r="E236" s="45" t="s">
        <v>62</v>
      </c>
      <c r="F236" s="46" cm="1">
        <f t="array" ref="F236">_xlfn.IFS($G236=$G$5,F$5,$G236=$G$6,F$6,$G236=$G$7,F$7,$G236=$G$8,F$8,$G236=$G$9,F$9,$G236=$G$10,F$10,$G236=$G$11,F$11,$G236=$G$12,F$12,$G236=$G$13,F$13,$G236=$G$15,F$15,$G236=$G$16,F$16,$G236=$G$17,F$17,$G236=$G$18,F$18,$G236=$G$19,F$19,$G236=$G$20,F$20,$G236=$G$21,F$21,$G236=$G$22,F$22,$G236=$G$25,F$25,$G236=$G$26,F$26,$G236=$G$27,F$27,$G236=$G$29,F$29,$G236=$G$31,F$31,$G236=$G$32,F$32,$G236=$G$248,F$248,$G236=$G$250,F$250)</f>
        <v>8017</v>
      </c>
      <c r="G236" t="s">
        <v>88</v>
      </c>
      <c r="H236" s="66" cm="1">
        <f t="array" ref="H236">_xlfn.IFS($G236=$G$5,H$5,$G236=$G$6,H$6,$G236=$G$7,H$7,$G236=$G$8,H$8,$G236=$G$9,H$9,$G236=$G$10,H$10,$G236=$G$11,H$11,$G236=$G$12,H$12,$G236=$G$13,H$13,$G236=$G$15,H$15,$G236=$G$16,H$16,$G236=$G$17,H$17,$G236=$G$18,H$18,$G236=$G$19,H$19,$G236=$G$20,H$20,$G236=$G$21,H$21,$G236=$G$22,H$22,$G236=$G$25,H$25,$G236=$G$26,H$26,$G236=$G$27,H$27,$G236=$G$29,H$29,$G236=$G$31,H$31,$G236=$G$32,H$150,$G236=$G$248,H$248,$G236=$G$250,H$250)</f>
        <v>41.398387</v>
      </c>
      <c r="I236" s="60" cm="1">
        <f t="array" ref="I236">_xlfn.IFS($G236=$G$5,I$5,$G236=$G$6,I$6,$G236=$G$7,I$7,$G236=$G$8,I$8,$G236=$G$9,I$9,$G236=$G$10,I$10,$G236=$G$11,I$11,$G236=$G$12,I$12,$G236=$G$13,I$13,$G236=$G$15,I$15,$G236=$G$16,I$16,$G236=$G$17,I$17,$G236=$G$18,I$18,$G236=$G$19,I$19,$G236=$G$20,I$20,$G236=$G$21,I$21,$G236=$G$22,I$22,$G236=$G$25,I$25,$G236=$G$26,I$26,$G236=$G$27,I$27,$G236=$G$29,I$29,$G236=$G$31,I$31,$G236=$G$32,I$150,$G236=$G$248,I$248,$G236=$G$250,I$250)</f>
        <v>2.1244429999999999</v>
      </c>
      <c r="J236" cm="1">
        <f t="array" ref="J236">_xlfn.IFS($G236=$G$5,J$5,$G236=$G$6,J$6,$G236=$G$7,J$7,$G236=$G$8,J$8,$G236=$G$9,J$9,$G236=$G$10,J$10,$G236=$G$11,J$11,$G236=$G$12,J$12,$G236=$G$13,J$13,$G236=$G$15,J$15,$G236=$G$16,J$16,$G236=$G$17,J$17,$G236=$G$18,J$18,$G236=$G$19,J$19,$G236=$G$20,J$20,$G236=$G$21,J$21,$G236=$G$22,J$22,$G236=$G$25,J$25,$G236=$G$26,J$26,$G236=$G$27,J$27,$G236=$G$29,J$29,$G236=$G$31,J$31,$G236=$G$32,J$150,$G236=$G$248,J$248,$G236=$G$250,J$250)</f>
        <v>106</v>
      </c>
      <c r="K236" s="48" t="str" cm="1">
        <f t="array" ref="K236">_xlfn.IFS($G236=$G$5,K$5,$G236=$G$6,K$6,$G236=$G$7,K$7,$G236=$G$8,K$8,$G236=$G$9,K$9,$G236=$G$10,K$10,$G236=$G$11,K$11,$G236=$G$12,K$12,$G236=$G$13,K$13,$G236=$G$15,K$15,$G236=$G$16,K$16,$G236=$G$17,K$17,$G236=$G$18,K$18,$G236=$G$19,K$19,$G236=$G$20,K$20,$G236=$G$21,K$21,$G236=$G$22,K$22,$G236=$G$25,K$25,$G236=$G$26,K$26,$G236=$G$27,K$27,$G236=$G$29,K$29,$G236=$G$31,K$31,$G236=$G$32,K$150,$G236=$G$248,K$248,$G236=$G$250,K$250)</f>
        <v>BG sentinel + BG lure7</v>
      </c>
      <c r="L236" s="48"/>
      <c r="M236" s="48"/>
      <c r="O236" s="45" t="str">
        <f t="shared" si="20"/>
        <v>A_SP_BCN_16_210616</v>
      </c>
      <c r="P236" s="64">
        <v>44363</v>
      </c>
      <c r="R236" s="72"/>
      <c r="S236" s="64">
        <v>44369</v>
      </c>
      <c r="U236" s="72"/>
      <c r="V236" s="54" t="s">
        <v>66</v>
      </c>
      <c r="X236" s="45">
        <f t="shared" si="19"/>
        <v>6</v>
      </c>
      <c r="Z236" s="45" t="s">
        <v>80</v>
      </c>
      <c r="AA236" s="45">
        <f t="shared" si="16"/>
        <v>11</v>
      </c>
      <c r="AB236" t="str">
        <f t="shared" si="17"/>
        <v>Adult</v>
      </c>
      <c r="AC236" s="69">
        <v>3</v>
      </c>
      <c r="AD236" s="69">
        <v>8</v>
      </c>
      <c r="AE236" s="45" t="str">
        <f t="shared" si="18"/>
        <v>Morphological</v>
      </c>
      <c r="AF236" s="56">
        <v>4</v>
      </c>
    </row>
    <row r="237" spans="1:32" ht="18" customHeight="1" x14ac:dyDescent="0.25">
      <c r="A237" s="45">
        <v>233</v>
      </c>
      <c r="B237" s="45" t="s">
        <v>60</v>
      </c>
      <c r="C237" s="45" t="s">
        <v>61</v>
      </c>
      <c r="D237" s="45" t="s">
        <v>62</v>
      </c>
      <c r="E237" s="45" t="s">
        <v>62</v>
      </c>
      <c r="F237" s="46" cm="1">
        <f t="array" ref="F237">_xlfn.IFS($G237=$G$5,F$5,$G237=$G$6,F$6,$G237=$G$7,F$7,$G237=$G$8,F$8,$G237=$G$9,F$9,$G237=$G$10,F$10,$G237=$G$11,F$11,$G237=$G$12,F$12,$G237=$G$13,F$13,$G237=$G$15,F$15,$G237=$G$16,F$16,$G237=$G$17,F$17,$G237=$G$18,F$18,$G237=$G$19,F$19,$G237=$G$20,F$20,$G237=$G$21,F$21,$G237=$G$22,F$22,$G237=$G$25,F$25,$G237=$G$26,F$26,$G237=$G$27,F$27,$G237=$G$29,F$29,$G237=$G$31,F$31,$G237=$G$32,F$32,$G237=$G$248,F$248,$G237=$G$250,F$250)</f>
        <v>8023</v>
      </c>
      <c r="G237" t="s">
        <v>89</v>
      </c>
      <c r="H237" s="66" cm="1">
        <f t="array" ref="H237">_xlfn.IFS($G237=$G$5,H$5,$G237=$G$6,H$6,$G237=$G$7,H$7,$G237=$G$8,H$8,$G237=$G$9,H$9,$G237=$G$10,H$10,$G237=$G$11,H$11,$G237=$G$12,H$12,$G237=$G$13,H$13,$G237=$G$15,H$15,$G237=$G$16,H$16,$G237=$G$17,H$17,$G237=$G$18,H$18,$G237=$G$19,H$19,$G237=$G$20,H$20,$G237=$G$21,H$21,$G237=$G$22,H$22,$G237=$G$25,H$25,$G237=$G$26,H$26,$G237=$G$27,H$27,$G237=$G$29,H$29,$G237=$G$31,H$31,$G237=$G$32,H$150,$G237=$G$248,H$248,$G237=$G$250,H$250)</f>
        <v>41.417256000000002</v>
      </c>
      <c r="I237" s="60" cm="1">
        <f t="array" ref="I237">_xlfn.IFS($G237=$G$5,I$5,$G237=$G$6,I$6,$G237=$G$7,I$7,$G237=$G$8,I$8,$G237=$G$9,I$9,$G237=$G$10,I$10,$G237=$G$11,I$11,$G237=$G$12,I$12,$G237=$G$13,I$13,$G237=$G$15,I$15,$G237=$G$16,I$16,$G237=$G$17,I$17,$G237=$G$18,I$18,$G237=$G$19,I$19,$G237=$G$20,I$20,$G237=$G$21,I$21,$G237=$G$22,I$22,$G237=$G$25,I$25,$G237=$G$26,I$26,$G237=$G$27,I$27,$G237=$G$29,I$29,$G237=$G$31,I$31,$G237=$G$32,I$150,$G237=$G$248,I$248,$G237=$G$250,I$250)</f>
        <v>2.1455709999999999</v>
      </c>
      <c r="J237" cm="1">
        <f t="array" ref="J237">_xlfn.IFS($G237=$G$5,J$5,$G237=$G$6,J$6,$G237=$G$7,J$7,$G237=$G$8,J$8,$G237=$G$9,J$9,$G237=$G$10,J$10,$G237=$G$11,J$11,$G237=$G$12,J$12,$G237=$G$13,J$13,$G237=$G$15,J$15,$G237=$G$16,J$16,$G237=$G$17,J$17,$G237=$G$18,J$18,$G237=$G$19,J$19,$G237=$G$20,J$20,$G237=$G$21,J$21,$G237=$G$22,J$22,$G237=$G$25,J$25,$G237=$G$26,J$26,$G237=$G$27,J$27,$G237=$G$29,J$29,$G237=$G$31,J$31,$G237=$G$32,J$150,$G237=$G$248,J$248,$G237=$G$250,J$250)</f>
        <v>186</v>
      </c>
      <c r="K237" s="48" t="str" cm="1">
        <f t="array" ref="K237">_xlfn.IFS($G237=$G$5,K$5,$G237=$G$6,K$6,$G237=$G$7,K$7,$G237=$G$8,K$8,$G237=$G$9,K$9,$G237=$G$10,K$10,$G237=$G$11,K$11,$G237=$G$12,K$12,$G237=$G$13,K$13,$G237=$G$15,K$15,$G237=$G$16,K$16,$G237=$G$17,K$17,$G237=$G$18,K$18,$G237=$G$19,K$19,$G237=$G$20,K$20,$G237=$G$21,K$21,$G237=$G$22,K$22,$G237=$G$25,K$25,$G237=$G$26,K$26,$G237=$G$27,K$27,$G237=$G$29,K$29,$G237=$G$31,K$31,$G237=$G$32,K$150,$G237=$G$248,K$248,$G237=$G$250,K$250)</f>
        <v>BG sentinel + BG lure7</v>
      </c>
      <c r="L237" s="48"/>
      <c r="M237" s="48"/>
      <c r="O237" s="45" t="str">
        <f t="shared" si="20"/>
        <v>A_SP_BCN_17_210616</v>
      </c>
      <c r="P237" s="64">
        <v>44363</v>
      </c>
      <c r="R237" s="72"/>
      <c r="S237" s="64">
        <v>44369</v>
      </c>
      <c r="U237" s="72"/>
      <c r="V237" s="54" t="s">
        <v>66</v>
      </c>
      <c r="W237" t="s">
        <v>117</v>
      </c>
      <c r="X237" s="45">
        <f t="shared" si="19"/>
        <v>6</v>
      </c>
      <c r="Z237" s="45" t="s">
        <v>80</v>
      </c>
      <c r="AA237" s="45">
        <f t="shared" si="16"/>
        <v>1</v>
      </c>
      <c r="AB237" t="str">
        <f t="shared" si="17"/>
        <v>Adult</v>
      </c>
      <c r="AC237" s="69">
        <v>1</v>
      </c>
      <c r="AD237" s="69">
        <v>0</v>
      </c>
      <c r="AE237" s="45" t="str">
        <f t="shared" si="18"/>
        <v>Morphological</v>
      </c>
      <c r="AF237" s="56">
        <v>3</v>
      </c>
    </row>
    <row r="238" spans="1:32" ht="18" customHeight="1" x14ac:dyDescent="0.25">
      <c r="A238" s="45">
        <v>234</v>
      </c>
      <c r="B238" s="45" t="s">
        <v>60</v>
      </c>
      <c r="C238" s="45" t="s">
        <v>61</v>
      </c>
      <c r="D238" s="45" t="s">
        <v>62</v>
      </c>
      <c r="E238" s="45" t="s">
        <v>62</v>
      </c>
      <c r="F238" s="46" cm="1">
        <f t="array" ref="F238">_xlfn.IFS($G238=$G$5,F$5,$G238=$G$6,F$6,$G238=$G$7,F$7,$G238=$G$8,F$8,$G238=$G$9,F$9,$G238=$G$10,F$10,$G238=$G$11,F$11,$G238=$G$12,F$12,$G238=$G$13,F$13,$G238=$G$15,F$15,$G238=$G$16,F$16,$G238=$G$17,F$17,$G238=$G$18,F$18,$G238=$G$19,F$19,$G238=$G$20,F$20,$G238=$G$21,F$21,$G238=$G$22,F$22,$G238=$G$25,F$25,$G238=$G$26,F$26,$G238=$G$27,F$27,$G238=$G$29,F$29,$G238=$G$31,F$31,$G238=$G$32,F$32,$G238=$G$248,F$248,$G238=$G$250,F$250)</f>
        <v>8031</v>
      </c>
      <c r="G238" t="s">
        <v>92</v>
      </c>
      <c r="H238" s="66" cm="1">
        <f t="array" ref="H238">_xlfn.IFS($G238=$G$5,H$5,$G238=$G$6,H$6,$G238=$G$7,H$7,$G238=$G$8,H$8,$G238=$G$9,H$9,$G238=$G$10,H$10,$G238=$G$11,H$11,$G238=$G$12,H$12,$G238=$G$13,H$13,$G238=$G$15,H$15,$G238=$G$16,H$16,$G238=$G$17,H$17,$G238=$G$18,H$18,$G238=$G$19,H$19,$G238=$G$20,H$20,$G238=$G$21,H$21,$G238=$G$22,H$22,$G238=$G$25,H$25,$G238=$G$26,H$26,$G238=$G$27,H$27,$G238=$G$29,H$29,$G238=$G$31,H$31,$G238=$G$32,H$150,$G238=$G$248,H$248,$G238=$G$250,H$250)</f>
        <v>41.433618000000003</v>
      </c>
      <c r="I238" s="60" cm="1">
        <f t="array" ref="I238">_xlfn.IFS($G238=$G$5,I$5,$G238=$G$6,I$6,$G238=$G$7,I$7,$G238=$G$8,I$8,$G238=$G$9,I$9,$G238=$G$10,I$10,$G238=$G$11,I$11,$G238=$G$12,I$12,$G238=$G$13,I$13,$G238=$G$15,I$15,$G238=$G$16,I$16,$G238=$G$17,I$17,$G238=$G$18,I$18,$G238=$G$19,I$19,$G238=$G$20,I$20,$G238=$G$21,I$21,$G238=$G$22,I$22,$G238=$G$25,I$25,$G238=$G$26,I$26,$G238=$G$27,I$27,$G238=$G$29,I$29,$G238=$G$31,I$31,$G238=$G$32,I$150,$G238=$G$248,I$248,$G238=$G$250,I$250)</f>
        <v>2.1677469999999999</v>
      </c>
      <c r="J238" cm="1">
        <f t="array" ref="J238">_xlfn.IFS($G238=$G$5,J$5,$G238=$G$6,J$6,$G238=$G$7,J$7,$G238=$G$8,J$8,$G238=$G$9,J$9,$G238=$G$10,J$10,$G238=$G$11,J$11,$G238=$G$12,J$12,$G238=$G$13,J$13,$G238=$G$15,J$15,$G238=$G$16,J$16,$G238=$G$17,J$17,$G238=$G$18,J$18,$G238=$G$19,J$19,$G238=$G$20,J$20,$G238=$G$21,J$21,$G238=$G$22,J$22,$G238=$G$25,J$25,$G238=$G$26,J$26,$G238=$G$27,J$27,$G238=$G$29,J$29,$G238=$G$31,J$31,$G238=$G$32,J$150,$G238=$G$248,J$248,$G238=$G$250,J$250)</f>
        <v>96.85</v>
      </c>
      <c r="K238" s="48" t="str" cm="1">
        <f t="array" ref="K238">_xlfn.IFS($G238=$G$5,K$5,$G238=$G$6,K$6,$G238=$G$7,K$7,$G238=$G$8,K$8,$G238=$G$9,K$9,$G238=$G$10,K$10,$G238=$G$11,K$11,$G238=$G$12,K$12,$G238=$G$13,K$13,$G238=$G$15,K$15,$G238=$G$16,K$16,$G238=$G$17,K$17,$G238=$G$18,K$18,$G238=$G$19,K$19,$G238=$G$20,K$20,$G238=$G$21,K$21,$G238=$G$22,K$22,$G238=$G$25,K$25,$G238=$G$26,K$26,$G238=$G$27,K$27,$G238=$G$29,K$29,$G238=$G$31,K$31,$G238=$G$32,K$150,$G238=$G$248,K$248,$G238=$G$250,K$250)</f>
        <v>BG sentinel + BG lure7</v>
      </c>
      <c r="L238" s="48"/>
      <c r="M238" s="48"/>
      <c r="O238" s="45" t="str">
        <f t="shared" si="20"/>
        <v>A_SP_BCN_18_210616</v>
      </c>
      <c r="P238" s="64">
        <v>44363</v>
      </c>
      <c r="R238" s="72"/>
      <c r="S238" s="64">
        <v>44370</v>
      </c>
      <c r="U238" s="72"/>
      <c r="V238" s="54" t="s">
        <v>66</v>
      </c>
      <c r="X238" s="45">
        <f t="shared" si="19"/>
        <v>7</v>
      </c>
      <c r="Z238" s="69" t="s">
        <v>69</v>
      </c>
      <c r="AA238" s="45">
        <f t="shared" si="16"/>
        <v>1</v>
      </c>
      <c r="AB238" t="str">
        <f t="shared" si="17"/>
        <v>Adult</v>
      </c>
      <c r="AC238" s="69">
        <v>1</v>
      </c>
      <c r="AD238" s="69">
        <v>0</v>
      </c>
      <c r="AE238" s="45" t="str">
        <f t="shared" si="18"/>
        <v>Morphological</v>
      </c>
      <c r="AF238" s="56">
        <v>4</v>
      </c>
    </row>
    <row r="239" spans="1:32" ht="18" customHeight="1" x14ac:dyDescent="0.25">
      <c r="A239" s="45">
        <v>235</v>
      </c>
      <c r="B239" s="45" t="s">
        <v>60</v>
      </c>
      <c r="C239" s="45" t="s">
        <v>61</v>
      </c>
      <c r="D239" s="45" t="s">
        <v>62</v>
      </c>
      <c r="E239" s="45" t="s">
        <v>62</v>
      </c>
      <c r="F239" s="46" cm="1">
        <f t="array" ref="F239">_xlfn.IFS($G239=$G$5,F$5,$G239=$G$6,F$6,$G239=$G$7,F$7,$G239=$G$8,F$8,$G239=$G$9,F$9,$G239=$G$10,F$10,$G239=$G$11,F$11,$G239=$G$12,F$12,$G239=$G$13,F$13,$G239=$G$15,F$15,$G239=$G$16,F$16,$G239=$G$17,F$17,$G239=$G$18,F$18,$G239=$G$19,F$19,$G239=$G$20,F$20,$G239=$G$21,F$21,$G239=$G$22,F$22,$G239=$G$25,F$25,$G239=$G$26,F$26,$G239=$G$27,F$27,$G239=$G$29,F$29,$G239=$G$31,F$31,$G239=$G$32,F$32,$G239=$G$248,F$248,$G239=$G$250,F$250)</f>
        <v>8031</v>
      </c>
      <c r="G239" t="s">
        <v>92</v>
      </c>
      <c r="H239" s="66" cm="1">
        <f t="array" ref="H239">_xlfn.IFS($G239=$G$5,H$5,$G239=$G$6,H$6,$G239=$G$7,H$7,$G239=$G$8,H$8,$G239=$G$9,H$9,$G239=$G$10,H$10,$G239=$G$11,H$11,$G239=$G$12,H$12,$G239=$G$13,H$13,$G239=$G$15,H$15,$G239=$G$16,H$16,$G239=$G$17,H$17,$G239=$G$18,H$18,$G239=$G$19,H$19,$G239=$G$20,H$20,$G239=$G$21,H$21,$G239=$G$22,H$22,$G239=$G$25,H$25,$G239=$G$26,H$26,$G239=$G$27,H$27,$G239=$G$29,H$29,$G239=$G$31,H$31,$G239=$G$32,H$150,$G239=$G$248,H$248,$G239=$G$250,H$250)</f>
        <v>41.433618000000003</v>
      </c>
      <c r="I239" s="60" cm="1">
        <f t="array" ref="I239">_xlfn.IFS($G239=$G$5,I$5,$G239=$G$6,I$6,$G239=$G$7,I$7,$G239=$G$8,I$8,$G239=$G$9,I$9,$G239=$G$10,I$10,$G239=$G$11,I$11,$G239=$G$12,I$12,$G239=$G$13,I$13,$G239=$G$15,I$15,$G239=$G$16,I$16,$G239=$G$17,I$17,$G239=$G$18,I$18,$G239=$G$19,I$19,$G239=$G$20,I$20,$G239=$G$21,I$21,$G239=$G$22,I$22,$G239=$G$25,I$25,$G239=$G$26,I$26,$G239=$G$27,I$27,$G239=$G$29,I$29,$G239=$G$31,I$31,$G239=$G$32,I$150,$G239=$G$248,I$248,$G239=$G$250,I$250)</f>
        <v>2.1677469999999999</v>
      </c>
      <c r="J239" cm="1">
        <f t="array" ref="J239">_xlfn.IFS($G239=$G$5,J$5,$G239=$G$6,J$6,$G239=$G$7,J$7,$G239=$G$8,J$8,$G239=$G$9,J$9,$G239=$G$10,J$10,$G239=$G$11,J$11,$G239=$G$12,J$12,$G239=$G$13,J$13,$G239=$G$15,J$15,$G239=$G$16,J$16,$G239=$G$17,J$17,$G239=$G$18,J$18,$G239=$G$19,J$19,$G239=$G$20,J$20,$G239=$G$21,J$21,$G239=$G$22,J$22,$G239=$G$25,J$25,$G239=$G$26,J$26,$G239=$G$27,J$27,$G239=$G$29,J$29,$G239=$G$31,J$31,$G239=$G$32,J$150,$G239=$G$248,J$248,$G239=$G$250,J$250)</f>
        <v>96.85</v>
      </c>
      <c r="K239" s="48" t="str" cm="1">
        <f t="array" ref="K239">_xlfn.IFS($G239=$G$5,K$5,$G239=$G$6,K$6,$G239=$G$7,K$7,$G239=$G$8,K$8,$G239=$G$9,K$9,$G239=$G$10,K$10,$G239=$G$11,K$11,$G239=$G$12,K$12,$G239=$G$13,K$13,$G239=$G$15,K$15,$G239=$G$16,K$16,$G239=$G$17,K$17,$G239=$G$18,K$18,$G239=$G$19,K$19,$G239=$G$20,K$20,$G239=$G$21,K$21,$G239=$G$22,K$22,$G239=$G$25,K$25,$G239=$G$26,K$26,$G239=$G$27,K$27,$G239=$G$29,K$29,$G239=$G$31,K$31,$G239=$G$32,K$150,$G239=$G$248,K$248,$G239=$G$250,K$250)</f>
        <v>BG sentinel + BG lure7</v>
      </c>
      <c r="L239" s="48"/>
      <c r="M239" s="48"/>
      <c r="O239" s="45" t="str">
        <f t="shared" si="20"/>
        <v>A_SP_BCN_18_210616</v>
      </c>
      <c r="P239" s="64">
        <v>44363</v>
      </c>
      <c r="R239" s="72"/>
      <c r="S239" s="64">
        <v>44370</v>
      </c>
      <c r="U239" s="72"/>
      <c r="V239" s="54" t="s">
        <v>66</v>
      </c>
      <c r="X239" s="45">
        <f t="shared" si="19"/>
        <v>7</v>
      </c>
      <c r="Z239" s="45" t="s">
        <v>70</v>
      </c>
      <c r="AA239" s="45">
        <f t="shared" si="16"/>
        <v>2</v>
      </c>
      <c r="AB239" t="str">
        <f t="shared" si="17"/>
        <v>Adult</v>
      </c>
      <c r="AC239" s="69">
        <v>2</v>
      </c>
      <c r="AD239" s="69">
        <v>0</v>
      </c>
      <c r="AE239" s="45" t="str">
        <f t="shared" si="18"/>
        <v>Morphological</v>
      </c>
      <c r="AF239" s="56">
        <v>4</v>
      </c>
    </row>
    <row r="240" spans="1:32" ht="18" customHeight="1" x14ac:dyDescent="0.25">
      <c r="A240" s="45">
        <v>236</v>
      </c>
      <c r="B240" s="45" t="s">
        <v>60</v>
      </c>
      <c r="C240" s="45" t="s">
        <v>61</v>
      </c>
      <c r="D240" s="45" t="s">
        <v>62</v>
      </c>
      <c r="E240" s="45" t="s">
        <v>62</v>
      </c>
      <c r="F240" s="46" cm="1">
        <f t="array" ref="F240">_xlfn.IFS($G240=$G$5,F$5,$G240=$G$6,F$6,$G240=$G$7,F$7,$G240=$G$8,F$8,$G240=$G$9,F$9,$G240=$G$10,F$10,$G240=$G$11,F$11,$G240=$G$12,F$12,$G240=$G$13,F$13,$G240=$G$15,F$15,$G240=$G$16,F$16,$G240=$G$17,F$17,$G240=$G$18,F$18,$G240=$G$19,F$19,$G240=$G$20,F$20,$G240=$G$21,F$21,$G240=$G$22,F$22,$G240=$G$25,F$25,$G240=$G$26,F$26,$G240=$G$27,F$27,$G240=$G$29,F$29,$G240=$G$31,F$31,$G240=$G$32,F$32,$G240=$G$248,F$248,$G240=$G$250,F$250)</f>
        <v>8031</v>
      </c>
      <c r="G240" t="s">
        <v>92</v>
      </c>
      <c r="H240" s="66" cm="1">
        <f t="array" ref="H240">_xlfn.IFS($G240=$G$5,H$5,$G240=$G$6,H$6,$G240=$G$7,H$7,$G240=$G$8,H$8,$G240=$G$9,H$9,$G240=$G$10,H$10,$G240=$G$11,H$11,$G240=$G$12,H$12,$G240=$G$13,H$13,$G240=$G$15,H$15,$G240=$G$16,H$16,$G240=$G$17,H$17,$G240=$G$18,H$18,$G240=$G$19,H$19,$G240=$G$20,H$20,$G240=$G$21,H$21,$G240=$G$22,H$22,$G240=$G$25,H$25,$G240=$G$26,H$26,$G240=$G$27,H$27,$G240=$G$29,H$29,$G240=$G$31,H$31,$G240=$G$32,H$150,$G240=$G$248,H$248,$G240=$G$250,H$250)</f>
        <v>41.433618000000003</v>
      </c>
      <c r="I240" s="60" cm="1">
        <f t="array" ref="I240">_xlfn.IFS($G240=$G$5,I$5,$G240=$G$6,I$6,$G240=$G$7,I$7,$G240=$G$8,I$8,$G240=$G$9,I$9,$G240=$G$10,I$10,$G240=$G$11,I$11,$G240=$G$12,I$12,$G240=$G$13,I$13,$G240=$G$15,I$15,$G240=$G$16,I$16,$G240=$G$17,I$17,$G240=$G$18,I$18,$G240=$G$19,I$19,$G240=$G$20,I$20,$G240=$G$21,I$21,$G240=$G$22,I$22,$G240=$G$25,I$25,$G240=$G$26,I$26,$G240=$G$27,I$27,$G240=$G$29,I$29,$G240=$G$31,I$31,$G240=$G$32,I$150,$G240=$G$248,I$248,$G240=$G$250,I$250)</f>
        <v>2.1677469999999999</v>
      </c>
      <c r="J240" cm="1">
        <f t="array" ref="J240">_xlfn.IFS($G240=$G$5,J$5,$G240=$G$6,J$6,$G240=$G$7,J$7,$G240=$G$8,J$8,$G240=$G$9,J$9,$G240=$G$10,J$10,$G240=$G$11,J$11,$G240=$G$12,J$12,$G240=$G$13,J$13,$G240=$G$15,J$15,$G240=$G$16,J$16,$G240=$G$17,J$17,$G240=$G$18,J$18,$G240=$G$19,J$19,$G240=$G$20,J$20,$G240=$G$21,J$21,$G240=$G$22,J$22,$G240=$G$25,J$25,$G240=$G$26,J$26,$G240=$G$27,J$27,$G240=$G$29,J$29,$G240=$G$31,J$31,$G240=$G$32,J$150,$G240=$G$248,J$248,$G240=$G$250,J$250)</f>
        <v>96.85</v>
      </c>
      <c r="K240" s="48" t="str" cm="1">
        <f t="array" ref="K240">_xlfn.IFS($G240=$G$5,K$5,$G240=$G$6,K$6,$G240=$G$7,K$7,$G240=$G$8,K$8,$G240=$G$9,K$9,$G240=$G$10,K$10,$G240=$G$11,K$11,$G240=$G$12,K$12,$G240=$G$13,K$13,$G240=$G$15,K$15,$G240=$G$16,K$16,$G240=$G$17,K$17,$G240=$G$18,K$18,$G240=$G$19,K$19,$G240=$G$20,K$20,$G240=$G$21,K$21,$G240=$G$22,K$22,$G240=$G$25,K$25,$G240=$G$26,K$26,$G240=$G$27,K$27,$G240=$G$29,K$29,$G240=$G$31,K$31,$G240=$G$32,K$150,$G240=$G$248,K$248,$G240=$G$250,K$250)</f>
        <v>BG sentinel + BG lure7</v>
      </c>
      <c r="L240" s="48"/>
      <c r="M240" s="48"/>
      <c r="O240" s="45" t="str">
        <f t="shared" si="20"/>
        <v>A_SP_BCN_18_210616</v>
      </c>
      <c r="P240" s="64">
        <v>44363</v>
      </c>
      <c r="R240" s="72"/>
      <c r="S240" s="64">
        <v>44370</v>
      </c>
      <c r="U240" s="72"/>
      <c r="V240" s="54" t="s">
        <v>66</v>
      </c>
      <c r="W240" t="s">
        <v>118</v>
      </c>
      <c r="X240" s="45">
        <f t="shared" si="19"/>
        <v>7</v>
      </c>
      <c r="Z240" s="45" t="s">
        <v>80</v>
      </c>
      <c r="AA240" s="45">
        <f t="shared" si="16"/>
        <v>2</v>
      </c>
      <c r="AB240" t="str">
        <f t="shared" si="17"/>
        <v>Adult</v>
      </c>
      <c r="AC240" s="69">
        <v>2</v>
      </c>
      <c r="AD240" s="69">
        <v>0</v>
      </c>
      <c r="AE240" s="45" t="str">
        <f t="shared" si="18"/>
        <v>Morphological</v>
      </c>
      <c r="AF240" s="56">
        <v>4</v>
      </c>
    </row>
    <row r="241" spans="1:32" ht="18" customHeight="1" x14ac:dyDescent="0.25">
      <c r="A241" s="45">
        <v>237</v>
      </c>
      <c r="B241" s="45" t="s">
        <v>60</v>
      </c>
      <c r="C241" s="45" t="s">
        <v>61</v>
      </c>
      <c r="D241" s="45" t="s">
        <v>62</v>
      </c>
      <c r="E241" s="45" t="s">
        <v>62</v>
      </c>
      <c r="F241" s="46" cm="1">
        <f t="array" ref="F241">_xlfn.IFS($G241=$G$5,F$5,$G241=$G$6,F$6,$G241=$G$7,F$7,$G241=$G$8,F$8,$G241=$G$9,F$9,$G241=$G$10,F$10,$G241=$G$11,F$11,$G241=$G$12,F$12,$G241=$G$13,F$13,$G241=$G$15,F$15,$G241=$G$16,F$16,$G241=$G$17,F$17,$G241=$G$18,F$18,$G241=$G$19,F$19,$G241=$G$20,F$20,$G241=$G$21,F$21,$G241=$G$22,F$22,$G241=$G$25,F$25,$G241=$G$26,F$26,$G241=$G$27,F$27,$G241=$G$29,F$29,$G241=$G$31,F$31,$G241=$G$32,F$32,$G241=$G$248,F$248,$G241=$G$250,F$250)</f>
        <v>8038</v>
      </c>
      <c r="G241" t="s">
        <v>93</v>
      </c>
      <c r="H241" s="66" cm="1">
        <f t="array" ref="H241">_xlfn.IFS($G241=$G$5,H$5,$G241=$G$6,H$6,$G241=$G$7,H$7,$G241=$G$8,H$8,$G241=$G$9,H$9,$G241=$G$10,H$10,$G241=$G$11,H$11,$G241=$G$12,H$12,$G241=$G$13,H$13,$G241=$G$15,H$15,$G241=$G$16,H$16,$G241=$G$17,H$17,$G241=$G$18,H$18,$G241=$G$19,H$19,$G241=$G$20,H$20,$G241=$G$21,H$21,$G241=$G$22,H$22,$G241=$G$25,H$25,$G241=$G$26,H$26,$G241=$G$27,H$27,$G241=$G$29,H$29,$G241=$G$31,H$31,$G241=$G$32,H$150,$G241=$G$248,H$248,$G241=$G$250,H$250)</f>
        <v>41.359864999999999</v>
      </c>
      <c r="I241" s="60" cm="1">
        <f t="array" ref="I241">_xlfn.IFS($G241=$G$5,I$5,$G241=$G$6,I$6,$G241=$G$7,I$7,$G241=$G$8,I$8,$G241=$G$9,I$9,$G241=$G$10,I$10,$G241=$G$11,I$11,$G241=$G$12,I$12,$G241=$G$13,I$13,$G241=$G$15,I$15,$G241=$G$16,I$16,$G241=$G$17,I$17,$G241=$G$18,I$18,$G241=$G$19,I$19,$G241=$G$20,I$20,$G241=$G$21,I$21,$G241=$G$22,I$22,$G241=$G$25,I$25,$G241=$G$26,I$26,$G241=$G$27,I$27,$G241=$G$29,I$29,$G241=$G$31,I$31,$G241=$G$32,I$150,$G241=$G$248,I$248,$G241=$G$250,I$250)</f>
        <v>2.1445430000000001</v>
      </c>
      <c r="J241" cm="1">
        <f t="array" ref="J241">_xlfn.IFS($G241=$G$5,J$5,$G241=$G$6,J$6,$G241=$G$7,J$7,$G241=$G$8,J$8,$G241=$G$9,J$9,$G241=$G$10,J$10,$G241=$G$11,J$11,$G241=$G$12,J$12,$G241=$G$13,J$13,$G241=$G$15,J$15,$G241=$G$16,J$16,$G241=$G$17,J$17,$G241=$G$18,J$18,$G241=$G$19,J$19,$G241=$G$20,J$20,$G241=$G$21,J$21,$G241=$G$22,J$22,$G241=$G$25,J$25,$G241=$G$26,J$26,$G241=$G$27,J$27,$G241=$G$29,J$29,$G241=$G$31,J$31,$G241=$G$32,J$150,$G241=$G$248,J$248,$G241=$G$250,J$250)</f>
        <v>11.4</v>
      </c>
      <c r="K241" s="48" t="str" cm="1">
        <f t="array" ref="K241">_xlfn.IFS($G241=$G$5,K$5,$G241=$G$6,K$6,$G241=$G$7,K$7,$G241=$G$8,K$8,$G241=$G$9,K$9,$G241=$G$10,K$10,$G241=$G$11,K$11,$G241=$G$12,K$12,$G241=$G$13,K$13,$G241=$G$15,K$15,$G241=$G$16,K$16,$G241=$G$17,K$17,$G241=$G$18,K$18,$G241=$G$19,K$19,$G241=$G$20,K$20,$G241=$G$21,K$21,$G241=$G$22,K$22,$G241=$G$25,K$25,$G241=$G$26,K$26,$G241=$G$27,K$27,$G241=$G$29,K$29,$G241=$G$31,K$31,$G241=$G$32,K$150,$G241=$G$248,K$248,$G241=$G$250,K$250)</f>
        <v>BG sentinel + BG lure7</v>
      </c>
      <c r="L241" s="48"/>
      <c r="M241" s="48"/>
      <c r="O241" s="45" t="str">
        <f t="shared" si="20"/>
        <v>A_SP_BCN_19_210617</v>
      </c>
      <c r="P241" s="64">
        <v>44364</v>
      </c>
      <c r="R241" s="72"/>
      <c r="S241" s="64">
        <v>44370</v>
      </c>
      <c r="U241" s="72"/>
      <c r="V241" s="54" t="s">
        <v>66</v>
      </c>
      <c r="X241" s="45">
        <f t="shared" si="19"/>
        <v>6</v>
      </c>
      <c r="Z241" s="69" t="s">
        <v>69</v>
      </c>
      <c r="AA241" s="45">
        <f t="shared" si="16"/>
        <v>36</v>
      </c>
      <c r="AB241" t="str">
        <f t="shared" si="17"/>
        <v>Adult</v>
      </c>
      <c r="AC241" s="69">
        <v>26</v>
      </c>
      <c r="AD241" s="69">
        <v>10</v>
      </c>
      <c r="AE241" s="45" t="str">
        <f t="shared" si="18"/>
        <v>Morphological</v>
      </c>
      <c r="AF241" s="56">
        <v>4</v>
      </c>
    </row>
    <row r="242" spans="1:32" ht="18" customHeight="1" x14ac:dyDescent="0.25">
      <c r="A242" s="45">
        <v>238</v>
      </c>
      <c r="B242" s="45" t="s">
        <v>60</v>
      </c>
      <c r="C242" s="45" t="s">
        <v>61</v>
      </c>
      <c r="D242" s="45" t="s">
        <v>62</v>
      </c>
      <c r="E242" s="45" t="s">
        <v>62</v>
      </c>
      <c r="F242" s="46" cm="1">
        <f t="array" ref="F242">_xlfn.IFS($G242=$G$5,F$5,$G242=$G$6,F$6,$G242=$G$7,F$7,$G242=$G$8,F$8,$G242=$G$9,F$9,$G242=$G$10,F$10,$G242=$G$11,F$11,$G242=$G$12,F$12,$G242=$G$13,F$13,$G242=$G$15,F$15,$G242=$G$16,F$16,$G242=$G$17,F$17,$G242=$G$18,F$18,$G242=$G$19,F$19,$G242=$G$20,F$20,$G242=$G$21,F$21,$G242=$G$22,F$22,$G242=$G$25,F$25,$G242=$G$26,F$26,$G242=$G$27,F$27,$G242=$G$29,F$29,$G242=$G$31,F$31,$G242=$G$32,F$32,$G242=$G$248,F$248,$G242=$G$250,F$250)</f>
        <v>8038</v>
      </c>
      <c r="G242" t="s">
        <v>93</v>
      </c>
      <c r="H242" s="66" cm="1">
        <f t="array" ref="H242">_xlfn.IFS($G242=$G$5,H$5,$G242=$G$6,H$6,$G242=$G$7,H$7,$G242=$G$8,H$8,$G242=$G$9,H$9,$G242=$G$10,H$10,$G242=$G$11,H$11,$G242=$G$12,H$12,$G242=$G$13,H$13,$G242=$G$15,H$15,$G242=$G$16,H$16,$G242=$G$17,H$17,$G242=$G$18,H$18,$G242=$G$19,H$19,$G242=$G$20,H$20,$G242=$G$21,H$21,$G242=$G$22,H$22,$G242=$G$25,H$25,$G242=$G$26,H$26,$G242=$G$27,H$27,$G242=$G$29,H$29,$G242=$G$31,H$31,$G242=$G$32,H$150,$G242=$G$248,H$248,$G242=$G$250,H$250)</f>
        <v>41.359864999999999</v>
      </c>
      <c r="I242" s="60" cm="1">
        <f t="array" ref="I242">_xlfn.IFS($G242=$G$5,I$5,$G242=$G$6,I$6,$G242=$G$7,I$7,$G242=$G$8,I$8,$G242=$G$9,I$9,$G242=$G$10,I$10,$G242=$G$11,I$11,$G242=$G$12,I$12,$G242=$G$13,I$13,$G242=$G$15,I$15,$G242=$G$16,I$16,$G242=$G$17,I$17,$G242=$G$18,I$18,$G242=$G$19,I$19,$G242=$G$20,I$20,$G242=$G$21,I$21,$G242=$G$22,I$22,$G242=$G$25,I$25,$G242=$G$26,I$26,$G242=$G$27,I$27,$G242=$G$29,I$29,$G242=$G$31,I$31,$G242=$G$32,I$150,$G242=$G$248,I$248,$G242=$G$250,I$250)</f>
        <v>2.1445430000000001</v>
      </c>
      <c r="J242" cm="1">
        <f t="array" ref="J242">_xlfn.IFS($G242=$G$5,J$5,$G242=$G$6,J$6,$G242=$G$7,J$7,$G242=$G$8,J$8,$G242=$G$9,J$9,$G242=$G$10,J$10,$G242=$G$11,J$11,$G242=$G$12,J$12,$G242=$G$13,J$13,$G242=$G$15,J$15,$G242=$G$16,J$16,$G242=$G$17,J$17,$G242=$G$18,J$18,$G242=$G$19,J$19,$G242=$G$20,J$20,$G242=$G$21,J$21,$G242=$G$22,J$22,$G242=$G$25,J$25,$G242=$G$26,J$26,$G242=$G$27,J$27,$G242=$G$29,J$29,$G242=$G$31,J$31,$G242=$G$32,J$150,$G242=$G$248,J$248,$G242=$G$250,J$250)</f>
        <v>11.4</v>
      </c>
      <c r="K242" s="48" t="str" cm="1">
        <f t="array" ref="K242">_xlfn.IFS($G242=$G$5,K$5,$G242=$G$6,K$6,$G242=$G$7,K$7,$G242=$G$8,K$8,$G242=$G$9,K$9,$G242=$G$10,K$10,$G242=$G$11,K$11,$G242=$G$12,K$12,$G242=$G$13,K$13,$G242=$G$15,K$15,$G242=$G$16,K$16,$G242=$G$17,K$17,$G242=$G$18,K$18,$G242=$G$19,K$19,$G242=$G$20,K$20,$G242=$G$21,K$21,$G242=$G$22,K$22,$G242=$G$25,K$25,$G242=$G$26,K$26,$G242=$G$27,K$27,$G242=$G$29,K$29,$G242=$G$31,K$31,$G242=$G$32,K$150,$G242=$G$248,K$248,$G242=$G$250,K$250)</f>
        <v>BG sentinel + BG lure7</v>
      </c>
      <c r="L242" s="48"/>
      <c r="M242" s="48"/>
      <c r="O242" s="45" t="str">
        <f t="shared" si="20"/>
        <v>A_SP_BCN_19_210617</v>
      </c>
      <c r="P242" s="64">
        <v>44364</v>
      </c>
      <c r="R242" s="72"/>
      <c r="S242" s="64">
        <v>44370</v>
      </c>
      <c r="U242" s="72"/>
      <c r="V242" s="54" t="s">
        <v>66</v>
      </c>
      <c r="X242" s="45">
        <f t="shared" si="19"/>
        <v>6</v>
      </c>
      <c r="Z242" s="45" t="s">
        <v>70</v>
      </c>
      <c r="AA242" s="45">
        <f t="shared" si="16"/>
        <v>11</v>
      </c>
      <c r="AB242" t="str">
        <f t="shared" si="17"/>
        <v>Adult</v>
      </c>
      <c r="AC242" s="69">
        <v>10</v>
      </c>
      <c r="AD242" s="69">
        <v>1</v>
      </c>
      <c r="AE242" s="45" t="str">
        <f t="shared" si="18"/>
        <v>Morphological</v>
      </c>
      <c r="AF242" s="56">
        <v>4</v>
      </c>
    </row>
    <row r="243" spans="1:32" ht="18" customHeight="1" x14ac:dyDescent="0.25">
      <c r="A243" s="45">
        <v>239</v>
      </c>
      <c r="B243" s="45" t="s">
        <v>60</v>
      </c>
      <c r="C243" s="45" t="s">
        <v>61</v>
      </c>
      <c r="D243" s="45" t="s">
        <v>62</v>
      </c>
      <c r="E243" s="45" t="s">
        <v>62</v>
      </c>
      <c r="F243" s="46" cm="1">
        <f t="array" ref="F243">_xlfn.IFS($G243=$G$5,F$5,$G243=$G$6,F$6,$G243=$G$7,F$7,$G243=$G$8,F$8,$G243=$G$9,F$9,$G243=$G$10,F$10,$G243=$G$11,F$11,$G243=$G$12,F$12,$G243=$G$13,F$13,$G243=$G$15,F$15,$G243=$G$16,F$16,$G243=$G$17,F$17,$G243=$G$18,F$18,$G243=$G$19,F$19,$G243=$G$20,F$20,$G243=$G$21,F$21,$G243=$G$22,F$22,$G243=$G$25,F$25,$G243=$G$26,F$26,$G243=$G$27,F$27,$G243=$G$29,F$29,$G243=$G$31,F$31,$G243=$G$32,F$32,$G243=$G$248,F$248,$G243=$G$250,F$250)</f>
        <v>8038</v>
      </c>
      <c r="G243" t="s">
        <v>93</v>
      </c>
      <c r="H243" s="66" cm="1">
        <f t="array" ref="H243">_xlfn.IFS($G243=$G$5,H$5,$G243=$G$6,H$6,$G243=$G$7,H$7,$G243=$G$8,H$8,$G243=$G$9,H$9,$G243=$G$10,H$10,$G243=$G$11,H$11,$G243=$G$12,H$12,$G243=$G$13,H$13,$G243=$G$15,H$15,$G243=$G$16,H$16,$G243=$G$17,H$17,$G243=$G$18,H$18,$G243=$G$19,H$19,$G243=$G$20,H$20,$G243=$G$21,H$21,$G243=$G$22,H$22,$G243=$G$25,H$25,$G243=$G$26,H$26,$G243=$G$27,H$27,$G243=$G$29,H$29,$G243=$G$31,H$31,$G243=$G$32,H$150,$G243=$G$248,H$248,$G243=$G$250,H$250)</f>
        <v>41.359864999999999</v>
      </c>
      <c r="I243" s="60" cm="1">
        <f t="array" ref="I243">_xlfn.IFS($G243=$G$5,I$5,$G243=$G$6,I$6,$G243=$G$7,I$7,$G243=$G$8,I$8,$G243=$G$9,I$9,$G243=$G$10,I$10,$G243=$G$11,I$11,$G243=$G$12,I$12,$G243=$G$13,I$13,$G243=$G$15,I$15,$G243=$G$16,I$16,$G243=$G$17,I$17,$G243=$G$18,I$18,$G243=$G$19,I$19,$G243=$G$20,I$20,$G243=$G$21,I$21,$G243=$G$22,I$22,$G243=$G$25,I$25,$G243=$G$26,I$26,$G243=$G$27,I$27,$G243=$G$29,I$29,$G243=$G$31,I$31,$G243=$G$32,I$150,$G243=$G$248,I$248,$G243=$G$250,I$250)</f>
        <v>2.1445430000000001</v>
      </c>
      <c r="J243" cm="1">
        <f t="array" ref="J243">_xlfn.IFS($G243=$G$5,J$5,$G243=$G$6,J$6,$G243=$G$7,J$7,$G243=$G$8,J$8,$G243=$G$9,J$9,$G243=$G$10,J$10,$G243=$G$11,J$11,$G243=$G$12,J$12,$G243=$G$13,J$13,$G243=$G$15,J$15,$G243=$G$16,J$16,$G243=$G$17,J$17,$G243=$G$18,J$18,$G243=$G$19,J$19,$G243=$G$20,J$20,$G243=$G$21,J$21,$G243=$G$22,J$22,$G243=$G$25,J$25,$G243=$G$26,J$26,$G243=$G$27,J$27,$G243=$G$29,J$29,$G243=$G$31,J$31,$G243=$G$32,J$150,$G243=$G$248,J$248,$G243=$G$250,J$250)</f>
        <v>11.4</v>
      </c>
      <c r="K243" s="48" t="str" cm="1">
        <f t="array" ref="K243">_xlfn.IFS($G243=$G$5,K$5,$G243=$G$6,K$6,$G243=$G$7,K$7,$G243=$G$8,K$8,$G243=$G$9,K$9,$G243=$G$10,K$10,$G243=$G$11,K$11,$G243=$G$12,K$12,$G243=$G$13,K$13,$G243=$G$15,K$15,$G243=$G$16,K$16,$G243=$G$17,K$17,$G243=$G$18,K$18,$G243=$G$19,K$19,$G243=$G$20,K$20,$G243=$G$21,K$21,$G243=$G$22,K$22,$G243=$G$25,K$25,$G243=$G$26,K$26,$G243=$G$27,K$27,$G243=$G$29,K$29,$G243=$G$31,K$31,$G243=$G$32,K$150,$G243=$G$248,K$248,$G243=$G$250,K$250)</f>
        <v>BG sentinel + BG lure7</v>
      </c>
      <c r="L243" s="48"/>
      <c r="M243" s="48"/>
      <c r="O243" s="45" t="str">
        <f t="shared" si="20"/>
        <v>A_SP_BCN_19_210617</v>
      </c>
      <c r="P243" s="64">
        <v>44364</v>
      </c>
      <c r="R243" s="72"/>
      <c r="S243" s="64">
        <v>44370</v>
      </c>
      <c r="U243" s="72"/>
      <c r="V243" s="54" t="s">
        <v>66</v>
      </c>
      <c r="X243" s="45">
        <f t="shared" si="19"/>
        <v>6</v>
      </c>
      <c r="Z243" s="45" t="s">
        <v>80</v>
      </c>
      <c r="AA243" s="45">
        <f t="shared" si="16"/>
        <v>3</v>
      </c>
      <c r="AB243" t="str">
        <f t="shared" si="17"/>
        <v>Adult</v>
      </c>
      <c r="AC243" s="69">
        <v>1</v>
      </c>
      <c r="AD243" s="69">
        <v>2</v>
      </c>
      <c r="AE243" s="45" t="str">
        <f t="shared" si="18"/>
        <v>Morphological</v>
      </c>
      <c r="AF243" s="56">
        <v>4</v>
      </c>
    </row>
    <row r="244" spans="1:32" ht="18" customHeight="1" x14ac:dyDescent="0.25">
      <c r="A244" s="45">
        <v>240</v>
      </c>
      <c r="B244" s="45" t="s">
        <v>60</v>
      </c>
      <c r="C244" s="45" t="s">
        <v>61</v>
      </c>
      <c r="D244" s="45" t="s">
        <v>62</v>
      </c>
      <c r="E244" s="45" t="s">
        <v>62</v>
      </c>
      <c r="F244" s="46" cm="1">
        <f t="array" ref="F244">_xlfn.IFS($G244=$G$5,F$5,$G244=$G$6,F$6,$G244=$G$7,F$7,$G244=$G$8,F$8,$G244=$G$9,F$9,$G244=$G$10,F$10,$G244=$G$11,F$11,$G244=$G$12,F$12,$G244=$G$13,F$13,$G244=$G$15,F$15,$G244=$G$16,F$16,$G244=$G$17,F$17,$G244=$G$18,F$18,$G244=$G$19,F$19,$G244=$G$20,F$20,$G244=$G$21,F$21,$G244=$G$22,F$22,$G244=$G$25,F$25,$G244=$G$26,F$26,$G244=$G$27,F$27,$G244=$G$29,F$29,$G244=$G$31,F$31,$G244=$G$32,F$32,$G244=$G$248,F$248,$G244=$G$250,F$250)</f>
        <v>8002</v>
      </c>
      <c r="G244" t="s">
        <v>94</v>
      </c>
      <c r="H244" s="66" cm="1">
        <f t="array" ref="H244">_xlfn.IFS($G244=$G$5,H$5,$G244=$G$6,H$6,$G244=$G$7,H$7,$G244=$G$8,H$8,$G244=$G$9,H$9,$G244=$G$10,H$10,$G244=$G$11,H$11,$G244=$G$12,H$12,$G244=$G$13,H$13,$G244=$G$15,H$15,$G244=$G$16,H$16,$G244=$G$17,H$17,$G244=$G$18,H$18,$G244=$G$19,H$19,$G244=$G$20,H$20,$G244=$G$21,H$21,$G244=$G$22,H$22,$G244=$G$25,H$25,$G244=$G$26,H$26,$G244=$G$27,H$27,$G244=$G$29,H$29,$G244=$G$31,H$31,$G244=$G$32,H$150,$G244=$G$248,H$248,$G244=$G$250,H$250)</f>
        <v>41.385213</v>
      </c>
      <c r="I244" s="60" cm="1">
        <f t="array" ref="I244">_xlfn.IFS($G244=$G$5,I$5,$G244=$G$6,I$6,$G244=$G$7,I$7,$G244=$G$8,I$8,$G244=$G$9,I$9,$G244=$G$10,I$10,$G244=$G$11,I$11,$G244=$G$12,I$12,$G244=$G$13,I$13,$G244=$G$15,I$15,$G244=$G$16,I$16,$G244=$G$17,I$17,$G244=$G$18,I$18,$G244=$G$19,I$19,$G244=$G$20,I$20,$G244=$G$21,I$21,$G244=$G$22,I$22,$G244=$G$25,I$25,$G244=$G$26,I$26,$G244=$G$27,I$27,$G244=$G$29,I$29,$G244=$G$31,I$31,$G244=$G$32,I$150,$G244=$G$248,I$248,$G244=$G$250,I$250)</f>
        <v>2.174852</v>
      </c>
      <c r="J244" cm="1">
        <f t="array" ref="J244">_xlfn.IFS($G244=$G$5,J$5,$G244=$G$6,J$6,$G244=$G$7,J$7,$G244=$G$8,J$8,$G244=$G$9,J$9,$G244=$G$10,J$10,$G244=$G$11,J$11,$G244=$G$12,J$12,$G244=$G$13,J$13,$G244=$G$15,J$15,$G244=$G$16,J$16,$G244=$G$17,J$17,$G244=$G$18,J$18,$G244=$G$19,J$19,$G244=$G$20,J$20,$G244=$G$21,J$21,$G244=$G$22,J$22,$G244=$G$25,J$25,$G244=$G$26,J$26,$G244=$G$27,J$27,$G244=$G$29,J$29,$G244=$G$31,J$31,$G244=$G$32,J$150,$G244=$G$248,J$248,$G244=$G$250,J$250)</f>
        <v>14</v>
      </c>
      <c r="K244" s="48" t="str" cm="1">
        <f t="array" ref="K244">_xlfn.IFS($G244=$G$5,K$5,$G244=$G$6,K$6,$G244=$G$7,K$7,$G244=$G$8,K$8,$G244=$G$9,K$9,$G244=$G$10,K$10,$G244=$G$11,K$11,$G244=$G$12,K$12,$G244=$G$13,K$13,$G244=$G$15,K$15,$G244=$G$16,K$16,$G244=$G$17,K$17,$G244=$G$18,K$18,$G244=$G$19,K$19,$G244=$G$20,K$20,$G244=$G$21,K$21,$G244=$G$22,K$22,$G244=$G$25,K$25,$G244=$G$26,K$26,$G244=$G$27,K$27,$G244=$G$29,K$29,$G244=$G$31,K$31,$G244=$G$32,K$150,$G244=$G$248,K$248,$G244=$G$250,K$250)</f>
        <v>BG sentinel + BG lure7</v>
      </c>
      <c r="L244" s="48"/>
      <c r="M244" s="48"/>
      <c r="O244" s="45" t="str">
        <f t="shared" si="20"/>
        <v>A_SP_BCN_20_210617</v>
      </c>
      <c r="P244" s="64">
        <v>44364</v>
      </c>
      <c r="R244" s="72"/>
      <c r="S244" s="64">
        <v>44369</v>
      </c>
      <c r="U244" s="72"/>
      <c r="V244" s="54" t="s">
        <v>66</v>
      </c>
      <c r="X244" s="45">
        <f t="shared" si="19"/>
        <v>5</v>
      </c>
      <c r="Z244" s="69" t="s">
        <v>69</v>
      </c>
      <c r="AA244" s="45">
        <f t="shared" si="16"/>
        <v>1</v>
      </c>
      <c r="AB244" t="str">
        <f t="shared" si="17"/>
        <v>Adult</v>
      </c>
      <c r="AC244" s="69">
        <v>1</v>
      </c>
      <c r="AD244" s="69">
        <v>0</v>
      </c>
      <c r="AE244" s="45" t="str">
        <f t="shared" si="18"/>
        <v>Morphological</v>
      </c>
      <c r="AF244" s="56">
        <v>4</v>
      </c>
    </row>
    <row r="245" spans="1:32" ht="18" customHeight="1" x14ac:dyDescent="0.25">
      <c r="A245" s="45">
        <v>241</v>
      </c>
      <c r="B245" s="45" t="s">
        <v>60</v>
      </c>
      <c r="C245" s="45" t="s">
        <v>61</v>
      </c>
      <c r="D245" s="45" t="s">
        <v>62</v>
      </c>
      <c r="E245" s="45" t="s">
        <v>62</v>
      </c>
      <c r="F245" s="46" cm="1">
        <f t="array" ref="F245">_xlfn.IFS($G245=$G$5,F$5,$G245=$G$6,F$6,$G245=$G$7,F$7,$G245=$G$8,F$8,$G245=$G$9,F$9,$G245=$G$10,F$10,$G245=$G$11,F$11,$G245=$G$12,F$12,$G245=$G$13,F$13,$G245=$G$15,F$15,$G245=$G$16,F$16,$G245=$G$17,F$17,$G245=$G$18,F$18,$G245=$G$19,F$19,$G245=$G$20,F$20,$G245=$G$21,F$21,$G245=$G$22,F$22,$G245=$G$25,F$25,$G245=$G$26,F$26,$G245=$G$27,F$27,$G245=$G$29,F$29,$G245=$G$31,F$31,$G245=$G$32,F$32,$G245=$G$248,F$248,$G245=$G$250,F$250)</f>
        <v>8002</v>
      </c>
      <c r="G245" t="s">
        <v>94</v>
      </c>
      <c r="H245" s="66" cm="1">
        <f t="array" ref="H245">_xlfn.IFS($G245=$G$5,H$5,$G245=$G$6,H$6,$G245=$G$7,H$7,$G245=$G$8,H$8,$G245=$G$9,H$9,$G245=$G$10,H$10,$G245=$G$11,H$11,$G245=$G$12,H$12,$G245=$G$13,H$13,$G245=$G$15,H$15,$G245=$G$16,H$16,$G245=$G$17,H$17,$G245=$G$18,H$18,$G245=$G$19,H$19,$G245=$G$20,H$20,$G245=$G$21,H$21,$G245=$G$22,H$22,$G245=$G$25,H$25,$G245=$G$26,H$26,$G245=$G$27,H$27,$G245=$G$29,H$29,$G245=$G$31,H$31,$G245=$G$32,H$150,$G245=$G$248,H$248,$G245=$G$250,H$250)</f>
        <v>41.385213</v>
      </c>
      <c r="I245" s="60" cm="1">
        <f t="array" ref="I245">_xlfn.IFS($G245=$G$5,I$5,$G245=$G$6,I$6,$G245=$G$7,I$7,$G245=$G$8,I$8,$G245=$G$9,I$9,$G245=$G$10,I$10,$G245=$G$11,I$11,$G245=$G$12,I$12,$G245=$G$13,I$13,$G245=$G$15,I$15,$G245=$G$16,I$16,$G245=$G$17,I$17,$G245=$G$18,I$18,$G245=$G$19,I$19,$G245=$G$20,I$20,$G245=$G$21,I$21,$G245=$G$22,I$22,$G245=$G$25,I$25,$G245=$G$26,I$26,$G245=$G$27,I$27,$G245=$G$29,I$29,$G245=$G$31,I$31,$G245=$G$32,I$150,$G245=$G$248,I$248,$G245=$G$250,I$250)</f>
        <v>2.174852</v>
      </c>
      <c r="J245" cm="1">
        <f t="array" ref="J245">_xlfn.IFS($G245=$G$5,J$5,$G245=$G$6,J$6,$G245=$G$7,J$7,$G245=$G$8,J$8,$G245=$G$9,J$9,$G245=$G$10,J$10,$G245=$G$11,J$11,$G245=$G$12,J$12,$G245=$G$13,J$13,$G245=$G$15,J$15,$G245=$G$16,J$16,$G245=$G$17,J$17,$G245=$G$18,J$18,$G245=$G$19,J$19,$G245=$G$20,J$20,$G245=$G$21,J$21,$G245=$G$22,J$22,$G245=$G$25,J$25,$G245=$G$26,J$26,$G245=$G$27,J$27,$G245=$G$29,J$29,$G245=$G$31,J$31,$G245=$G$32,J$150,$G245=$G$248,J$248,$G245=$G$250,J$250)</f>
        <v>14</v>
      </c>
      <c r="K245" s="48" t="str" cm="1">
        <f t="array" ref="K245">_xlfn.IFS($G245=$G$5,K$5,$G245=$G$6,K$6,$G245=$G$7,K$7,$G245=$G$8,K$8,$G245=$G$9,K$9,$G245=$G$10,K$10,$G245=$G$11,K$11,$G245=$G$12,K$12,$G245=$G$13,K$13,$G245=$G$15,K$15,$G245=$G$16,K$16,$G245=$G$17,K$17,$G245=$G$18,K$18,$G245=$G$19,K$19,$G245=$G$20,K$20,$G245=$G$21,K$21,$G245=$G$22,K$22,$G245=$G$25,K$25,$G245=$G$26,K$26,$G245=$G$27,K$27,$G245=$G$29,K$29,$G245=$G$31,K$31,$G245=$G$32,K$150,$G245=$G$248,K$248,$G245=$G$250,K$250)</f>
        <v>BG sentinel + BG lure7</v>
      </c>
      <c r="L245" s="48"/>
      <c r="M245" s="48"/>
      <c r="O245" s="45" t="str">
        <f t="shared" si="20"/>
        <v>A_SP_BCN_20_210617</v>
      </c>
      <c r="P245" s="64">
        <v>44364</v>
      </c>
      <c r="R245" s="72"/>
      <c r="S245" s="64">
        <v>44369</v>
      </c>
      <c r="U245" s="72"/>
      <c r="V245" s="54" t="s">
        <v>66</v>
      </c>
      <c r="X245" s="45">
        <f t="shared" si="19"/>
        <v>5</v>
      </c>
      <c r="Z245" s="45" t="s">
        <v>70</v>
      </c>
      <c r="AA245" s="45">
        <f t="shared" si="16"/>
        <v>5</v>
      </c>
      <c r="AB245" t="str">
        <f t="shared" si="17"/>
        <v>Adult</v>
      </c>
      <c r="AC245" s="69">
        <v>2</v>
      </c>
      <c r="AD245" s="69">
        <v>3</v>
      </c>
      <c r="AE245" s="45" t="str">
        <f t="shared" si="18"/>
        <v>Morphological</v>
      </c>
      <c r="AF245" s="56">
        <v>4</v>
      </c>
    </row>
    <row r="246" spans="1:32" ht="18" customHeight="1" x14ac:dyDescent="0.25">
      <c r="A246" s="45">
        <v>242</v>
      </c>
      <c r="B246" s="45" t="s">
        <v>60</v>
      </c>
      <c r="C246" s="45" t="s">
        <v>61</v>
      </c>
      <c r="D246" s="45" t="s">
        <v>62</v>
      </c>
      <c r="E246" s="45" t="s">
        <v>62</v>
      </c>
      <c r="F246" s="46" cm="1">
        <f t="array" ref="F246">_xlfn.IFS($G246=$G$5,F$5,$G246=$G$6,F$6,$G246=$G$7,F$7,$G246=$G$8,F$8,$G246=$G$9,F$9,$G246=$G$10,F$10,$G246=$G$11,F$11,$G246=$G$12,F$12,$G246=$G$13,F$13,$G246=$G$15,F$15,$G246=$G$16,F$16,$G246=$G$17,F$17,$G246=$G$18,F$18,$G246=$G$19,F$19,$G246=$G$20,F$20,$G246=$G$21,F$21,$G246=$G$22,F$22,$G246=$G$25,F$25,$G246=$G$26,F$26,$G246=$G$27,F$27,$G246=$G$29,F$29,$G246=$G$31,F$31,$G246=$G$32,F$32,$G246=$G$248,F$248,$G246=$G$250,F$250)</f>
        <v>8002</v>
      </c>
      <c r="G246" t="s">
        <v>94</v>
      </c>
      <c r="H246" s="66" cm="1">
        <f t="array" ref="H246">_xlfn.IFS($G246=$G$5,H$5,$G246=$G$6,H$6,$G246=$G$7,H$7,$G246=$G$8,H$8,$G246=$G$9,H$9,$G246=$G$10,H$10,$G246=$G$11,H$11,$G246=$G$12,H$12,$G246=$G$13,H$13,$G246=$G$15,H$15,$G246=$G$16,H$16,$G246=$G$17,H$17,$G246=$G$18,H$18,$G246=$G$19,H$19,$G246=$G$20,H$20,$G246=$G$21,H$21,$G246=$G$22,H$22,$G246=$G$25,H$25,$G246=$G$26,H$26,$G246=$G$27,H$27,$G246=$G$29,H$29,$G246=$G$31,H$31,$G246=$G$32,H$150,$G246=$G$248,H$248,$G246=$G$250,H$250)</f>
        <v>41.385213</v>
      </c>
      <c r="I246" s="60" cm="1">
        <f t="array" ref="I246">_xlfn.IFS($G246=$G$5,I$5,$G246=$G$6,I$6,$G246=$G$7,I$7,$G246=$G$8,I$8,$G246=$G$9,I$9,$G246=$G$10,I$10,$G246=$G$11,I$11,$G246=$G$12,I$12,$G246=$G$13,I$13,$G246=$G$15,I$15,$G246=$G$16,I$16,$G246=$G$17,I$17,$G246=$G$18,I$18,$G246=$G$19,I$19,$G246=$G$20,I$20,$G246=$G$21,I$21,$G246=$G$22,I$22,$G246=$G$25,I$25,$G246=$G$26,I$26,$G246=$G$27,I$27,$G246=$G$29,I$29,$G246=$G$31,I$31,$G246=$G$32,I$150,$G246=$G$248,I$248,$G246=$G$250,I$250)</f>
        <v>2.174852</v>
      </c>
      <c r="J246" cm="1">
        <f t="array" ref="J246">_xlfn.IFS($G246=$G$5,J$5,$G246=$G$6,J$6,$G246=$G$7,J$7,$G246=$G$8,J$8,$G246=$G$9,J$9,$G246=$G$10,J$10,$G246=$G$11,J$11,$G246=$G$12,J$12,$G246=$G$13,J$13,$G246=$G$15,J$15,$G246=$G$16,J$16,$G246=$G$17,J$17,$G246=$G$18,J$18,$G246=$G$19,J$19,$G246=$G$20,J$20,$G246=$G$21,J$21,$G246=$G$22,J$22,$G246=$G$25,J$25,$G246=$G$26,J$26,$G246=$G$27,J$27,$G246=$G$29,J$29,$G246=$G$31,J$31,$G246=$G$32,J$150,$G246=$G$248,J$248,$G246=$G$250,J$250)</f>
        <v>14</v>
      </c>
      <c r="K246" s="48" t="str" cm="1">
        <f t="array" ref="K246">_xlfn.IFS($G246=$G$5,K$5,$G246=$G$6,K$6,$G246=$G$7,K$7,$G246=$G$8,K$8,$G246=$G$9,K$9,$G246=$G$10,K$10,$G246=$G$11,K$11,$G246=$G$12,K$12,$G246=$G$13,K$13,$G246=$G$15,K$15,$G246=$G$16,K$16,$G246=$G$17,K$17,$G246=$G$18,K$18,$G246=$G$19,K$19,$G246=$G$20,K$20,$G246=$G$21,K$21,$G246=$G$22,K$22,$G246=$G$25,K$25,$G246=$G$26,K$26,$G246=$G$27,K$27,$G246=$G$29,K$29,$G246=$G$31,K$31,$G246=$G$32,K$150,$G246=$G$248,K$248,$G246=$G$250,K$250)</f>
        <v>BG sentinel + BG lure7</v>
      </c>
      <c r="L246" s="48"/>
      <c r="M246" s="48"/>
      <c r="O246" s="45" t="str">
        <f t="shared" si="20"/>
        <v>A_SP_BCN_20_210617</v>
      </c>
      <c r="P246" s="64">
        <v>44364</v>
      </c>
      <c r="R246" s="72"/>
      <c r="S246" s="64">
        <v>44369</v>
      </c>
      <c r="U246" s="72"/>
      <c r="V246" s="54" t="s">
        <v>66</v>
      </c>
      <c r="X246" s="45">
        <f t="shared" si="19"/>
        <v>5</v>
      </c>
      <c r="Z246" s="45" t="s">
        <v>80</v>
      </c>
      <c r="AA246" s="45">
        <f t="shared" si="16"/>
        <v>2</v>
      </c>
      <c r="AB246" t="str">
        <f t="shared" si="17"/>
        <v>Adult</v>
      </c>
      <c r="AC246" s="69">
        <v>1</v>
      </c>
      <c r="AD246" s="69">
        <v>1</v>
      </c>
      <c r="AE246" s="45" t="str">
        <f t="shared" si="18"/>
        <v>Morphological</v>
      </c>
      <c r="AF246" s="56">
        <v>4</v>
      </c>
    </row>
    <row r="247" spans="1:32" ht="18" customHeight="1" x14ac:dyDescent="0.25">
      <c r="A247" s="45">
        <v>243</v>
      </c>
      <c r="B247" s="45" t="s">
        <v>60</v>
      </c>
      <c r="C247" s="45" t="s">
        <v>61</v>
      </c>
      <c r="D247" s="45" t="s">
        <v>62</v>
      </c>
      <c r="E247" s="45" t="s">
        <v>62</v>
      </c>
      <c r="F247" s="46" cm="1">
        <f t="array" ref="F247">_xlfn.IFS($G247=$G$5,F$5,$G247=$G$6,F$6,$G247=$G$7,F$7,$G247=$G$8,F$8,$G247=$G$9,F$9,$G247=$G$10,F$10,$G247=$G$11,F$11,$G247=$G$12,F$12,$G247=$G$13,F$13,$G247=$G$15,F$15,$G247=$G$16,F$16,$G247=$G$17,F$17,$G247=$G$18,F$18,$G247=$G$19,F$19,$G247=$G$20,F$20,$G247=$G$21,F$21,$G247=$G$22,F$22,$G247=$G$25,F$25,$G247=$G$26,F$26,$G247=$G$27,F$27,$G247=$G$29,F$29,$G247=$G$31,F$31,$G247=$G$32,F$32,$G247=$G$248,F$248,$G247=$G$250,F$250)</f>
        <v>8017</v>
      </c>
      <c r="G247" t="s">
        <v>98</v>
      </c>
      <c r="H247" s="66" cm="1">
        <f t="array" ref="H247">_xlfn.IFS($G247=$G$5,H$5,$G247=$G$6,H$6,$G247=$G$7,H$7,$G247=$G$8,H$8,$G247=$G$9,H$9,$G247=$G$10,H$10,$G247=$G$11,H$11,$G247=$G$12,H$12,$G247=$G$13,H$13,$G247=$G$15,H$15,$G247=$G$16,H$16,$G247=$G$17,H$17,$G247=$G$18,H$18,$G247=$G$19,H$19,$G247=$G$20,H$20,$G247=$G$21,H$21,$G247=$G$22,H$22,$G247=$G$25,H$25,$G247=$G$26,H$26,$G247=$G$27,H$27,$G247=$G$29,H$29,$G247=$G$31,H$31,$G247=$G$32,H$150,$G247=$G$248,H$248,$G247=$G$250,H$250)</f>
        <v>41.430315999999998</v>
      </c>
      <c r="I247" s="60" cm="1">
        <f t="array" ref="I247">_xlfn.IFS($G247=$G$5,I$5,$G247=$G$6,I$6,$G247=$G$7,I$7,$G247=$G$8,I$8,$G247=$G$9,I$9,$G247=$G$10,I$10,$G247=$G$11,I$11,$G247=$G$12,I$12,$G247=$G$13,I$13,$G247=$G$15,I$15,$G247=$G$16,I$16,$G247=$G$17,I$17,$G247=$G$18,I$18,$G247=$G$19,I$19,$G247=$G$20,I$20,$G247=$G$21,I$21,$G247=$G$22,I$22,$G247=$G$25,I$25,$G247=$G$26,I$26,$G247=$G$27,I$27,$G247=$G$29,I$29,$G247=$G$31,I$31,$G247=$G$32,I$150,$G247=$G$248,I$248,$G247=$G$250,I$250)</f>
        <v>2.077556</v>
      </c>
      <c r="J247" cm="1">
        <f t="array" ref="J247">_xlfn.IFS($G247=$G$5,J$5,$G247=$G$6,J$6,$G247=$G$7,J$7,$G247=$G$8,J$8,$G247=$G$9,J$9,$G247=$G$10,J$10,$G247=$G$11,J$11,$G247=$G$12,J$12,$G247=$G$13,J$13,$G247=$G$15,J$15,$G247=$G$16,J$16,$G247=$G$17,J$17,$G247=$G$18,J$18,$G247=$G$19,J$19,$G247=$G$20,J$20,$G247=$G$21,J$21,$G247=$G$22,J$22,$G247=$G$25,J$25,$G247=$G$26,J$26,$G247=$G$27,J$27,$G247=$G$29,J$29,$G247=$G$31,J$31,$G247=$G$32,J$150,$G247=$G$248,J$248,$G247=$G$250,J$250)</f>
        <v>243.3</v>
      </c>
      <c r="K247" s="48" t="str" cm="1">
        <f t="array" ref="K247">_xlfn.IFS($G247=$G$5,K$5,$G247=$G$6,K$6,$G247=$G$7,K$7,$G247=$G$8,K$8,$G247=$G$9,K$9,$G247=$G$10,K$10,$G247=$G$11,K$11,$G247=$G$12,K$12,$G247=$G$13,K$13,$G247=$G$15,K$15,$G247=$G$16,K$16,$G247=$G$17,K$17,$G247=$G$18,K$18,$G247=$G$19,K$19,$G247=$G$20,K$20,$G247=$G$21,K$21,$G247=$G$22,K$22,$G247=$G$25,K$25,$G247=$G$26,K$26,$G247=$G$27,K$27,$G247=$G$29,K$29,$G247=$G$31,K$31,$G247=$G$32,K$150,$G247=$G$248,K$248,$G247=$G$250,K$250)</f>
        <v>BG sentinel + BG lure7</v>
      </c>
      <c r="O247" s="45" t="str">
        <f t="shared" si="20"/>
        <v>A_SP_BCN_22_210616</v>
      </c>
      <c r="P247" s="64">
        <v>44363</v>
      </c>
      <c r="R247" s="72"/>
      <c r="S247" s="64">
        <v>44369</v>
      </c>
      <c r="U247" s="72"/>
      <c r="V247" s="54" t="s">
        <v>66</v>
      </c>
      <c r="W247" t="s">
        <v>119</v>
      </c>
      <c r="X247" s="45">
        <f t="shared" si="19"/>
        <v>6</v>
      </c>
      <c r="AA247" s="45">
        <f t="shared" si="16"/>
        <v>0</v>
      </c>
      <c r="AB247" t="str">
        <f t="shared" si="17"/>
        <v/>
      </c>
      <c r="AE247" s="45" t="str">
        <f t="shared" si="18"/>
        <v/>
      </c>
      <c r="AF247" s="56">
        <v>3</v>
      </c>
    </row>
    <row r="248" spans="1:32" ht="18" customHeight="1" x14ac:dyDescent="0.25">
      <c r="A248" s="45">
        <v>244</v>
      </c>
      <c r="B248" s="45" t="s">
        <v>60</v>
      </c>
      <c r="C248" s="45" t="s">
        <v>61</v>
      </c>
      <c r="D248" s="45" t="s">
        <v>62</v>
      </c>
      <c r="E248" s="45" t="s">
        <v>62</v>
      </c>
      <c r="F248" s="76">
        <v>8038</v>
      </c>
      <c r="G248" t="s">
        <v>103</v>
      </c>
      <c r="H248" s="73">
        <v>41.367100000000001</v>
      </c>
      <c r="I248" s="74">
        <v>2.1539079999999999</v>
      </c>
      <c r="J248">
        <v>68</v>
      </c>
      <c r="K248" t="s">
        <v>64</v>
      </c>
      <c r="O248" s="45" t="str">
        <f t="shared" si="20"/>
        <v>A_SP_BCN_23_210617</v>
      </c>
      <c r="P248" s="64">
        <v>44364</v>
      </c>
      <c r="R248" s="72"/>
      <c r="S248" s="64">
        <v>44370</v>
      </c>
      <c r="U248" s="72"/>
      <c r="V248" s="54" t="s">
        <v>66</v>
      </c>
      <c r="X248" s="45">
        <f t="shared" si="19"/>
        <v>6</v>
      </c>
      <c r="Z248" s="69" t="s">
        <v>69</v>
      </c>
      <c r="AA248" s="45">
        <f t="shared" si="16"/>
        <v>8</v>
      </c>
      <c r="AB248" t="str">
        <f t="shared" si="17"/>
        <v>Adult</v>
      </c>
      <c r="AC248" s="69">
        <v>8</v>
      </c>
      <c r="AD248" s="69">
        <v>0</v>
      </c>
      <c r="AE248" s="45" t="str">
        <f t="shared" si="18"/>
        <v>Morphological</v>
      </c>
      <c r="AF248" s="56">
        <v>4</v>
      </c>
    </row>
    <row r="249" spans="1:32" ht="18" customHeight="1" x14ac:dyDescent="0.25">
      <c r="A249" s="45">
        <v>245</v>
      </c>
      <c r="B249" s="45" t="s">
        <v>60</v>
      </c>
      <c r="C249" s="45" t="s">
        <v>61</v>
      </c>
      <c r="D249" s="45" t="s">
        <v>62</v>
      </c>
      <c r="E249" s="45" t="s">
        <v>62</v>
      </c>
      <c r="F249" s="46" cm="1">
        <f t="array" ref="F249">_xlfn.IFS($G249=$G$5,F$5,$G249=$G$6,F$6,$G249=$G$7,F$7,$G249=$G$8,F$8,$G249=$G$9,F$9,$G249=$G$10,F$10,$G249=$G$11,F$11,$G249=$G$12,F$12,$G249=$G$13,F$13,$G249=$G$15,F$15,$G249=$G$16,F$16,$G249=$G$17,F$17,$G249=$G$18,F$18,$G249=$G$19,F$19,$G249=$G$20,F$20,$G249=$G$21,F$21,$G249=$G$22,F$22,$G249=$G$25,F$25,$G249=$G$26,F$26,$G249=$G$27,F$27,$G249=$G$29,F$29,$G249=$G$31,F$31,$G249=$G$32,F$32,$G249=$G$248,F$248,$G249=$G$250,F$250)</f>
        <v>8038</v>
      </c>
      <c r="G249" t="s">
        <v>103</v>
      </c>
      <c r="H249" s="66">
        <v>41.367100000000001</v>
      </c>
      <c r="I249" s="60">
        <v>2.1539079999999999</v>
      </c>
      <c r="J249">
        <v>68</v>
      </c>
      <c r="K249" t="s">
        <v>64</v>
      </c>
      <c r="O249" s="45" t="str">
        <f t="shared" si="20"/>
        <v>A_SP_BCN_23_210617</v>
      </c>
      <c r="P249" s="64">
        <v>44364</v>
      </c>
      <c r="R249" s="72"/>
      <c r="S249" s="64">
        <v>44370</v>
      </c>
      <c r="U249" s="72"/>
      <c r="V249" s="54" t="s">
        <v>66</v>
      </c>
      <c r="X249" s="45">
        <f t="shared" si="19"/>
        <v>6</v>
      </c>
      <c r="Z249" s="45" t="s">
        <v>70</v>
      </c>
      <c r="AA249" s="45">
        <f t="shared" si="16"/>
        <v>11</v>
      </c>
      <c r="AB249" t="str">
        <f t="shared" si="17"/>
        <v>Adult</v>
      </c>
      <c r="AC249" s="69">
        <v>4</v>
      </c>
      <c r="AD249" s="69">
        <v>7</v>
      </c>
      <c r="AE249" s="45" t="str">
        <f t="shared" si="18"/>
        <v>Morphological</v>
      </c>
      <c r="AF249" s="56">
        <v>4</v>
      </c>
    </row>
    <row r="250" spans="1:32" ht="18" customHeight="1" x14ac:dyDescent="0.25">
      <c r="A250" s="45">
        <v>246</v>
      </c>
      <c r="B250" s="45" t="s">
        <v>60</v>
      </c>
      <c r="C250" s="45" t="s">
        <v>61</v>
      </c>
      <c r="D250" s="45" t="s">
        <v>62</v>
      </c>
      <c r="E250" s="45" t="s">
        <v>62</v>
      </c>
      <c r="F250" s="76">
        <v>8015</v>
      </c>
      <c r="G250" t="s">
        <v>109</v>
      </c>
      <c r="H250" s="73">
        <v>41.381725000000003</v>
      </c>
      <c r="I250" s="77">
        <v>2.1543679999999998</v>
      </c>
      <c r="J250">
        <v>20.7</v>
      </c>
      <c r="K250" t="s">
        <v>64</v>
      </c>
      <c r="O250" s="45" t="str">
        <f t="shared" si="20"/>
        <v>A_SP_BCN_24_210616</v>
      </c>
      <c r="P250" s="64">
        <v>44363</v>
      </c>
      <c r="R250" s="72"/>
      <c r="S250" s="64">
        <v>44369</v>
      </c>
      <c r="U250" s="72"/>
      <c r="V250" s="54" t="s">
        <v>66</v>
      </c>
      <c r="X250" s="45">
        <f t="shared" si="19"/>
        <v>6</v>
      </c>
      <c r="Z250" s="69" t="s">
        <v>69</v>
      </c>
      <c r="AA250" s="45">
        <f t="shared" si="16"/>
        <v>1</v>
      </c>
      <c r="AB250" t="str">
        <f t="shared" si="17"/>
        <v>Adult</v>
      </c>
      <c r="AC250" s="69">
        <v>0</v>
      </c>
      <c r="AD250" s="69">
        <v>1</v>
      </c>
      <c r="AE250" s="45" t="str">
        <f t="shared" si="18"/>
        <v>Morphological</v>
      </c>
      <c r="AF250" s="56">
        <v>4</v>
      </c>
    </row>
    <row r="251" spans="1:32" ht="18" customHeight="1" x14ac:dyDescent="0.25">
      <c r="A251" s="45">
        <v>247</v>
      </c>
      <c r="B251" s="45" t="s">
        <v>60</v>
      </c>
      <c r="C251" s="45" t="s">
        <v>61</v>
      </c>
      <c r="D251" s="45" t="s">
        <v>62</v>
      </c>
      <c r="E251" s="45" t="s">
        <v>62</v>
      </c>
      <c r="F251" s="46" cm="1">
        <f t="array" ref="F251">_xlfn.IFS($G251=$G$5,F$5,$G251=$G$6,F$6,$G251=$G$7,F$7,$G251=$G$8,F$8,$G251=$G$9,F$9,$G251=$G$10,F$10,$G251=$G$11,F$11,$G251=$G$12,F$12,$G251=$G$13,F$13,$G251=$G$15,F$15,$G251=$G$16,F$16,$G251=$G$17,F$17,$G251=$G$18,F$18,$G251=$G$19,F$19,$G251=$G$20,F$20,$G251=$G$21,F$21,$G251=$G$22,F$22,$G251=$G$25,F$25,$G251=$G$26,F$26,$G251=$G$27,F$27,$G251=$G$29,F$29,$G251=$G$31,F$31,$G251=$G$32,F$32,$G251=$G$248,F$248,$G251=$G$250,F$250)</f>
        <v>8015</v>
      </c>
      <c r="G251" t="s">
        <v>109</v>
      </c>
      <c r="H251" s="66">
        <v>41.381725000000003</v>
      </c>
      <c r="I251" s="78">
        <v>2.1543679999999998</v>
      </c>
      <c r="J251">
        <v>20.7</v>
      </c>
      <c r="K251" t="s">
        <v>64</v>
      </c>
      <c r="O251" s="45" t="str">
        <f t="shared" si="20"/>
        <v>A_SP_BCN_24_210616</v>
      </c>
      <c r="P251" s="64">
        <v>44363</v>
      </c>
      <c r="R251" s="72"/>
      <c r="S251" s="64">
        <v>44369</v>
      </c>
      <c r="U251" s="72"/>
      <c r="V251" s="54" t="s">
        <v>66</v>
      </c>
      <c r="X251" s="45">
        <f t="shared" si="19"/>
        <v>6</v>
      </c>
      <c r="Z251" s="45" t="s">
        <v>70</v>
      </c>
      <c r="AA251" s="45">
        <f t="shared" si="16"/>
        <v>1</v>
      </c>
      <c r="AB251" t="str">
        <f t="shared" si="17"/>
        <v>Adult</v>
      </c>
      <c r="AC251" s="69">
        <v>1</v>
      </c>
      <c r="AD251" s="69">
        <v>0</v>
      </c>
      <c r="AE251" s="45" t="str">
        <f t="shared" si="18"/>
        <v>Morphological</v>
      </c>
      <c r="AF251" s="56">
        <v>4</v>
      </c>
    </row>
    <row r="252" spans="1:32" ht="18" customHeight="1" x14ac:dyDescent="0.25">
      <c r="A252" s="45">
        <v>248</v>
      </c>
      <c r="B252" s="45" t="s">
        <v>60</v>
      </c>
      <c r="C252" s="45" t="s">
        <v>61</v>
      </c>
      <c r="D252" s="45" t="s">
        <v>62</v>
      </c>
      <c r="E252" s="45" t="s">
        <v>62</v>
      </c>
      <c r="F252" s="46" cm="1">
        <f t="array" ref="F252">_xlfn.IFS($G252=$G$5,F$5,$G252=$G$6,F$6,$G252=$G$7,F$7,$G252=$G$8,F$8,$G252=$G$9,F$9,$G252=$G$10,F$10,$G252=$G$11,F$11,$G252=$G$12,F$12,$G252=$G$13,F$13,$G252=$G$15,F$15,$G252=$G$16,F$16,$G252=$G$17,F$17,$G252=$G$18,F$18,$G252=$G$19,F$19,$G252=$G$20,F$20,$G252=$G$21,F$21,$G252=$G$22,F$22,$G252=$G$25,F$25,$G252=$G$26,F$26,$G252=$G$27,F$27,$G252=$G$29,F$29,$G252=$G$31,F$31,$G252=$G$32,F$32,$G252=$G$248,F$248,$G252=$G$250,F$250)</f>
        <v>8024</v>
      </c>
      <c r="G252" t="s">
        <v>63</v>
      </c>
      <c r="H252" s="66" cm="1">
        <f t="array" ref="H252">_xlfn.IFS($G252=$G$5,H$5,$G252=$G$6,H$6,$G252=$G$7,H$7,$G252=$G$8,H$8,$G252=$G$9,H$9,$G252=$G$10,H$10,$G252=$G$11,H$11,$G252=$G$12,H$12,$G252=$G$13,H$13,$G252=$G$15,H$15,$G252=$G$16,H$16,$G252=$G$17,H$17,$G252=$G$18,H$18,$G252=$G$19,H$19,$G252=$G$20,H$20,$G252=$G$21,H$21,$G252=$G$22,H$22,$G252=$G$25,H$25,$G252=$G$26,H$26,$G252=$G$27,H$27,$G252=$G$29,H$29,$G252=$G$31,H$31,$G252=$G$32,H$150,$G252=$G$248,H$248,$G252=$G$250,H$250)</f>
        <v>41.413573999999997</v>
      </c>
      <c r="I252" s="78" cm="1">
        <f t="array" ref="I252">_xlfn.IFS($G252=$G$5,I$5,$G252=$G$6,I$6,$G252=$G$7,I$7,$G252=$G$8,I$8,$G252=$G$9,I$9,$G252=$G$10,I$10,$G252=$G$11,I$11,$G252=$G$12,I$12,$G252=$G$13,I$13,$G252=$G$15,I$15,$G252=$G$16,I$16,$G252=$G$17,I$17,$G252=$G$18,I$18,$G252=$G$19,I$19,$G252=$G$20,I$20,$G252=$G$21,I$21,$G252=$G$22,I$22,$G252=$G$25,I$25,$G252=$G$26,I$26,$G252=$G$27,I$27,$G252=$G$29,I$29,$G252=$G$31,I$31,$G252=$G$32,I$150,$G252=$G$248,I$248,$G252=$G$250,I$250)</f>
        <v>2.1520730000000001</v>
      </c>
      <c r="J252" cm="1">
        <f t="array" ref="J252">_xlfn.IFS($G252=$G$5,J$5,$G252=$G$6,J$6,$G252=$G$7,J$7,$G252=$G$8,J$8,$G252=$G$9,J$9,$G252=$G$10,J$10,$G252=$G$11,J$11,$G252=$G$12,J$12,$G252=$G$13,J$13,$G252=$G$15,J$15,$G252=$G$16,J$16,$G252=$G$17,J$17,$G252=$G$18,J$18,$G252=$G$19,J$19,$G252=$G$20,J$20,$G252=$G$21,J$21,$G252=$G$22,J$22,$G252=$G$25,J$25,$G252=$G$26,J$26,$G252=$G$27,J$27,$G252=$G$29,J$29,$G252=$G$31,J$31,$G252=$G$32,J$150,$G252=$G$248,J$248,$G252=$G$250,J$250)</f>
        <v>141</v>
      </c>
      <c r="K252" t="str" cm="1">
        <f t="array" ref="K252">_xlfn.IFS($G252=$G$5,K$5,$G252=$G$6,K$6,$G252=$G$7,K$7,$G252=$G$8,K$8,$G252=$G$9,K$9,$G252=$G$10,K$10,$G252=$G$11,K$11,$G252=$G$12,K$12,$G252=$G$13,K$13,$G252=$G$15,K$15,$G252=$G$16,K$16,$G252=$G$17,K$17,$G252=$G$18,K$18,$G252=$G$19,K$19,$G252=$G$20,K$20,$G252=$G$21,K$21,$G252=$G$22,K$22,$G252=$G$25,K$25,$G252=$G$26,K$26,$G252=$G$27,K$27,$G252=$G$29,K$29,$G252=$G$31,K$31,$G252=$G$32,K$150,$G252=$G$248,K$248,$G252=$G$250,K$250)</f>
        <v>BG sentinel + BG lure7</v>
      </c>
      <c r="O252" s="45" t="str">
        <f t="shared" si="20"/>
        <v>A_SP_BCN_1_210622</v>
      </c>
      <c r="P252" s="64">
        <v>44369</v>
      </c>
      <c r="R252" s="72"/>
      <c r="S252" s="64">
        <v>44377</v>
      </c>
      <c r="U252" s="72"/>
      <c r="V252" s="54" t="s">
        <v>66</v>
      </c>
      <c r="X252" s="45">
        <f t="shared" si="19"/>
        <v>8</v>
      </c>
      <c r="AA252" s="45">
        <f t="shared" si="16"/>
        <v>0</v>
      </c>
      <c r="AB252" t="str">
        <f t="shared" si="17"/>
        <v/>
      </c>
      <c r="AE252" s="45" t="str">
        <f t="shared" si="18"/>
        <v/>
      </c>
      <c r="AF252" s="56">
        <v>4</v>
      </c>
    </row>
    <row r="253" spans="1:32" ht="18" customHeight="1" x14ac:dyDescent="0.25">
      <c r="A253" s="45">
        <v>249</v>
      </c>
      <c r="B253" s="45" t="s">
        <v>60</v>
      </c>
      <c r="C253" s="45" t="s">
        <v>61</v>
      </c>
      <c r="D253" s="45" t="s">
        <v>62</v>
      </c>
      <c r="E253" s="45" t="s">
        <v>62</v>
      </c>
      <c r="F253" s="46" cm="1">
        <f t="array" ref="F253">_xlfn.IFS($G253=$G$5,F$5,$G253=$G$6,F$6,$G253=$G$7,F$7,$G253=$G$8,F$8,$G253=$G$9,F$9,$G253=$G$10,F$10,$G253=$G$11,F$11,$G253=$G$12,F$12,$G253=$G$13,F$13,$G253=$G$15,F$15,$G253=$G$16,F$16,$G253=$G$17,F$17,$G253=$G$18,F$18,$G253=$G$19,F$19,$G253=$G$20,F$20,$G253=$G$21,F$21,$G253=$G$22,F$22,$G253=$G$25,F$25,$G253=$G$26,F$26,$G253=$G$27,F$27,$G253=$G$29,F$29,$G253=$G$31,F$31,$G253=$G$32,F$32,$G253=$G$248,F$248,$G253=$G$250,F$250)</f>
        <v>8035</v>
      </c>
      <c r="G253" t="s">
        <v>67</v>
      </c>
      <c r="H253" s="66" cm="1">
        <f t="array" ref="H253">_xlfn.IFS($G253=$G$5,H$5,$G253=$G$6,H$6,$G253=$G$7,H$7,$G253=$G$8,H$8,$G253=$G$9,H$9,$G253=$G$10,H$10,$G253=$G$11,H$11,$G253=$G$12,H$12,$G253=$G$13,H$13,$G253=$G$15,H$15,$G253=$G$16,H$16,$G253=$G$17,H$17,$G253=$G$18,H$18,$G253=$G$19,H$19,$G253=$G$20,H$20,$G253=$G$21,H$21,$G253=$G$22,H$22,$G253=$G$25,H$25,$G253=$G$26,H$26,$G253=$G$27,H$27,$G253=$G$29,H$29,$G253=$G$31,H$31,$G253=$G$32,H$150,$G253=$G$248,H$248,$G253=$G$250,H$250)</f>
        <v>41.424387000000003</v>
      </c>
      <c r="I253" s="78" cm="1">
        <f t="array" ref="I253">_xlfn.IFS($G253=$G$5,I$5,$G253=$G$6,I$6,$G253=$G$7,I$7,$G253=$G$8,I$8,$G253=$G$9,I$9,$G253=$G$10,I$10,$G253=$G$11,I$11,$G253=$G$12,I$12,$G253=$G$13,I$13,$G253=$G$15,I$15,$G253=$G$16,I$16,$G253=$G$17,I$17,$G253=$G$18,I$18,$G253=$G$19,I$19,$G253=$G$20,I$20,$G253=$G$21,I$21,$G253=$G$22,I$22,$G253=$G$25,I$25,$G253=$G$26,I$26,$G253=$G$27,I$27,$G253=$G$29,I$29,$G253=$G$31,I$31,$G253=$G$32,I$150,$G253=$G$248,I$248,$G253=$G$250,I$250)</f>
        <v>2.1431439999999999</v>
      </c>
      <c r="J253" cm="1">
        <f t="array" ref="J253">_xlfn.IFS($G253=$G$5,J$5,$G253=$G$6,J$6,$G253=$G$7,J$7,$G253=$G$8,J$8,$G253=$G$9,J$9,$G253=$G$10,J$10,$G253=$G$11,J$11,$G253=$G$12,J$12,$G253=$G$13,J$13,$G253=$G$15,J$15,$G253=$G$16,J$16,$G253=$G$17,J$17,$G253=$G$18,J$18,$G253=$G$19,J$19,$G253=$G$20,J$20,$G253=$G$21,J$21,$G253=$G$22,J$22,$G253=$G$25,J$25,$G253=$G$26,J$26,$G253=$G$27,J$27,$G253=$G$29,J$29,$G253=$G$31,J$31,$G253=$G$32,J$150,$G253=$G$248,J$248,$G253=$G$250,J$250)</f>
        <v>160</v>
      </c>
      <c r="K253" t="str" cm="1">
        <f t="array" ref="K253">_xlfn.IFS($G253=$G$5,K$5,$G253=$G$6,K$6,$G253=$G$7,K$7,$G253=$G$8,K$8,$G253=$G$9,K$9,$G253=$G$10,K$10,$G253=$G$11,K$11,$G253=$G$12,K$12,$G253=$G$13,K$13,$G253=$G$15,K$15,$G253=$G$16,K$16,$G253=$G$17,K$17,$G253=$G$18,K$18,$G253=$G$19,K$19,$G253=$G$20,K$20,$G253=$G$21,K$21,$G253=$G$22,K$22,$G253=$G$25,K$25,$G253=$G$26,K$26,$G253=$G$27,K$27,$G253=$G$29,K$29,$G253=$G$31,K$31,$G253=$G$32,K$150,$G253=$G$248,K$248,$G253=$G$250,K$250)</f>
        <v>BG sentinel + BG lure7</v>
      </c>
      <c r="O253" s="45" t="str">
        <f t="shared" si="20"/>
        <v>A_SP_BCN_2_210622</v>
      </c>
      <c r="P253" s="64">
        <v>44369</v>
      </c>
      <c r="R253" s="72"/>
      <c r="S253" s="64">
        <v>44377</v>
      </c>
      <c r="U253" s="72"/>
      <c r="V253" s="54" t="s">
        <v>66</v>
      </c>
      <c r="X253" s="45">
        <f t="shared" si="19"/>
        <v>8</v>
      </c>
      <c r="Z253" s="69" t="s">
        <v>69</v>
      </c>
      <c r="AA253" s="45">
        <f t="shared" si="16"/>
        <v>1</v>
      </c>
      <c r="AB253" t="str">
        <f t="shared" si="17"/>
        <v>Adult</v>
      </c>
      <c r="AC253" s="69">
        <v>1</v>
      </c>
      <c r="AD253" s="69">
        <v>0</v>
      </c>
      <c r="AE253" s="45" t="str">
        <f t="shared" si="18"/>
        <v>Morphological</v>
      </c>
      <c r="AF253" s="56">
        <v>4</v>
      </c>
    </row>
    <row r="254" spans="1:32" ht="18" customHeight="1" x14ac:dyDescent="0.25">
      <c r="A254" s="45">
        <v>250</v>
      </c>
      <c r="B254" s="45" t="s">
        <v>60</v>
      </c>
      <c r="C254" s="45" t="s">
        <v>61</v>
      </c>
      <c r="D254" s="45" t="s">
        <v>62</v>
      </c>
      <c r="E254" s="45" t="s">
        <v>62</v>
      </c>
      <c r="F254" s="46" cm="1">
        <f t="array" ref="F254">_xlfn.IFS($G254=$G$5,F$5,$G254=$G$6,F$6,$G254=$G$7,F$7,$G254=$G$8,F$8,$G254=$G$9,F$9,$G254=$G$10,F$10,$G254=$G$11,F$11,$G254=$G$12,F$12,$G254=$G$13,F$13,$G254=$G$15,F$15,$G254=$G$16,F$16,$G254=$G$17,F$17,$G254=$G$18,F$18,$G254=$G$19,F$19,$G254=$G$20,F$20,$G254=$G$21,F$21,$G254=$G$22,F$22,$G254=$G$25,F$25,$G254=$G$26,F$26,$G254=$G$27,F$27,$G254=$G$29,F$29,$G254=$G$31,F$31,$G254=$G$32,F$32,$G254=$G$248,F$248,$G254=$G$250,F$250)</f>
        <v>8016</v>
      </c>
      <c r="G254" t="s">
        <v>68</v>
      </c>
      <c r="H254" s="66" cm="1">
        <f t="array" ref="H254">_xlfn.IFS($G254=$G$5,H$5,$G254=$G$6,H$6,$G254=$G$7,H$7,$G254=$G$8,H$8,$G254=$G$9,H$9,$G254=$G$10,H$10,$G254=$G$11,H$11,$G254=$G$12,H$12,$G254=$G$13,H$13,$G254=$G$15,H$15,$G254=$G$16,H$16,$G254=$G$17,H$17,$G254=$G$18,H$18,$G254=$G$19,H$19,$G254=$G$20,H$20,$G254=$G$21,H$21,$G254=$G$22,H$22,$G254=$G$25,H$25,$G254=$G$26,H$26,$G254=$G$27,H$27,$G254=$G$29,H$29,$G254=$G$31,H$31,$G254=$G$32,H$150,$G254=$G$248,H$248,$G254=$G$250,H$250)</f>
        <v>41.437435000000001</v>
      </c>
      <c r="I254" s="78" cm="1">
        <f t="array" ref="I254">_xlfn.IFS($G254=$G$5,I$5,$G254=$G$6,I$6,$G254=$G$7,I$7,$G254=$G$8,I$8,$G254=$G$9,I$9,$G254=$G$10,I$10,$G254=$G$11,I$11,$G254=$G$12,I$12,$G254=$G$13,I$13,$G254=$G$15,I$15,$G254=$G$16,I$16,$G254=$G$17,I$17,$G254=$G$18,I$18,$G254=$G$19,I$19,$G254=$G$20,I$20,$G254=$G$21,I$21,$G254=$G$22,I$22,$G254=$G$25,I$25,$G254=$G$26,I$26,$G254=$G$27,I$27,$G254=$G$29,I$29,$G254=$G$31,I$31,$G254=$G$32,I$150,$G254=$G$248,I$248,$G254=$G$250,I$250)</f>
        <v>2.1812779999999998</v>
      </c>
      <c r="J254" cm="1">
        <f t="array" ref="J254">_xlfn.IFS($G254=$G$5,J$5,$G254=$G$6,J$6,$G254=$G$7,J$7,$G254=$G$8,J$8,$G254=$G$9,J$9,$G254=$G$10,J$10,$G254=$G$11,J$11,$G254=$G$12,J$12,$G254=$G$13,J$13,$G254=$G$15,J$15,$G254=$G$16,J$16,$G254=$G$17,J$17,$G254=$G$18,J$18,$G254=$G$19,J$19,$G254=$G$20,J$20,$G254=$G$21,J$21,$G254=$G$22,J$22,$G254=$G$25,J$25,$G254=$G$26,J$26,$G254=$G$27,J$27,$G254=$G$29,J$29,$G254=$G$31,J$31,$G254=$G$32,J$150,$G254=$G$248,J$248,$G254=$G$250,J$250)</f>
        <v>47</v>
      </c>
      <c r="K254" t="str" cm="1">
        <f t="array" ref="K254">_xlfn.IFS($G254=$G$5,K$5,$G254=$G$6,K$6,$G254=$G$7,K$7,$G254=$G$8,K$8,$G254=$G$9,K$9,$G254=$G$10,K$10,$G254=$G$11,K$11,$G254=$G$12,K$12,$G254=$G$13,K$13,$G254=$G$15,K$15,$G254=$G$16,K$16,$G254=$G$17,K$17,$G254=$G$18,K$18,$G254=$G$19,K$19,$G254=$G$20,K$20,$G254=$G$21,K$21,$G254=$G$22,K$22,$G254=$G$25,K$25,$G254=$G$26,K$26,$G254=$G$27,K$27,$G254=$G$29,K$29,$G254=$G$31,K$31,$G254=$G$32,K$150,$G254=$G$248,K$248,$G254=$G$250,K$250)</f>
        <v>BG sentinel + BG lure7</v>
      </c>
      <c r="O254" s="45" t="str">
        <f t="shared" si="20"/>
        <v>A_SP_BCN_3_210623</v>
      </c>
      <c r="P254" s="64">
        <v>44370</v>
      </c>
      <c r="R254" s="72"/>
      <c r="S254" s="64">
        <v>44377</v>
      </c>
      <c r="U254" s="72"/>
      <c r="V254" s="54" t="s">
        <v>66</v>
      </c>
      <c r="X254" s="45">
        <f t="shared" si="19"/>
        <v>7</v>
      </c>
      <c r="Z254" s="45" t="s">
        <v>70</v>
      </c>
      <c r="AA254" s="45">
        <f t="shared" si="16"/>
        <v>2</v>
      </c>
      <c r="AB254" t="str">
        <f t="shared" si="17"/>
        <v>Adult</v>
      </c>
      <c r="AC254" s="69">
        <v>1</v>
      </c>
      <c r="AD254" s="69">
        <v>1</v>
      </c>
      <c r="AE254" s="45" t="str">
        <f t="shared" si="18"/>
        <v>Morphological</v>
      </c>
      <c r="AF254" s="56">
        <v>4</v>
      </c>
    </row>
    <row r="255" spans="1:32" ht="18" customHeight="1" x14ac:dyDescent="0.25">
      <c r="A255" s="45">
        <v>251</v>
      </c>
      <c r="B255" s="45" t="s">
        <v>60</v>
      </c>
      <c r="C255" s="45" t="s">
        <v>61</v>
      </c>
      <c r="D255" s="45" t="s">
        <v>62</v>
      </c>
      <c r="E255" s="45" t="s">
        <v>62</v>
      </c>
      <c r="F255" s="46" cm="1">
        <f t="array" ref="F255">_xlfn.IFS($G255=$G$5,F$5,$G255=$G$6,F$6,$G255=$G$7,F$7,$G255=$G$8,F$8,$G255=$G$9,F$9,$G255=$G$10,F$10,$G255=$G$11,F$11,$G255=$G$12,F$12,$G255=$G$13,F$13,$G255=$G$15,F$15,$G255=$G$16,F$16,$G255=$G$17,F$17,$G255=$G$18,F$18,$G255=$G$19,F$19,$G255=$G$20,F$20,$G255=$G$21,F$21,$G255=$G$22,F$22,$G255=$G$25,F$25,$G255=$G$26,F$26,$G255=$G$27,F$27,$G255=$G$29,F$29,$G255=$G$31,F$31,$G255=$G$32,F$32,$G255=$G$248,F$248,$G255=$G$250,F$250)</f>
        <v>8016</v>
      </c>
      <c r="G255" t="s">
        <v>68</v>
      </c>
      <c r="H255" s="66" cm="1">
        <f t="array" ref="H255">_xlfn.IFS($G255=$G$5,H$5,$G255=$G$6,H$6,$G255=$G$7,H$7,$G255=$G$8,H$8,$G255=$G$9,H$9,$G255=$G$10,H$10,$G255=$G$11,H$11,$G255=$G$12,H$12,$G255=$G$13,H$13,$G255=$G$15,H$15,$G255=$G$16,H$16,$G255=$G$17,H$17,$G255=$G$18,H$18,$G255=$G$19,H$19,$G255=$G$20,H$20,$G255=$G$21,H$21,$G255=$G$22,H$22,$G255=$G$25,H$25,$G255=$G$26,H$26,$G255=$G$27,H$27,$G255=$G$29,H$29,$G255=$G$31,H$31,$G255=$G$32,H$150,$G255=$G$248,H$248,$G255=$G$250,H$250)</f>
        <v>41.437435000000001</v>
      </c>
      <c r="I255" s="78" cm="1">
        <f t="array" ref="I255">_xlfn.IFS($G255=$G$5,I$5,$G255=$G$6,I$6,$G255=$G$7,I$7,$G255=$G$8,I$8,$G255=$G$9,I$9,$G255=$G$10,I$10,$G255=$G$11,I$11,$G255=$G$12,I$12,$G255=$G$13,I$13,$G255=$G$15,I$15,$G255=$G$16,I$16,$G255=$G$17,I$17,$G255=$G$18,I$18,$G255=$G$19,I$19,$G255=$G$20,I$20,$G255=$G$21,I$21,$G255=$G$22,I$22,$G255=$G$25,I$25,$G255=$G$26,I$26,$G255=$G$27,I$27,$G255=$G$29,I$29,$G255=$G$31,I$31,$G255=$G$32,I$150,$G255=$G$248,I$248,$G255=$G$250,I$250)</f>
        <v>2.1812779999999998</v>
      </c>
      <c r="J255" cm="1">
        <f t="array" ref="J255">_xlfn.IFS($G255=$G$5,J$5,$G255=$G$6,J$6,$G255=$G$7,J$7,$G255=$G$8,J$8,$G255=$G$9,J$9,$G255=$G$10,J$10,$G255=$G$11,J$11,$G255=$G$12,J$12,$G255=$G$13,J$13,$G255=$G$15,J$15,$G255=$G$16,J$16,$G255=$G$17,J$17,$G255=$G$18,J$18,$G255=$G$19,J$19,$G255=$G$20,J$20,$G255=$G$21,J$21,$G255=$G$22,J$22,$G255=$G$25,J$25,$G255=$G$26,J$26,$G255=$G$27,J$27,$G255=$G$29,J$29,$G255=$G$31,J$31,$G255=$G$32,J$150,$G255=$G$248,J$248,$G255=$G$250,J$250)</f>
        <v>47</v>
      </c>
      <c r="K255" t="str" cm="1">
        <f t="array" ref="K255">_xlfn.IFS($G255=$G$5,K$5,$G255=$G$6,K$6,$G255=$G$7,K$7,$G255=$G$8,K$8,$G255=$G$9,K$9,$G255=$G$10,K$10,$G255=$G$11,K$11,$G255=$G$12,K$12,$G255=$G$13,K$13,$G255=$G$15,K$15,$G255=$G$16,K$16,$G255=$G$17,K$17,$G255=$G$18,K$18,$G255=$G$19,K$19,$G255=$G$20,K$20,$G255=$G$21,K$21,$G255=$G$22,K$22,$G255=$G$25,K$25,$G255=$G$26,K$26,$G255=$G$27,K$27,$G255=$G$29,K$29,$G255=$G$31,K$31,$G255=$G$32,K$150,$G255=$G$248,K$248,$G255=$G$250,K$250)</f>
        <v>BG sentinel + BG lure7</v>
      </c>
      <c r="O255" s="45" t="str">
        <f t="shared" si="20"/>
        <v>A_SP_BCN_3_210623</v>
      </c>
      <c r="P255" s="64">
        <v>44370</v>
      </c>
      <c r="R255" s="72"/>
      <c r="S255" s="64">
        <v>44377</v>
      </c>
      <c r="U255" s="72"/>
      <c r="V255" s="54" t="s">
        <v>66</v>
      </c>
      <c r="X255" s="45">
        <f t="shared" si="19"/>
        <v>7</v>
      </c>
      <c r="Z255" s="45" t="s">
        <v>80</v>
      </c>
      <c r="AA255" s="45">
        <f t="shared" si="16"/>
        <v>4</v>
      </c>
      <c r="AB255" t="str">
        <f t="shared" si="17"/>
        <v>Adult</v>
      </c>
      <c r="AC255" s="69">
        <v>1</v>
      </c>
      <c r="AD255" s="69">
        <v>3</v>
      </c>
      <c r="AE255" s="45" t="str">
        <f t="shared" si="18"/>
        <v>Morphological</v>
      </c>
      <c r="AF255" s="56">
        <v>4</v>
      </c>
    </row>
    <row r="256" spans="1:32" ht="18" customHeight="1" x14ac:dyDescent="0.25">
      <c r="A256" s="45">
        <v>252</v>
      </c>
      <c r="B256" s="45" t="s">
        <v>60</v>
      </c>
      <c r="C256" s="45" t="s">
        <v>61</v>
      </c>
      <c r="D256" s="45" t="s">
        <v>62</v>
      </c>
      <c r="E256" s="45" t="s">
        <v>62</v>
      </c>
      <c r="F256" s="46" cm="1">
        <f t="array" ref="F256">_xlfn.IFS($G256=$G$5,F$5,$G256=$G$6,F$6,$G256=$G$7,F$7,$G256=$G$8,F$8,$G256=$G$9,F$9,$G256=$G$10,F$10,$G256=$G$11,F$11,$G256=$G$12,F$12,$G256=$G$13,F$13,$G256=$G$15,F$15,$G256=$G$16,F$16,$G256=$G$17,F$17,$G256=$G$18,F$18,$G256=$G$19,F$19,$G256=$G$20,F$20,$G256=$G$21,F$21,$G256=$G$22,F$22,$G256=$G$25,F$25,$G256=$G$26,F$26,$G256=$G$27,F$27,$G256=$G$29,F$29,$G256=$G$31,F$31,$G256=$G$32,F$32,$G256=$G$248,F$248,$G256=$G$250,F$250)</f>
        <v>8018</v>
      </c>
      <c r="G256" t="s">
        <v>71</v>
      </c>
      <c r="H256" s="66" cm="1">
        <f t="array" ref="H256">_xlfn.IFS($G256=$G$5,H$5,$G256=$G$6,H$6,$G256=$G$7,H$7,$G256=$G$8,H$8,$G256=$G$9,H$9,$G256=$G$10,H$10,$G256=$G$11,H$11,$G256=$G$12,H$12,$G256=$G$13,H$13,$G256=$G$15,H$15,$G256=$G$16,H$16,$G256=$G$17,H$17,$G256=$G$18,H$18,$G256=$G$19,H$19,$G256=$G$20,H$20,$G256=$G$21,H$21,$G256=$G$22,H$22,$G256=$G$25,H$25,$G256=$G$26,H$26,$G256=$G$27,H$27,$G256=$G$29,H$29,$G256=$G$31,H$31,$G256=$G$32,H$150,$G256=$G$248,H$248,$G256=$G$250,H$250)</f>
        <v>41.410684000000003</v>
      </c>
      <c r="I256" s="78" cm="1">
        <f t="array" ref="I256">_xlfn.IFS($G256=$G$5,I$5,$G256=$G$6,I$6,$G256=$G$7,I$7,$G256=$G$8,I$8,$G256=$G$9,I$9,$G256=$G$10,I$10,$G256=$G$11,I$11,$G256=$G$12,I$12,$G256=$G$13,I$13,$G256=$G$15,I$15,$G256=$G$16,I$16,$G256=$G$17,I$17,$G256=$G$18,I$18,$G256=$G$19,I$19,$G256=$G$20,I$20,$G256=$G$21,I$21,$G256=$G$22,I$22,$G256=$G$25,I$25,$G256=$G$26,I$26,$G256=$G$27,I$27,$G256=$G$29,I$29,$G256=$G$31,I$31,$G256=$G$32,I$150,$G256=$G$248,I$248,$G256=$G$250,I$250)</f>
        <v>2.2208019999999999</v>
      </c>
      <c r="J256" cm="1">
        <f t="array" ref="J256">_xlfn.IFS($G256=$G$5,J$5,$G256=$G$6,J$6,$G256=$G$7,J$7,$G256=$G$8,J$8,$G256=$G$9,J$9,$G256=$G$10,J$10,$G256=$G$11,J$11,$G256=$G$12,J$12,$G256=$G$13,J$13,$G256=$G$15,J$15,$G256=$G$16,J$16,$G256=$G$17,J$17,$G256=$G$18,J$18,$G256=$G$19,J$19,$G256=$G$20,J$20,$G256=$G$21,J$21,$G256=$G$22,J$22,$G256=$G$25,J$25,$G256=$G$26,J$26,$G256=$G$27,J$27,$G256=$G$29,J$29,$G256=$G$31,J$31,$G256=$G$32,J$150,$G256=$G$248,J$248,$G256=$G$250,J$250)</f>
        <v>4</v>
      </c>
      <c r="K256" t="str" cm="1">
        <f t="array" ref="K256">_xlfn.IFS($G256=$G$5,K$5,$G256=$G$6,K$6,$G256=$G$7,K$7,$G256=$G$8,K$8,$G256=$G$9,K$9,$G256=$G$10,K$10,$G256=$G$11,K$11,$G256=$G$12,K$12,$G256=$G$13,K$13,$G256=$G$15,K$15,$G256=$G$16,K$16,$G256=$G$17,K$17,$G256=$G$18,K$18,$G256=$G$19,K$19,$G256=$G$20,K$20,$G256=$G$21,K$21,$G256=$G$22,K$22,$G256=$G$25,K$25,$G256=$G$26,K$26,$G256=$G$27,K$27,$G256=$G$29,K$29,$G256=$G$31,K$31,$G256=$G$32,K$150,$G256=$G$248,K$248,$G256=$G$250,K$250)</f>
        <v>BG sentinel + BG lure7</v>
      </c>
      <c r="L256" t="str" cm="1">
        <f t="array" ref="L256">_xlfn.IFS($G256=$G$5,L$5,$G256=$G$6,L$6,$G256=$G$7,L$7,$G256=$G$8,L$8,$G256=$G$9,L$9,$G256=$G$10,L$10,$G256=$G$11,L$11,$G256=$G$12,L$12,$G256=$G$13,L$13,$G256=$G$15,L$15,$G256=$G$16,L$16,$G256=$G$17,L$17,$G256=$G$18,L$18,$G256=$G$19,L$19,$G256=$G$20,L$20,$G256=$G$21,L$21,$G256=$G$22,L$22,$G256=$G$25,L$25,$G256=$G$26,L$26,$G256=$G$27,L$27,$G256=$G$29,L$29,$G256=$G$31,L$31,$G256=$G$32,L$32,$G256=$G$248,L$248,$G256=$G$250,L$250)</f>
        <v>Urban habitat</v>
      </c>
      <c r="O256" s="45" t="str">
        <f t="shared" si="20"/>
        <v>A_SP_BCN_4_210623</v>
      </c>
      <c r="P256" s="64">
        <v>44370</v>
      </c>
      <c r="R256" s="72"/>
      <c r="S256" s="64">
        <v>44378</v>
      </c>
      <c r="U256" s="72"/>
      <c r="V256" s="54" t="s">
        <v>66</v>
      </c>
      <c r="X256" s="45">
        <f t="shared" si="19"/>
        <v>8</v>
      </c>
      <c r="Z256" s="69" t="s">
        <v>69</v>
      </c>
      <c r="AA256" s="45">
        <f t="shared" si="16"/>
        <v>3</v>
      </c>
      <c r="AB256" t="str">
        <f t="shared" si="17"/>
        <v>Adult</v>
      </c>
      <c r="AC256" s="69">
        <v>3</v>
      </c>
      <c r="AD256" s="69">
        <v>0</v>
      </c>
      <c r="AE256" s="45" t="str">
        <f t="shared" si="18"/>
        <v>Morphological</v>
      </c>
      <c r="AF256" s="56">
        <v>4</v>
      </c>
    </row>
    <row r="257" spans="1:32" ht="18" customHeight="1" x14ac:dyDescent="0.25">
      <c r="A257" s="45">
        <v>253</v>
      </c>
      <c r="B257" s="45" t="s">
        <v>60</v>
      </c>
      <c r="C257" s="45" t="s">
        <v>61</v>
      </c>
      <c r="D257" s="45" t="s">
        <v>62</v>
      </c>
      <c r="E257" s="45" t="s">
        <v>62</v>
      </c>
      <c r="F257" s="46" cm="1">
        <f t="array" ref="F257">_xlfn.IFS($G257=$G$5,F$5,$G257=$G$6,F$6,$G257=$G$7,F$7,$G257=$G$8,F$8,$G257=$G$9,F$9,$G257=$G$10,F$10,$G257=$G$11,F$11,$G257=$G$12,F$12,$G257=$G$13,F$13,$G257=$G$15,F$15,$G257=$G$16,F$16,$G257=$G$17,F$17,$G257=$G$18,F$18,$G257=$G$19,F$19,$G257=$G$20,F$20,$G257=$G$21,F$21,$G257=$G$22,F$22,$G257=$G$25,F$25,$G257=$G$26,F$26,$G257=$G$27,F$27,$G257=$G$29,F$29,$G257=$G$31,F$31,$G257=$G$32,F$32,$G257=$G$248,F$248,$G257=$G$250,F$250)</f>
        <v>8018</v>
      </c>
      <c r="G257" t="s">
        <v>71</v>
      </c>
      <c r="H257" s="66" cm="1">
        <f t="array" ref="H257">_xlfn.IFS($G257=$G$5,H$5,$G257=$G$6,H$6,$G257=$G$7,H$7,$G257=$G$8,H$8,$G257=$G$9,H$9,$G257=$G$10,H$10,$G257=$G$11,H$11,$G257=$G$12,H$12,$G257=$G$13,H$13,$G257=$G$15,H$15,$G257=$G$16,H$16,$G257=$G$17,H$17,$G257=$G$18,H$18,$G257=$G$19,H$19,$G257=$G$20,H$20,$G257=$G$21,H$21,$G257=$G$22,H$22,$G257=$G$25,H$25,$G257=$G$26,H$26,$G257=$G$27,H$27,$G257=$G$29,H$29,$G257=$G$31,H$31,$G257=$G$32,H$150,$G257=$G$248,H$248,$G257=$G$250,H$250)</f>
        <v>41.410684000000003</v>
      </c>
      <c r="I257" s="78" cm="1">
        <f t="array" ref="I257">_xlfn.IFS($G257=$G$5,I$5,$G257=$G$6,I$6,$G257=$G$7,I$7,$G257=$G$8,I$8,$G257=$G$9,I$9,$G257=$G$10,I$10,$G257=$G$11,I$11,$G257=$G$12,I$12,$G257=$G$13,I$13,$G257=$G$15,I$15,$G257=$G$16,I$16,$G257=$G$17,I$17,$G257=$G$18,I$18,$G257=$G$19,I$19,$G257=$G$20,I$20,$G257=$G$21,I$21,$G257=$G$22,I$22,$G257=$G$25,I$25,$G257=$G$26,I$26,$G257=$G$27,I$27,$G257=$G$29,I$29,$G257=$G$31,I$31,$G257=$G$32,I$150,$G257=$G$248,I$248,$G257=$G$250,I$250)</f>
        <v>2.2208019999999999</v>
      </c>
      <c r="J257" cm="1">
        <f t="array" ref="J257">_xlfn.IFS($G257=$G$5,J$5,$G257=$G$6,J$6,$G257=$G$7,J$7,$G257=$G$8,J$8,$G257=$G$9,J$9,$G257=$G$10,J$10,$G257=$G$11,J$11,$G257=$G$12,J$12,$G257=$G$13,J$13,$G257=$G$15,J$15,$G257=$G$16,J$16,$G257=$G$17,J$17,$G257=$G$18,J$18,$G257=$G$19,J$19,$G257=$G$20,J$20,$G257=$G$21,J$21,$G257=$G$22,J$22,$G257=$G$25,J$25,$G257=$G$26,J$26,$G257=$G$27,J$27,$G257=$G$29,J$29,$G257=$G$31,J$31,$G257=$G$32,J$150,$G257=$G$248,J$248,$G257=$G$250,J$250)</f>
        <v>4</v>
      </c>
      <c r="K257" t="str" cm="1">
        <f t="array" ref="K257">_xlfn.IFS($G257=$G$5,K$5,$G257=$G$6,K$6,$G257=$G$7,K$7,$G257=$G$8,K$8,$G257=$G$9,K$9,$G257=$G$10,K$10,$G257=$G$11,K$11,$G257=$G$12,K$12,$G257=$G$13,K$13,$G257=$G$15,K$15,$G257=$G$16,K$16,$G257=$G$17,K$17,$G257=$G$18,K$18,$G257=$G$19,K$19,$G257=$G$20,K$20,$G257=$G$21,K$21,$G257=$G$22,K$22,$G257=$G$25,K$25,$G257=$G$26,K$26,$G257=$G$27,K$27,$G257=$G$29,K$29,$G257=$G$31,K$31,$G257=$G$32,K$150,$G257=$G$248,K$248,$G257=$G$250,K$250)</f>
        <v>BG sentinel + BG lure7</v>
      </c>
      <c r="L257" t="str" cm="1">
        <f t="array" ref="L257">_xlfn.IFS($G257=$G$5,L$5,$G257=$G$6,L$6,$G257=$G$7,L$7,$G257=$G$8,L$8,$G257=$G$9,L$9,$G257=$G$10,L$10,$G257=$G$11,L$11,$G257=$G$12,L$12,$G257=$G$13,L$13,$G257=$G$15,L$15,$G257=$G$16,L$16,$G257=$G$17,L$17,$G257=$G$18,L$18,$G257=$G$19,L$19,$G257=$G$20,L$20,$G257=$G$21,L$21,$G257=$G$22,L$22,$G257=$G$25,L$25,$G257=$G$26,L$26,$G257=$G$27,L$27,$G257=$G$29,L$29,$G257=$G$31,L$31,$G257=$G$32,L$32,$G257=$G$248,L$248,$G257=$G$250,L$250)</f>
        <v>Urban habitat</v>
      </c>
      <c r="O257" s="45" t="str">
        <f t="shared" si="20"/>
        <v>A_SP_BCN_4_210623</v>
      </c>
      <c r="P257" s="64">
        <v>44370</v>
      </c>
      <c r="R257" s="72"/>
      <c r="S257" s="64">
        <v>44378</v>
      </c>
      <c r="U257" s="72"/>
      <c r="V257" s="54" t="s">
        <v>66</v>
      </c>
      <c r="X257" s="45">
        <f t="shared" si="19"/>
        <v>8</v>
      </c>
      <c r="Z257" s="45" t="s">
        <v>70</v>
      </c>
      <c r="AA257" s="45">
        <f t="shared" si="16"/>
        <v>2</v>
      </c>
      <c r="AB257" t="str">
        <f t="shared" si="17"/>
        <v>Adult</v>
      </c>
      <c r="AC257" s="69">
        <v>1</v>
      </c>
      <c r="AD257" s="69">
        <v>1</v>
      </c>
      <c r="AE257" s="45" t="str">
        <f t="shared" si="18"/>
        <v>Morphological</v>
      </c>
      <c r="AF257" s="56">
        <v>4</v>
      </c>
    </row>
    <row r="258" spans="1:32" ht="18" customHeight="1" x14ac:dyDescent="0.25">
      <c r="A258" s="45">
        <v>254</v>
      </c>
      <c r="B258" s="45" t="s">
        <v>60</v>
      </c>
      <c r="C258" s="45" t="s">
        <v>61</v>
      </c>
      <c r="D258" s="45" t="s">
        <v>62</v>
      </c>
      <c r="E258" s="45" t="s">
        <v>62</v>
      </c>
      <c r="F258" s="46" cm="1">
        <f t="array" ref="F258">_xlfn.IFS($G258=$G$5,F$5,$G258=$G$6,F$6,$G258=$G$7,F$7,$G258=$G$8,F$8,$G258=$G$9,F$9,$G258=$G$10,F$10,$G258=$G$11,F$11,$G258=$G$12,F$12,$G258=$G$13,F$13,$G258=$G$15,F$15,$G258=$G$16,F$16,$G258=$G$17,F$17,$G258=$G$18,F$18,$G258=$G$19,F$19,$G258=$G$20,F$20,$G258=$G$21,F$21,$G258=$G$22,F$22,$G258=$G$25,F$25,$G258=$G$26,F$26,$G258=$G$27,F$27,$G258=$G$29,F$29,$G258=$G$31,F$31,$G258=$G$32,F$32,$G258=$G$248,F$248,$G258=$G$250,F$250)</f>
        <v>8018</v>
      </c>
      <c r="G258" t="s">
        <v>71</v>
      </c>
      <c r="H258" s="66" cm="1">
        <f t="array" ref="H258">_xlfn.IFS($G258=$G$5,H$5,$G258=$G$6,H$6,$G258=$G$7,H$7,$G258=$G$8,H$8,$G258=$G$9,H$9,$G258=$G$10,H$10,$G258=$G$11,H$11,$G258=$G$12,H$12,$G258=$G$13,H$13,$G258=$G$15,H$15,$G258=$G$16,H$16,$G258=$G$17,H$17,$G258=$G$18,H$18,$G258=$G$19,H$19,$G258=$G$20,H$20,$G258=$G$21,H$21,$G258=$G$22,H$22,$G258=$G$25,H$25,$G258=$G$26,H$26,$G258=$G$27,H$27,$G258=$G$29,H$29,$G258=$G$31,H$31,$G258=$G$32,H$150,$G258=$G$248,H$248,$G258=$G$250,H$250)</f>
        <v>41.410684000000003</v>
      </c>
      <c r="I258" s="78" cm="1">
        <f t="array" ref="I258">_xlfn.IFS($G258=$G$5,I$5,$G258=$G$6,I$6,$G258=$G$7,I$7,$G258=$G$8,I$8,$G258=$G$9,I$9,$G258=$G$10,I$10,$G258=$G$11,I$11,$G258=$G$12,I$12,$G258=$G$13,I$13,$G258=$G$15,I$15,$G258=$G$16,I$16,$G258=$G$17,I$17,$G258=$G$18,I$18,$G258=$G$19,I$19,$G258=$G$20,I$20,$G258=$G$21,I$21,$G258=$G$22,I$22,$G258=$G$25,I$25,$G258=$G$26,I$26,$G258=$G$27,I$27,$G258=$G$29,I$29,$G258=$G$31,I$31,$G258=$G$32,I$150,$G258=$G$248,I$248,$G258=$G$250,I$250)</f>
        <v>2.2208019999999999</v>
      </c>
      <c r="J258" cm="1">
        <f t="array" ref="J258">_xlfn.IFS($G258=$G$5,J$5,$G258=$G$6,J$6,$G258=$G$7,J$7,$G258=$G$8,J$8,$G258=$G$9,J$9,$G258=$G$10,J$10,$G258=$G$11,J$11,$G258=$G$12,J$12,$G258=$G$13,J$13,$G258=$G$15,J$15,$G258=$G$16,J$16,$G258=$G$17,J$17,$G258=$G$18,J$18,$G258=$G$19,J$19,$G258=$G$20,J$20,$G258=$G$21,J$21,$G258=$G$22,J$22,$G258=$G$25,J$25,$G258=$G$26,J$26,$G258=$G$27,J$27,$G258=$G$29,J$29,$G258=$G$31,J$31,$G258=$G$32,J$150,$G258=$G$248,J$248,$G258=$G$250,J$250)</f>
        <v>4</v>
      </c>
      <c r="K258" t="str" cm="1">
        <f t="array" ref="K258">_xlfn.IFS($G258=$G$5,K$5,$G258=$G$6,K$6,$G258=$G$7,K$7,$G258=$G$8,K$8,$G258=$G$9,K$9,$G258=$G$10,K$10,$G258=$G$11,K$11,$G258=$G$12,K$12,$G258=$G$13,K$13,$G258=$G$15,K$15,$G258=$G$16,K$16,$G258=$G$17,K$17,$G258=$G$18,K$18,$G258=$G$19,K$19,$G258=$G$20,K$20,$G258=$G$21,K$21,$G258=$G$22,K$22,$G258=$G$25,K$25,$G258=$G$26,K$26,$G258=$G$27,K$27,$G258=$G$29,K$29,$G258=$G$31,K$31,$G258=$G$32,K$150,$G258=$G$248,K$248,$G258=$G$250,K$250)</f>
        <v>BG sentinel + BG lure7</v>
      </c>
      <c r="L258" t="str" cm="1">
        <f t="array" ref="L258">_xlfn.IFS($G258=$G$5,L$5,$G258=$G$6,L$6,$G258=$G$7,L$7,$G258=$G$8,L$8,$G258=$G$9,L$9,$G258=$G$10,L$10,$G258=$G$11,L$11,$G258=$G$12,L$12,$G258=$G$13,L$13,$G258=$G$15,L$15,$G258=$G$16,L$16,$G258=$G$17,L$17,$G258=$G$18,L$18,$G258=$G$19,L$19,$G258=$G$20,L$20,$G258=$G$21,L$21,$G258=$G$22,L$22,$G258=$G$25,L$25,$G258=$G$26,L$26,$G258=$G$27,L$27,$G258=$G$29,L$29,$G258=$G$31,L$31,$G258=$G$32,L$32,$G258=$G$248,L$248,$G258=$G$250,L$250)</f>
        <v>Urban habitat</v>
      </c>
      <c r="O258" s="45" t="str">
        <f t="shared" si="20"/>
        <v>A_SP_BCN_4_210623</v>
      </c>
      <c r="P258" s="64">
        <v>44370</v>
      </c>
      <c r="R258" s="72"/>
      <c r="S258" s="64">
        <v>44378</v>
      </c>
      <c r="U258" s="72"/>
      <c r="V258" s="54" t="s">
        <v>66</v>
      </c>
      <c r="X258" s="45">
        <f t="shared" si="19"/>
        <v>8</v>
      </c>
      <c r="Z258" s="45" t="s">
        <v>80</v>
      </c>
      <c r="AA258" s="45">
        <f t="shared" si="16"/>
        <v>2</v>
      </c>
      <c r="AB258" t="str">
        <f t="shared" si="17"/>
        <v>Adult</v>
      </c>
      <c r="AC258" s="69">
        <v>0</v>
      </c>
      <c r="AD258" s="69">
        <v>2</v>
      </c>
      <c r="AE258" s="45" t="str">
        <f t="shared" si="18"/>
        <v>Morphological</v>
      </c>
      <c r="AF258" s="56">
        <v>4</v>
      </c>
    </row>
    <row r="259" spans="1:32" ht="18" customHeight="1" x14ac:dyDescent="0.25">
      <c r="A259" s="45">
        <v>255</v>
      </c>
      <c r="B259" s="45" t="s">
        <v>60</v>
      </c>
      <c r="C259" s="45" t="s">
        <v>61</v>
      </c>
      <c r="D259" s="45" t="s">
        <v>62</v>
      </c>
      <c r="E259" s="45" t="s">
        <v>62</v>
      </c>
      <c r="F259" s="46" cm="1">
        <f t="array" ref="F259">_xlfn.IFS($G259=$G$5,F$5,$G259=$G$6,F$6,$G259=$G$7,F$7,$G259=$G$8,F$8,$G259=$G$9,F$9,$G259=$G$10,F$10,$G259=$G$11,F$11,$G259=$G$12,F$12,$G259=$G$13,F$13,$G259=$G$15,F$15,$G259=$G$16,F$16,$G259=$G$17,F$17,$G259=$G$18,F$18,$G259=$G$19,F$19,$G259=$G$20,F$20,$G259=$G$21,F$21,$G259=$G$22,F$22,$G259=$G$25,F$25,$G259=$G$26,F$26,$G259=$G$27,F$27,$G259=$G$29,F$29,$G259=$G$31,F$31,$G259=$G$32,F$32,$G259=$G$248,F$248,$G259=$G$250,F$250)</f>
        <v>8019</v>
      </c>
      <c r="G259" t="s">
        <v>72</v>
      </c>
      <c r="H259" s="66" cm="1">
        <f t="array" ref="H259">_xlfn.IFS($G259=$G$5,H$5,$G259=$G$6,H$6,$G259=$G$7,H$7,$G259=$G$8,H$8,$G259=$G$9,H$9,$G259=$G$10,H$10,$G259=$G$11,H$11,$G259=$G$12,H$12,$G259=$G$13,H$13,$G259=$G$15,H$15,$G259=$G$16,H$16,$G259=$G$17,H$17,$G259=$G$18,H$18,$G259=$G$19,H$19,$G259=$G$20,H$20,$G259=$G$21,H$21,$G259=$G$22,H$22,$G259=$G$25,H$25,$G259=$G$26,H$26,$G259=$G$27,H$27,$G259=$G$29,H$29,$G259=$G$31,H$31,$G259=$G$32,H$150,$G259=$G$248,H$248,$G259=$G$250,H$250)</f>
        <v>41.382339999999999</v>
      </c>
      <c r="I259" s="78" cm="1">
        <f t="array" ref="I259">_xlfn.IFS($G259=$G$5,I$5,$G259=$G$6,I$6,$G259=$G$7,I$7,$G259=$G$8,I$8,$G259=$G$9,I$9,$G259=$G$10,I$10,$G259=$G$11,I$11,$G259=$G$12,I$12,$G259=$G$13,I$13,$G259=$G$15,I$15,$G259=$G$16,I$16,$G259=$G$17,I$17,$G259=$G$18,I$18,$G259=$G$19,I$19,$G259=$G$20,I$20,$G259=$G$21,I$21,$G259=$G$22,I$22,$G259=$G$25,I$25,$G259=$G$26,I$26,$G259=$G$27,I$27,$G259=$G$29,I$29,$G259=$G$31,I$31,$G259=$G$32,I$150,$G259=$G$248,I$248,$G259=$G$250,I$250)</f>
        <v>2.1714790000000002</v>
      </c>
      <c r="J259" cm="1">
        <f t="array" ref="J259">_xlfn.IFS($G259=$G$5,J$5,$G259=$G$6,J$6,$G259=$G$7,J$7,$G259=$G$8,J$8,$G259=$G$9,J$9,$G259=$G$10,J$10,$G259=$G$11,J$11,$G259=$G$12,J$12,$G259=$G$13,J$13,$G259=$G$15,J$15,$G259=$G$16,J$16,$G259=$G$17,J$17,$G259=$G$18,J$18,$G259=$G$19,J$19,$G259=$G$20,J$20,$G259=$G$21,J$21,$G259=$G$22,J$22,$G259=$G$25,J$25,$G259=$G$26,J$26,$G259=$G$27,J$27,$G259=$G$29,J$29,$G259=$G$31,J$31,$G259=$G$32,J$150,$G259=$G$248,J$248,$G259=$G$250,J$250)</f>
        <v>18</v>
      </c>
      <c r="K259" t="str" cm="1">
        <f t="array" ref="K259">_xlfn.IFS($G259=$G$5,K$5,$G259=$G$6,K$6,$G259=$G$7,K$7,$G259=$G$8,K$8,$G259=$G$9,K$9,$G259=$G$10,K$10,$G259=$G$11,K$11,$G259=$G$12,K$12,$G259=$G$13,K$13,$G259=$G$15,K$15,$G259=$G$16,K$16,$G259=$G$17,K$17,$G259=$G$18,K$18,$G259=$G$19,K$19,$G259=$G$20,K$20,$G259=$G$21,K$21,$G259=$G$22,K$22,$G259=$G$25,K$25,$G259=$G$26,K$26,$G259=$G$27,K$27,$G259=$G$29,K$29,$G259=$G$31,K$31,$G259=$G$32,K$150,$G259=$G$248,K$248,$G259=$G$250,K$250)</f>
        <v>BG sentinel + BG lure7</v>
      </c>
      <c r="L259" t="str" cm="1">
        <f t="array" ref="L259">_xlfn.IFS($G259=$G$5,L$5,$G259=$G$6,L$6,$G259=$G$7,L$7,$G259=$G$8,L$8,$G259=$G$9,L$9,$G259=$G$10,L$10,$G259=$G$11,L$11,$G259=$G$12,L$12,$G259=$G$13,L$13,$G259=$G$15,L$15,$G259=$G$16,L$16,$G259=$G$17,L$17,$G259=$G$18,L$18,$G259=$G$19,L$19,$G259=$G$20,L$20,$G259=$G$21,L$21,$G259=$G$22,L$22,$G259=$G$25,L$25,$G259=$G$26,L$26,$G259=$G$27,L$27,$G259=$G$29,L$29,$G259=$G$31,L$31,$G259=$G$32,L$32,$G259=$G$248,L$248,$G259=$G$250,L$250)</f>
        <v>Urban habitat</v>
      </c>
      <c r="O259" s="45" t="str">
        <f t="shared" si="20"/>
        <v>A_SP_BCN_5_210623</v>
      </c>
      <c r="P259" s="64">
        <v>44370</v>
      </c>
      <c r="R259" s="72"/>
      <c r="S259" s="64">
        <v>44378</v>
      </c>
      <c r="U259" s="72"/>
      <c r="V259" s="54" t="s">
        <v>66</v>
      </c>
      <c r="X259" s="45">
        <f t="shared" si="19"/>
        <v>8</v>
      </c>
      <c r="Z259" s="45" t="s">
        <v>70</v>
      </c>
      <c r="AA259" s="45">
        <f t="shared" si="16"/>
        <v>2</v>
      </c>
      <c r="AB259" t="str">
        <f t="shared" si="17"/>
        <v>Adult</v>
      </c>
      <c r="AC259" s="69">
        <v>2</v>
      </c>
      <c r="AD259" s="69">
        <v>0</v>
      </c>
      <c r="AE259" s="45" t="str">
        <f t="shared" si="18"/>
        <v>Morphological</v>
      </c>
      <c r="AF259" s="56">
        <v>4</v>
      </c>
    </row>
    <row r="260" spans="1:32" ht="18" customHeight="1" x14ac:dyDescent="0.25">
      <c r="A260" s="45">
        <v>256</v>
      </c>
      <c r="B260" s="45" t="s">
        <v>60</v>
      </c>
      <c r="C260" s="45" t="s">
        <v>61</v>
      </c>
      <c r="D260" s="45" t="s">
        <v>62</v>
      </c>
      <c r="E260" s="45" t="s">
        <v>62</v>
      </c>
      <c r="F260" s="46" cm="1">
        <f t="array" ref="F260">_xlfn.IFS($G260=$G$5,F$5,$G260=$G$6,F$6,$G260=$G$7,F$7,$G260=$G$8,F$8,$G260=$G$9,F$9,$G260=$G$10,F$10,$G260=$G$11,F$11,$G260=$G$12,F$12,$G260=$G$13,F$13,$G260=$G$15,F$15,$G260=$G$16,F$16,$G260=$G$17,F$17,$G260=$G$18,F$18,$G260=$G$19,F$19,$G260=$G$20,F$20,$G260=$G$21,F$21,$G260=$G$22,F$22,$G260=$G$25,F$25,$G260=$G$26,F$26,$G260=$G$27,F$27,$G260=$G$29,F$29,$G260=$G$31,F$31,$G260=$G$32,F$32,$G260=$G$248,F$248,$G260=$G$250,F$250)</f>
        <v>8019</v>
      </c>
      <c r="G260" t="s">
        <v>72</v>
      </c>
      <c r="H260" s="66" cm="1">
        <f t="array" ref="H260">_xlfn.IFS($G260=$G$5,H$5,$G260=$G$6,H$6,$G260=$G$7,H$7,$G260=$G$8,H$8,$G260=$G$9,H$9,$G260=$G$10,H$10,$G260=$G$11,H$11,$G260=$G$12,H$12,$G260=$G$13,H$13,$G260=$G$15,H$15,$G260=$G$16,H$16,$G260=$G$17,H$17,$G260=$G$18,H$18,$G260=$G$19,H$19,$G260=$G$20,H$20,$G260=$G$21,H$21,$G260=$G$22,H$22,$G260=$G$25,H$25,$G260=$G$26,H$26,$G260=$G$27,H$27,$G260=$G$29,H$29,$G260=$G$31,H$31,$G260=$G$32,H$150,$G260=$G$248,H$248,$G260=$G$250,H$250)</f>
        <v>41.382339999999999</v>
      </c>
      <c r="I260" s="78" cm="1">
        <f t="array" ref="I260">_xlfn.IFS($G260=$G$5,I$5,$G260=$G$6,I$6,$G260=$G$7,I$7,$G260=$G$8,I$8,$G260=$G$9,I$9,$G260=$G$10,I$10,$G260=$G$11,I$11,$G260=$G$12,I$12,$G260=$G$13,I$13,$G260=$G$15,I$15,$G260=$G$16,I$16,$G260=$G$17,I$17,$G260=$G$18,I$18,$G260=$G$19,I$19,$G260=$G$20,I$20,$G260=$G$21,I$21,$G260=$G$22,I$22,$G260=$G$25,I$25,$G260=$G$26,I$26,$G260=$G$27,I$27,$G260=$G$29,I$29,$G260=$G$31,I$31,$G260=$G$32,I$150,$G260=$G$248,I$248,$G260=$G$250,I$250)</f>
        <v>2.1714790000000002</v>
      </c>
      <c r="J260" cm="1">
        <f t="array" ref="J260">_xlfn.IFS($G260=$G$5,J$5,$G260=$G$6,J$6,$G260=$G$7,J$7,$G260=$G$8,J$8,$G260=$G$9,J$9,$G260=$G$10,J$10,$G260=$G$11,J$11,$G260=$G$12,J$12,$G260=$G$13,J$13,$G260=$G$15,J$15,$G260=$G$16,J$16,$G260=$G$17,J$17,$G260=$G$18,J$18,$G260=$G$19,J$19,$G260=$G$20,J$20,$G260=$G$21,J$21,$G260=$G$22,J$22,$G260=$G$25,J$25,$G260=$G$26,J$26,$G260=$G$27,J$27,$G260=$G$29,J$29,$G260=$G$31,J$31,$G260=$G$32,J$150,$G260=$G$248,J$248,$G260=$G$250,J$250)</f>
        <v>18</v>
      </c>
      <c r="K260" t="str" cm="1">
        <f t="array" ref="K260">_xlfn.IFS($G260=$G$5,K$5,$G260=$G$6,K$6,$G260=$G$7,K$7,$G260=$G$8,K$8,$G260=$G$9,K$9,$G260=$G$10,K$10,$G260=$G$11,K$11,$G260=$G$12,K$12,$G260=$G$13,K$13,$G260=$G$15,K$15,$G260=$G$16,K$16,$G260=$G$17,K$17,$G260=$G$18,K$18,$G260=$G$19,K$19,$G260=$G$20,K$20,$G260=$G$21,K$21,$G260=$G$22,K$22,$G260=$G$25,K$25,$G260=$G$26,K$26,$G260=$G$27,K$27,$G260=$G$29,K$29,$G260=$G$31,K$31,$G260=$G$32,K$150,$G260=$G$248,K$248,$G260=$G$250,K$250)</f>
        <v>BG sentinel + BG lure7</v>
      </c>
      <c r="L260" t="str" cm="1">
        <f t="array" ref="L260">_xlfn.IFS($G260=$G$5,L$5,$G260=$G$6,L$6,$G260=$G$7,L$7,$G260=$G$8,L$8,$G260=$G$9,L$9,$G260=$G$10,L$10,$G260=$G$11,L$11,$G260=$G$12,L$12,$G260=$G$13,L$13,$G260=$G$15,L$15,$G260=$G$16,L$16,$G260=$G$17,L$17,$G260=$G$18,L$18,$G260=$G$19,L$19,$G260=$G$20,L$20,$G260=$G$21,L$21,$G260=$G$22,L$22,$G260=$G$25,L$25,$G260=$G$26,L$26,$G260=$G$27,L$27,$G260=$G$29,L$29,$G260=$G$31,L$31,$G260=$G$32,L$32,$G260=$G$248,L$248,$G260=$G$250,L$250)</f>
        <v>Urban habitat</v>
      </c>
      <c r="O260" s="45" t="str">
        <f t="shared" si="20"/>
        <v>A_SP_BCN_5_210623</v>
      </c>
      <c r="P260" s="64">
        <v>44370</v>
      </c>
      <c r="R260" s="72"/>
      <c r="S260" s="64">
        <v>44378</v>
      </c>
      <c r="U260" s="72"/>
      <c r="V260" s="54" t="s">
        <v>66</v>
      </c>
      <c r="X260" s="45">
        <f t="shared" si="19"/>
        <v>8</v>
      </c>
      <c r="Z260" s="45" t="s">
        <v>80</v>
      </c>
      <c r="AA260" s="45">
        <f t="shared" si="16"/>
        <v>2</v>
      </c>
      <c r="AB260" t="str">
        <f t="shared" si="17"/>
        <v>Adult</v>
      </c>
      <c r="AC260" s="69">
        <v>1</v>
      </c>
      <c r="AD260" s="69">
        <v>1</v>
      </c>
      <c r="AE260" s="45" t="str">
        <f t="shared" si="18"/>
        <v>Morphological</v>
      </c>
      <c r="AF260" s="56">
        <v>4</v>
      </c>
    </row>
    <row r="261" spans="1:32" ht="18" customHeight="1" x14ac:dyDescent="0.25">
      <c r="A261" s="45">
        <v>257</v>
      </c>
      <c r="B261" s="45" t="s">
        <v>60</v>
      </c>
      <c r="C261" s="45" t="s">
        <v>61</v>
      </c>
      <c r="D261" s="45" t="s">
        <v>62</v>
      </c>
      <c r="E261" s="45" t="s">
        <v>62</v>
      </c>
      <c r="F261" s="46" cm="1">
        <f t="array" ref="F261">_xlfn.IFS($G261=$G$5,F$5,$G261=$G$6,F$6,$G261=$G$7,F$7,$G261=$G$8,F$8,$G261=$G$9,F$9,$G261=$G$10,F$10,$G261=$G$11,F$11,$G261=$G$12,F$12,$G261=$G$13,F$13,$G261=$G$15,F$15,$G261=$G$16,F$16,$G261=$G$17,F$17,$G261=$G$18,F$18,$G261=$G$19,F$19,$G261=$G$20,F$20,$G261=$G$21,F$21,$G261=$G$22,F$22,$G261=$G$25,F$25,$G261=$G$26,F$26,$G261=$G$27,F$27,$G261=$G$29,F$29,$G261=$G$31,F$31,$G261=$G$32,F$32,$G261=$G$248,F$248,$G261=$G$250,F$250)</f>
        <v>8002</v>
      </c>
      <c r="G261" t="s">
        <v>73</v>
      </c>
      <c r="H261" s="66" cm="1">
        <f t="array" ref="H261">_xlfn.IFS($G261=$G$5,H$5,$G261=$G$6,H$6,$G261=$G$7,H$7,$G261=$G$8,H$8,$G261=$G$9,H$9,$G261=$G$10,H$10,$G261=$G$11,H$11,$G261=$G$12,H$12,$G261=$G$13,H$13,$G261=$G$15,H$15,$G261=$G$16,H$16,$G261=$G$17,H$17,$G261=$G$18,H$18,$G261=$G$19,H$19,$G261=$G$20,H$20,$G261=$G$21,H$21,$G261=$G$22,H$22,$G261=$G$25,H$25,$G261=$G$26,H$26,$G261=$G$27,H$27,$G261=$G$29,H$29,$G261=$G$31,H$31,$G261=$G$32,H$150,$G261=$G$248,H$248,$G261=$G$250,H$250)</f>
        <v>41.371864000000002</v>
      </c>
      <c r="I261" s="78" cm="1">
        <f t="array" ref="I261">_xlfn.IFS($G261=$G$5,I$5,$G261=$G$6,I$6,$G261=$G$7,I$7,$G261=$G$8,I$8,$G261=$G$9,I$9,$G261=$G$10,I$10,$G261=$G$11,I$11,$G261=$G$12,I$12,$G261=$G$13,I$13,$G261=$G$15,I$15,$G261=$G$16,I$16,$G261=$G$17,I$17,$G261=$G$18,I$18,$G261=$G$19,I$19,$G261=$G$20,I$20,$G261=$G$21,I$21,$G261=$G$22,I$22,$G261=$G$25,I$25,$G261=$G$26,I$26,$G261=$G$27,I$27,$G261=$G$29,I$29,$G261=$G$31,I$31,$G261=$G$32,I$150,$G261=$G$248,I$248,$G261=$G$250,I$250)</f>
        <v>2.173899</v>
      </c>
      <c r="J261" cm="1">
        <f t="array" ref="J261">_xlfn.IFS($G261=$G$5,J$5,$G261=$G$6,J$6,$G261=$G$7,J$7,$G261=$G$8,J$8,$G261=$G$9,J$9,$G261=$G$10,J$10,$G261=$G$11,J$11,$G261=$G$12,J$12,$G261=$G$13,J$13,$G261=$G$15,J$15,$G261=$G$16,J$16,$G261=$G$17,J$17,$G261=$G$18,J$18,$G261=$G$19,J$19,$G261=$G$20,J$20,$G261=$G$21,J$21,$G261=$G$22,J$22,$G261=$G$25,J$25,$G261=$G$26,J$26,$G261=$G$27,J$27,$G261=$G$29,J$29,$G261=$G$31,J$31,$G261=$G$32,J$150,$G261=$G$248,J$248,$G261=$G$250,J$250)</f>
        <v>19</v>
      </c>
      <c r="K261" t="str" cm="1">
        <f t="array" ref="K261">_xlfn.IFS($G261=$G$5,K$5,$G261=$G$6,K$6,$G261=$G$7,K$7,$G261=$G$8,K$8,$G261=$G$9,K$9,$G261=$G$10,K$10,$G261=$G$11,K$11,$G261=$G$12,K$12,$G261=$G$13,K$13,$G261=$G$15,K$15,$G261=$G$16,K$16,$G261=$G$17,K$17,$G261=$G$18,K$18,$G261=$G$19,K$19,$G261=$G$20,K$20,$G261=$G$21,K$21,$G261=$G$22,K$22,$G261=$G$25,K$25,$G261=$G$26,K$26,$G261=$G$27,K$27,$G261=$G$29,K$29,$G261=$G$31,K$31,$G261=$G$32,K$150,$G261=$G$248,K$248,$G261=$G$250,K$250)</f>
        <v>BG sentinel + BG lure7</v>
      </c>
      <c r="L261" t="str" cm="1">
        <f t="array" ref="L261">_xlfn.IFS($G261=$G$5,L$5,$G261=$G$6,L$6,$G261=$G$7,L$7,$G261=$G$8,L$8,$G261=$G$9,L$9,$G261=$G$10,L$10,$G261=$G$11,L$11,$G261=$G$12,L$12,$G261=$G$13,L$13,$G261=$G$15,L$15,$G261=$G$16,L$16,$G261=$G$17,L$17,$G261=$G$18,L$18,$G261=$G$19,L$19,$G261=$G$20,L$20,$G261=$G$21,L$21,$G261=$G$22,L$22,$G261=$G$25,L$25,$G261=$G$26,L$26,$G261=$G$27,L$27,$G261=$G$29,L$29,$G261=$G$31,L$31,$G261=$G$32,L$32,$G261=$G$248,L$248,$G261=$G$250,L$250)</f>
        <v>Urban habitat</v>
      </c>
      <c r="O261" s="45" t="str">
        <f t="shared" si="20"/>
        <v>A_SP_BCN_6_210622</v>
      </c>
      <c r="P261" s="64">
        <v>44369</v>
      </c>
      <c r="R261" s="72"/>
      <c r="S261" s="64">
        <v>44378</v>
      </c>
      <c r="U261" s="72"/>
      <c r="V261" s="54" t="s">
        <v>66</v>
      </c>
      <c r="X261" s="45">
        <f t="shared" si="19"/>
        <v>9</v>
      </c>
      <c r="AA261" s="45">
        <f t="shared" si="16"/>
        <v>0</v>
      </c>
      <c r="AB261" t="str">
        <f t="shared" si="17"/>
        <v/>
      </c>
      <c r="AE261" s="45" t="str">
        <f t="shared" si="18"/>
        <v/>
      </c>
      <c r="AF261" s="56">
        <v>4</v>
      </c>
    </row>
    <row r="262" spans="1:32" ht="18" customHeight="1" x14ac:dyDescent="0.25">
      <c r="A262" s="45">
        <v>258</v>
      </c>
      <c r="B262" s="45" t="s">
        <v>60</v>
      </c>
      <c r="C262" s="45" t="s">
        <v>61</v>
      </c>
      <c r="D262" s="45" t="s">
        <v>62</v>
      </c>
      <c r="E262" s="45" t="s">
        <v>62</v>
      </c>
      <c r="F262" s="46" cm="1">
        <f t="array" ref="F262">_xlfn.IFS($G262=$G$5,F$5,$G262=$G$6,F$6,$G262=$G$7,F$7,$G262=$G$8,F$8,$G262=$G$9,F$9,$G262=$G$10,F$10,$G262=$G$11,F$11,$G262=$G$12,F$12,$G262=$G$13,F$13,$G262=$G$15,F$15,$G262=$G$16,F$16,$G262=$G$17,F$17,$G262=$G$18,F$18,$G262=$G$19,F$19,$G262=$G$20,F$20,$G262=$G$21,F$21,$G262=$G$22,F$22,$G262=$G$25,F$25,$G262=$G$26,F$26,$G262=$G$27,F$27,$G262=$G$29,F$29,$G262=$G$31,F$31,$G262=$G$32,F$32,$G262=$G$248,F$248,$G262=$G$250,F$250)</f>
        <v>8038</v>
      </c>
      <c r="G262" t="s">
        <v>74</v>
      </c>
      <c r="H262" s="66" cm="1">
        <f t="array" ref="H262">_xlfn.IFS($G262=$G$5,H$5,$G262=$G$6,H$6,$G262=$G$7,H$7,$G262=$G$8,H$8,$G262=$G$9,H$9,$G262=$G$10,H$10,$G262=$G$11,H$11,$G262=$G$12,H$12,$G262=$G$13,H$13,$G262=$G$15,H$15,$G262=$G$16,H$16,$G262=$G$17,H$17,$G262=$G$18,H$18,$G262=$G$19,H$19,$G262=$G$20,H$20,$G262=$G$21,H$21,$G262=$G$22,H$22,$G262=$G$25,H$25,$G262=$G$26,H$26,$G262=$G$27,H$27,$G262=$G$29,H$29,$G262=$G$31,H$31,$G262=$G$32,H$150,$G262=$G$248,H$248,$G262=$G$250,H$250)</f>
        <v>41.371864000000002</v>
      </c>
      <c r="I262" s="78" cm="1">
        <f t="array" ref="I262">_xlfn.IFS($G262=$G$5,I$5,$G262=$G$6,I$6,$G262=$G$7,I$7,$G262=$G$8,I$8,$G262=$G$9,I$9,$G262=$G$10,I$10,$G262=$G$11,I$11,$G262=$G$12,I$12,$G262=$G$13,I$13,$G262=$G$15,I$15,$G262=$G$16,I$16,$G262=$G$17,I$17,$G262=$G$18,I$18,$G262=$G$19,I$19,$G262=$G$20,I$20,$G262=$G$21,I$21,$G262=$G$22,I$22,$G262=$G$25,I$25,$G262=$G$26,I$26,$G262=$G$27,I$27,$G262=$G$29,I$29,$G262=$G$31,I$31,$G262=$G$32,I$150,$G262=$G$248,I$248,$G262=$G$250,I$250)</f>
        <v>2.173899</v>
      </c>
      <c r="J262" cm="1">
        <f t="array" ref="J262">_xlfn.IFS($G262=$G$5,J$5,$G262=$G$6,J$6,$G262=$G$7,J$7,$G262=$G$8,J$8,$G262=$G$9,J$9,$G262=$G$10,J$10,$G262=$G$11,J$11,$G262=$G$12,J$12,$G262=$G$13,J$13,$G262=$G$15,J$15,$G262=$G$16,J$16,$G262=$G$17,J$17,$G262=$G$18,J$18,$G262=$G$19,J$19,$G262=$G$20,J$20,$G262=$G$21,J$21,$G262=$G$22,J$22,$G262=$G$25,J$25,$G262=$G$26,J$26,$G262=$G$27,J$27,$G262=$G$29,J$29,$G262=$G$31,J$31,$G262=$G$32,J$150,$G262=$G$248,J$248,$G262=$G$250,J$250)</f>
        <v>5</v>
      </c>
      <c r="K262" t="str" cm="1">
        <f t="array" ref="K262">_xlfn.IFS($G262=$G$5,K$5,$G262=$G$6,K$6,$G262=$G$7,K$7,$G262=$G$8,K$8,$G262=$G$9,K$9,$G262=$G$10,K$10,$G262=$G$11,K$11,$G262=$G$12,K$12,$G262=$G$13,K$13,$G262=$G$15,K$15,$G262=$G$16,K$16,$G262=$G$17,K$17,$G262=$G$18,K$18,$G262=$G$19,K$19,$G262=$G$20,K$20,$G262=$G$21,K$21,$G262=$G$22,K$22,$G262=$G$25,K$25,$G262=$G$26,K$26,$G262=$G$27,K$27,$G262=$G$29,K$29,$G262=$G$31,K$31,$G262=$G$32,K$150,$G262=$G$248,K$248,$G262=$G$250,K$250)</f>
        <v>BG sentinel + BG lure7</v>
      </c>
      <c r="L262" t="str" cm="1">
        <f t="array" ref="L262">_xlfn.IFS($G262=$G$5,L$5,$G262=$G$6,L$6,$G262=$G$7,L$7,$G262=$G$8,L$8,$G262=$G$9,L$9,$G262=$G$10,L$10,$G262=$G$11,L$11,$G262=$G$12,L$12,$G262=$G$13,L$13,$G262=$G$15,L$15,$G262=$G$16,L$16,$G262=$G$17,L$17,$G262=$G$18,L$18,$G262=$G$19,L$19,$G262=$G$20,L$20,$G262=$G$21,L$21,$G262=$G$22,L$22,$G262=$G$25,L$25,$G262=$G$26,L$26,$G262=$G$27,L$27,$G262=$G$29,L$29,$G262=$G$31,L$31,$G262=$G$32,L$32,$G262=$G$248,L$248,$G262=$G$250,L$250)</f>
        <v>Urban habitat</v>
      </c>
      <c r="O262" s="45" t="str">
        <f t="shared" si="20"/>
        <v>A_SP_BCN_7_210623</v>
      </c>
      <c r="P262" s="64">
        <v>44370</v>
      </c>
      <c r="R262" s="72"/>
      <c r="S262" s="64">
        <v>44378</v>
      </c>
      <c r="U262" s="72"/>
      <c r="V262" s="54" t="s">
        <v>66</v>
      </c>
      <c r="X262" s="45">
        <f t="shared" si="19"/>
        <v>8</v>
      </c>
      <c r="AA262" s="45">
        <f t="shared" si="16"/>
        <v>0</v>
      </c>
      <c r="AB262" t="str">
        <f t="shared" si="17"/>
        <v/>
      </c>
      <c r="AE262" s="45" t="str">
        <f t="shared" si="18"/>
        <v/>
      </c>
      <c r="AF262" s="56">
        <v>4</v>
      </c>
    </row>
    <row r="263" spans="1:32" ht="18" customHeight="1" x14ac:dyDescent="0.25">
      <c r="A263" s="45">
        <v>259</v>
      </c>
      <c r="B263" s="45" t="s">
        <v>60</v>
      </c>
      <c r="C263" s="45" t="s">
        <v>61</v>
      </c>
      <c r="D263" s="45" t="s">
        <v>62</v>
      </c>
      <c r="E263" s="45" t="s">
        <v>62</v>
      </c>
      <c r="F263" s="46" cm="1">
        <f t="array" ref="F263">_xlfn.IFS($G263=$G$5,F$5,$G263=$G$6,F$6,$G263=$G$7,F$7,$G263=$G$8,F$8,$G263=$G$9,F$9,$G263=$G$10,F$10,$G263=$G$11,F$11,$G263=$G$12,F$12,$G263=$G$13,F$13,$G263=$G$15,F$15,$G263=$G$16,F$16,$G263=$G$17,F$17,$G263=$G$18,F$18,$G263=$G$19,F$19,$G263=$G$20,F$20,$G263=$G$21,F$21,$G263=$G$22,F$22,$G263=$G$25,F$25,$G263=$G$26,F$26,$G263=$G$27,F$27,$G263=$G$29,F$29,$G263=$G$31,F$31,$G263=$G$32,F$32,$G263=$G$248,F$248,$G263=$G$250,F$250)</f>
        <v>8038</v>
      </c>
      <c r="G263" t="s">
        <v>75</v>
      </c>
      <c r="H263" s="66" cm="1">
        <f t="array" ref="H263">_xlfn.IFS($G263=$G$5,H$5,$G263=$G$6,H$6,$G263=$G$7,H$7,$G263=$G$8,H$8,$G263=$G$9,H$9,$G263=$G$10,H$10,$G263=$G$11,H$11,$G263=$G$12,H$12,$G263=$G$13,H$13,$G263=$G$15,H$15,$G263=$G$16,H$16,$G263=$G$17,H$17,$G263=$G$18,H$18,$G263=$G$19,H$19,$G263=$G$20,H$20,$G263=$G$21,H$21,$G263=$G$22,H$22,$G263=$G$25,H$25,$G263=$G$26,H$26,$G263=$G$27,H$27,$G263=$G$29,H$29,$G263=$G$31,H$31,$G263=$G$32,H$150,$G263=$G$248,H$248,$G263=$G$250,H$250)</f>
        <v>41.368589</v>
      </c>
      <c r="I263" s="78" cm="1">
        <f t="array" ref="I263">_xlfn.IFS($G263=$G$5,I$5,$G263=$G$6,I$6,$G263=$G$7,I$7,$G263=$G$8,I$8,$G263=$G$9,I$9,$G263=$G$10,I$10,$G263=$G$11,I$11,$G263=$G$12,I$12,$G263=$G$13,I$13,$G263=$G$15,I$15,$G263=$G$16,I$16,$G263=$G$17,I$17,$G263=$G$18,I$18,$G263=$G$19,I$19,$G263=$G$20,I$20,$G263=$G$21,I$21,$G263=$G$22,I$22,$G263=$G$25,I$25,$G263=$G$26,I$26,$G263=$G$27,I$27,$G263=$G$29,I$29,$G263=$G$31,I$31,$G263=$G$32,I$150,$G263=$G$248,I$248,$G263=$G$250,I$250)</f>
        <v>2.1620900000000001</v>
      </c>
      <c r="J263" cm="1">
        <f t="array" ref="J263">_xlfn.IFS($G263=$G$5,J$5,$G263=$G$6,J$6,$G263=$G$7,J$7,$G263=$G$8,J$8,$G263=$G$9,J$9,$G263=$G$10,J$10,$G263=$G$11,J$11,$G263=$G$12,J$12,$G263=$G$13,J$13,$G263=$G$15,J$15,$G263=$G$16,J$16,$G263=$G$17,J$17,$G263=$G$18,J$18,$G263=$G$19,J$19,$G263=$G$20,J$20,$G263=$G$21,J$21,$G263=$G$22,J$22,$G263=$G$25,J$25,$G263=$G$26,J$26,$G263=$G$27,J$27,$G263=$G$29,J$29,$G263=$G$31,J$31,$G263=$G$32,J$150,$G263=$G$248,J$248,$G263=$G$250,J$250)</f>
        <v>95</v>
      </c>
      <c r="K263" t="str" cm="1">
        <f t="array" ref="K263">_xlfn.IFS($G263=$G$5,K$5,$G263=$G$6,K$6,$G263=$G$7,K$7,$G263=$G$8,K$8,$G263=$G$9,K$9,$G263=$G$10,K$10,$G263=$G$11,K$11,$G263=$G$12,K$12,$G263=$G$13,K$13,$G263=$G$15,K$15,$G263=$G$16,K$16,$G263=$G$17,K$17,$G263=$G$18,K$18,$G263=$G$19,K$19,$G263=$G$20,K$20,$G263=$G$21,K$21,$G263=$G$22,K$22,$G263=$G$25,K$25,$G263=$G$26,K$26,$G263=$G$27,K$27,$G263=$G$29,K$29,$G263=$G$31,K$31,$G263=$G$32,K$150,$G263=$G$248,K$248,$G263=$G$250,K$250)</f>
        <v>BG sentinel + BG lure7</v>
      </c>
      <c r="L263" t="str" cm="1">
        <f t="array" ref="L263">_xlfn.IFS($G263=$G$5,L$5,$G263=$G$6,L$6,$G263=$G$7,L$7,$G263=$G$8,L$8,$G263=$G$9,L$9,$G263=$G$10,L$10,$G263=$G$11,L$11,$G263=$G$12,L$12,$G263=$G$13,L$13,$G263=$G$15,L$15,$G263=$G$16,L$16,$G263=$G$17,L$17,$G263=$G$18,L$18,$G263=$G$19,L$19,$G263=$G$20,L$20,$G263=$G$21,L$21,$G263=$G$22,L$22,$G263=$G$25,L$25,$G263=$G$26,L$26,$G263=$G$27,L$27,$G263=$G$29,L$29,$G263=$G$31,L$31,$G263=$G$32,L$32,$G263=$G$248,L$248,$G263=$G$250,L$250)</f>
        <v>Other</v>
      </c>
      <c r="O263" s="45" t="str">
        <f t="shared" si="20"/>
        <v>A_SP_BCN_8_210623</v>
      </c>
      <c r="P263" s="64">
        <v>44370</v>
      </c>
      <c r="R263" s="72"/>
      <c r="S263" s="64">
        <v>44378</v>
      </c>
      <c r="U263" s="72"/>
      <c r="V263" s="54" t="s">
        <v>66</v>
      </c>
      <c r="X263" s="45">
        <f t="shared" si="19"/>
        <v>8</v>
      </c>
      <c r="Z263" s="69" t="s">
        <v>69</v>
      </c>
      <c r="AA263" s="45">
        <f t="shared" si="16"/>
        <v>10</v>
      </c>
      <c r="AB263" t="str">
        <f t="shared" si="17"/>
        <v>Adult</v>
      </c>
      <c r="AC263" s="69">
        <v>9</v>
      </c>
      <c r="AD263" s="69">
        <v>1</v>
      </c>
      <c r="AE263" s="45" t="str">
        <f t="shared" si="18"/>
        <v>Morphological</v>
      </c>
      <c r="AF263" s="56">
        <v>4</v>
      </c>
    </row>
    <row r="264" spans="1:32" ht="18" customHeight="1" x14ac:dyDescent="0.25">
      <c r="A264" s="45">
        <v>260</v>
      </c>
      <c r="B264" s="45" t="s">
        <v>60</v>
      </c>
      <c r="C264" s="45" t="s">
        <v>61</v>
      </c>
      <c r="D264" s="45" t="s">
        <v>62</v>
      </c>
      <c r="E264" s="45" t="s">
        <v>62</v>
      </c>
      <c r="F264" s="46" cm="1">
        <f t="array" ref="F264">_xlfn.IFS($G264=$G$5,F$5,$G264=$G$6,F$6,$G264=$G$7,F$7,$G264=$G$8,F$8,$G264=$G$9,F$9,$G264=$G$10,F$10,$G264=$G$11,F$11,$G264=$G$12,F$12,$G264=$G$13,F$13,$G264=$G$15,F$15,$G264=$G$16,F$16,$G264=$G$17,F$17,$G264=$G$18,F$18,$G264=$G$19,F$19,$G264=$G$20,F$20,$G264=$G$21,F$21,$G264=$G$22,F$22,$G264=$G$25,F$25,$G264=$G$26,F$26,$G264=$G$27,F$27,$G264=$G$29,F$29,$G264=$G$31,F$31,$G264=$G$32,F$32,$G264=$G$248,F$248,$G264=$G$250,F$250)</f>
        <v>8038</v>
      </c>
      <c r="G264" t="s">
        <v>75</v>
      </c>
      <c r="H264" s="66" cm="1">
        <f t="array" ref="H264">_xlfn.IFS($G264=$G$5,H$5,$G264=$G$6,H$6,$G264=$G$7,H$7,$G264=$G$8,H$8,$G264=$G$9,H$9,$G264=$G$10,H$10,$G264=$G$11,H$11,$G264=$G$12,H$12,$G264=$G$13,H$13,$G264=$G$15,H$15,$G264=$G$16,H$16,$G264=$G$17,H$17,$G264=$G$18,H$18,$G264=$G$19,H$19,$G264=$G$20,H$20,$G264=$G$21,H$21,$G264=$G$22,H$22,$G264=$G$25,H$25,$G264=$G$26,H$26,$G264=$G$27,H$27,$G264=$G$29,H$29,$G264=$G$31,H$31,$G264=$G$32,H$150,$G264=$G$248,H$248,$G264=$G$250,H$250)</f>
        <v>41.368589</v>
      </c>
      <c r="I264" s="78" cm="1">
        <f t="array" ref="I264">_xlfn.IFS($G264=$G$5,I$5,$G264=$G$6,I$6,$G264=$G$7,I$7,$G264=$G$8,I$8,$G264=$G$9,I$9,$G264=$G$10,I$10,$G264=$G$11,I$11,$G264=$G$12,I$12,$G264=$G$13,I$13,$G264=$G$15,I$15,$G264=$G$16,I$16,$G264=$G$17,I$17,$G264=$G$18,I$18,$G264=$G$19,I$19,$G264=$G$20,I$20,$G264=$G$21,I$21,$G264=$G$22,I$22,$G264=$G$25,I$25,$G264=$G$26,I$26,$G264=$G$27,I$27,$G264=$G$29,I$29,$G264=$G$31,I$31,$G264=$G$32,I$150,$G264=$G$248,I$248,$G264=$G$250,I$250)</f>
        <v>2.1620900000000001</v>
      </c>
      <c r="J264" cm="1">
        <f t="array" ref="J264">_xlfn.IFS($G264=$G$5,J$5,$G264=$G$6,J$6,$G264=$G$7,J$7,$G264=$G$8,J$8,$G264=$G$9,J$9,$G264=$G$10,J$10,$G264=$G$11,J$11,$G264=$G$12,J$12,$G264=$G$13,J$13,$G264=$G$15,J$15,$G264=$G$16,J$16,$G264=$G$17,J$17,$G264=$G$18,J$18,$G264=$G$19,J$19,$G264=$G$20,J$20,$G264=$G$21,J$21,$G264=$G$22,J$22,$G264=$G$25,J$25,$G264=$G$26,J$26,$G264=$G$27,J$27,$G264=$G$29,J$29,$G264=$G$31,J$31,$G264=$G$32,J$150,$G264=$G$248,J$248,$G264=$G$250,J$250)</f>
        <v>95</v>
      </c>
      <c r="K264" t="str" cm="1">
        <f t="array" ref="K264">_xlfn.IFS($G264=$G$5,K$5,$G264=$G$6,K$6,$G264=$G$7,K$7,$G264=$G$8,K$8,$G264=$G$9,K$9,$G264=$G$10,K$10,$G264=$G$11,K$11,$G264=$G$12,K$12,$G264=$G$13,K$13,$G264=$G$15,K$15,$G264=$G$16,K$16,$G264=$G$17,K$17,$G264=$G$18,K$18,$G264=$G$19,K$19,$G264=$G$20,K$20,$G264=$G$21,K$21,$G264=$G$22,K$22,$G264=$G$25,K$25,$G264=$G$26,K$26,$G264=$G$27,K$27,$G264=$G$29,K$29,$G264=$G$31,K$31,$G264=$G$32,K$150,$G264=$G$248,K$248,$G264=$G$250,K$250)</f>
        <v>BG sentinel + BG lure7</v>
      </c>
      <c r="L264" t="str" cm="1">
        <f t="array" ref="L264">_xlfn.IFS($G264=$G$5,L$5,$G264=$G$6,L$6,$G264=$G$7,L$7,$G264=$G$8,L$8,$G264=$G$9,L$9,$G264=$G$10,L$10,$G264=$G$11,L$11,$G264=$G$12,L$12,$G264=$G$13,L$13,$G264=$G$15,L$15,$G264=$G$16,L$16,$G264=$G$17,L$17,$G264=$G$18,L$18,$G264=$G$19,L$19,$G264=$G$20,L$20,$G264=$G$21,L$21,$G264=$G$22,L$22,$G264=$G$25,L$25,$G264=$G$26,L$26,$G264=$G$27,L$27,$G264=$G$29,L$29,$G264=$G$31,L$31,$G264=$G$32,L$32,$G264=$G$248,L$248,$G264=$G$250,L$250)</f>
        <v>Other</v>
      </c>
      <c r="O264" s="45" t="str">
        <f t="shared" si="20"/>
        <v>A_SP_BCN_8_210623</v>
      </c>
      <c r="P264" s="64">
        <v>44370</v>
      </c>
      <c r="R264" s="72"/>
      <c r="S264" s="64">
        <v>44378</v>
      </c>
      <c r="U264" s="72"/>
      <c r="V264" s="54" t="s">
        <v>66</v>
      </c>
      <c r="X264" s="45">
        <f t="shared" si="19"/>
        <v>8</v>
      </c>
      <c r="Z264" s="45" t="s">
        <v>70</v>
      </c>
      <c r="AA264" s="45">
        <f t="shared" si="16"/>
        <v>8</v>
      </c>
      <c r="AB264" t="str">
        <f t="shared" si="17"/>
        <v>Adult</v>
      </c>
      <c r="AC264" s="69">
        <v>8</v>
      </c>
      <c r="AD264" s="69">
        <v>0</v>
      </c>
      <c r="AE264" s="45" t="str">
        <f t="shared" si="18"/>
        <v>Morphological</v>
      </c>
      <c r="AF264" s="56">
        <v>4</v>
      </c>
    </row>
    <row r="265" spans="1:32" ht="18" customHeight="1" x14ac:dyDescent="0.25">
      <c r="A265" s="45">
        <v>261</v>
      </c>
      <c r="B265" s="45" t="s">
        <v>60</v>
      </c>
      <c r="C265" s="45" t="s">
        <v>61</v>
      </c>
      <c r="D265" s="45" t="s">
        <v>62</v>
      </c>
      <c r="E265" s="45" t="s">
        <v>62</v>
      </c>
      <c r="F265" s="46" cm="1">
        <f t="array" ref="F265">_xlfn.IFS($G265=$G$5,F$5,$G265=$G$6,F$6,$G265=$G$7,F$7,$G265=$G$8,F$8,$G265=$G$9,F$9,$G265=$G$10,F$10,$G265=$G$11,F$11,$G265=$G$12,F$12,$G265=$G$13,F$13,$G265=$G$15,F$15,$G265=$G$16,F$16,$G265=$G$17,F$17,$G265=$G$18,F$18,$G265=$G$19,F$19,$G265=$G$20,F$20,$G265=$G$21,F$21,$G265=$G$22,F$22,$G265=$G$25,F$25,$G265=$G$26,F$26,$G265=$G$27,F$27,$G265=$G$29,F$29,$G265=$G$31,F$31,$G265=$G$32,F$32,$G265=$G$248,F$248,$G265=$G$250,F$250)</f>
        <v>8038</v>
      </c>
      <c r="G265" t="s">
        <v>75</v>
      </c>
      <c r="H265" s="66" cm="1">
        <f t="array" ref="H265">_xlfn.IFS($G265=$G$5,H$5,$G265=$G$6,H$6,$G265=$G$7,H$7,$G265=$G$8,H$8,$G265=$G$9,H$9,$G265=$G$10,H$10,$G265=$G$11,H$11,$G265=$G$12,H$12,$G265=$G$13,H$13,$G265=$G$15,H$15,$G265=$G$16,H$16,$G265=$G$17,H$17,$G265=$G$18,H$18,$G265=$G$19,H$19,$G265=$G$20,H$20,$G265=$G$21,H$21,$G265=$G$22,H$22,$G265=$G$25,H$25,$G265=$G$26,H$26,$G265=$G$27,H$27,$G265=$G$29,H$29,$G265=$G$31,H$31,$G265=$G$32,H$150,$G265=$G$248,H$248,$G265=$G$250,H$250)</f>
        <v>41.368589</v>
      </c>
      <c r="I265" s="78" cm="1">
        <f t="array" ref="I265">_xlfn.IFS($G265=$G$5,I$5,$G265=$G$6,I$6,$G265=$G$7,I$7,$G265=$G$8,I$8,$G265=$G$9,I$9,$G265=$G$10,I$10,$G265=$G$11,I$11,$G265=$G$12,I$12,$G265=$G$13,I$13,$G265=$G$15,I$15,$G265=$G$16,I$16,$G265=$G$17,I$17,$G265=$G$18,I$18,$G265=$G$19,I$19,$G265=$G$20,I$20,$G265=$G$21,I$21,$G265=$G$22,I$22,$G265=$G$25,I$25,$G265=$G$26,I$26,$G265=$G$27,I$27,$G265=$G$29,I$29,$G265=$G$31,I$31,$G265=$G$32,I$150,$G265=$G$248,I$248,$G265=$G$250,I$250)</f>
        <v>2.1620900000000001</v>
      </c>
      <c r="J265" cm="1">
        <f t="array" ref="J265">_xlfn.IFS($G265=$G$5,J$5,$G265=$G$6,J$6,$G265=$G$7,J$7,$G265=$G$8,J$8,$G265=$G$9,J$9,$G265=$G$10,J$10,$G265=$G$11,J$11,$G265=$G$12,J$12,$G265=$G$13,J$13,$G265=$G$15,J$15,$G265=$G$16,J$16,$G265=$G$17,J$17,$G265=$G$18,J$18,$G265=$G$19,J$19,$G265=$G$20,J$20,$G265=$G$21,J$21,$G265=$G$22,J$22,$G265=$G$25,J$25,$G265=$G$26,J$26,$G265=$G$27,J$27,$G265=$G$29,J$29,$G265=$G$31,J$31,$G265=$G$32,J$150,$G265=$G$248,J$248,$G265=$G$250,J$250)</f>
        <v>95</v>
      </c>
      <c r="K265" t="str" cm="1">
        <f t="array" ref="K265">_xlfn.IFS($G265=$G$5,K$5,$G265=$G$6,K$6,$G265=$G$7,K$7,$G265=$G$8,K$8,$G265=$G$9,K$9,$G265=$G$10,K$10,$G265=$G$11,K$11,$G265=$G$12,K$12,$G265=$G$13,K$13,$G265=$G$15,K$15,$G265=$G$16,K$16,$G265=$G$17,K$17,$G265=$G$18,K$18,$G265=$G$19,K$19,$G265=$G$20,K$20,$G265=$G$21,K$21,$G265=$G$22,K$22,$G265=$G$25,K$25,$G265=$G$26,K$26,$G265=$G$27,K$27,$G265=$G$29,K$29,$G265=$G$31,K$31,$G265=$G$32,K$150,$G265=$G$248,K$248,$G265=$G$250,K$250)</f>
        <v>BG sentinel + BG lure7</v>
      </c>
      <c r="L265" t="str" cm="1">
        <f t="array" ref="L265">_xlfn.IFS($G265=$G$5,L$5,$G265=$G$6,L$6,$G265=$G$7,L$7,$G265=$G$8,L$8,$G265=$G$9,L$9,$G265=$G$10,L$10,$G265=$G$11,L$11,$G265=$G$12,L$12,$G265=$G$13,L$13,$G265=$G$15,L$15,$G265=$G$16,L$16,$G265=$G$17,L$17,$G265=$G$18,L$18,$G265=$G$19,L$19,$G265=$G$20,L$20,$G265=$G$21,L$21,$G265=$G$22,L$22,$G265=$G$25,L$25,$G265=$G$26,L$26,$G265=$G$27,L$27,$G265=$G$29,L$29,$G265=$G$31,L$31,$G265=$G$32,L$32,$G265=$G$248,L$248,$G265=$G$250,L$250)</f>
        <v>Other</v>
      </c>
      <c r="O265" s="45" t="str">
        <f t="shared" si="20"/>
        <v>A_SP_BCN_8_210623</v>
      </c>
      <c r="P265" s="64">
        <v>44370</v>
      </c>
      <c r="R265" s="72"/>
      <c r="S265" s="64">
        <v>44378</v>
      </c>
      <c r="U265" s="72"/>
      <c r="V265" s="54" t="s">
        <v>66</v>
      </c>
      <c r="X265" s="45">
        <f t="shared" si="19"/>
        <v>8</v>
      </c>
      <c r="Z265" s="45" t="s">
        <v>80</v>
      </c>
      <c r="AA265" s="45">
        <f t="shared" si="16"/>
        <v>4</v>
      </c>
      <c r="AB265" t="str">
        <f t="shared" si="17"/>
        <v>Adult</v>
      </c>
      <c r="AC265" s="69">
        <v>3</v>
      </c>
      <c r="AD265" s="69">
        <v>1</v>
      </c>
      <c r="AE265" s="45" t="str">
        <f t="shared" si="18"/>
        <v>Morphological</v>
      </c>
      <c r="AF265" s="56">
        <v>4</v>
      </c>
    </row>
    <row r="266" spans="1:32" ht="18" customHeight="1" x14ac:dyDescent="0.25">
      <c r="A266" s="45">
        <v>262</v>
      </c>
      <c r="B266" s="45" t="s">
        <v>60</v>
      </c>
      <c r="C266" s="45" t="s">
        <v>61</v>
      </c>
      <c r="D266" s="45" t="s">
        <v>62</v>
      </c>
      <c r="E266" s="45" t="s">
        <v>62</v>
      </c>
      <c r="F266" s="46" cm="1">
        <f t="array" ref="F266">_xlfn.IFS($G266=$G$5,F$5,$G266=$G$6,F$6,$G266=$G$7,F$7,$G266=$G$8,F$8,$G266=$G$9,F$9,$G266=$G$10,F$10,$G266=$G$11,F$11,$G266=$G$12,F$12,$G266=$G$13,F$13,$G266=$G$15,F$15,$G266=$G$16,F$16,$G266=$G$17,F$17,$G266=$G$18,F$18,$G266=$G$19,F$19,$G266=$G$20,F$20,$G266=$G$21,F$21,$G266=$G$22,F$22,$G266=$G$25,F$25,$G266=$G$26,F$26,$G266=$G$27,F$27,$G266=$G$29,F$29,$G266=$G$31,F$31,$G266=$G$32,F$32,$G266=$G$248,F$248,$G266=$G$250,F$250)</f>
        <v>8034</v>
      </c>
      <c r="G266" t="s">
        <v>78</v>
      </c>
      <c r="H266" s="66" cm="1">
        <f t="array" ref="H266">_xlfn.IFS($G266=$G$5,H$5,$G266=$G$6,H$6,$G266=$G$7,H$7,$G266=$G$8,H$8,$G266=$G$9,H$9,$G266=$G$10,H$10,$G266=$G$11,H$11,$G266=$G$12,H$12,$G266=$G$13,H$13,$G266=$G$15,H$15,$G266=$G$16,H$16,$G266=$G$17,H$17,$G266=$G$18,H$18,$G266=$G$19,H$19,$G266=$G$20,H$20,$G266=$G$21,H$21,$G266=$G$22,H$22,$G266=$G$25,H$25,$G266=$G$26,H$26,$G266=$G$27,H$27,$G266=$G$29,H$29,$G266=$G$31,H$31,$G266=$G$32,H$150,$G266=$G$248,H$248,$G266=$G$250,H$250)</f>
        <v>41.393644999999999</v>
      </c>
      <c r="I266" s="78" cm="1">
        <f t="array" ref="I266">_xlfn.IFS($G266=$G$5,I$5,$G266=$G$6,I$6,$G266=$G$7,I$7,$G266=$G$8,I$8,$G266=$G$9,I$9,$G266=$G$10,I$10,$G266=$G$11,I$11,$G266=$G$12,I$12,$G266=$G$13,I$13,$G266=$G$15,I$15,$G266=$G$16,I$16,$G266=$G$17,I$17,$G266=$G$18,I$18,$G266=$G$19,I$19,$G266=$G$20,I$20,$G266=$G$21,I$21,$G266=$G$22,I$22,$G266=$G$25,I$25,$G266=$G$26,I$26,$G266=$G$27,I$27,$G266=$G$29,I$29,$G266=$G$31,I$31,$G266=$G$32,I$150,$G266=$G$248,I$248,$G266=$G$250,I$250)</f>
        <v>2.1216780000000002</v>
      </c>
      <c r="J266" cm="1">
        <f t="array" ref="J266">_xlfn.IFS($G266=$G$5,J$5,$G266=$G$6,J$6,$G266=$G$7,J$7,$G266=$G$8,J$8,$G266=$G$9,J$9,$G266=$G$10,J$10,$G266=$G$11,J$11,$G266=$G$12,J$12,$G266=$G$13,J$13,$G266=$G$15,J$15,$G266=$G$16,J$16,$G266=$G$17,J$17,$G266=$G$18,J$18,$G266=$G$19,J$19,$G266=$G$20,J$20,$G266=$G$21,J$21,$G266=$G$22,J$22,$G266=$G$25,J$25,$G266=$G$26,J$26,$G266=$G$27,J$27,$G266=$G$29,J$29,$G266=$G$31,J$31,$G266=$G$32,J$150,$G266=$G$248,J$248,$G266=$G$250,J$250)</f>
        <v>98</v>
      </c>
      <c r="K266" t="str" cm="1">
        <f t="array" ref="K266">_xlfn.IFS($G266=$G$5,K$5,$G266=$G$6,K$6,$G266=$G$7,K$7,$G266=$G$8,K$8,$G266=$G$9,K$9,$G266=$G$10,K$10,$G266=$G$11,K$11,$G266=$G$12,K$12,$G266=$G$13,K$13,$G266=$G$15,K$15,$G266=$G$16,K$16,$G266=$G$17,K$17,$G266=$G$18,K$18,$G266=$G$19,K$19,$G266=$G$20,K$20,$G266=$G$21,K$21,$G266=$G$22,K$22,$G266=$G$25,K$25,$G266=$G$26,K$26,$G266=$G$27,K$27,$G266=$G$29,K$29,$G266=$G$31,K$31,$G266=$G$32,K$150,$G266=$G$248,K$248,$G266=$G$250,K$250)</f>
        <v>BG sentinel + BG lure7</v>
      </c>
      <c r="L266" t="str" cm="1">
        <f t="array" ref="L266">_xlfn.IFS($G266=$G$5,L$5,$G266=$G$6,L$6,$G266=$G$7,L$7,$G266=$G$8,L$8,$G266=$G$9,L$9,$G266=$G$10,L$10,$G266=$G$11,L$11,$G266=$G$12,L$12,$G266=$G$13,L$13,$G266=$G$15,L$15,$G266=$G$16,L$16,$G266=$G$17,L$17,$G266=$G$18,L$18,$G266=$G$19,L$19,$G266=$G$20,L$20,$G266=$G$21,L$21,$G266=$G$22,L$22,$G266=$G$25,L$25,$G266=$G$26,L$26,$G266=$G$27,L$27,$G266=$G$29,L$29,$G266=$G$31,L$31,$G266=$G$32,L$32,$G266=$G$248,L$248,$G266=$G$250,L$250)</f>
        <v>Other</v>
      </c>
      <c r="O266" s="45" t="str">
        <f t="shared" si="20"/>
        <v>A_SP_BCN_9_210622</v>
      </c>
      <c r="P266" s="64">
        <v>44369</v>
      </c>
      <c r="R266" s="72"/>
      <c r="S266" s="64">
        <v>44377</v>
      </c>
      <c r="U266" s="72"/>
      <c r="V266" s="54" t="s">
        <v>66</v>
      </c>
      <c r="X266" s="45">
        <f t="shared" si="19"/>
        <v>8</v>
      </c>
      <c r="Z266" s="45" t="s">
        <v>80</v>
      </c>
      <c r="AA266" s="45">
        <f t="shared" si="16"/>
        <v>7</v>
      </c>
      <c r="AB266" t="str">
        <f t="shared" si="17"/>
        <v>Adult</v>
      </c>
      <c r="AC266" s="69">
        <v>7</v>
      </c>
      <c r="AD266" s="69">
        <v>0</v>
      </c>
      <c r="AE266" s="45" t="str">
        <f t="shared" si="18"/>
        <v>Morphological</v>
      </c>
      <c r="AF266" s="56">
        <v>4</v>
      </c>
    </row>
    <row r="267" spans="1:32" ht="18" customHeight="1" x14ac:dyDescent="0.25">
      <c r="A267" s="45">
        <v>263</v>
      </c>
      <c r="B267" s="45" t="s">
        <v>60</v>
      </c>
      <c r="C267" s="45" t="s">
        <v>61</v>
      </c>
      <c r="D267" s="45" t="s">
        <v>62</v>
      </c>
      <c r="E267" s="45" t="s">
        <v>62</v>
      </c>
      <c r="F267" s="46" cm="1">
        <f t="array" ref="F267">_xlfn.IFS($G267=$G$5,F$5,$G267=$G$6,F$6,$G267=$G$7,F$7,$G267=$G$8,F$8,$G267=$G$9,F$9,$G267=$G$10,F$10,$G267=$G$11,F$11,$G267=$G$12,F$12,$G267=$G$13,F$13,$G267=$G$15,F$15,$G267=$G$16,F$16,$G267=$G$17,F$17,$G267=$G$18,F$18,$G267=$G$19,F$19,$G267=$G$20,F$20,$G267=$G$21,F$21,$G267=$G$22,F$22,$G267=$G$25,F$25,$G267=$G$26,F$26,$G267=$G$27,F$27,$G267=$G$29,F$29,$G267=$G$31,F$31,$G267=$G$32,F$32,$G267=$G$248,F$248,$G267=$G$250,F$250)</f>
        <v>8040</v>
      </c>
      <c r="G267" t="s">
        <v>81</v>
      </c>
      <c r="H267" s="66" cm="1">
        <f t="array" ref="H267">_xlfn.IFS($G267=$G$5,H$5,$G267=$G$6,H$6,$G267=$G$7,H$7,$G267=$G$8,H$8,$G267=$G$9,H$9,$G267=$G$10,H$10,$G267=$G$11,H$11,$G267=$G$12,H$12,$G267=$G$13,H$13,$G267=$G$15,H$15,$G267=$G$16,H$16,$G267=$G$17,H$17,$G267=$G$18,H$18,$G267=$G$19,H$19,$G267=$G$20,H$20,$G267=$G$21,H$21,$G267=$G$22,H$22,$G267=$G$25,H$25,$G267=$G$26,H$26,$G267=$G$27,H$27,$G267=$G$29,H$29,$G267=$G$31,H$31,$G267=$G$32,H$150,$G267=$G$248,H$248,$G267=$G$250,H$250)</f>
        <v>41.343685000000001</v>
      </c>
      <c r="I267" s="78" cm="1">
        <f t="array" ref="I267">_xlfn.IFS($G267=$G$5,I$5,$G267=$G$6,I$6,$G267=$G$7,I$7,$G267=$G$8,I$8,$G267=$G$9,I$9,$G267=$G$10,I$10,$G267=$G$11,I$11,$G267=$G$12,I$12,$G267=$G$13,I$13,$G267=$G$15,I$15,$G267=$G$16,I$16,$G267=$G$17,I$17,$G267=$G$18,I$18,$G267=$G$19,I$19,$G267=$G$20,I$20,$G267=$G$21,I$21,$G267=$G$22,I$22,$G267=$G$25,I$25,$G267=$G$26,I$26,$G267=$G$27,I$27,$G267=$G$29,I$29,$G267=$G$31,I$31,$G267=$G$32,I$150,$G267=$G$248,I$248,$G267=$G$250,I$250)</f>
        <v>2.1441490000000001</v>
      </c>
      <c r="J267" cm="1">
        <f t="array" ref="J267">_xlfn.IFS($G267=$G$5,J$5,$G267=$G$6,J$6,$G267=$G$7,J$7,$G267=$G$8,J$8,$G267=$G$9,J$9,$G267=$G$10,J$10,$G267=$G$11,J$11,$G267=$G$12,J$12,$G267=$G$13,J$13,$G267=$G$15,J$15,$G267=$G$16,J$16,$G267=$G$17,J$17,$G267=$G$18,J$18,$G267=$G$19,J$19,$G267=$G$20,J$20,$G267=$G$21,J$21,$G267=$G$22,J$22,$G267=$G$25,J$25,$G267=$G$26,J$26,$G267=$G$27,J$27,$G267=$G$29,J$29,$G267=$G$31,J$31,$G267=$G$32,J$150,$G267=$G$248,J$248,$G267=$G$250,J$250)</f>
        <v>4</v>
      </c>
      <c r="K267" t="str" cm="1">
        <f t="array" ref="K267">_xlfn.IFS($G267=$G$5,K$5,$G267=$G$6,K$6,$G267=$G$7,K$7,$G267=$G$8,K$8,$G267=$G$9,K$9,$G267=$G$10,K$10,$G267=$G$11,K$11,$G267=$G$12,K$12,$G267=$G$13,K$13,$G267=$G$15,K$15,$G267=$G$16,K$16,$G267=$G$17,K$17,$G267=$G$18,K$18,$G267=$G$19,K$19,$G267=$G$20,K$20,$G267=$G$21,K$21,$G267=$G$22,K$22,$G267=$G$25,K$25,$G267=$G$26,K$26,$G267=$G$27,K$27,$G267=$G$29,K$29,$G267=$G$31,K$31,$G267=$G$32,K$150,$G267=$G$248,K$248,$G267=$G$250,K$250)</f>
        <v>BG sentinel + BG lure7</v>
      </c>
      <c r="L267" t="str" cm="1">
        <f t="array" ref="L267">_xlfn.IFS($G267=$G$5,L$5,$G267=$G$6,L$6,$G267=$G$7,L$7,$G267=$G$8,L$8,$G267=$G$9,L$9,$G267=$G$10,L$10,$G267=$G$11,L$11,$G267=$G$12,L$12,$G267=$G$13,L$13,$G267=$G$15,L$15,$G267=$G$16,L$16,$G267=$G$17,L$17,$G267=$G$18,L$18,$G267=$G$19,L$19,$G267=$G$20,L$20,$G267=$G$21,L$21,$G267=$G$22,L$22,$G267=$G$25,L$25,$G267=$G$26,L$26,$G267=$G$27,L$27,$G267=$G$29,L$29,$G267=$G$31,L$31,$G267=$G$32,L$32,$G267=$G$248,L$248,$G267=$G$250,L$250)</f>
        <v>Urban habitat</v>
      </c>
      <c r="O267" s="45" t="str">
        <f t="shared" si="20"/>
        <v>A_SP_BCN_10_210623</v>
      </c>
      <c r="P267" s="64">
        <v>44370</v>
      </c>
      <c r="R267" s="72"/>
      <c r="S267" s="64">
        <v>44378</v>
      </c>
      <c r="U267" s="72"/>
      <c r="V267" s="54" t="s">
        <v>66</v>
      </c>
      <c r="X267" s="45">
        <f t="shared" si="19"/>
        <v>8</v>
      </c>
      <c r="Z267" s="69" t="s">
        <v>69</v>
      </c>
      <c r="AA267" s="45">
        <f t="shared" si="16"/>
        <v>9</v>
      </c>
      <c r="AB267" t="str">
        <f t="shared" ref="AB267:AB330" si="21">IF(AA267=0,"",IF(AA267="","",IF(AA267&gt;0,"Adult")))</f>
        <v>Adult</v>
      </c>
      <c r="AC267" s="69">
        <v>4</v>
      </c>
      <c r="AD267" s="69">
        <v>5</v>
      </c>
      <c r="AE267" s="45" t="str">
        <f t="shared" ref="AE267:AE330" si="22">IF(AA267=0,"",IF(AA267="","",IF(AA267&gt;0,"Morphological")))</f>
        <v>Morphological</v>
      </c>
      <c r="AF267" s="56">
        <v>4</v>
      </c>
    </row>
    <row r="268" spans="1:32" ht="18" customHeight="1" x14ac:dyDescent="0.25">
      <c r="A268" s="45">
        <v>264</v>
      </c>
      <c r="B268" s="45" t="s">
        <v>60</v>
      </c>
      <c r="C268" s="45" t="s">
        <v>61</v>
      </c>
      <c r="D268" s="45" t="s">
        <v>62</v>
      </c>
      <c r="E268" s="45" t="s">
        <v>62</v>
      </c>
      <c r="F268" s="46" cm="1">
        <f t="array" ref="F268">_xlfn.IFS($G268=$G$5,F$5,$G268=$G$6,F$6,$G268=$G$7,F$7,$G268=$G$8,F$8,$G268=$G$9,F$9,$G268=$G$10,F$10,$G268=$G$11,F$11,$G268=$G$12,F$12,$G268=$G$13,F$13,$G268=$G$15,F$15,$G268=$G$16,F$16,$G268=$G$17,F$17,$G268=$G$18,F$18,$G268=$G$19,F$19,$G268=$G$20,F$20,$G268=$G$21,F$21,$G268=$G$22,F$22,$G268=$G$25,F$25,$G268=$G$26,F$26,$G268=$G$27,F$27,$G268=$G$29,F$29,$G268=$G$31,F$31,$G268=$G$32,F$32,$G268=$G$248,F$248,$G268=$G$250,F$250)</f>
        <v>8040</v>
      </c>
      <c r="G268" t="s">
        <v>81</v>
      </c>
      <c r="H268" s="66" cm="1">
        <f t="array" ref="H268">_xlfn.IFS($G268=$G$5,H$5,$G268=$G$6,H$6,$G268=$G$7,H$7,$G268=$G$8,H$8,$G268=$G$9,H$9,$G268=$G$10,H$10,$G268=$G$11,H$11,$G268=$G$12,H$12,$G268=$G$13,H$13,$G268=$G$15,H$15,$G268=$G$16,H$16,$G268=$G$17,H$17,$G268=$G$18,H$18,$G268=$G$19,H$19,$G268=$G$20,H$20,$G268=$G$21,H$21,$G268=$G$22,H$22,$G268=$G$25,H$25,$G268=$G$26,H$26,$G268=$G$27,H$27,$G268=$G$29,H$29,$G268=$G$31,H$31,$G268=$G$32,H$150,$G268=$G$248,H$248,$G268=$G$250,H$250)</f>
        <v>41.343685000000001</v>
      </c>
      <c r="I268" s="78" cm="1">
        <f t="array" ref="I268">_xlfn.IFS($G268=$G$5,I$5,$G268=$G$6,I$6,$G268=$G$7,I$7,$G268=$G$8,I$8,$G268=$G$9,I$9,$G268=$G$10,I$10,$G268=$G$11,I$11,$G268=$G$12,I$12,$G268=$G$13,I$13,$G268=$G$15,I$15,$G268=$G$16,I$16,$G268=$G$17,I$17,$G268=$G$18,I$18,$G268=$G$19,I$19,$G268=$G$20,I$20,$G268=$G$21,I$21,$G268=$G$22,I$22,$G268=$G$25,I$25,$G268=$G$26,I$26,$G268=$G$27,I$27,$G268=$G$29,I$29,$G268=$G$31,I$31,$G268=$G$32,I$150,$G268=$G$248,I$248,$G268=$G$250,I$250)</f>
        <v>2.1441490000000001</v>
      </c>
      <c r="J268" cm="1">
        <f t="array" ref="J268">_xlfn.IFS($G268=$G$5,J$5,$G268=$G$6,J$6,$G268=$G$7,J$7,$G268=$G$8,J$8,$G268=$G$9,J$9,$G268=$G$10,J$10,$G268=$G$11,J$11,$G268=$G$12,J$12,$G268=$G$13,J$13,$G268=$G$15,J$15,$G268=$G$16,J$16,$G268=$G$17,J$17,$G268=$G$18,J$18,$G268=$G$19,J$19,$G268=$G$20,J$20,$G268=$G$21,J$21,$G268=$G$22,J$22,$G268=$G$25,J$25,$G268=$G$26,J$26,$G268=$G$27,J$27,$G268=$G$29,J$29,$G268=$G$31,J$31,$G268=$G$32,J$150,$G268=$G$248,J$248,$G268=$G$250,J$250)</f>
        <v>4</v>
      </c>
      <c r="K268" t="str" cm="1">
        <f t="array" ref="K268">_xlfn.IFS($G268=$G$5,K$5,$G268=$G$6,K$6,$G268=$G$7,K$7,$G268=$G$8,K$8,$G268=$G$9,K$9,$G268=$G$10,K$10,$G268=$G$11,K$11,$G268=$G$12,K$12,$G268=$G$13,K$13,$G268=$G$15,K$15,$G268=$G$16,K$16,$G268=$G$17,K$17,$G268=$G$18,K$18,$G268=$G$19,K$19,$G268=$G$20,K$20,$G268=$G$21,K$21,$G268=$G$22,K$22,$G268=$G$25,K$25,$G268=$G$26,K$26,$G268=$G$27,K$27,$G268=$G$29,K$29,$G268=$G$31,K$31,$G268=$G$32,K$150,$G268=$G$248,K$248,$G268=$G$250,K$250)</f>
        <v>BG sentinel + BG lure7</v>
      </c>
      <c r="L268" t="str" cm="1">
        <f t="array" ref="L268">_xlfn.IFS($G268=$G$5,L$5,$G268=$G$6,L$6,$G268=$G$7,L$7,$G268=$G$8,L$8,$G268=$G$9,L$9,$G268=$G$10,L$10,$G268=$G$11,L$11,$G268=$G$12,L$12,$G268=$G$13,L$13,$G268=$G$15,L$15,$G268=$G$16,L$16,$G268=$G$17,L$17,$G268=$G$18,L$18,$G268=$G$19,L$19,$G268=$G$20,L$20,$G268=$G$21,L$21,$G268=$G$22,L$22,$G268=$G$25,L$25,$G268=$G$26,L$26,$G268=$G$27,L$27,$G268=$G$29,L$29,$G268=$G$31,L$31,$G268=$G$32,L$32,$G268=$G$248,L$248,$G268=$G$250,L$250)</f>
        <v>Urban habitat</v>
      </c>
      <c r="O268" s="45" t="str">
        <f t="shared" si="20"/>
        <v>A_SP_BCN_10_210623</v>
      </c>
      <c r="P268" s="64">
        <v>44370</v>
      </c>
      <c r="R268" s="72"/>
      <c r="S268" s="64">
        <v>44378</v>
      </c>
      <c r="U268" s="72"/>
      <c r="V268" s="54" t="s">
        <v>66</v>
      </c>
      <c r="X268" s="45">
        <f t="shared" si="19"/>
        <v>8</v>
      </c>
      <c r="Z268" s="45" t="s">
        <v>70</v>
      </c>
      <c r="AA268" s="45">
        <f t="shared" si="16"/>
        <v>41</v>
      </c>
      <c r="AB268" t="str">
        <f t="shared" si="21"/>
        <v>Adult</v>
      </c>
      <c r="AC268" s="69">
        <v>38</v>
      </c>
      <c r="AD268" s="69">
        <v>3</v>
      </c>
      <c r="AE268" s="45" t="str">
        <f t="shared" si="22"/>
        <v>Morphological</v>
      </c>
      <c r="AF268" s="56">
        <v>4</v>
      </c>
    </row>
    <row r="269" spans="1:32" ht="18" customHeight="1" x14ac:dyDescent="0.25">
      <c r="A269" s="45">
        <v>265</v>
      </c>
      <c r="B269" s="45" t="s">
        <v>60</v>
      </c>
      <c r="C269" s="45" t="s">
        <v>61</v>
      </c>
      <c r="D269" s="45" t="s">
        <v>62</v>
      </c>
      <c r="E269" s="45" t="s">
        <v>62</v>
      </c>
      <c r="F269" s="46" cm="1">
        <f t="array" ref="F269">_xlfn.IFS($G269=$G$5,F$5,$G269=$G$6,F$6,$G269=$G$7,F$7,$G269=$G$8,F$8,$G269=$G$9,F$9,$G269=$G$10,F$10,$G269=$G$11,F$11,$G269=$G$12,F$12,$G269=$G$13,F$13,$G269=$G$15,F$15,$G269=$G$16,F$16,$G269=$G$17,F$17,$G269=$G$18,F$18,$G269=$G$19,F$19,$G269=$G$20,F$20,$G269=$G$21,F$21,$G269=$G$22,F$22,$G269=$G$25,F$25,$G269=$G$26,F$26,$G269=$G$27,F$27,$G269=$G$29,F$29,$G269=$G$31,F$31,$G269=$G$32,F$32,$G269=$G$248,F$248,$G269=$G$250,F$250)</f>
        <v>8040</v>
      </c>
      <c r="G269" t="s">
        <v>81</v>
      </c>
      <c r="H269" s="66" cm="1">
        <f t="array" ref="H269">_xlfn.IFS($G269=$G$5,H$5,$G269=$G$6,H$6,$G269=$G$7,H$7,$G269=$G$8,H$8,$G269=$G$9,H$9,$G269=$G$10,H$10,$G269=$G$11,H$11,$G269=$G$12,H$12,$G269=$G$13,H$13,$G269=$G$15,H$15,$G269=$G$16,H$16,$G269=$G$17,H$17,$G269=$G$18,H$18,$G269=$G$19,H$19,$G269=$G$20,H$20,$G269=$G$21,H$21,$G269=$G$22,H$22,$G269=$G$25,H$25,$G269=$G$26,H$26,$G269=$G$27,H$27,$G269=$G$29,H$29,$G269=$G$31,H$31,$G269=$G$32,H$150,$G269=$G$248,H$248,$G269=$G$250,H$250)</f>
        <v>41.343685000000001</v>
      </c>
      <c r="I269" s="78" cm="1">
        <f t="array" ref="I269">_xlfn.IFS($G269=$G$5,I$5,$G269=$G$6,I$6,$G269=$G$7,I$7,$G269=$G$8,I$8,$G269=$G$9,I$9,$G269=$G$10,I$10,$G269=$G$11,I$11,$G269=$G$12,I$12,$G269=$G$13,I$13,$G269=$G$15,I$15,$G269=$G$16,I$16,$G269=$G$17,I$17,$G269=$G$18,I$18,$G269=$G$19,I$19,$G269=$G$20,I$20,$G269=$G$21,I$21,$G269=$G$22,I$22,$G269=$G$25,I$25,$G269=$G$26,I$26,$G269=$G$27,I$27,$G269=$G$29,I$29,$G269=$G$31,I$31,$G269=$G$32,I$150,$G269=$G$248,I$248,$G269=$G$250,I$250)</f>
        <v>2.1441490000000001</v>
      </c>
      <c r="J269" cm="1">
        <f t="array" ref="J269">_xlfn.IFS($G269=$G$5,J$5,$G269=$G$6,J$6,$G269=$G$7,J$7,$G269=$G$8,J$8,$G269=$G$9,J$9,$G269=$G$10,J$10,$G269=$G$11,J$11,$G269=$G$12,J$12,$G269=$G$13,J$13,$G269=$G$15,J$15,$G269=$G$16,J$16,$G269=$G$17,J$17,$G269=$G$18,J$18,$G269=$G$19,J$19,$G269=$G$20,J$20,$G269=$G$21,J$21,$G269=$G$22,J$22,$G269=$G$25,J$25,$G269=$G$26,J$26,$G269=$G$27,J$27,$G269=$G$29,J$29,$G269=$G$31,J$31,$G269=$G$32,J$150,$G269=$G$248,J$248,$G269=$G$250,J$250)</f>
        <v>4</v>
      </c>
      <c r="K269" t="str" cm="1">
        <f t="array" ref="K269">_xlfn.IFS($G269=$G$5,K$5,$G269=$G$6,K$6,$G269=$G$7,K$7,$G269=$G$8,K$8,$G269=$G$9,K$9,$G269=$G$10,K$10,$G269=$G$11,K$11,$G269=$G$12,K$12,$G269=$G$13,K$13,$G269=$G$15,K$15,$G269=$G$16,K$16,$G269=$G$17,K$17,$G269=$G$18,K$18,$G269=$G$19,K$19,$G269=$G$20,K$20,$G269=$G$21,K$21,$G269=$G$22,K$22,$G269=$G$25,K$25,$G269=$G$26,K$26,$G269=$G$27,K$27,$G269=$G$29,K$29,$G269=$G$31,K$31,$G269=$G$32,K$150,$G269=$G$248,K$248,$G269=$G$250,K$250)</f>
        <v>BG sentinel + BG lure7</v>
      </c>
      <c r="L269" t="str" cm="1">
        <f t="array" ref="L269">_xlfn.IFS($G269=$G$5,L$5,$G269=$G$6,L$6,$G269=$G$7,L$7,$G269=$G$8,L$8,$G269=$G$9,L$9,$G269=$G$10,L$10,$G269=$G$11,L$11,$G269=$G$12,L$12,$G269=$G$13,L$13,$G269=$G$15,L$15,$G269=$G$16,L$16,$G269=$G$17,L$17,$G269=$G$18,L$18,$G269=$G$19,L$19,$G269=$G$20,L$20,$G269=$G$21,L$21,$G269=$G$22,L$22,$G269=$G$25,L$25,$G269=$G$26,L$26,$G269=$G$27,L$27,$G269=$G$29,L$29,$G269=$G$31,L$31,$G269=$G$32,L$32,$G269=$G$248,L$248,$G269=$G$250,L$250)</f>
        <v>Urban habitat</v>
      </c>
      <c r="O269" s="45" t="str">
        <f t="shared" si="20"/>
        <v>A_SP_BCN_10_210623</v>
      </c>
      <c r="P269" s="64">
        <v>44370</v>
      </c>
      <c r="R269" s="72"/>
      <c r="S269" s="64">
        <v>44378</v>
      </c>
      <c r="U269" s="72"/>
      <c r="V269" s="54" t="s">
        <v>66</v>
      </c>
      <c r="X269" s="45">
        <f t="shared" si="19"/>
        <v>8</v>
      </c>
      <c r="Z269" s="45" t="s">
        <v>80</v>
      </c>
      <c r="AA269" s="45">
        <f t="shared" si="16"/>
        <v>2</v>
      </c>
      <c r="AB269" t="str">
        <f t="shared" si="21"/>
        <v>Adult</v>
      </c>
      <c r="AC269" s="69">
        <v>1</v>
      </c>
      <c r="AD269" s="69">
        <v>1</v>
      </c>
      <c r="AE269" s="45" t="str">
        <f t="shared" si="22"/>
        <v>Morphological</v>
      </c>
      <c r="AF269" s="56">
        <v>4</v>
      </c>
    </row>
    <row r="270" spans="1:32" ht="18" customHeight="1" x14ac:dyDescent="0.25">
      <c r="A270" s="45">
        <v>266</v>
      </c>
      <c r="B270" s="45" t="s">
        <v>60</v>
      </c>
      <c r="C270" s="45" t="s">
        <v>61</v>
      </c>
      <c r="D270" s="45" t="s">
        <v>62</v>
      </c>
      <c r="E270" s="45" t="s">
        <v>62</v>
      </c>
      <c r="F270" s="46" cm="1">
        <f t="array" ref="F270">_xlfn.IFS($G270=$G$5,F$5,$G270=$G$6,F$6,$G270=$G$7,F$7,$G270=$G$8,F$8,$G270=$G$9,F$9,$G270=$G$10,F$10,$G270=$G$11,F$11,$G270=$G$12,F$12,$G270=$G$13,F$13,$G270=$G$15,F$15,$G270=$G$16,F$16,$G270=$G$17,F$17,$G270=$G$18,F$18,$G270=$G$19,F$19,$G270=$G$20,F$20,$G270=$G$21,F$21,$G270=$G$22,F$22,$G270=$G$25,F$25,$G270=$G$26,F$26,$G270=$G$27,F$27,$G270=$G$29,F$29,$G270=$G$31,F$31,$G270=$G$32,F$32,$G270=$G$248,F$248,$G270=$G$250,F$250)</f>
        <v>8038</v>
      </c>
      <c r="G270" t="s">
        <v>82</v>
      </c>
      <c r="H270" s="66" cm="1">
        <f t="array" ref="H270">_xlfn.IFS($G270=$G$5,H$5,$G270=$G$6,H$6,$G270=$G$7,H$7,$G270=$G$8,H$8,$G270=$G$9,H$9,$G270=$G$10,H$10,$G270=$G$11,H$11,$G270=$G$12,H$12,$G270=$G$13,H$13,$G270=$G$15,H$15,$G270=$G$16,H$16,$G270=$G$17,H$17,$G270=$G$18,H$18,$G270=$G$19,H$19,$G270=$G$20,H$20,$G270=$G$21,H$21,$G270=$G$22,H$22,$G270=$G$25,H$25,$G270=$G$26,H$26,$G270=$G$27,H$27,$G270=$G$29,H$29,$G270=$G$31,H$31,$G270=$G$32,H$150,$G270=$G$248,H$248,$G270=$G$250,H$250)</f>
        <v>41.367429999999999</v>
      </c>
      <c r="I270" s="78" cm="1">
        <f t="array" ref="I270">_xlfn.IFS($G270=$G$5,I$5,$G270=$G$6,I$6,$G270=$G$7,I$7,$G270=$G$8,I$8,$G270=$G$9,I$9,$G270=$G$10,I$10,$G270=$G$11,I$11,$G270=$G$12,I$12,$G270=$G$13,I$13,$G270=$G$15,I$15,$G270=$G$16,I$16,$G270=$G$17,I$17,$G270=$G$18,I$18,$G270=$G$19,I$19,$G270=$G$20,I$20,$G270=$G$21,I$21,$G270=$G$22,I$22,$G270=$G$25,I$25,$G270=$G$26,I$26,$G270=$G$27,I$27,$G270=$G$29,I$29,$G270=$G$31,I$31,$G270=$G$32,I$150,$G270=$G$248,I$248,$G270=$G$250,I$250)</f>
        <v>2.1569609999999999</v>
      </c>
      <c r="J270" cm="1">
        <f t="array" ref="J270">_xlfn.IFS($G270=$G$5,J$5,$G270=$G$6,J$6,$G270=$G$7,J$7,$G270=$G$8,J$8,$G270=$G$9,J$9,$G270=$G$10,J$10,$G270=$G$11,J$11,$G270=$G$12,J$12,$G270=$G$13,J$13,$G270=$G$15,J$15,$G270=$G$16,J$16,$G270=$G$17,J$17,$G270=$G$18,J$18,$G270=$G$19,J$19,$G270=$G$20,J$20,$G270=$G$21,J$21,$G270=$G$22,J$22,$G270=$G$25,J$25,$G270=$G$26,J$26,$G270=$G$27,J$27,$G270=$G$29,J$29,$G270=$G$31,J$31,$G270=$G$32,J$150,$G270=$G$248,J$248,$G270=$G$250,J$250)</f>
        <v>91</v>
      </c>
      <c r="K270" t="str" cm="1">
        <f t="array" ref="K270">_xlfn.IFS($G270=$G$5,K$5,$G270=$G$6,K$6,$G270=$G$7,K$7,$G270=$G$8,K$8,$G270=$G$9,K$9,$G270=$G$10,K$10,$G270=$G$11,K$11,$G270=$G$12,K$12,$G270=$G$13,K$13,$G270=$G$15,K$15,$G270=$G$16,K$16,$G270=$G$17,K$17,$G270=$G$18,K$18,$G270=$G$19,K$19,$G270=$G$20,K$20,$G270=$G$21,K$21,$G270=$G$22,K$22,$G270=$G$25,K$25,$G270=$G$26,K$26,$G270=$G$27,K$27,$G270=$G$29,K$29,$G270=$G$31,K$31,$G270=$G$32,K$150,$G270=$G$248,K$248,$G270=$G$250,K$250)</f>
        <v>BG sentinel + BG lure7</v>
      </c>
      <c r="L270" t="str" cm="1">
        <f t="array" ref="L270">_xlfn.IFS($G270=$G$5,L$5,$G270=$G$6,L$6,$G270=$G$7,L$7,$G270=$G$8,L$8,$G270=$G$9,L$9,$G270=$G$10,L$10,$G270=$G$11,L$11,$G270=$G$12,L$12,$G270=$G$13,L$13,$G270=$G$15,L$15,$G270=$G$16,L$16,$G270=$G$17,L$17,$G270=$G$18,L$18,$G270=$G$19,L$19,$G270=$G$20,L$20,$G270=$G$21,L$21,$G270=$G$22,L$22,$G270=$G$25,L$25,$G270=$G$26,L$26,$G270=$G$27,L$27,$G270=$G$29,L$29,$G270=$G$31,L$31,$G270=$G$32,L$32,$G270=$G$248,L$248,$G270=$G$250,L$250)</f>
        <v>Other</v>
      </c>
      <c r="O270" s="45" t="str">
        <f t="shared" si="20"/>
        <v>A_SP_BCN_11_210623</v>
      </c>
      <c r="P270" s="64">
        <v>44370</v>
      </c>
      <c r="R270" s="72"/>
      <c r="S270" s="64">
        <v>44379</v>
      </c>
      <c r="U270" s="72"/>
      <c r="V270" s="54" t="s">
        <v>66</v>
      </c>
      <c r="X270" s="45">
        <f t="shared" si="19"/>
        <v>9</v>
      </c>
      <c r="Z270" s="69" t="s">
        <v>69</v>
      </c>
      <c r="AA270" s="45">
        <f t="shared" si="16"/>
        <v>2</v>
      </c>
      <c r="AB270" t="str">
        <f t="shared" si="21"/>
        <v>Adult</v>
      </c>
      <c r="AC270" s="69">
        <v>2</v>
      </c>
      <c r="AD270" s="69">
        <v>0</v>
      </c>
      <c r="AE270" s="45" t="str">
        <f t="shared" si="22"/>
        <v>Morphological</v>
      </c>
      <c r="AF270" s="56">
        <v>4</v>
      </c>
    </row>
    <row r="271" spans="1:32" ht="18" customHeight="1" x14ac:dyDescent="0.25">
      <c r="A271" s="45">
        <v>267</v>
      </c>
      <c r="B271" s="45" t="s">
        <v>60</v>
      </c>
      <c r="C271" s="45" t="s">
        <v>61</v>
      </c>
      <c r="D271" s="45" t="s">
        <v>62</v>
      </c>
      <c r="E271" s="45" t="s">
        <v>62</v>
      </c>
      <c r="F271" s="46" cm="1">
        <f t="array" ref="F271">_xlfn.IFS($G271=$G$5,F$5,$G271=$G$6,F$6,$G271=$G$7,F$7,$G271=$G$8,F$8,$G271=$G$9,F$9,$G271=$G$10,F$10,$G271=$G$11,F$11,$G271=$G$12,F$12,$G271=$G$13,F$13,$G271=$G$15,F$15,$G271=$G$16,F$16,$G271=$G$17,F$17,$G271=$G$18,F$18,$G271=$G$19,F$19,$G271=$G$20,F$20,$G271=$G$21,F$21,$G271=$G$22,F$22,$G271=$G$25,F$25,$G271=$G$26,F$26,$G271=$G$27,F$27,$G271=$G$29,F$29,$G271=$G$31,F$31,$G271=$G$32,F$32,$G271=$G$248,F$248,$G271=$G$250,F$250)</f>
        <v>8038</v>
      </c>
      <c r="G271" t="s">
        <v>82</v>
      </c>
      <c r="H271" s="66" cm="1">
        <f t="array" ref="H271">_xlfn.IFS($G271=$G$5,H$5,$G271=$G$6,H$6,$G271=$G$7,H$7,$G271=$G$8,H$8,$G271=$G$9,H$9,$G271=$G$10,H$10,$G271=$G$11,H$11,$G271=$G$12,H$12,$G271=$G$13,H$13,$G271=$G$15,H$15,$G271=$G$16,H$16,$G271=$G$17,H$17,$G271=$G$18,H$18,$G271=$G$19,H$19,$G271=$G$20,H$20,$G271=$G$21,H$21,$G271=$G$22,H$22,$G271=$G$25,H$25,$G271=$G$26,H$26,$G271=$G$27,H$27,$G271=$G$29,H$29,$G271=$G$31,H$31,$G271=$G$32,H$150,$G271=$G$248,H$248,$G271=$G$250,H$250)</f>
        <v>41.367429999999999</v>
      </c>
      <c r="I271" s="78" cm="1">
        <f t="array" ref="I271">_xlfn.IFS($G271=$G$5,I$5,$G271=$G$6,I$6,$G271=$G$7,I$7,$G271=$G$8,I$8,$G271=$G$9,I$9,$G271=$G$10,I$10,$G271=$G$11,I$11,$G271=$G$12,I$12,$G271=$G$13,I$13,$G271=$G$15,I$15,$G271=$G$16,I$16,$G271=$G$17,I$17,$G271=$G$18,I$18,$G271=$G$19,I$19,$G271=$G$20,I$20,$G271=$G$21,I$21,$G271=$G$22,I$22,$G271=$G$25,I$25,$G271=$G$26,I$26,$G271=$G$27,I$27,$G271=$G$29,I$29,$G271=$G$31,I$31,$G271=$G$32,I$150,$G271=$G$248,I$248,$G271=$G$250,I$250)</f>
        <v>2.1569609999999999</v>
      </c>
      <c r="J271" cm="1">
        <f t="array" ref="J271">_xlfn.IFS($G271=$G$5,J$5,$G271=$G$6,J$6,$G271=$G$7,J$7,$G271=$G$8,J$8,$G271=$G$9,J$9,$G271=$G$10,J$10,$G271=$G$11,J$11,$G271=$G$12,J$12,$G271=$G$13,J$13,$G271=$G$15,J$15,$G271=$G$16,J$16,$G271=$G$17,J$17,$G271=$G$18,J$18,$G271=$G$19,J$19,$G271=$G$20,J$20,$G271=$G$21,J$21,$G271=$G$22,J$22,$G271=$G$25,J$25,$G271=$G$26,J$26,$G271=$G$27,J$27,$G271=$G$29,J$29,$G271=$G$31,J$31,$G271=$G$32,J$150,$G271=$G$248,J$248,$G271=$G$250,J$250)</f>
        <v>91</v>
      </c>
      <c r="K271" t="str" cm="1">
        <f t="array" ref="K271">_xlfn.IFS($G271=$G$5,K$5,$G271=$G$6,K$6,$G271=$G$7,K$7,$G271=$G$8,K$8,$G271=$G$9,K$9,$G271=$G$10,K$10,$G271=$G$11,K$11,$G271=$G$12,K$12,$G271=$G$13,K$13,$G271=$G$15,K$15,$G271=$G$16,K$16,$G271=$G$17,K$17,$G271=$G$18,K$18,$G271=$G$19,K$19,$G271=$G$20,K$20,$G271=$G$21,K$21,$G271=$G$22,K$22,$G271=$G$25,K$25,$G271=$G$26,K$26,$G271=$G$27,K$27,$G271=$G$29,K$29,$G271=$G$31,K$31,$G271=$G$32,K$150,$G271=$G$248,K$248,$G271=$G$250,K$250)</f>
        <v>BG sentinel + BG lure7</v>
      </c>
      <c r="L271" t="str" cm="1">
        <f t="array" ref="L271">_xlfn.IFS($G271=$G$5,L$5,$G271=$G$6,L$6,$G271=$G$7,L$7,$G271=$G$8,L$8,$G271=$G$9,L$9,$G271=$G$10,L$10,$G271=$G$11,L$11,$G271=$G$12,L$12,$G271=$G$13,L$13,$G271=$G$15,L$15,$G271=$G$16,L$16,$G271=$G$17,L$17,$G271=$G$18,L$18,$G271=$G$19,L$19,$G271=$G$20,L$20,$G271=$G$21,L$21,$G271=$G$22,L$22,$G271=$G$25,L$25,$G271=$G$26,L$26,$G271=$G$27,L$27,$G271=$G$29,L$29,$G271=$G$31,L$31,$G271=$G$32,L$32,$G271=$G$248,L$248,$G271=$G$250,L$250)</f>
        <v>Other</v>
      </c>
      <c r="O271" s="45" t="str">
        <f t="shared" si="20"/>
        <v>A_SP_BCN_11_210623</v>
      </c>
      <c r="P271" s="64">
        <v>44370</v>
      </c>
      <c r="R271" s="72"/>
      <c r="S271" s="64">
        <v>44379</v>
      </c>
      <c r="U271" s="72"/>
      <c r="V271" s="54" t="s">
        <v>66</v>
      </c>
      <c r="W271" s="79" t="s">
        <v>120</v>
      </c>
      <c r="X271" s="45">
        <f t="shared" si="19"/>
        <v>9</v>
      </c>
      <c r="Z271" s="45" t="s">
        <v>70</v>
      </c>
      <c r="AA271" s="45">
        <f t="shared" si="16"/>
        <v>1</v>
      </c>
      <c r="AB271" t="str">
        <f t="shared" si="21"/>
        <v>Adult</v>
      </c>
      <c r="AC271" s="69">
        <v>1</v>
      </c>
      <c r="AD271" s="69">
        <v>0</v>
      </c>
      <c r="AE271" s="45" t="str">
        <f t="shared" si="22"/>
        <v>Morphological</v>
      </c>
      <c r="AF271" s="56">
        <v>4</v>
      </c>
    </row>
    <row r="272" spans="1:32" ht="18" customHeight="1" x14ac:dyDescent="0.25">
      <c r="A272" s="45">
        <v>268</v>
      </c>
      <c r="B272" s="45" t="s">
        <v>60</v>
      </c>
      <c r="C272" s="45" t="s">
        <v>61</v>
      </c>
      <c r="D272" s="45" t="s">
        <v>62</v>
      </c>
      <c r="E272" s="45" t="s">
        <v>62</v>
      </c>
      <c r="F272" s="46" cm="1">
        <f t="array" ref="F272">_xlfn.IFS($G272=$G$5,F$5,$G272=$G$6,F$6,$G272=$G$7,F$7,$G272=$G$8,F$8,$G272=$G$9,F$9,$G272=$G$10,F$10,$G272=$G$11,F$11,$G272=$G$12,F$12,$G272=$G$13,F$13,$G272=$G$15,F$15,$G272=$G$16,F$16,$G272=$G$17,F$17,$G272=$G$18,F$18,$G272=$G$19,F$19,$G272=$G$20,F$20,$G272=$G$21,F$21,$G272=$G$22,F$22,$G272=$G$25,F$25,$G272=$G$26,F$26,$G272=$G$27,F$27,$G272=$G$29,F$29,$G272=$G$31,F$31,$G272=$G$32,F$32,$G272=$G$248,F$248,$G272=$G$250,F$250)</f>
        <v>8038</v>
      </c>
      <c r="G272" t="s">
        <v>84</v>
      </c>
      <c r="H272" s="66" cm="1">
        <f t="array" ref="H272">_xlfn.IFS($G272=$G$5,H$5,$G272=$G$6,H$6,$G272=$G$7,H$7,$G272=$G$8,H$8,$G272=$G$9,H$9,$G272=$G$10,H$10,$G272=$G$11,H$11,$G272=$G$12,H$12,$G272=$G$13,H$13,$G272=$G$15,H$15,$G272=$G$16,H$16,$G272=$G$17,H$17,$G272=$G$18,H$18,$G272=$G$19,H$19,$G272=$G$20,H$20,$G272=$G$21,H$21,$G272=$G$22,H$22,$G272=$G$25,H$25,$G272=$G$26,H$26,$G272=$G$27,H$27,$G272=$G$29,H$29,$G272=$G$31,H$31,$G272=$G$32,H$150,$G272=$G$248,H$248,$G272=$G$250,H$250)</f>
        <v>41.363377999999997</v>
      </c>
      <c r="I272" s="78" cm="1">
        <f t="array" ref="I272">_xlfn.IFS($G272=$G$5,I$5,$G272=$G$6,I$6,$G272=$G$7,I$7,$G272=$G$8,I$8,$G272=$G$9,I$9,$G272=$G$10,I$10,$G272=$G$11,I$11,$G272=$G$12,I$12,$G272=$G$13,I$13,$G272=$G$15,I$15,$G272=$G$16,I$16,$G272=$G$17,I$17,$G272=$G$18,I$18,$G272=$G$19,I$19,$G272=$G$20,I$20,$G272=$G$21,I$21,$G272=$G$22,I$22,$G272=$G$25,I$25,$G272=$G$26,I$26,$G272=$G$27,I$27,$G272=$G$29,I$29,$G272=$G$31,I$31,$G272=$G$32,I$150,$G272=$G$248,I$248,$G272=$G$250,I$250)</f>
        <v>2.164879</v>
      </c>
      <c r="J272" cm="1">
        <f t="array" ref="J272">_xlfn.IFS($G272=$G$5,J$5,$G272=$G$6,J$6,$G272=$G$7,J$7,$G272=$G$8,J$8,$G272=$G$9,J$9,$G272=$G$10,J$10,$G272=$G$11,J$11,$G272=$G$12,J$12,$G272=$G$13,J$13,$G272=$G$15,J$15,$G272=$G$16,J$16,$G272=$G$17,J$17,$G272=$G$18,J$18,$G272=$G$19,J$19,$G272=$G$20,J$20,$G272=$G$21,J$21,$G272=$G$22,J$22,$G272=$G$25,J$25,$G272=$G$26,J$26,$G272=$G$27,J$27,$G272=$G$29,J$29,$G272=$G$31,J$31,$G272=$G$32,J$150,$G272=$G$248,J$248,$G272=$G$250,J$250)</f>
        <v>185</v>
      </c>
      <c r="K272" t="str" cm="1">
        <f t="array" ref="K272">_xlfn.IFS($G272=$G$5,K$5,$G272=$G$6,K$6,$G272=$G$7,K$7,$G272=$G$8,K$8,$G272=$G$9,K$9,$G272=$G$10,K$10,$G272=$G$11,K$11,$G272=$G$12,K$12,$G272=$G$13,K$13,$G272=$G$15,K$15,$G272=$G$16,K$16,$G272=$G$17,K$17,$G272=$G$18,K$18,$G272=$G$19,K$19,$G272=$G$20,K$20,$G272=$G$21,K$21,$G272=$G$22,K$22,$G272=$G$25,K$25,$G272=$G$26,K$26,$G272=$G$27,K$27,$G272=$G$29,K$29,$G272=$G$31,K$31,$G272=$G$32,K$150,$G272=$G$248,K$248,$G272=$G$250,K$250)</f>
        <v>BG sentinel + BG lure7</v>
      </c>
      <c r="L272" t="str" cm="1">
        <f t="array" ref="L272">_xlfn.IFS($G272=$G$5,L$5,$G272=$G$6,L$6,$G272=$G$7,L$7,$G272=$G$8,L$8,$G272=$G$9,L$9,$G272=$G$10,L$10,$G272=$G$11,L$11,$G272=$G$12,L$12,$G272=$G$13,L$13,$G272=$G$15,L$15,$G272=$G$16,L$16,$G272=$G$17,L$17,$G272=$G$18,L$18,$G272=$G$19,L$19,$G272=$G$20,L$20,$G272=$G$21,L$21,$G272=$G$22,L$22,$G272=$G$25,L$25,$G272=$G$26,L$26,$G272=$G$27,L$27,$G272=$G$29,L$29,$G272=$G$31,L$31,$G272=$G$32,L$32,$G272=$G$248,L$248,$G272=$G$250,L$250)</f>
        <v>Other</v>
      </c>
      <c r="O272" s="45" t="str">
        <f t="shared" si="20"/>
        <v>A_SP_BCN_12_210623</v>
      </c>
      <c r="P272" s="64">
        <v>44370</v>
      </c>
      <c r="R272" s="72"/>
      <c r="S272" s="64">
        <v>44378</v>
      </c>
      <c r="U272" s="72"/>
      <c r="V272" s="54" t="s">
        <v>66</v>
      </c>
      <c r="X272" s="45">
        <f t="shared" si="19"/>
        <v>8</v>
      </c>
      <c r="Z272" s="69" t="s">
        <v>69</v>
      </c>
      <c r="AA272" s="45">
        <f t="shared" si="16"/>
        <v>1</v>
      </c>
      <c r="AB272" t="str">
        <f t="shared" si="21"/>
        <v>Adult</v>
      </c>
      <c r="AC272" s="69">
        <v>1</v>
      </c>
      <c r="AD272" s="69">
        <v>0</v>
      </c>
      <c r="AE272" s="45" t="str">
        <f t="shared" si="22"/>
        <v>Morphological</v>
      </c>
      <c r="AF272" s="56">
        <v>4</v>
      </c>
    </row>
    <row r="273" spans="1:32" ht="18" customHeight="1" x14ac:dyDescent="0.25">
      <c r="A273" s="45">
        <v>269</v>
      </c>
      <c r="B273" s="45" t="s">
        <v>60</v>
      </c>
      <c r="C273" s="45" t="s">
        <v>61</v>
      </c>
      <c r="D273" s="45" t="s">
        <v>62</v>
      </c>
      <c r="E273" s="45" t="s">
        <v>62</v>
      </c>
      <c r="F273" s="46" cm="1">
        <f t="array" ref="F273">_xlfn.IFS($G273=$G$5,F$5,$G273=$G$6,F$6,$G273=$G$7,F$7,$G273=$G$8,F$8,$G273=$G$9,F$9,$G273=$G$10,F$10,$G273=$G$11,F$11,$G273=$G$12,F$12,$G273=$G$13,F$13,$G273=$G$15,F$15,$G273=$G$16,F$16,$G273=$G$17,F$17,$G273=$G$18,F$18,$G273=$G$19,F$19,$G273=$G$20,F$20,$G273=$G$21,F$21,$G273=$G$22,F$22,$G273=$G$25,F$25,$G273=$G$26,F$26,$G273=$G$27,F$27,$G273=$G$29,F$29,$G273=$G$31,F$31,$G273=$G$32,F$32,$G273=$G$248,F$248,$G273=$G$250,F$250)</f>
        <v>8038</v>
      </c>
      <c r="G273" t="s">
        <v>84</v>
      </c>
      <c r="H273" s="66" cm="1">
        <f t="array" ref="H273">_xlfn.IFS($G273=$G$5,H$5,$G273=$G$6,H$6,$G273=$G$7,H$7,$G273=$G$8,H$8,$G273=$G$9,H$9,$G273=$G$10,H$10,$G273=$G$11,H$11,$G273=$G$12,H$12,$G273=$G$13,H$13,$G273=$G$15,H$15,$G273=$G$16,H$16,$G273=$G$17,H$17,$G273=$G$18,H$18,$G273=$G$19,H$19,$G273=$G$20,H$20,$G273=$G$21,H$21,$G273=$G$22,H$22,$G273=$G$25,H$25,$G273=$G$26,H$26,$G273=$G$27,H$27,$G273=$G$29,H$29,$G273=$G$31,H$31,$G273=$G$32,H$150,$G273=$G$248,H$248,$G273=$G$250,H$250)</f>
        <v>41.363377999999997</v>
      </c>
      <c r="I273" s="78" cm="1">
        <f t="array" ref="I273">_xlfn.IFS($G273=$G$5,I$5,$G273=$G$6,I$6,$G273=$G$7,I$7,$G273=$G$8,I$8,$G273=$G$9,I$9,$G273=$G$10,I$10,$G273=$G$11,I$11,$G273=$G$12,I$12,$G273=$G$13,I$13,$G273=$G$15,I$15,$G273=$G$16,I$16,$G273=$G$17,I$17,$G273=$G$18,I$18,$G273=$G$19,I$19,$G273=$G$20,I$20,$G273=$G$21,I$21,$G273=$G$22,I$22,$G273=$G$25,I$25,$G273=$G$26,I$26,$G273=$G$27,I$27,$G273=$G$29,I$29,$G273=$G$31,I$31,$G273=$G$32,I$150,$G273=$G$248,I$248,$G273=$G$250,I$250)</f>
        <v>2.164879</v>
      </c>
      <c r="J273" cm="1">
        <f t="array" ref="J273">_xlfn.IFS($G273=$G$5,J$5,$G273=$G$6,J$6,$G273=$G$7,J$7,$G273=$G$8,J$8,$G273=$G$9,J$9,$G273=$G$10,J$10,$G273=$G$11,J$11,$G273=$G$12,J$12,$G273=$G$13,J$13,$G273=$G$15,J$15,$G273=$G$16,J$16,$G273=$G$17,J$17,$G273=$G$18,J$18,$G273=$G$19,J$19,$G273=$G$20,J$20,$G273=$G$21,J$21,$G273=$G$22,J$22,$G273=$G$25,J$25,$G273=$G$26,J$26,$G273=$G$27,J$27,$G273=$G$29,J$29,$G273=$G$31,J$31,$G273=$G$32,J$150,$G273=$G$248,J$248,$G273=$G$250,J$250)</f>
        <v>185</v>
      </c>
      <c r="K273" t="str" cm="1">
        <f t="array" ref="K273">_xlfn.IFS($G273=$G$5,K$5,$G273=$G$6,K$6,$G273=$G$7,K$7,$G273=$G$8,K$8,$G273=$G$9,K$9,$G273=$G$10,K$10,$G273=$G$11,K$11,$G273=$G$12,K$12,$G273=$G$13,K$13,$G273=$G$15,K$15,$G273=$G$16,K$16,$G273=$G$17,K$17,$G273=$G$18,K$18,$G273=$G$19,K$19,$G273=$G$20,K$20,$G273=$G$21,K$21,$G273=$G$22,K$22,$G273=$G$25,K$25,$G273=$G$26,K$26,$G273=$G$27,K$27,$G273=$G$29,K$29,$G273=$G$31,K$31,$G273=$G$32,K$150,$G273=$G$248,K$248,$G273=$G$250,K$250)</f>
        <v>BG sentinel + BG lure7</v>
      </c>
      <c r="L273" t="str" cm="1">
        <f t="array" ref="L273">_xlfn.IFS($G273=$G$5,L$5,$G273=$G$6,L$6,$G273=$G$7,L$7,$G273=$G$8,L$8,$G273=$G$9,L$9,$G273=$G$10,L$10,$G273=$G$11,L$11,$G273=$G$12,L$12,$G273=$G$13,L$13,$G273=$G$15,L$15,$G273=$G$16,L$16,$G273=$G$17,L$17,$G273=$G$18,L$18,$G273=$G$19,L$19,$G273=$G$20,L$20,$G273=$G$21,L$21,$G273=$G$22,L$22,$G273=$G$25,L$25,$G273=$G$26,L$26,$G273=$G$27,L$27,$G273=$G$29,L$29,$G273=$G$31,L$31,$G273=$G$32,L$32,$G273=$G$248,L$248,$G273=$G$250,L$250)</f>
        <v>Other</v>
      </c>
      <c r="O273" s="45" t="str">
        <f t="shared" si="20"/>
        <v>A_SP_BCN_12_210623</v>
      </c>
      <c r="P273" s="64">
        <v>44370</v>
      </c>
      <c r="R273" s="72"/>
      <c r="S273" s="64">
        <v>44378</v>
      </c>
      <c r="U273" s="72"/>
      <c r="V273" s="54" t="s">
        <v>66</v>
      </c>
      <c r="X273" s="45">
        <f t="shared" si="19"/>
        <v>8</v>
      </c>
      <c r="Z273" s="45" t="s">
        <v>70</v>
      </c>
      <c r="AA273" s="45">
        <f t="shared" si="16"/>
        <v>40</v>
      </c>
      <c r="AB273" t="str">
        <f t="shared" si="21"/>
        <v>Adult</v>
      </c>
      <c r="AC273" s="69">
        <v>35</v>
      </c>
      <c r="AD273" s="69">
        <v>5</v>
      </c>
      <c r="AE273" s="45" t="str">
        <f t="shared" si="22"/>
        <v>Morphological</v>
      </c>
      <c r="AF273" s="56">
        <v>4</v>
      </c>
    </row>
    <row r="274" spans="1:32" ht="18" customHeight="1" x14ac:dyDescent="0.25">
      <c r="A274" s="45">
        <v>270</v>
      </c>
      <c r="B274" s="45" t="s">
        <v>60</v>
      </c>
      <c r="C274" s="45" t="s">
        <v>61</v>
      </c>
      <c r="D274" s="45" t="s">
        <v>62</v>
      </c>
      <c r="E274" s="45" t="s">
        <v>62</v>
      </c>
      <c r="F274" s="46" cm="1">
        <f t="array" ref="F274">_xlfn.IFS($G274=$G$5,F$5,$G274=$G$6,F$6,$G274=$G$7,F$7,$G274=$G$8,F$8,$G274=$G$9,F$9,$G274=$G$10,F$10,$G274=$G$11,F$11,$G274=$G$12,F$12,$G274=$G$13,F$13,$G274=$G$15,F$15,$G274=$G$16,F$16,$G274=$G$17,F$17,$G274=$G$18,F$18,$G274=$G$19,F$19,$G274=$G$20,F$20,$G274=$G$21,F$21,$G274=$G$22,F$22,$G274=$G$25,F$25,$G274=$G$26,F$26,$G274=$G$27,F$27,$G274=$G$29,F$29,$G274=$G$31,F$31,$G274=$G$32,F$32,$G274=$G$248,F$248,$G274=$G$250,F$250)</f>
        <v>8038</v>
      </c>
      <c r="G274" t="s">
        <v>84</v>
      </c>
      <c r="H274" s="66" cm="1">
        <f t="array" ref="H274">_xlfn.IFS($G274=$G$5,H$5,$G274=$G$6,H$6,$G274=$G$7,H$7,$G274=$G$8,H$8,$G274=$G$9,H$9,$G274=$G$10,H$10,$G274=$G$11,H$11,$G274=$G$12,H$12,$G274=$G$13,H$13,$G274=$G$15,H$15,$G274=$G$16,H$16,$G274=$G$17,H$17,$G274=$G$18,H$18,$G274=$G$19,H$19,$G274=$G$20,H$20,$G274=$G$21,H$21,$G274=$G$22,H$22,$G274=$G$25,H$25,$G274=$G$26,H$26,$G274=$G$27,H$27,$G274=$G$29,H$29,$G274=$G$31,H$31,$G274=$G$32,H$150,$G274=$G$248,H$248,$G274=$G$250,H$250)</f>
        <v>41.363377999999997</v>
      </c>
      <c r="I274" s="78" cm="1">
        <f t="array" ref="I274">_xlfn.IFS($G274=$G$5,I$5,$G274=$G$6,I$6,$G274=$G$7,I$7,$G274=$G$8,I$8,$G274=$G$9,I$9,$G274=$G$10,I$10,$G274=$G$11,I$11,$G274=$G$12,I$12,$G274=$G$13,I$13,$G274=$G$15,I$15,$G274=$G$16,I$16,$G274=$G$17,I$17,$G274=$G$18,I$18,$G274=$G$19,I$19,$G274=$G$20,I$20,$G274=$G$21,I$21,$G274=$G$22,I$22,$G274=$G$25,I$25,$G274=$G$26,I$26,$G274=$G$27,I$27,$G274=$G$29,I$29,$G274=$G$31,I$31,$G274=$G$32,I$150,$G274=$G$248,I$248,$G274=$G$250,I$250)</f>
        <v>2.164879</v>
      </c>
      <c r="J274" cm="1">
        <f t="array" ref="J274">_xlfn.IFS($G274=$G$5,J$5,$G274=$G$6,J$6,$G274=$G$7,J$7,$G274=$G$8,J$8,$G274=$G$9,J$9,$G274=$G$10,J$10,$G274=$G$11,J$11,$G274=$G$12,J$12,$G274=$G$13,J$13,$G274=$G$15,J$15,$G274=$G$16,J$16,$G274=$G$17,J$17,$G274=$G$18,J$18,$G274=$G$19,J$19,$G274=$G$20,J$20,$G274=$G$21,J$21,$G274=$G$22,J$22,$G274=$G$25,J$25,$G274=$G$26,J$26,$G274=$G$27,J$27,$G274=$G$29,J$29,$G274=$G$31,J$31,$G274=$G$32,J$150,$G274=$G$248,J$248,$G274=$G$250,J$250)</f>
        <v>185</v>
      </c>
      <c r="K274" t="str" cm="1">
        <f t="array" ref="K274">_xlfn.IFS($G274=$G$5,K$5,$G274=$G$6,K$6,$G274=$G$7,K$7,$G274=$G$8,K$8,$G274=$G$9,K$9,$G274=$G$10,K$10,$G274=$G$11,K$11,$G274=$G$12,K$12,$G274=$G$13,K$13,$G274=$G$15,K$15,$G274=$G$16,K$16,$G274=$G$17,K$17,$G274=$G$18,K$18,$G274=$G$19,K$19,$G274=$G$20,K$20,$G274=$G$21,K$21,$G274=$G$22,K$22,$G274=$G$25,K$25,$G274=$G$26,K$26,$G274=$G$27,K$27,$G274=$G$29,K$29,$G274=$G$31,K$31,$G274=$G$32,K$150,$G274=$G$248,K$248,$G274=$G$250,K$250)</f>
        <v>BG sentinel + BG lure7</v>
      </c>
      <c r="L274" t="str" cm="1">
        <f t="array" ref="L274">_xlfn.IFS($G274=$G$5,L$5,$G274=$G$6,L$6,$G274=$G$7,L$7,$G274=$G$8,L$8,$G274=$G$9,L$9,$G274=$G$10,L$10,$G274=$G$11,L$11,$G274=$G$12,L$12,$G274=$G$13,L$13,$G274=$G$15,L$15,$G274=$G$16,L$16,$G274=$G$17,L$17,$G274=$G$18,L$18,$G274=$G$19,L$19,$G274=$G$20,L$20,$G274=$G$21,L$21,$G274=$G$22,L$22,$G274=$G$25,L$25,$G274=$G$26,L$26,$G274=$G$27,L$27,$G274=$G$29,L$29,$G274=$G$31,L$31,$G274=$G$32,L$32,$G274=$G$248,L$248,$G274=$G$250,L$250)</f>
        <v>Other</v>
      </c>
      <c r="O274" s="45" t="str">
        <f t="shared" si="20"/>
        <v>A_SP_BCN_12_210623</v>
      </c>
      <c r="P274" s="64">
        <v>44370</v>
      </c>
      <c r="R274" s="72"/>
      <c r="S274" s="64">
        <v>44378</v>
      </c>
      <c r="U274" s="72"/>
      <c r="V274" s="54" t="s">
        <v>66</v>
      </c>
      <c r="X274" s="45">
        <f t="shared" si="19"/>
        <v>8</v>
      </c>
      <c r="Z274" s="45" t="s">
        <v>80</v>
      </c>
      <c r="AA274" s="45">
        <f t="shared" si="16"/>
        <v>2</v>
      </c>
      <c r="AB274" t="str">
        <f t="shared" si="21"/>
        <v>Adult</v>
      </c>
      <c r="AC274" s="69">
        <v>1</v>
      </c>
      <c r="AD274" s="69">
        <v>1</v>
      </c>
      <c r="AE274" s="45" t="str">
        <f t="shared" si="22"/>
        <v>Morphological</v>
      </c>
      <c r="AF274" s="56">
        <v>4</v>
      </c>
    </row>
    <row r="275" spans="1:32" ht="18" customHeight="1" x14ac:dyDescent="0.25">
      <c r="A275" s="45">
        <v>271</v>
      </c>
      <c r="B275" s="45" t="s">
        <v>60</v>
      </c>
      <c r="C275" s="45" t="s">
        <v>61</v>
      </c>
      <c r="D275" s="45" t="s">
        <v>62</v>
      </c>
      <c r="E275" s="45" t="s">
        <v>62</v>
      </c>
      <c r="F275" s="46" cm="1">
        <f t="array" ref="F275">_xlfn.IFS($G275=$G$5,F$5,$G275=$G$6,F$6,$G275=$G$7,F$7,$G275=$G$8,F$8,$G275=$G$9,F$9,$G275=$G$10,F$10,$G275=$G$11,F$11,$G275=$G$12,F$12,$G275=$G$13,F$13,$G275=$G$15,F$15,$G275=$G$16,F$16,$G275=$G$17,F$17,$G275=$G$18,F$18,$G275=$G$19,F$19,$G275=$G$20,F$20,$G275=$G$21,F$21,$G275=$G$22,F$22,$G275=$G$25,F$25,$G275=$G$26,F$26,$G275=$G$27,F$27,$G275=$G$29,F$29,$G275=$G$31,F$31,$G275=$G$32,F$32,$G275=$G$248,F$248,$G275=$G$250,F$250)</f>
        <v>8035</v>
      </c>
      <c r="G275" t="s">
        <v>85</v>
      </c>
      <c r="H275" s="66" cm="1">
        <f t="array" ref="H275">_xlfn.IFS($G275=$G$5,H$5,$G275=$G$6,H$6,$G275=$G$7,H$7,$G275=$G$8,H$8,$G275=$G$9,H$9,$G275=$G$10,H$10,$G275=$G$11,H$11,$G275=$G$12,H$12,$G275=$G$13,H$13,$G275=$G$15,H$15,$G275=$G$16,H$16,$G275=$G$17,H$17,$G275=$G$18,H$18,$G275=$G$19,H$19,$G275=$G$20,H$20,$G275=$G$21,H$21,$G275=$G$22,H$22,$G275=$G$25,H$25,$G275=$G$26,H$26,$G275=$G$27,H$27,$G275=$G$29,H$29,$G275=$G$31,H$31,$G275=$G$32,H$150,$G275=$G$248,H$248,$G275=$G$250,H$250)</f>
        <v>41.434472</v>
      </c>
      <c r="I275" s="78" cm="1">
        <f t="array" ref="I275">_xlfn.IFS($G275=$G$5,I$5,$G275=$G$6,I$6,$G275=$G$7,I$7,$G275=$G$8,I$8,$G275=$G$9,I$9,$G275=$G$10,I$10,$G275=$G$11,I$11,$G275=$G$12,I$12,$G275=$G$13,I$13,$G275=$G$15,I$15,$G275=$G$16,I$16,$G275=$G$17,I$17,$G275=$G$18,I$18,$G275=$G$19,I$19,$G275=$G$20,I$20,$G275=$G$21,I$21,$G275=$G$22,I$22,$G275=$G$25,I$25,$G275=$G$26,I$26,$G275=$G$27,I$27,$G275=$G$29,I$29,$G275=$G$31,I$31,$G275=$G$32,I$150,$G275=$G$248,I$248,$G275=$G$250,I$250)</f>
        <v>2.1315789999999999</v>
      </c>
      <c r="J275" cm="1">
        <f t="array" ref="J275">_xlfn.IFS($G275=$G$5,J$5,$G275=$G$6,J$6,$G275=$G$7,J$7,$G275=$G$8,J$8,$G275=$G$9,J$9,$G275=$G$10,J$10,$G275=$G$11,J$11,$G275=$G$12,J$12,$G275=$G$13,J$13,$G275=$G$15,J$15,$G275=$G$16,J$16,$G275=$G$17,J$17,$G275=$G$18,J$18,$G275=$G$19,J$19,$G275=$G$20,J$20,$G275=$G$21,J$21,$G275=$G$22,J$22,$G275=$G$25,J$25,$G275=$G$26,J$26,$G275=$G$27,J$27,$G275=$G$29,J$29,$G275=$G$31,J$31,$G275=$G$32,J$150,$G275=$G$248,J$248,$G275=$G$250,J$250)</f>
        <v>365</v>
      </c>
      <c r="K275" t="str" cm="1">
        <f t="array" ref="K275">_xlfn.IFS($G275=$G$5,K$5,$G275=$G$6,K$6,$G275=$G$7,K$7,$G275=$G$8,K$8,$G275=$G$9,K$9,$G275=$G$10,K$10,$G275=$G$11,K$11,$G275=$G$12,K$12,$G275=$G$13,K$13,$G275=$G$15,K$15,$G275=$G$16,K$16,$G275=$G$17,K$17,$G275=$G$18,K$18,$G275=$G$19,K$19,$G275=$G$20,K$20,$G275=$G$21,K$21,$G275=$G$22,K$22,$G275=$G$25,K$25,$G275=$G$26,K$26,$G275=$G$27,K$27,$G275=$G$29,K$29,$G275=$G$31,K$31,$G275=$G$32,K$150,$G275=$G$248,K$248,$G275=$G$250,K$250)</f>
        <v>BG sentinel + BG lure7</v>
      </c>
      <c r="L275" t="str" cm="1">
        <f t="array" ref="L275">_xlfn.IFS($G275=$G$5,L$5,$G275=$G$6,L$6,$G275=$G$7,L$7,$G275=$G$8,L$8,$G275=$G$9,L$9,$G275=$G$10,L$10,$G275=$G$11,L$11,$G275=$G$12,L$12,$G275=$G$13,L$13,$G275=$G$15,L$15,$G275=$G$16,L$16,$G275=$G$17,L$17,$G275=$G$18,L$18,$G275=$G$19,L$19,$G275=$G$20,L$20,$G275=$G$21,L$21,$G275=$G$22,L$22,$G275=$G$25,L$25,$G275=$G$26,L$26,$G275=$G$27,L$27,$G275=$G$29,L$29,$G275=$G$31,L$31,$G275=$G$32,L$32,$G275=$G$248,L$248,$G275=$G$250,L$250)</f>
        <v>Other</v>
      </c>
      <c r="O275" s="45" t="str">
        <f t="shared" si="20"/>
        <v>A_SP_BCN_13_210622</v>
      </c>
      <c r="P275" s="64">
        <v>44369</v>
      </c>
      <c r="R275" s="72"/>
      <c r="S275" s="64">
        <v>44377</v>
      </c>
      <c r="U275" s="72"/>
      <c r="V275" s="54" t="s">
        <v>66</v>
      </c>
      <c r="X275" s="45">
        <f t="shared" si="19"/>
        <v>8</v>
      </c>
      <c r="Z275" s="45" t="s">
        <v>80</v>
      </c>
      <c r="AA275" s="45">
        <f t="shared" si="16"/>
        <v>5</v>
      </c>
      <c r="AB275" t="str">
        <f t="shared" si="21"/>
        <v>Adult</v>
      </c>
      <c r="AC275" s="69">
        <v>4</v>
      </c>
      <c r="AD275" s="69">
        <v>1</v>
      </c>
      <c r="AE275" s="45" t="str">
        <f t="shared" si="22"/>
        <v>Morphological</v>
      </c>
      <c r="AF275" s="56">
        <v>4</v>
      </c>
    </row>
    <row r="276" spans="1:32" ht="18" customHeight="1" x14ac:dyDescent="0.25">
      <c r="A276" s="45">
        <v>272</v>
      </c>
      <c r="B276" s="45" t="s">
        <v>60</v>
      </c>
      <c r="C276" s="45" t="s">
        <v>61</v>
      </c>
      <c r="D276" s="45" t="s">
        <v>62</v>
      </c>
      <c r="E276" s="45" t="s">
        <v>62</v>
      </c>
      <c r="F276" s="46" cm="1">
        <f t="array" ref="F276">_xlfn.IFS($G276=$G$5,F$5,$G276=$G$6,F$6,$G276=$G$7,F$7,$G276=$G$8,F$8,$G276=$G$9,F$9,$G276=$G$10,F$10,$G276=$G$11,F$11,$G276=$G$12,F$12,$G276=$G$13,F$13,$G276=$G$15,F$15,$G276=$G$16,F$16,$G276=$G$17,F$17,$G276=$G$18,F$18,$G276=$G$19,F$19,$G276=$G$20,F$20,$G276=$G$21,F$21,$G276=$G$22,F$22,$G276=$G$25,F$25,$G276=$G$26,F$26,$G276=$G$27,F$27,$G276=$G$29,F$29,$G276=$G$31,F$31,$G276=$G$32,F$32,$G276=$G$248,F$248,$G276=$G$250,F$250)</f>
        <v>8017</v>
      </c>
      <c r="G276" t="s">
        <v>86</v>
      </c>
      <c r="H276" s="66" cm="1">
        <f t="array" ref="H276">_xlfn.IFS($G276=$G$5,H$5,$G276=$G$6,H$6,$G276=$G$7,H$7,$G276=$G$8,H$8,$G276=$G$9,H$9,$G276=$G$10,H$10,$G276=$G$11,H$11,$G276=$G$12,H$12,$G276=$G$13,H$13,$G276=$G$15,H$15,$G276=$G$16,H$16,$G276=$G$17,H$17,$G276=$G$18,H$18,$G276=$G$19,H$19,$G276=$G$20,H$20,$G276=$G$21,H$21,$G276=$G$22,H$22,$G276=$G$25,H$25,$G276=$G$26,H$26,$G276=$G$27,H$27,$G276=$G$29,H$29,$G276=$G$31,H$31,$G276=$G$32,H$150,$G276=$G$248,H$248,$G276=$G$250,H$250)</f>
        <v>41.428533999999999</v>
      </c>
      <c r="I276" s="78" cm="1">
        <f t="array" ref="I276">_xlfn.IFS($G276=$G$5,I$5,$G276=$G$6,I$6,$G276=$G$7,I$7,$G276=$G$8,I$8,$G276=$G$9,I$9,$G276=$G$10,I$10,$G276=$G$11,I$11,$G276=$G$12,I$12,$G276=$G$13,I$13,$G276=$G$15,I$15,$G276=$G$16,I$16,$G276=$G$17,I$17,$G276=$G$18,I$18,$G276=$G$19,I$19,$G276=$G$20,I$20,$G276=$G$21,I$21,$G276=$G$22,I$22,$G276=$G$25,I$25,$G276=$G$26,I$26,$G276=$G$27,I$27,$G276=$G$29,I$29,$G276=$G$31,I$31,$G276=$G$32,I$150,$G276=$G$248,I$248,$G276=$G$250,I$250)</f>
        <v>2.090954</v>
      </c>
      <c r="J276" cm="1">
        <f t="array" ref="J276">_xlfn.IFS($G276=$G$5,J$5,$G276=$G$6,J$6,$G276=$G$7,J$7,$G276=$G$8,J$8,$G276=$G$9,J$9,$G276=$G$10,J$10,$G276=$G$11,J$11,$G276=$G$12,J$12,$G276=$G$13,J$13,$G276=$G$15,J$15,$G276=$G$16,J$16,$G276=$G$17,J$17,$G276=$G$18,J$18,$G276=$G$19,J$19,$G276=$G$20,J$20,$G276=$G$21,J$21,$G276=$G$22,J$22,$G276=$G$25,J$25,$G276=$G$26,J$26,$G276=$G$27,J$27,$G276=$G$29,J$29,$G276=$G$31,J$31,$G276=$G$32,J$150,$G276=$G$248,J$248,$G276=$G$250,J$250)</f>
        <v>215</v>
      </c>
      <c r="K276" t="str" cm="1">
        <f t="array" ref="K276">_xlfn.IFS($G276=$G$5,K$5,$G276=$G$6,K$6,$G276=$G$7,K$7,$G276=$G$8,K$8,$G276=$G$9,K$9,$G276=$G$10,K$10,$G276=$G$11,K$11,$G276=$G$12,K$12,$G276=$G$13,K$13,$G276=$G$15,K$15,$G276=$G$16,K$16,$G276=$G$17,K$17,$G276=$G$18,K$18,$G276=$G$19,K$19,$G276=$G$20,K$20,$G276=$G$21,K$21,$G276=$G$22,K$22,$G276=$G$25,K$25,$G276=$G$26,K$26,$G276=$G$27,K$27,$G276=$G$29,K$29,$G276=$G$31,K$31,$G276=$G$32,K$150,$G276=$G$248,K$248,$G276=$G$250,K$250)</f>
        <v>BG sentinel + BG lure7</v>
      </c>
      <c r="O276" s="45" t="str">
        <f t="shared" si="20"/>
        <v>A_SP_BCN_14_210622</v>
      </c>
      <c r="P276" s="64">
        <v>44369</v>
      </c>
      <c r="R276" s="72"/>
      <c r="S276" s="64">
        <v>44377</v>
      </c>
      <c r="U276" s="72"/>
      <c r="V276" s="54" t="s">
        <v>66</v>
      </c>
      <c r="X276" s="45">
        <f t="shared" si="19"/>
        <v>8</v>
      </c>
      <c r="Z276" s="69" t="s">
        <v>69</v>
      </c>
      <c r="AA276" s="45">
        <f t="shared" si="16"/>
        <v>5</v>
      </c>
      <c r="AB276" t="str">
        <f t="shared" si="21"/>
        <v>Adult</v>
      </c>
      <c r="AC276" s="69">
        <v>5</v>
      </c>
      <c r="AD276" s="69">
        <v>0</v>
      </c>
      <c r="AE276" s="45" t="str">
        <f t="shared" si="22"/>
        <v>Morphological</v>
      </c>
      <c r="AF276" s="56">
        <v>4</v>
      </c>
    </row>
    <row r="277" spans="1:32" ht="18" customHeight="1" x14ac:dyDescent="0.25">
      <c r="A277" s="45">
        <v>273</v>
      </c>
      <c r="B277" s="45" t="s">
        <v>60</v>
      </c>
      <c r="C277" s="45" t="s">
        <v>61</v>
      </c>
      <c r="D277" s="45" t="s">
        <v>62</v>
      </c>
      <c r="E277" s="45" t="s">
        <v>62</v>
      </c>
      <c r="F277" s="46" cm="1">
        <f t="array" ref="F277">_xlfn.IFS($G277=$G$5,F$5,$G277=$G$6,F$6,$G277=$G$7,F$7,$G277=$G$8,F$8,$G277=$G$9,F$9,$G277=$G$10,F$10,$G277=$G$11,F$11,$G277=$G$12,F$12,$G277=$G$13,F$13,$G277=$G$15,F$15,$G277=$G$16,F$16,$G277=$G$17,F$17,$G277=$G$18,F$18,$G277=$G$19,F$19,$G277=$G$20,F$20,$G277=$G$21,F$21,$G277=$G$22,F$22,$G277=$G$25,F$25,$G277=$G$26,F$26,$G277=$G$27,F$27,$G277=$G$29,F$29,$G277=$G$31,F$31,$G277=$G$32,F$32,$G277=$G$248,F$248,$G277=$G$250,F$250)</f>
        <v>8017</v>
      </c>
      <c r="G277" t="s">
        <v>86</v>
      </c>
      <c r="H277" s="66" cm="1">
        <f t="array" ref="H277">_xlfn.IFS($G277=$G$5,H$5,$G277=$G$6,H$6,$G277=$G$7,H$7,$G277=$G$8,H$8,$G277=$G$9,H$9,$G277=$G$10,H$10,$G277=$G$11,H$11,$G277=$G$12,H$12,$G277=$G$13,H$13,$G277=$G$15,H$15,$G277=$G$16,H$16,$G277=$G$17,H$17,$G277=$G$18,H$18,$G277=$G$19,H$19,$G277=$G$20,H$20,$G277=$G$21,H$21,$G277=$G$22,H$22,$G277=$G$25,H$25,$G277=$G$26,H$26,$G277=$G$27,H$27,$G277=$G$29,H$29,$G277=$G$31,H$31,$G277=$G$32,H$150,$G277=$G$248,H$248,$G277=$G$250,H$250)</f>
        <v>41.428533999999999</v>
      </c>
      <c r="I277" s="78" cm="1">
        <f t="array" ref="I277">_xlfn.IFS($G277=$G$5,I$5,$G277=$G$6,I$6,$G277=$G$7,I$7,$G277=$G$8,I$8,$G277=$G$9,I$9,$G277=$G$10,I$10,$G277=$G$11,I$11,$G277=$G$12,I$12,$G277=$G$13,I$13,$G277=$G$15,I$15,$G277=$G$16,I$16,$G277=$G$17,I$17,$G277=$G$18,I$18,$G277=$G$19,I$19,$G277=$G$20,I$20,$G277=$G$21,I$21,$G277=$G$22,I$22,$G277=$G$25,I$25,$G277=$G$26,I$26,$G277=$G$27,I$27,$G277=$G$29,I$29,$G277=$G$31,I$31,$G277=$G$32,I$150,$G277=$G$248,I$248,$G277=$G$250,I$250)</f>
        <v>2.090954</v>
      </c>
      <c r="J277" cm="1">
        <f t="array" ref="J277">_xlfn.IFS($G277=$G$5,J$5,$G277=$G$6,J$6,$G277=$G$7,J$7,$G277=$G$8,J$8,$G277=$G$9,J$9,$G277=$G$10,J$10,$G277=$G$11,J$11,$G277=$G$12,J$12,$G277=$G$13,J$13,$G277=$G$15,J$15,$G277=$G$16,J$16,$G277=$G$17,J$17,$G277=$G$18,J$18,$G277=$G$19,J$19,$G277=$G$20,J$20,$G277=$G$21,J$21,$G277=$G$22,J$22,$G277=$G$25,J$25,$G277=$G$26,J$26,$G277=$G$27,J$27,$G277=$G$29,J$29,$G277=$G$31,J$31,$G277=$G$32,J$150,$G277=$G$248,J$248,$G277=$G$250,J$250)</f>
        <v>215</v>
      </c>
      <c r="K277" t="str" cm="1">
        <f t="array" ref="K277">_xlfn.IFS($G277=$G$5,K$5,$G277=$G$6,K$6,$G277=$G$7,K$7,$G277=$G$8,K$8,$G277=$G$9,K$9,$G277=$G$10,K$10,$G277=$G$11,K$11,$G277=$G$12,K$12,$G277=$G$13,K$13,$G277=$G$15,K$15,$G277=$G$16,K$16,$G277=$G$17,K$17,$G277=$G$18,K$18,$G277=$G$19,K$19,$G277=$G$20,K$20,$G277=$G$21,K$21,$G277=$G$22,K$22,$G277=$G$25,K$25,$G277=$G$26,K$26,$G277=$G$27,K$27,$G277=$G$29,K$29,$G277=$G$31,K$31,$G277=$G$32,K$150,$G277=$G$248,K$248,$G277=$G$250,K$250)</f>
        <v>BG sentinel + BG lure7</v>
      </c>
      <c r="O277" s="45" t="str">
        <f t="shared" si="20"/>
        <v>A_SP_BCN_14_210622</v>
      </c>
      <c r="P277" s="64">
        <v>44369</v>
      </c>
      <c r="R277" s="72"/>
      <c r="S277" s="64">
        <v>44377</v>
      </c>
      <c r="U277" s="72"/>
      <c r="V277" s="54" t="s">
        <v>66</v>
      </c>
      <c r="X277" s="45">
        <f t="shared" si="19"/>
        <v>8</v>
      </c>
      <c r="Z277" s="45" t="s">
        <v>70</v>
      </c>
      <c r="AA277" s="45">
        <f t="shared" si="16"/>
        <v>2</v>
      </c>
      <c r="AB277" t="str">
        <f t="shared" si="21"/>
        <v>Adult</v>
      </c>
      <c r="AC277" s="69">
        <v>2</v>
      </c>
      <c r="AD277" s="69">
        <v>0</v>
      </c>
      <c r="AE277" s="45" t="str">
        <f t="shared" si="22"/>
        <v>Morphological</v>
      </c>
      <c r="AF277" s="56">
        <v>4</v>
      </c>
    </row>
    <row r="278" spans="1:32" ht="18" customHeight="1" x14ac:dyDescent="0.25">
      <c r="A278" s="45">
        <v>274</v>
      </c>
      <c r="B278" s="45" t="s">
        <v>60</v>
      </c>
      <c r="C278" s="45" t="s">
        <v>61</v>
      </c>
      <c r="D278" s="45" t="s">
        <v>62</v>
      </c>
      <c r="E278" s="45" t="s">
        <v>62</v>
      </c>
      <c r="F278" s="46" cm="1">
        <f t="array" ref="F278">_xlfn.IFS($G278=$G$5,F$5,$G278=$G$6,F$6,$G278=$G$7,F$7,$G278=$G$8,F$8,$G278=$G$9,F$9,$G278=$G$10,F$10,$G278=$G$11,F$11,$G278=$G$12,F$12,$G278=$G$13,F$13,$G278=$G$15,F$15,$G278=$G$16,F$16,$G278=$G$17,F$17,$G278=$G$18,F$18,$G278=$G$19,F$19,$G278=$G$20,F$20,$G278=$G$21,F$21,$G278=$G$22,F$22,$G278=$G$25,F$25,$G278=$G$26,F$26,$G278=$G$27,F$27,$G278=$G$29,F$29,$G278=$G$31,F$31,$G278=$G$32,F$32,$G278=$G$248,F$248,$G278=$G$250,F$250)</f>
        <v>8017</v>
      </c>
      <c r="G278" t="s">
        <v>87</v>
      </c>
      <c r="H278" s="66" cm="1">
        <f t="array" ref="H278">_xlfn.IFS($G278=$G$5,H$5,$G278=$G$6,H$6,$G278=$G$7,H$7,$G278=$G$8,H$8,$G278=$G$9,H$9,$G278=$G$10,H$10,$G278=$G$11,H$11,$G278=$G$12,H$12,$G278=$G$13,H$13,$G278=$G$15,H$15,$G278=$G$16,H$16,$G278=$G$17,H$17,$G278=$G$18,H$18,$G278=$G$19,H$19,$G278=$G$20,H$20,$G278=$G$21,H$21,$G278=$G$22,H$22,$G278=$G$25,H$25,$G278=$G$26,H$26,$G278=$G$27,H$27,$G278=$G$29,H$29,$G278=$G$31,H$31,$G278=$G$32,H$150,$G278=$G$248,H$248,$G278=$G$250,H$250)</f>
        <v>41.419471000000001</v>
      </c>
      <c r="I278" s="78" cm="1">
        <f t="array" ref="I278">_xlfn.IFS($G278=$G$5,I$5,$G278=$G$6,I$6,$G278=$G$7,I$7,$G278=$G$8,I$8,$G278=$G$9,I$9,$G278=$G$10,I$10,$G278=$G$11,I$11,$G278=$G$12,I$12,$G278=$G$13,I$13,$G278=$G$15,I$15,$G278=$G$16,I$16,$G278=$G$17,I$17,$G278=$G$18,I$18,$G278=$G$19,I$19,$G278=$G$20,I$20,$G278=$G$21,I$21,$G278=$G$22,I$22,$G278=$G$25,I$25,$G278=$G$26,I$26,$G278=$G$27,I$27,$G278=$G$29,I$29,$G278=$G$31,I$31,$G278=$G$32,I$150,$G278=$G$248,I$248,$G278=$G$250,I$250)</f>
        <v>2.1010149999999999</v>
      </c>
      <c r="J278" cm="1">
        <f t="array" ref="J278">_xlfn.IFS($G278=$G$5,J$5,$G278=$G$6,J$6,$G278=$G$7,J$7,$G278=$G$8,J$8,$G278=$G$9,J$9,$G278=$G$10,J$10,$G278=$G$11,J$11,$G278=$G$12,J$12,$G278=$G$13,J$13,$G278=$G$15,J$15,$G278=$G$16,J$16,$G278=$G$17,J$17,$G278=$G$18,J$18,$G278=$G$19,J$19,$G278=$G$20,J$20,$G278=$G$21,J$21,$G278=$G$22,J$22,$G278=$G$25,J$25,$G278=$G$26,J$26,$G278=$G$27,J$27,$G278=$G$29,J$29,$G278=$G$31,J$31,$G278=$G$32,J$150,$G278=$G$248,J$248,$G278=$G$250,J$250)</f>
        <v>284</v>
      </c>
      <c r="K278" t="str" cm="1">
        <f t="array" ref="K278">_xlfn.IFS($G278=$G$5,K$5,$G278=$G$6,K$6,$G278=$G$7,K$7,$G278=$G$8,K$8,$G278=$G$9,K$9,$G278=$G$10,K$10,$G278=$G$11,K$11,$G278=$G$12,K$12,$G278=$G$13,K$13,$G278=$G$15,K$15,$G278=$G$16,K$16,$G278=$G$17,K$17,$G278=$G$18,K$18,$G278=$G$19,K$19,$G278=$G$20,K$20,$G278=$G$21,K$21,$G278=$G$22,K$22,$G278=$G$25,K$25,$G278=$G$26,K$26,$G278=$G$27,K$27,$G278=$G$29,K$29,$G278=$G$31,K$31,$G278=$G$32,K$150,$G278=$G$248,K$248,$G278=$G$250,K$250)</f>
        <v>BG sentinel + BG lure7</v>
      </c>
      <c r="O278" s="45" t="str">
        <f t="shared" si="20"/>
        <v>A_SP_BCN_15_210622</v>
      </c>
      <c r="P278" s="64">
        <v>44369</v>
      </c>
      <c r="R278" s="72"/>
      <c r="S278" s="64">
        <v>44377</v>
      </c>
      <c r="U278" s="72"/>
      <c r="V278" s="54" t="s">
        <v>66</v>
      </c>
      <c r="W278" t="s">
        <v>121</v>
      </c>
      <c r="X278" s="45">
        <f t="shared" si="19"/>
        <v>8</v>
      </c>
      <c r="Z278" s="69" t="s">
        <v>69</v>
      </c>
      <c r="AA278" s="45">
        <f t="shared" si="16"/>
        <v>2</v>
      </c>
      <c r="AB278" t="str">
        <f t="shared" si="21"/>
        <v>Adult</v>
      </c>
      <c r="AC278" s="69">
        <v>2</v>
      </c>
      <c r="AD278" s="69">
        <v>0</v>
      </c>
      <c r="AE278" s="45" t="str">
        <f t="shared" si="22"/>
        <v>Morphological</v>
      </c>
      <c r="AF278" s="56">
        <v>3</v>
      </c>
    </row>
    <row r="279" spans="1:32" ht="18" customHeight="1" x14ac:dyDescent="0.25">
      <c r="A279" s="45">
        <v>275</v>
      </c>
      <c r="B279" s="45" t="s">
        <v>60</v>
      </c>
      <c r="C279" s="45" t="s">
        <v>61</v>
      </c>
      <c r="D279" s="45" t="s">
        <v>62</v>
      </c>
      <c r="E279" s="45" t="s">
        <v>62</v>
      </c>
      <c r="F279" s="46" cm="1">
        <f t="array" ref="F279">_xlfn.IFS($G279=$G$5,F$5,$G279=$G$6,F$6,$G279=$G$7,F$7,$G279=$G$8,F$8,$G279=$G$9,F$9,$G279=$G$10,F$10,$G279=$G$11,F$11,$G279=$G$12,F$12,$G279=$G$13,F$13,$G279=$G$15,F$15,$G279=$G$16,F$16,$G279=$G$17,F$17,$G279=$G$18,F$18,$G279=$G$19,F$19,$G279=$G$20,F$20,$G279=$G$21,F$21,$G279=$G$22,F$22,$G279=$G$25,F$25,$G279=$G$26,F$26,$G279=$G$27,F$27,$G279=$G$29,F$29,$G279=$G$31,F$31,$G279=$G$32,F$32,$G279=$G$248,F$248,$G279=$G$250,F$250)</f>
        <v>8017</v>
      </c>
      <c r="G279" t="s">
        <v>88</v>
      </c>
      <c r="H279" s="66" cm="1">
        <f t="array" ref="H279">_xlfn.IFS($G279=$G$5,H$5,$G279=$G$6,H$6,$G279=$G$7,H$7,$G279=$G$8,H$8,$G279=$G$9,H$9,$G279=$G$10,H$10,$G279=$G$11,H$11,$G279=$G$12,H$12,$G279=$G$13,H$13,$G279=$G$15,H$15,$G279=$G$16,H$16,$G279=$G$17,H$17,$G279=$G$18,H$18,$G279=$G$19,H$19,$G279=$G$20,H$20,$G279=$G$21,H$21,$G279=$G$22,H$22,$G279=$G$25,H$25,$G279=$G$26,H$26,$G279=$G$27,H$27,$G279=$G$29,H$29,$G279=$G$31,H$31,$G279=$G$32,H$150,$G279=$G$248,H$248,$G279=$G$250,H$250)</f>
        <v>41.398387</v>
      </c>
      <c r="I279" s="78" cm="1">
        <f t="array" ref="I279">_xlfn.IFS($G279=$G$5,I$5,$G279=$G$6,I$6,$G279=$G$7,I$7,$G279=$G$8,I$8,$G279=$G$9,I$9,$G279=$G$10,I$10,$G279=$G$11,I$11,$G279=$G$12,I$12,$G279=$G$13,I$13,$G279=$G$15,I$15,$G279=$G$16,I$16,$G279=$G$17,I$17,$G279=$G$18,I$18,$G279=$G$19,I$19,$G279=$G$20,I$20,$G279=$G$21,I$21,$G279=$G$22,I$22,$G279=$G$25,I$25,$G279=$G$26,I$26,$G279=$G$27,I$27,$G279=$G$29,I$29,$G279=$G$31,I$31,$G279=$G$32,I$150,$G279=$G$248,I$248,$G279=$G$250,I$250)</f>
        <v>2.1244429999999999</v>
      </c>
      <c r="J279" cm="1">
        <f t="array" ref="J279">_xlfn.IFS($G279=$G$5,J$5,$G279=$G$6,J$6,$G279=$G$7,J$7,$G279=$G$8,J$8,$G279=$G$9,J$9,$G279=$G$10,J$10,$G279=$G$11,J$11,$G279=$G$12,J$12,$G279=$G$13,J$13,$G279=$G$15,J$15,$G279=$G$16,J$16,$G279=$G$17,J$17,$G279=$G$18,J$18,$G279=$G$19,J$19,$G279=$G$20,J$20,$G279=$G$21,J$21,$G279=$G$22,J$22,$G279=$G$25,J$25,$G279=$G$26,J$26,$G279=$G$27,J$27,$G279=$G$29,J$29,$G279=$G$31,J$31,$G279=$G$32,J$150,$G279=$G$248,J$248,$G279=$G$250,J$250)</f>
        <v>106</v>
      </c>
      <c r="K279" t="str" cm="1">
        <f t="array" ref="K279">_xlfn.IFS($G279=$G$5,K$5,$G279=$G$6,K$6,$G279=$G$7,K$7,$G279=$G$8,K$8,$G279=$G$9,K$9,$G279=$G$10,K$10,$G279=$G$11,K$11,$G279=$G$12,K$12,$G279=$G$13,K$13,$G279=$G$15,K$15,$G279=$G$16,K$16,$G279=$G$17,K$17,$G279=$G$18,K$18,$G279=$G$19,K$19,$G279=$G$20,K$20,$G279=$G$21,K$21,$G279=$G$22,K$22,$G279=$G$25,K$25,$G279=$G$26,K$26,$G279=$G$27,K$27,$G279=$G$29,K$29,$G279=$G$31,K$31,$G279=$G$32,K$150,$G279=$G$248,K$248,$G279=$G$250,K$250)</f>
        <v>BG sentinel + BG lure7</v>
      </c>
      <c r="O279" s="45" t="str">
        <f t="shared" si="20"/>
        <v>A_SP_BCN_16_210622</v>
      </c>
      <c r="P279" s="64">
        <v>44369</v>
      </c>
      <c r="R279" s="72"/>
      <c r="S279" s="64">
        <v>44377</v>
      </c>
      <c r="U279" s="72"/>
      <c r="V279" s="54" t="s">
        <v>66</v>
      </c>
      <c r="W279" t="s">
        <v>121</v>
      </c>
      <c r="X279" s="45">
        <f t="shared" si="19"/>
        <v>8</v>
      </c>
      <c r="Z279" s="69" t="s">
        <v>69</v>
      </c>
      <c r="AA279" s="45">
        <f t="shared" si="16"/>
        <v>7</v>
      </c>
      <c r="AB279" t="str">
        <f t="shared" si="21"/>
        <v>Adult</v>
      </c>
      <c r="AC279" s="69">
        <v>5</v>
      </c>
      <c r="AD279" s="69">
        <v>2</v>
      </c>
      <c r="AE279" s="45" t="str">
        <f t="shared" si="22"/>
        <v>Morphological</v>
      </c>
      <c r="AF279" s="56">
        <v>3</v>
      </c>
    </row>
    <row r="280" spans="1:32" ht="18" customHeight="1" x14ac:dyDescent="0.25">
      <c r="A280" s="45">
        <v>276</v>
      </c>
      <c r="B280" s="45" t="s">
        <v>60</v>
      </c>
      <c r="C280" s="45" t="s">
        <v>61</v>
      </c>
      <c r="D280" s="45" t="s">
        <v>62</v>
      </c>
      <c r="E280" s="45" t="s">
        <v>62</v>
      </c>
      <c r="F280" s="46" cm="1">
        <f t="array" ref="F280">_xlfn.IFS($G280=$G$5,F$5,$G280=$G$6,F$6,$G280=$G$7,F$7,$G280=$G$8,F$8,$G280=$G$9,F$9,$G280=$G$10,F$10,$G280=$G$11,F$11,$G280=$G$12,F$12,$G280=$G$13,F$13,$G280=$G$15,F$15,$G280=$G$16,F$16,$G280=$G$17,F$17,$G280=$G$18,F$18,$G280=$G$19,F$19,$G280=$G$20,F$20,$G280=$G$21,F$21,$G280=$G$22,F$22,$G280=$G$25,F$25,$G280=$G$26,F$26,$G280=$G$27,F$27,$G280=$G$29,F$29,$G280=$G$31,F$31,$G280=$G$32,F$32,$G280=$G$248,F$248,$G280=$G$250,F$250)</f>
        <v>8017</v>
      </c>
      <c r="G280" t="s">
        <v>88</v>
      </c>
      <c r="H280" s="66" cm="1">
        <f t="array" ref="H280">_xlfn.IFS($G280=$G$5,H$5,$G280=$G$6,H$6,$G280=$G$7,H$7,$G280=$G$8,H$8,$G280=$G$9,H$9,$G280=$G$10,H$10,$G280=$G$11,H$11,$G280=$G$12,H$12,$G280=$G$13,H$13,$G280=$G$15,H$15,$G280=$G$16,H$16,$G280=$G$17,H$17,$G280=$G$18,H$18,$G280=$G$19,H$19,$G280=$G$20,H$20,$G280=$G$21,H$21,$G280=$G$22,H$22,$G280=$G$25,H$25,$G280=$G$26,H$26,$G280=$G$27,H$27,$G280=$G$29,H$29,$G280=$G$31,H$31,$G280=$G$32,H$150,$G280=$G$248,H$248,$G280=$G$250,H$250)</f>
        <v>41.398387</v>
      </c>
      <c r="I280" s="78" cm="1">
        <f t="array" ref="I280">_xlfn.IFS($G280=$G$5,I$5,$G280=$G$6,I$6,$G280=$G$7,I$7,$G280=$G$8,I$8,$G280=$G$9,I$9,$G280=$G$10,I$10,$G280=$G$11,I$11,$G280=$G$12,I$12,$G280=$G$13,I$13,$G280=$G$15,I$15,$G280=$G$16,I$16,$G280=$G$17,I$17,$G280=$G$18,I$18,$G280=$G$19,I$19,$G280=$G$20,I$20,$G280=$G$21,I$21,$G280=$G$22,I$22,$G280=$G$25,I$25,$G280=$G$26,I$26,$G280=$G$27,I$27,$G280=$G$29,I$29,$G280=$G$31,I$31,$G280=$G$32,I$150,$G280=$G$248,I$248,$G280=$G$250,I$250)</f>
        <v>2.1244429999999999</v>
      </c>
      <c r="J280" cm="1">
        <f t="array" ref="J280">_xlfn.IFS($G280=$G$5,J$5,$G280=$G$6,J$6,$G280=$G$7,J$7,$G280=$G$8,J$8,$G280=$G$9,J$9,$G280=$G$10,J$10,$G280=$G$11,J$11,$G280=$G$12,J$12,$G280=$G$13,J$13,$G280=$G$15,J$15,$G280=$G$16,J$16,$G280=$G$17,J$17,$G280=$G$18,J$18,$G280=$G$19,J$19,$G280=$G$20,J$20,$G280=$G$21,J$21,$G280=$G$22,J$22,$G280=$G$25,J$25,$G280=$G$26,J$26,$G280=$G$27,J$27,$G280=$G$29,J$29,$G280=$G$31,J$31,$G280=$G$32,J$150,$G280=$G$248,J$248,$G280=$G$250,J$250)</f>
        <v>106</v>
      </c>
      <c r="K280" t="str" cm="1">
        <f t="array" ref="K280">_xlfn.IFS($G280=$G$5,K$5,$G280=$G$6,K$6,$G280=$G$7,K$7,$G280=$G$8,K$8,$G280=$G$9,K$9,$G280=$G$10,K$10,$G280=$G$11,K$11,$G280=$G$12,K$12,$G280=$G$13,K$13,$G280=$G$15,K$15,$G280=$G$16,K$16,$G280=$G$17,K$17,$G280=$G$18,K$18,$G280=$G$19,K$19,$G280=$G$20,K$20,$G280=$G$21,K$21,$G280=$G$22,K$22,$G280=$G$25,K$25,$G280=$G$26,K$26,$G280=$G$27,K$27,$G280=$G$29,K$29,$G280=$G$31,K$31,$G280=$G$32,K$150,$G280=$G$248,K$248,$G280=$G$250,K$250)</f>
        <v>BG sentinel + BG lure7</v>
      </c>
      <c r="O280" s="45" t="str">
        <f t="shared" si="20"/>
        <v>A_SP_BCN_16_210622</v>
      </c>
      <c r="P280" s="64">
        <v>44369</v>
      </c>
      <c r="R280" s="72"/>
      <c r="S280" s="64">
        <v>44377</v>
      </c>
      <c r="U280" s="72"/>
      <c r="V280" s="54" t="s">
        <v>66</v>
      </c>
      <c r="W280" t="s">
        <v>121</v>
      </c>
      <c r="X280" s="45">
        <f t="shared" si="19"/>
        <v>8</v>
      </c>
      <c r="Z280" s="45" t="s">
        <v>70</v>
      </c>
      <c r="AA280" s="45">
        <f t="shared" si="16"/>
        <v>4</v>
      </c>
      <c r="AB280" t="str">
        <f t="shared" si="21"/>
        <v>Adult</v>
      </c>
      <c r="AC280" s="69">
        <v>1</v>
      </c>
      <c r="AD280" s="69">
        <v>3</v>
      </c>
      <c r="AE280" s="45" t="str">
        <f t="shared" si="22"/>
        <v>Morphological</v>
      </c>
      <c r="AF280" s="56">
        <v>3</v>
      </c>
    </row>
    <row r="281" spans="1:32" ht="18" customHeight="1" x14ac:dyDescent="0.25">
      <c r="A281" s="45">
        <v>277</v>
      </c>
      <c r="B281" s="45" t="s">
        <v>60</v>
      </c>
      <c r="C281" s="45" t="s">
        <v>61</v>
      </c>
      <c r="D281" s="45" t="s">
        <v>62</v>
      </c>
      <c r="E281" s="45" t="s">
        <v>62</v>
      </c>
      <c r="F281" s="46" cm="1">
        <f t="array" ref="F281">_xlfn.IFS($G281=$G$5,F$5,$G281=$G$6,F$6,$G281=$G$7,F$7,$G281=$G$8,F$8,$G281=$G$9,F$9,$G281=$G$10,F$10,$G281=$G$11,F$11,$G281=$G$12,F$12,$G281=$G$13,F$13,$G281=$G$15,F$15,$G281=$G$16,F$16,$G281=$G$17,F$17,$G281=$G$18,F$18,$G281=$G$19,F$19,$G281=$G$20,F$20,$G281=$G$21,F$21,$G281=$G$22,F$22,$G281=$G$25,F$25,$G281=$G$26,F$26,$G281=$G$27,F$27,$G281=$G$29,F$29,$G281=$G$31,F$31,$G281=$G$32,F$32,$G281=$G$248,F$248,$G281=$G$250,F$250)</f>
        <v>8017</v>
      </c>
      <c r="G281" t="s">
        <v>88</v>
      </c>
      <c r="H281" s="66" cm="1">
        <f t="array" ref="H281">_xlfn.IFS($G281=$G$5,H$5,$G281=$G$6,H$6,$G281=$G$7,H$7,$G281=$G$8,H$8,$G281=$G$9,H$9,$G281=$G$10,H$10,$G281=$G$11,H$11,$G281=$G$12,H$12,$G281=$G$13,H$13,$G281=$G$15,H$15,$G281=$G$16,H$16,$G281=$G$17,H$17,$G281=$G$18,H$18,$G281=$G$19,H$19,$G281=$G$20,H$20,$G281=$G$21,H$21,$G281=$G$22,H$22,$G281=$G$25,H$25,$G281=$G$26,H$26,$G281=$G$27,H$27,$G281=$G$29,H$29,$G281=$G$31,H$31,$G281=$G$32,H$150,$G281=$G$248,H$248,$G281=$G$250,H$250)</f>
        <v>41.398387</v>
      </c>
      <c r="I281" s="78" cm="1">
        <f t="array" ref="I281">_xlfn.IFS($G281=$G$5,I$5,$G281=$G$6,I$6,$G281=$G$7,I$7,$G281=$G$8,I$8,$G281=$G$9,I$9,$G281=$G$10,I$10,$G281=$G$11,I$11,$G281=$G$12,I$12,$G281=$G$13,I$13,$G281=$G$15,I$15,$G281=$G$16,I$16,$G281=$G$17,I$17,$G281=$G$18,I$18,$G281=$G$19,I$19,$G281=$G$20,I$20,$G281=$G$21,I$21,$G281=$G$22,I$22,$G281=$G$25,I$25,$G281=$G$26,I$26,$G281=$G$27,I$27,$G281=$G$29,I$29,$G281=$G$31,I$31,$G281=$G$32,I$150,$G281=$G$248,I$248,$G281=$G$250,I$250)</f>
        <v>2.1244429999999999</v>
      </c>
      <c r="J281" cm="1">
        <f t="array" ref="J281">_xlfn.IFS($G281=$G$5,J$5,$G281=$G$6,J$6,$G281=$G$7,J$7,$G281=$G$8,J$8,$G281=$G$9,J$9,$G281=$G$10,J$10,$G281=$G$11,J$11,$G281=$G$12,J$12,$G281=$G$13,J$13,$G281=$G$15,J$15,$G281=$G$16,J$16,$G281=$G$17,J$17,$G281=$G$18,J$18,$G281=$G$19,J$19,$G281=$G$20,J$20,$G281=$G$21,J$21,$G281=$G$22,J$22,$G281=$G$25,J$25,$G281=$G$26,J$26,$G281=$G$27,J$27,$G281=$G$29,J$29,$G281=$G$31,J$31,$G281=$G$32,J$150,$G281=$G$248,J$248,$G281=$G$250,J$250)</f>
        <v>106</v>
      </c>
      <c r="K281" t="str" cm="1">
        <f t="array" ref="K281">_xlfn.IFS($G281=$G$5,K$5,$G281=$G$6,K$6,$G281=$G$7,K$7,$G281=$G$8,K$8,$G281=$G$9,K$9,$G281=$G$10,K$10,$G281=$G$11,K$11,$G281=$G$12,K$12,$G281=$G$13,K$13,$G281=$G$15,K$15,$G281=$G$16,K$16,$G281=$G$17,K$17,$G281=$G$18,K$18,$G281=$G$19,K$19,$G281=$G$20,K$20,$G281=$G$21,K$21,$G281=$G$22,K$22,$G281=$G$25,K$25,$G281=$G$26,K$26,$G281=$G$27,K$27,$G281=$G$29,K$29,$G281=$G$31,K$31,$G281=$G$32,K$150,$G281=$G$248,K$248,$G281=$G$250,K$250)</f>
        <v>BG sentinel + BG lure7</v>
      </c>
      <c r="O281" s="45" t="str">
        <f t="shared" si="20"/>
        <v>A_SP_BCN_16_210622</v>
      </c>
      <c r="P281" s="64">
        <v>44369</v>
      </c>
      <c r="R281" s="72"/>
      <c r="S281" s="64">
        <v>44377</v>
      </c>
      <c r="U281" s="72"/>
      <c r="V281" s="54" t="s">
        <v>66</v>
      </c>
      <c r="W281" t="s">
        <v>122</v>
      </c>
      <c r="X281" s="45">
        <f t="shared" si="19"/>
        <v>8</v>
      </c>
      <c r="Z281" s="45" t="s">
        <v>80</v>
      </c>
      <c r="AA281" s="45">
        <f t="shared" si="16"/>
        <v>10</v>
      </c>
      <c r="AB281" t="str">
        <f t="shared" si="21"/>
        <v>Adult</v>
      </c>
      <c r="AC281" s="69">
        <v>4</v>
      </c>
      <c r="AD281" s="69">
        <v>6</v>
      </c>
      <c r="AE281" s="45" t="str">
        <f t="shared" si="22"/>
        <v>Morphological</v>
      </c>
      <c r="AF281" s="56">
        <v>3</v>
      </c>
    </row>
    <row r="282" spans="1:32" ht="18" customHeight="1" x14ac:dyDescent="0.25">
      <c r="A282" s="45">
        <v>278</v>
      </c>
      <c r="B282" s="45" t="s">
        <v>60</v>
      </c>
      <c r="C282" s="45" t="s">
        <v>61</v>
      </c>
      <c r="D282" s="45" t="s">
        <v>62</v>
      </c>
      <c r="E282" s="45" t="s">
        <v>62</v>
      </c>
      <c r="F282" s="46" cm="1">
        <f t="array" ref="F282">_xlfn.IFS($G282=$G$5,F$5,$G282=$G$6,F$6,$G282=$G$7,F$7,$G282=$G$8,F$8,$G282=$G$9,F$9,$G282=$G$10,F$10,$G282=$G$11,F$11,$G282=$G$12,F$12,$G282=$G$13,F$13,$G282=$G$15,F$15,$G282=$G$16,F$16,$G282=$G$17,F$17,$G282=$G$18,F$18,$G282=$G$19,F$19,$G282=$G$20,F$20,$G282=$G$21,F$21,$G282=$G$22,F$22,$G282=$G$25,F$25,$G282=$G$26,F$26,$G282=$G$27,F$27,$G282=$G$29,F$29,$G282=$G$31,F$31,$G282=$G$32,F$32,$G282=$G$248,F$248,$G282=$G$250,F$250)</f>
        <v>8023</v>
      </c>
      <c r="G282" t="s">
        <v>89</v>
      </c>
      <c r="H282" s="66" cm="1">
        <f t="array" ref="H282">_xlfn.IFS($G282=$G$5,H$5,$G282=$G$6,H$6,$G282=$G$7,H$7,$G282=$G$8,H$8,$G282=$G$9,H$9,$G282=$G$10,H$10,$G282=$G$11,H$11,$G282=$G$12,H$12,$G282=$G$13,H$13,$G282=$G$15,H$15,$G282=$G$16,H$16,$G282=$G$17,H$17,$G282=$G$18,H$18,$G282=$G$19,H$19,$G282=$G$20,H$20,$G282=$G$21,H$21,$G282=$G$22,H$22,$G282=$G$25,H$25,$G282=$G$26,H$26,$G282=$G$27,H$27,$G282=$G$29,H$29,$G282=$G$31,H$31,$G282=$G$32,H$150,$G282=$G$248,H$248,$G282=$G$250,H$250)</f>
        <v>41.417256000000002</v>
      </c>
      <c r="I282" s="78" cm="1">
        <f t="array" ref="I282">_xlfn.IFS($G282=$G$5,I$5,$G282=$G$6,I$6,$G282=$G$7,I$7,$G282=$G$8,I$8,$G282=$G$9,I$9,$G282=$G$10,I$10,$G282=$G$11,I$11,$G282=$G$12,I$12,$G282=$G$13,I$13,$G282=$G$15,I$15,$G282=$G$16,I$16,$G282=$G$17,I$17,$G282=$G$18,I$18,$G282=$G$19,I$19,$G282=$G$20,I$20,$G282=$G$21,I$21,$G282=$G$22,I$22,$G282=$G$25,I$25,$G282=$G$26,I$26,$G282=$G$27,I$27,$G282=$G$29,I$29,$G282=$G$31,I$31,$G282=$G$32,I$150,$G282=$G$248,I$248,$G282=$G$250,I$250)</f>
        <v>2.1455709999999999</v>
      </c>
      <c r="J282" cm="1">
        <f t="array" ref="J282">_xlfn.IFS($G282=$G$5,J$5,$G282=$G$6,J$6,$G282=$G$7,J$7,$G282=$G$8,J$8,$G282=$G$9,J$9,$G282=$G$10,J$10,$G282=$G$11,J$11,$G282=$G$12,J$12,$G282=$G$13,J$13,$G282=$G$15,J$15,$G282=$G$16,J$16,$G282=$G$17,J$17,$G282=$G$18,J$18,$G282=$G$19,J$19,$G282=$G$20,J$20,$G282=$G$21,J$21,$G282=$G$22,J$22,$G282=$G$25,J$25,$G282=$G$26,J$26,$G282=$G$27,J$27,$G282=$G$29,J$29,$G282=$G$31,J$31,$G282=$G$32,J$150,$G282=$G$248,J$248,$G282=$G$250,J$250)</f>
        <v>186</v>
      </c>
      <c r="K282" t="str" cm="1">
        <f t="array" ref="K282">_xlfn.IFS($G282=$G$5,K$5,$G282=$G$6,K$6,$G282=$G$7,K$7,$G282=$G$8,K$8,$G282=$G$9,K$9,$G282=$G$10,K$10,$G282=$G$11,K$11,$G282=$G$12,K$12,$G282=$G$13,K$13,$G282=$G$15,K$15,$G282=$G$16,K$16,$G282=$G$17,K$17,$G282=$G$18,K$18,$G282=$G$19,K$19,$G282=$G$20,K$20,$G282=$G$21,K$21,$G282=$G$22,K$22,$G282=$G$25,K$25,$G282=$G$26,K$26,$G282=$G$27,K$27,$G282=$G$29,K$29,$G282=$G$31,K$31,$G282=$G$32,K$150,$G282=$G$248,K$248,$G282=$G$250,K$250)</f>
        <v>BG sentinel + BG lure7</v>
      </c>
      <c r="O282" s="45" t="str">
        <f t="shared" si="20"/>
        <v>A_SP_BCN_17_210622</v>
      </c>
      <c r="P282" s="64">
        <v>44369</v>
      </c>
      <c r="R282" s="72"/>
      <c r="S282" s="64">
        <v>44377</v>
      </c>
      <c r="U282" s="72"/>
      <c r="V282" s="54" t="s">
        <v>66</v>
      </c>
      <c r="W282" t="s">
        <v>123</v>
      </c>
      <c r="X282" s="45">
        <f t="shared" si="19"/>
        <v>8</v>
      </c>
      <c r="AA282" s="45">
        <f t="shared" si="16"/>
        <v>0</v>
      </c>
      <c r="AB282" t="str">
        <f t="shared" si="21"/>
        <v/>
      </c>
      <c r="AE282" s="45" t="str">
        <f t="shared" si="22"/>
        <v/>
      </c>
      <c r="AF282" s="56">
        <v>3</v>
      </c>
    </row>
    <row r="283" spans="1:32" ht="18" customHeight="1" x14ac:dyDescent="0.25">
      <c r="A283" s="45">
        <v>279</v>
      </c>
      <c r="B283" s="45" t="s">
        <v>60</v>
      </c>
      <c r="C283" s="45" t="s">
        <v>61</v>
      </c>
      <c r="D283" s="45" t="s">
        <v>62</v>
      </c>
      <c r="E283" s="45" t="s">
        <v>62</v>
      </c>
      <c r="F283" s="46" cm="1">
        <f t="array" ref="F283">_xlfn.IFS($G283=$G$5,F$5,$G283=$G$6,F$6,$G283=$G$7,F$7,$G283=$G$8,F$8,$G283=$G$9,F$9,$G283=$G$10,F$10,$G283=$G$11,F$11,$G283=$G$12,F$12,$G283=$G$13,F$13,$G283=$G$15,F$15,$G283=$G$16,F$16,$G283=$G$17,F$17,$G283=$G$18,F$18,$G283=$G$19,F$19,$G283=$G$20,F$20,$G283=$G$21,F$21,$G283=$G$22,F$22,$G283=$G$25,F$25,$G283=$G$26,F$26,$G283=$G$27,F$27,$G283=$G$29,F$29,$G283=$G$31,F$31,$G283=$G$32,F$32,$G283=$G$248,F$248,$G283=$G$250,F$250)</f>
        <v>8031</v>
      </c>
      <c r="G283" t="s">
        <v>92</v>
      </c>
      <c r="H283" s="66" cm="1">
        <f t="array" ref="H283">_xlfn.IFS($G283=$G$5,H$5,$G283=$G$6,H$6,$G283=$G$7,H$7,$G283=$G$8,H$8,$G283=$G$9,H$9,$G283=$G$10,H$10,$G283=$G$11,H$11,$G283=$G$12,H$12,$G283=$G$13,H$13,$G283=$G$15,H$15,$G283=$G$16,H$16,$G283=$G$17,H$17,$G283=$G$18,H$18,$G283=$G$19,H$19,$G283=$G$20,H$20,$G283=$G$21,H$21,$G283=$G$22,H$22,$G283=$G$25,H$25,$G283=$G$26,H$26,$G283=$G$27,H$27,$G283=$G$29,H$29,$G283=$G$31,H$31,$G283=$G$32,H$150,$G283=$G$248,H$248,$G283=$G$250,H$250)</f>
        <v>41.433618000000003</v>
      </c>
      <c r="I283" s="78" cm="1">
        <f t="array" ref="I283">_xlfn.IFS($G283=$G$5,I$5,$G283=$G$6,I$6,$G283=$G$7,I$7,$G283=$G$8,I$8,$G283=$G$9,I$9,$G283=$G$10,I$10,$G283=$G$11,I$11,$G283=$G$12,I$12,$G283=$G$13,I$13,$G283=$G$15,I$15,$G283=$G$16,I$16,$G283=$G$17,I$17,$G283=$G$18,I$18,$G283=$G$19,I$19,$G283=$G$20,I$20,$G283=$G$21,I$21,$G283=$G$22,I$22,$G283=$G$25,I$25,$G283=$G$26,I$26,$G283=$G$27,I$27,$G283=$G$29,I$29,$G283=$G$31,I$31,$G283=$G$32,I$150,$G283=$G$248,I$248,$G283=$G$250,I$250)</f>
        <v>2.1677469999999999</v>
      </c>
      <c r="J283" cm="1">
        <f t="array" ref="J283">_xlfn.IFS($G283=$G$5,J$5,$G283=$G$6,J$6,$G283=$G$7,J$7,$G283=$G$8,J$8,$G283=$G$9,J$9,$G283=$G$10,J$10,$G283=$G$11,J$11,$G283=$G$12,J$12,$G283=$G$13,J$13,$G283=$G$15,J$15,$G283=$G$16,J$16,$G283=$G$17,J$17,$G283=$G$18,J$18,$G283=$G$19,J$19,$G283=$G$20,J$20,$G283=$G$21,J$21,$G283=$G$22,J$22,$G283=$G$25,J$25,$G283=$G$26,J$26,$G283=$G$27,J$27,$G283=$G$29,J$29,$G283=$G$31,J$31,$G283=$G$32,J$150,$G283=$G$248,J$248,$G283=$G$250,J$250)</f>
        <v>96.85</v>
      </c>
      <c r="K283" t="str" cm="1">
        <f t="array" ref="K283">_xlfn.IFS($G283=$G$5,K$5,$G283=$G$6,K$6,$G283=$G$7,K$7,$G283=$G$8,K$8,$G283=$G$9,K$9,$G283=$G$10,K$10,$G283=$G$11,K$11,$G283=$G$12,K$12,$G283=$G$13,K$13,$G283=$G$15,K$15,$G283=$G$16,K$16,$G283=$G$17,K$17,$G283=$G$18,K$18,$G283=$G$19,K$19,$G283=$G$20,K$20,$G283=$G$21,K$21,$G283=$G$22,K$22,$G283=$G$25,K$25,$G283=$G$26,K$26,$G283=$G$27,K$27,$G283=$G$29,K$29,$G283=$G$31,K$31,$G283=$G$32,K$150,$G283=$G$248,K$248,$G283=$G$250,K$250)</f>
        <v>BG sentinel + BG lure7</v>
      </c>
      <c r="O283" s="45" t="str">
        <f t="shared" si="20"/>
        <v>A_SP_BCN_18_210623</v>
      </c>
      <c r="P283" s="64">
        <v>44370</v>
      </c>
      <c r="R283" s="72"/>
      <c r="S283" s="64">
        <v>44377</v>
      </c>
      <c r="U283" s="72"/>
      <c r="V283" s="54" t="s">
        <v>66</v>
      </c>
      <c r="X283" s="45">
        <f t="shared" si="19"/>
        <v>7</v>
      </c>
      <c r="Z283" s="45" t="s">
        <v>70</v>
      </c>
      <c r="AA283" s="45">
        <f t="shared" si="16"/>
        <v>1</v>
      </c>
      <c r="AB283" t="str">
        <f t="shared" si="21"/>
        <v>Adult</v>
      </c>
      <c r="AC283" s="69">
        <v>1</v>
      </c>
      <c r="AD283" s="69">
        <v>0</v>
      </c>
      <c r="AE283" s="45" t="str">
        <f t="shared" si="22"/>
        <v>Morphological</v>
      </c>
      <c r="AF283" s="56">
        <v>4</v>
      </c>
    </row>
    <row r="284" spans="1:32" ht="18" customHeight="1" x14ac:dyDescent="0.25">
      <c r="A284" s="45">
        <v>280</v>
      </c>
      <c r="B284" s="45" t="s">
        <v>60</v>
      </c>
      <c r="C284" s="45" t="s">
        <v>61</v>
      </c>
      <c r="D284" s="45" t="s">
        <v>62</v>
      </c>
      <c r="E284" s="45" t="s">
        <v>62</v>
      </c>
      <c r="F284" s="46" cm="1">
        <f t="array" ref="F284">_xlfn.IFS($G284=$G$5,F$5,$G284=$G$6,F$6,$G284=$G$7,F$7,$G284=$G$8,F$8,$G284=$G$9,F$9,$G284=$G$10,F$10,$G284=$G$11,F$11,$G284=$G$12,F$12,$G284=$G$13,F$13,$G284=$G$15,F$15,$G284=$G$16,F$16,$G284=$G$17,F$17,$G284=$G$18,F$18,$G284=$G$19,F$19,$G284=$G$20,F$20,$G284=$G$21,F$21,$G284=$G$22,F$22,$G284=$G$25,F$25,$G284=$G$26,F$26,$G284=$G$27,F$27,$G284=$G$29,F$29,$G284=$G$31,F$31,$G284=$G$32,F$32,$G284=$G$248,F$248,$G284=$G$250,F$250)</f>
        <v>8031</v>
      </c>
      <c r="G284" t="s">
        <v>92</v>
      </c>
      <c r="H284" s="66" cm="1">
        <f t="array" ref="H284">_xlfn.IFS($G284=$G$5,H$5,$G284=$G$6,H$6,$G284=$G$7,H$7,$G284=$G$8,H$8,$G284=$G$9,H$9,$G284=$G$10,H$10,$G284=$G$11,H$11,$G284=$G$12,H$12,$G284=$G$13,H$13,$G284=$G$15,H$15,$G284=$G$16,H$16,$G284=$G$17,H$17,$G284=$G$18,H$18,$G284=$G$19,H$19,$G284=$G$20,H$20,$G284=$G$21,H$21,$G284=$G$22,H$22,$G284=$G$25,H$25,$G284=$G$26,H$26,$G284=$G$27,H$27,$G284=$G$29,H$29,$G284=$G$31,H$31,$G284=$G$32,H$150,$G284=$G$248,H$248,$G284=$G$250,H$250)</f>
        <v>41.433618000000003</v>
      </c>
      <c r="I284" s="78" cm="1">
        <f t="array" ref="I284">_xlfn.IFS($G284=$G$5,I$5,$G284=$G$6,I$6,$G284=$G$7,I$7,$G284=$G$8,I$8,$G284=$G$9,I$9,$G284=$G$10,I$10,$G284=$G$11,I$11,$G284=$G$12,I$12,$G284=$G$13,I$13,$G284=$G$15,I$15,$G284=$G$16,I$16,$G284=$G$17,I$17,$G284=$G$18,I$18,$G284=$G$19,I$19,$G284=$G$20,I$20,$G284=$G$21,I$21,$G284=$G$22,I$22,$G284=$G$25,I$25,$G284=$G$26,I$26,$G284=$G$27,I$27,$G284=$G$29,I$29,$G284=$G$31,I$31,$G284=$G$32,I$150,$G284=$G$248,I$248,$G284=$G$250,I$250)</f>
        <v>2.1677469999999999</v>
      </c>
      <c r="J284" cm="1">
        <f t="array" ref="J284">_xlfn.IFS($G284=$G$5,J$5,$G284=$G$6,J$6,$G284=$G$7,J$7,$G284=$G$8,J$8,$G284=$G$9,J$9,$G284=$G$10,J$10,$G284=$G$11,J$11,$G284=$G$12,J$12,$G284=$G$13,J$13,$G284=$G$15,J$15,$G284=$G$16,J$16,$G284=$G$17,J$17,$G284=$G$18,J$18,$G284=$G$19,J$19,$G284=$G$20,J$20,$G284=$G$21,J$21,$G284=$G$22,J$22,$G284=$G$25,J$25,$G284=$G$26,J$26,$G284=$G$27,J$27,$G284=$G$29,J$29,$G284=$G$31,J$31,$G284=$G$32,J$150,$G284=$G$248,J$248,$G284=$G$250,J$250)</f>
        <v>96.85</v>
      </c>
      <c r="K284" t="str" cm="1">
        <f t="array" ref="K284">_xlfn.IFS($G284=$G$5,K$5,$G284=$G$6,K$6,$G284=$G$7,K$7,$G284=$G$8,K$8,$G284=$G$9,K$9,$G284=$G$10,K$10,$G284=$G$11,K$11,$G284=$G$12,K$12,$G284=$G$13,K$13,$G284=$G$15,K$15,$G284=$G$16,K$16,$G284=$G$17,K$17,$G284=$G$18,K$18,$G284=$G$19,K$19,$G284=$G$20,K$20,$G284=$G$21,K$21,$G284=$G$22,K$22,$G284=$G$25,K$25,$G284=$G$26,K$26,$G284=$G$27,K$27,$G284=$G$29,K$29,$G284=$G$31,K$31,$G284=$G$32,K$150,$G284=$G$248,K$248,$G284=$G$250,K$250)</f>
        <v>BG sentinel + BG lure7</v>
      </c>
      <c r="O284" s="45" t="str">
        <f t="shared" si="20"/>
        <v>A_SP_BCN_18_210623</v>
      </c>
      <c r="P284" s="64">
        <v>44370</v>
      </c>
      <c r="R284" s="72"/>
      <c r="S284" s="64">
        <v>44377</v>
      </c>
      <c r="U284" s="72"/>
      <c r="V284" s="54" t="s">
        <v>66</v>
      </c>
      <c r="X284" s="45">
        <f t="shared" si="19"/>
        <v>7</v>
      </c>
      <c r="Z284" s="45" t="s">
        <v>80</v>
      </c>
      <c r="AA284" s="45">
        <f t="shared" si="16"/>
        <v>4</v>
      </c>
      <c r="AB284" t="str">
        <f t="shared" si="21"/>
        <v>Adult</v>
      </c>
      <c r="AC284" s="69">
        <v>4</v>
      </c>
      <c r="AD284" s="69">
        <v>0</v>
      </c>
      <c r="AE284" s="45" t="str">
        <f t="shared" si="22"/>
        <v>Morphological</v>
      </c>
      <c r="AF284" s="56">
        <v>4</v>
      </c>
    </row>
    <row r="285" spans="1:32" ht="18" customHeight="1" x14ac:dyDescent="0.25">
      <c r="A285" s="45">
        <v>281</v>
      </c>
      <c r="B285" s="45" t="s">
        <v>60</v>
      </c>
      <c r="C285" s="45" t="s">
        <v>61</v>
      </c>
      <c r="D285" s="45" t="s">
        <v>62</v>
      </c>
      <c r="E285" s="45" t="s">
        <v>62</v>
      </c>
      <c r="F285" s="46" cm="1">
        <f t="array" ref="F285">_xlfn.IFS($G285=$G$5,F$5,$G285=$G$6,F$6,$G285=$G$7,F$7,$G285=$G$8,F$8,$G285=$G$9,F$9,$G285=$G$10,F$10,$G285=$G$11,F$11,$G285=$G$12,F$12,$G285=$G$13,F$13,$G285=$G$15,F$15,$G285=$G$16,F$16,$G285=$G$17,F$17,$G285=$G$18,F$18,$G285=$G$19,F$19,$G285=$G$20,F$20,$G285=$G$21,F$21,$G285=$G$22,F$22,$G285=$G$25,F$25,$G285=$G$26,F$26,$G285=$G$27,F$27,$G285=$G$29,F$29,$G285=$G$31,F$31,$G285=$G$32,F$32,$G285=$G$248,F$248,$G285=$G$250,F$250)</f>
        <v>8038</v>
      </c>
      <c r="G285" t="s">
        <v>93</v>
      </c>
      <c r="H285" s="66" cm="1">
        <f t="array" ref="H285">_xlfn.IFS($G285=$G$5,H$5,$G285=$G$6,H$6,$G285=$G$7,H$7,$G285=$G$8,H$8,$G285=$G$9,H$9,$G285=$G$10,H$10,$G285=$G$11,H$11,$G285=$G$12,H$12,$G285=$G$13,H$13,$G285=$G$15,H$15,$G285=$G$16,H$16,$G285=$G$17,H$17,$G285=$G$18,H$18,$G285=$G$19,H$19,$G285=$G$20,H$20,$G285=$G$21,H$21,$G285=$G$22,H$22,$G285=$G$25,H$25,$G285=$G$26,H$26,$G285=$G$27,H$27,$G285=$G$29,H$29,$G285=$G$31,H$31,$G285=$G$32,H$150,$G285=$G$248,H$248,$G285=$G$250,H$250)</f>
        <v>41.359864999999999</v>
      </c>
      <c r="I285" s="78" cm="1">
        <f t="array" ref="I285">_xlfn.IFS($G285=$G$5,I$5,$G285=$G$6,I$6,$G285=$G$7,I$7,$G285=$G$8,I$8,$G285=$G$9,I$9,$G285=$G$10,I$10,$G285=$G$11,I$11,$G285=$G$12,I$12,$G285=$G$13,I$13,$G285=$G$15,I$15,$G285=$G$16,I$16,$G285=$G$17,I$17,$G285=$G$18,I$18,$G285=$G$19,I$19,$G285=$G$20,I$20,$G285=$G$21,I$21,$G285=$G$22,I$22,$G285=$G$25,I$25,$G285=$G$26,I$26,$G285=$G$27,I$27,$G285=$G$29,I$29,$G285=$G$31,I$31,$G285=$G$32,I$150,$G285=$G$248,I$248,$G285=$G$250,I$250)</f>
        <v>2.1445430000000001</v>
      </c>
      <c r="J285" cm="1">
        <f t="array" ref="J285">_xlfn.IFS($G285=$G$5,J$5,$G285=$G$6,J$6,$G285=$G$7,J$7,$G285=$G$8,J$8,$G285=$G$9,J$9,$G285=$G$10,J$10,$G285=$G$11,J$11,$G285=$G$12,J$12,$G285=$G$13,J$13,$G285=$G$15,J$15,$G285=$G$16,J$16,$G285=$G$17,J$17,$G285=$G$18,J$18,$G285=$G$19,J$19,$G285=$G$20,J$20,$G285=$G$21,J$21,$G285=$G$22,J$22,$G285=$G$25,J$25,$G285=$G$26,J$26,$G285=$G$27,J$27,$G285=$G$29,J$29,$G285=$G$31,J$31,$G285=$G$32,J$150,$G285=$G$248,J$248,$G285=$G$250,J$250)</f>
        <v>11.4</v>
      </c>
      <c r="K285" t="str" cm="1">
        <f t="array" ref="K285">_xlfn.IFS($G285=$G$5,K$5,$G285=$G$6,K$6,$G285=$G$7,K$7,$G285=$G$8,K$8,$G285=$G$9,K$9,$G285=$G$10,K$10,$G285=$G$11,K$11,$G285=$G$12,K$12,$G285=$G$13,K$13,$G285=$G$15,K$15,$G285=$G$16,K$16,$G285=$G$17,K$17,$G285=$G$18,K$18,$G285=$G$19,K$19,$G285=$G$20,K$20,$G285=$G$21,K$21,$G285=$G$22,K$22,$G285=$G$25,K$25,$G285=$G$26,K$26,$G285=$G$27,K$27,$G285=$G$29,K$29,$G285=$G$31,K$31,$G285=$G$32,K$150,$G285=$G$248,K$248,$G285=$G$250,K$250)</f>
        <v>BG sentinel + BG lure7</v>
      </c>
      <c r="O285" s="45" t="str">
        <f t="shared" si="20"/>
        <v>A_SP_BCN_19_210623</v>
      </c>
      <c r="P285" s="64">
        <v>44370</v>
      </c>
      <c r="R285" s="72"/>
      <c r="S285" s="64">
        <v>44378</v>
      </c>
      <c r="U285" s="72"/>
      <c r="V285" s="54" t="s">
        <v>66</v>
      </c>
      <c r="X285" s="45">
        <f t="shared" si="19"/>
        <v>8</v>
      </c>
      <c r="Z285" s="69" t="s">
        <v>69</v>
      </c>
      <c r="AA285" s="45">
        <f t="shared" si="16"/>
        <v>29</v>
      </c>
      <c r="AB285" t="str">
        <f t="shared" si="21"/>
        <v>Adult</v>
      </c>
      <c r="AC285" s="69">
        <v>25</v>
      </c>
      <c r="AD285" s="69">
        <v>4</v>
      </c>
      <c r="AE285" s="45" t="str">
        <f t="shared" si="22"/>
        <v>Morphological</v>
      </c>
      <c r="AF285" s="56">
        <v>4</v>
      </c>
    </row>
    <row r="286" spans="1:32" ht="18" customHeight="1" x14ac:dyDescent="0.25">
      <c r="A286" s="45">
        <v>282</v>
      </c>
      <c r="B286" s="45" t="s">
        <v>60</v>
      </c>
      <c r="C286" s="45" t="s">
        <v>61</v>
      </c>
      <c r="D286" s="45" t="s">
        <v>62</v>
      </c>
      <c r="E286" s="45" t="s">
        <v>62</v>
      </c>
      <c r="F286" s="46" cm="1">
        <f t="array" ref="F286">_xlfn.IFS($G286=$G$5,F$5,$G286=$G$6,F$6,$G286=$G$7,F$7,$G286=$G$8,F$8,$G286=$G$9,F$9,$G286=$G$10,F$10,$G286=$G$11,F$11,$G286=$G$12,F$12,$G286=$G$13,F$13,$G286=$G$15,F$15,$G286=$G$16,F$16,$G286=$G$17,F$17,$G286=$G$18,F$18,$G286=$G$19,F$19,$G286=$G$20,F$20,$G286=$G$21,F$21,$G286=$G$22,F$22,$G286=$G$25,F$25,$G286=$G$26,F$26,$G286=$G$27,F$27,$G286=$G$29,F$29,$G286=$G$31,F$31,$G286=$G$32,F$32,$G286=$G$248,F$248,$G286=$G$250,F$250)</f>
        <v>8038</v>
      </c>
      <c r="G286" t="s">
        <v>93</v>
      </c>
      <c r="H286" s="66" cm="1">
        <f t="array" ref="H286">_xlfn.IFS($G286=$G$5,H$5,$G286=$G$6,H$6,$G286=$G$7,H$7,$G286=$G$8,H$8,$G286=$G$9,H$9,$G286=$G$10,H$10,$G286=$G$11,H$11,$G286=$G$12,H$12,$G286=$G$13,H$13,$G286=$G$15,H$15,$G286=$G$16,H$16,$G286=$G$17,H$17,$G286=$G$18,H$18,$G286=$G$19,H$19,$G286=$G$20,H$20,$G286=$G$21,H$21,$G286=$G$22,H$22,$G286=$G$25,H$25,$G286=$G$26,H$26,$G286=$G$27,H$27,$G286=$G$29,H$29,$G286=$G$31,H$31,$G286=$G$32,H$150,$G286=$G$248,H$248,$G286=$G$250,H$250)</f>
        <v>41.359864999999999</v>
      </c>
      <c r="I286" s="78" cm="1">
        <f t="array" ref="I286">_xlfn.IFS($G286=$G$5,I$5,$G286=$G$6,I$6,$G286=$G$7,I$7,$G286=$G$8,I$8,$G286=$G$9,I$9,$G286=$G$10,I$10,$G286=$G$11,I$11,$G286=$G$12,I$12,$G286=$G$13,I$13,$G286=$G$15,I$15,$G286=$G$16,I$16,$G286=$G$17,I$17,$G286=$G$18,I$18,$G286=$G$19,I$19,$G286=$G$20,I$20,$G286=$G$21,I$21,$G286=$G$22,I$22,$G286=$G$25,I$25,$G286=$G$26,I$26,$G286=$G$27,I$27,$G286=$G$29,I$29,$G286=$G$31,I$31,$G286=$G$32,I$150,$G286=$G$248,I$248,$G286=$G$250,I$250)</f>
        <v>2.1445430000000001</v>
      </c>
      <c r="J286" cm="1">
        <f t="array" ref="J286">_xlfn.IFS($G286=$G$5,J$5,$G286=$G$6,J$6,$G286=$G$7,J$7,$G286=$G$8,J$8,$G286=$G$9,J$9,$G286=$G$10,J$10,$G286=$G$11,J$11,$G286=$G$12,J$12,$G286=$G$13,J$13,$G286=$G$15,J$15,$G286=$G$16,J$16,$G286=$G$17,J$17,$G286=$G$18,J$18,$G286=$G$19,J$19,$G286=$G$20,J$20,$G286=$G$21,J$21,$G286=$G$22,J$22,$G286=$G$25,J$25,$G286=$G$26,J$26,$G286=$G$27,J$27,$G286=$G$29,J$29,$G286=$G$31,J$31,$G286=$G$32,J$150,$G286=$G$248,J$248,$G286=$G$250,J$250)</f>
        <v>11.4</v>
      </c>
      <c r="K286" t="str" cm="1">
        <f t="array" ref="K286">_xlfn.IFS($G286=$G$5,K$5,$G286=$G$6,K$6,$G286=$G$7,K$7,$G286=$G$8,K$8,$G286=$G$9,K$9,$G286=$G$10,K$10,$G286=$G$11,K$11,$G286=$G$12,K$12,$G286=$G$13,K$13,$G286=$G$15,K$15,$G286=$G$16,K$16,$G286=$G$17,K$17,$G286=$G$18,K$18,$G286=$G$19,K$19,$G286=$G$20,K$20,$G286=$G$21,K$21,$G286=$G$22,K$22,$G286=$G$25,K$25,$G286=$G$26,K$26,$G286=$G$27,K$27,$G286=$G$29,K$29,$G286=$G$31,K$31,$G286=$G$32,K$150,$G286=$G$248,K$248,$G286=$G$250,K$250)</f>
        <v>BG sentinel + BG lure7</v>
      </c>
      <c r="O286" s="45" t="str">
        <f t="shared" si="20"/>
        <v>A_SP_BCN_19_210623</v>
      </c>
      <c r="P286" s="64">
        <v>44370</v>
      </c>
      <c r="R286" s="72"/>
      <c r="S286" s="64">
        <v>44378</v>
      </c>
      <c r="U286" s="72"/>
      <c r="V286" s="54" t="s">
        <v>66</v>
      </c>
      <c r="X286" s="45">
        <f t="shared" ref="X286:X352" si="23">S286-P286</f>
        <v>8</v>
      </c>
      <c r="Z286" s="45" t="s">
        <v>70</v>
      </c>
      <c r="AA286" s="45">
        <f t="shared" si="16"/>
        <v>9</v>
      </c>
      <c r="AB286" t="str">
        <f t="shared" si="21"/>
        <v>Adult</v>
      </c>
      <c r="AC286" s="69">
        <v>9</v>
      </c>
      <c r="AD286" s="69">
        <v>0</v>
      </c>
      <c r="AE286" s="45" t="str">
        <f t="shared" si="22"/>
        <v>Morphological</v>
      </c>
      <c r="AF286" s="56">
        <v>4</v>
      </c>
    </row>
    <row r="287" spans="1:32" ht="18" customHeight="1" x14ac:dyDescent="0.25">
      <c r="A287" s="45">
        <v>283</v>
      </c>
      <c r="B287" s="45" t="s">
        <v>60</v>
      </c>
      <c r="C287" s="45" t="s">
        <v>61</v>
      </c>
      <c r="D287" s="45" t="s">
        <v>62</v>
      </c>
      <c r="E287" s="45" t="s">
        <v>62</v>
      </c>
      <c r="F287" s="46" cm="1">
        <f t="array" ref="F287">_xlfn.IFS($G287=$G$5,F$5,$G287=$G$6,F$6,$G287=$G$7,F$7,$G287=$G$8,F$8,$G287=$G$9,F$9,$G287=$G$10,F$10,$G287=$G$11,F$11,$G287=$G$12,F$12,$G287=$G$13,F$13,$G287=$G$15,F$15,$G287=$G$16,F$16,$G287=$G$17,F$17,$G287=$G$18,F$18,$G287=$G$19,F$19,$G287=$G$20,F$20,$G287=$G$21,F$21,$G287=$G$22,F$22,$G287=$G$25,F$25,$G287=$G$26,F$26,$G287=$G$27,F$27,$G287=$G$29,F$29,$G287=$G$31,F$31,$G287=$G$32,F$32,$G287=$G$248,F$248,$G287=$G$250,F$250)</f>
        <v>8038</v>
      </c>
      <c r="G287" t="s">
        <v>93</v>
      </c>
      <c r="H287" s="66" cm="1">
        <f t="array" ref="H287">_xlfn.IFS($G287=$G$5,H$5,$G287=$G$6,H$6,$G287=$G$7,H$7,$G287=$G$8,H$8,$G287=$G$9,H$9,$G287=$G$10,H$10,$G287=$G$11,H$11,$G287=$G$12,H$12,$G287=$G$13,H$13,$G287=$G$15,H$15,$G287=$G$16,H$16,$G287=$G$17,H$17,$G287=$G$18,H$18,$G287=$G$19,H$19,$G287=$G$20,H$20,$G287=$G$21,H$21,$G287=$G$22,H$22,$G287=$G$25,H$25,$G287=$G$26,H$26,$G287=$G$27,H$27,$G287=$G$29,H$29,$G287=$G$31,H$31,$G287=$G$32,H$150,$G287=$G$248,H$248,$G287=$G$250,H$250)</f>
        <v>41.359864999999999</v>
      </c>
      <c r="I287" s="78" cm="1">
        <f t="array" ref="I287">_xlfn.IFS($G287=$G$5,I$5,$G287=$G$6,I$6,$G287=$G$7,I$7,$G287=$G$8,I$8,$G287=$G$9,I$9,$G287=$G$10,I$10,$G287=$G$11,I$11,$G287=$G$12,I$12,$G287=$G$13,I$13,$G287=$G$15,I$15,$G287=$G$16,I$16,$G287=$G$17,I$17,$G287=$G$18,I$18,$G287=$G$19,I$19,$G287=$G$20,I$20,$G287=$G$21,I$21,$G287=$G$22,I$22,$G287=$G$25,I$25,$G287=$G$26,I$26,$G287=$G$27,I$27,$G287=$G$29,I$29,$G287=$G$31,I$31,$G287=$G$32,I$150,$G287=$G$248,I$248,$G287=$G$250,I$250)</f>
        <v>2.1445430000000001</v>
      </c>
      <c r="J287" cm="1">
        <f t="array" ref="J287">_xlfn.IFS($G287=$G$5,J$5,$G287=$G$6,J$6,$G287=$G$7,J$7,$G287=$G$8,J$8,$G287=$G$9,J$9,$G287=$G$10,J$10,$G287=$G$11,J$11,$G287=$G$12,J$12,$G287=$G$13,J$13,$G287=$G$15,J$15,$G287=$G$16,J$16,$G287=$G$17,J$17,$G287=$G$18,J$18,$G287=$G$19,J$19,$G287=$G$20,J$20,$G287=$G$21,J$21,$G287=$G$22,J$22,$G287=$G$25,J$25,$G287=$G$26,J$26,$G287=$G$27,J$27,$G287=$G$29,J$29,$G287=$G$31,J$31,$G287=$G$32,J$150,$G287=$G$248,J$248,$G287=$G$250,J$250)</f>
        <v>11.4</v>
      </c>
      <c r="K287" t="str" cm="1">
        <f t="array" ref="K287">_xlfn.IFS($G287=$G$5,K$5,$G287=$G$6,K$6,$G287=$G$7,K$7,$G287=$G$8,K$8,$G287=$G$9,K$9,$G287=$G$10,K$10,$G287=$G$11,K$11,$G287=$G$12,K$12,$G287=$G$13,K$13,$G287=$G$15,K$15,$G287=$G$16,K$16,$G287=$G$17,K$17,$G287=$G$18,K$18,$G287=$G$19,K$19,$G287=$G$20,K$20,$G287=$G$21,K$21,$G287=$G$22,K$22,$G287=$G$25,K$25,$G287=$G$26,K$26,$G287=$G$27,K$27,$G287=$G$29,K$29,$G287=$G$31,K$31,$G287=$G$32,K$150,$G287=$G$248,K$248,$G287=$G$250,K$250)</f>
        <v>BG sentinel + BG lure7</v>
      </c>
      <c r="O287" s="45" t="str">
        <f t="shared" si="20"/>
        <v>A_SP_BCN_19_210623</v>
      </c>
      <c r="P287" s="64">
        <v>44370</v>
      </c>
      <c r="R287" s="72"/>
      <c r="S287" s="64">
        <v>44378</v>
      </c>
      <c r="U287" s="72"/>
      <c r="V287" s="54" t="s">
        <v>66</v>
      </c>
      <c r="X287" s="45">
        <f t="shared" si="23"/>
        <v>8</v>
      </c>
      <c r="Z287" s="45" t="s">
        <v>80</v>
      </c>
      <c r="AA287" s="45">
        <f t="shared" si="16"/>
        <v>2</v>
      </c>
      <c r="AB287" t="str">
        <f t="shared" si="21"/>
        <v>Adult</v>
      </c>
      <c r="AC287" s="69">
        <v>2</v>
      </c>
      <c r="AD287" s="69">
        <v>0</v>
      </c>
      <c r="AE287" s="45" t="str">
        <f t="shared" si="22"/>
        <v>Morphological</v>
      </c>
      <c r="AF287" s="56">
        <v>4</v>
      </c>
    </row>
    <row r="288" spans="1:32" ht="18" customHeight="1" x14ac:dyDescent="0.25">
      <c r="A288" s="45">
        <v>284</v>
      </c>
      <c r="B288" s="45" t="s">
        <v>60</v>
      </c>
      <c r="C288" s="45" t="s">
        <v>61</v>
      </c>
      <c r="D288" s="45" t="s">
        <v>62</v>
      </c>
      <c r="E288" s="45" t="s">
        <v>62</v>
      </c>
      <c r="F288" s="46" cm="1">
        <f t="array" ref="F288">_xlfn.IFS($G288=$G$5,F$5,$G288=$G$6,F$6,$G288=$G$7,F$7,$G288=$G$8,F$8,$G288=$G$9,F$9,$G288=$G$10,F$10,$G288=$G$11,F$11,$G288=$G$12,F$12,$G288=$G$13,F$13,$G288=$G$15,F$15,$G288=$G$16,F$16,$G288=$G$17,F$17,$G288=$G$18,F$18,$G288=$G$19,F$19,$G288=$G$20,F$20,$G288=$G$21,F$21,$G288=$G$22,F$22,$G288=$G$25,F$25,$G288=$G$26,F$26,$G288=$G$27,F$27,$G288=$G$29,F$29,$G288=$G$31,F$31,$G288=$G$32,F$32,$G288=$G$248,F$248,$G288=$G$250,F$250)</f>
        <v>8002</v>
      </c>
      <c r="G288" t="s">
        <v>94</v>
      </c>
      <c r="H288" s="66" cm="1">
        <f t="array" ref="H288">_xlfn.IFS($G288=$G$5,H$5,$G288=$G$6,H$6,$G288=$G$7,H$7,$G288=$G$8,H$8,$G288=$G$9,H$9,$G288=$G$10,H$10,$G288=$G$11,H$11,$G288=$G$12,H$12,$G288=$G$13,H$13,$G288=$G$15,H$15,$G288=$G$16,H$16,$G288=$G$17,H$17,$G288=$G$18,H$18,$G288=$G$19,H$19,$G288=$G$20,H$20,$G288=$G$21,H$21,$G288=$G$22,H$22,$G288=$G$25,H$25,$G288=$G$26,H$26,$G288=$G$27,H$27,$G288=$G$29,H$29,$G288=$G$31,H$31,$G288=$G$32,H$150,$G288=$G$248,H$248,$G288=$G$250,H$250)</f>
        <v>41.385213</v>
      </c>
      <c r="I288" s="78" cm="1">
        <f t="array" ref="I288">_xlfn.IFS($G288=$G$5,I$5,$G288=$G$6,I$6,$G288=$G$7,I$7,$G288=$G$8,I$8,$G288=$G$9,I$9,$G288=$G$10,I$10,$G288=$G$11,I$11,$G288=$G$12,I$12,$G288=$G$13,I$13,$G288=$G$15,I$15,$G288=$G$16,I$16,$G288=$G$17,I$17,$G288=$G$18,I$18,$G288=$G$19,I$19,$G288=$G$20,I$20,$G288=$G$21,I$21,$G288=$G$22,I$22,$G288=$G$25,I$25,$G288=$G$26,I$26,$G288=$G$27,I$27,$G288=$G$29,I$29,$G288=$G$31,I$31,$G288=$G$32,I$150,$G288=$G$248,I$248,$G288=$G$250,I$250)</f>
        <v>2.174852</v>
      </c>
      <c r="J288" cm="1">
        <f t="array" ref="J288">_xlfn.IFS($G288=$G$5,J$5,$G288=$G$6,J$6,$G288=$G$7,J$7,$G288=$G$8,J$8,$G288=$G$9,J$9,$G288=$G$10,J$10,$G288=$G$11,J$11,$G288=$G$12,J$12,$G288=$G$13,J$13,$G288=$G$15,J$15,$G288=$G$16,J$16,$G288=$G$17,J$17,$G288=$G$18,J$18,$G288=$G$19,J$19,$G288=$G$20,J$20,$G288=$G$21,J$21,$G288=$G$22,J$22,$G288=$G$25,J$25,$G288=$G$26,J$26,$G288=$G$27,J$27,$G288=$G$29,J$29,$G288=$G$31,J$31,$G288=$G$32,J$150,$G288=$G$248,J$248,$G288=$G$250,J$250)</f>
        <v>14</v>
      </c>
      <c r="K288" t="str" cm="1">
        <f t="array" ref="K288">_xlfn.IFS($G288=$G$5,K$5,$G288=$G$6,K$6,$G288=$G$7,K$7,$G288=$G$8,K$8,$G288=$G$9,K$9,$G288=$G$10,K$10,$G288=$G$11,K$11,$G288=$G$12,K$12,$G288=$G$13,K$13,$G288=$G$15,K$15,$G288=$G$16,K$16,$G288=$G$17,K$17,$G288=$G$18,K$18,$G288=$G$19,K$19,$G288=$G$20,K$20,$G288=$G$21,K$21,$G288=$G$22,K$22,$G288=$G$25,K$25,$G288=$G$26,K$26,$G288=$G$27,K$27,$G288=$G$29,K$29,$G288=$G$31,K$31,$G288=$G$32,K$150,$G288=$G$248,K$248,$G288=$G$250,K$250)</f>
        <v>BG sentinel + BG lure7</v>
      </c>
      <c r="O288" s="45" t="str">
        <f t="shared" si="20"/>
        <v>A_SP_BCN_20_210622</v>
      </c>
      <c r="P288" s="64">
        <v>44369</v>
      </c>
      <c r="R288" s="72"/>
      <c r="S288" s="64">
        <v>44378</v>
      </c>
      <c r="U288" s="72"/>
      <c r="V288" s="54" t="s">
        <v>66</v>
      </c>
      <c r="X288" s="45">
        <f t="shared" si="23"/>
        <v>9</v>
      </c>
      <c r="Z288" s="69" t="s">
        <v>69</v>
      </c>
      <c r="AA288" s="45">
        <f t="shared" si="16"/>
        <v>2</v>
      </c>
      <c r="AB288" t="str">
        <f t="shared" si="21"/>
        <v>Adult</v>
      </c>
      <c r="AC288" s="69">
        <v>2</v>
      </c>
      <c r="AD288" s="69">
        <v>0</v>
      </c>
      <c r="AE288" s="45" t="str">
        <f t="shared" si="22"/>
        <v>Morphological</v>
      </c>
      <c r="AF288" s="56">
        <v>4</v>
      </c>
    </row>
    <row r="289" spans="1:32" ht="18" customHeight="1" x14ac:dyDescent="0.25">
      <c r="A289" s="45">
        <v>285</v>
      </c>
      <c r="B289" s="45" t="s">
        <v>60</v>
      </c>
      <c r="C289" s="45" t="s">
        <v>61</v>
      </c>
      <c r="D289" s="45" t="s">
        <v>62</v>
      </c>
      <c r="E289" s="45" t="s">
        <v>62</v>
      </c>
      <c r="F289" s="46" cm="1">
        <f t="array" ref="F289">_xlfn.IFS($G289=$G$5,F$5,$G289=$G$6,F$6,$G289=$G$7,F$7,$G289=$G$8,F$8,$G289=$G$9,F$9,$G289=$G$10,F$10,$G289=$G$11,F$11,$G289=$G$12,F$12,$G289=$G$13,F$13,$G289=$G$15,F$15,$G289=$G$16,F$16,$G289=$G$17,F$17,$G289=$G$18,F$18,$G289=$G$19,F$19,$G289=$G$20,F$20,$G289=$G$21,F$21,$G289=$G$22,F$22,$G289=$G$25,F$25,$G289=$G$26,F$26,$G289=$G$27,F$27,$G289=$G$29,F$29,$G289=$G$31,F$31,$G289=$G$32,F$32,$G289=$G$248,F$248,$G289=$G$250,F$250)</f>
        <v>8002</v>
      </c>
      <c r="G289" t="s">
        <v>94</v>
      </c>
      <c r="H289" s="66" cm="1">
        <f t="array" ref="H289">_xlfn.IFS($G289=$G$5,H$5,$G289=$G$6,H$6,$G289=$G$7,H$7,$G289=$G$8,H$8,$G289=$G$9,H$9,$G289=$G$10,H$10,$G289=$G$11,H$11,$G289=$G$12,H$12,$G289=$G$13,H$13,$G289=$G$15,H$15,$G289=$G$16,H$16,$G289=$G$17,H$17,$G289=$G$18,H$18,$G289=$G$19,H$19,$G289=$G$20,H$20,$G289=$G$21,H$21,$G289=$G$22,H$22,$G289=$G$25,H$25,$G289=$G$26,H$26,$G289=$G$27,H$27,$G289=$G$29,H$29,$G289=$G$31,H$31,$G289=$G$32,H$150,$G289=$G$248,H$248,$G289=$G$250,H$250)</f>
        <v>41.385213</v>
      </c>
      <c r="I289" s="78" cm="1">
        <f t="array" ref="I289">_xlfn.IFS($G289=$G$5,I$5,$G289=$G$6,I$6,$G289=$G$7,I$7,$G289=$G$8,I$8,$G289=$G$9,I$9,$G289=$G$10,I$10,$G289=$G$11,I$11,$G289=$G$12,I$12,$G289=$G$13,I$13,$G289=$G$15,I$15,$G289=$G$16,I$16,$G289=$G$17,I$17,$G289=$G$18,I$18,$G289=$G$19,I$19,$G289=$G$20,I$20,$G289=$G$21,I$21,$G289=$G$22,I$22,$G289=$G$25,I$25,$G289=$G$26,I$26,$G289=$G$27,I$27,$G289=$G$29,I$29,$G289=$G$31,I$31,$G289=$G$32,I$150,$G289=$G$248,I$248,$G289=$G$250,I$250)</f>
        <v>2.174852</v>
      </c>
      <c r="J289" cm="1">
        <f t="array" ref="J289">_xlfn.IFS($G289=$G$5,J$5,$G289=$G$6,J$6,$G289=$G$7,J$7,$G289=$G$8,J$8,$G289=$G$9,J$9,$G289=$G$10,J$10,$G289=$G$11,J$11,$G289=$G$12,J$12,$G289=$G$13,J$13,$G289=$G$15,J$15,$G289=$G$16,J$16,$G289=$G$17,J$17,$G289=$G$18,J$18,$G289=$G$19,J$19,$G289=$G$20,J$20,$G289=$G$21,J$21,$G289=$G$22,J$22,$G289=$G$25,J$25,$G289=$G$26,J$26,$G289=$G$27,J$27,$G289=$G$29,J$29,$G289=$G$31,J$31,$G289=$G$32,J$150,$G289=$G$248,J$248,$G289=$G$250,J$250)</f>
        <v>14</v>
      </c>
      <c r="K289" t="str" cm="1">
        <f t="array" ref="K289">_xlfn.IFS($G289=$G$5,K$5,$G289=$G$6,K$6,$G289=$G$7,K$7,$G289=$G$8,K$8,$G289=$G$9,K$9,$G289=$G$10,K$10,$G289=$G$11,K$11,$G289=$G$12,K$12,$G289=$G$13,K$13,$G289=$G$15,K$15,$G289=$G$16,K$16,$G289=$G$17,K$17,$G289=$G$18,K$18,$G289=$G$19,K$19,$G289=$G$20,K$20,$G289=$G$21,K$21,$G289=$G$22,K$22,$G289=$G$25,K$25,$G289=$G$26,K$26,$G289=$G$27,K$27,$G289=$G$29,K$29,$G289=$G$31,K$31,$G289=$G$32,K$150,$G289=$G$248,K$248,$G289=$G$250,K$250)</f>
        <v>BG sentinel + BG lure7</v>
      </c>
      <c r="O289" s="45" t="str">
        <f t="shared" si="20"/>
        <v>A_SP_BCN_20_210622</v>
      </c>
      <c r="P289" s="64">
        <v>44369</v>
      </c>
      <c r="R289" s="72"/>
      <c r="S289" s="64">
        <v>44378</v>
      </c>
      <c r="U289" s="72"/>
      <c r="V289" s="54" t="s">
        <v>66</v>
      </c>
      <c r="X289" s="45">
        <f t="shared" si="23"/>
        <v>9</v>
      </c>
      <c r="Z289" s="45" t="s">
        <v>70</v>
      </c>
      <c r="AA289" s="45">
        <f t="shared" si="16"/>
        <v>19</v>
      </c>
      <c r="AB289" t="str">
        <f t="shared" si="21"/>
        <v>Adult</v>
      </c>
      <c r="AC289" s="69">
        <v>10</v>
      </c>
      <c r="AD289" s="69">
        <v>9</v>
      </c>
      <c r="AE289" s="45" t="str">
        <f t="shared" si="22"/>
        <v>Morphological</v>
      </c>
      <c r="AF289" s="56">
        <v>4</v>
      </c>
    </row>
    <row r="290" spans="1:32" ht="18" customHeight="1" x14ac:dyDescent="0.25">
      <c r="A290" s="45">
        <v>286</v>
      </c>
      <c r="B290" s="45" t="s">
        <v>60</v>
      </c>
      <c r="C290" s="45" t="s">
        <v>61</v>
      </c>
      <c r="D290" s="45" t="s">
        <v>62</v>
      </c>
      <c r="E290" s="45" t="s">
        <v>62</v>
      </c>
      <c r="F290" s="46" cm="1">
        <f t="array" ref="F290">_xlfn.IFS($G290=$G$5,F$5,$G290=$G$6,F$6,$G290=$G$7,F$7,$G290=$G$8,F$8,$G290=$G$9,F$9,$G290=$G$10,F$10,$G290=$G$11,F$11,$G290=$G$12,F$12,$G290=$G$13,F$13,$G290=$G$15,F$15,$G290=$G$16,F$16,$G290=$G$17,F$17,$G290=$G$18,F$18,$G290=$G$19,F$19,$G290=$G$20,F$20,$G290=$G$21,F$21,$G290=$G$22,F$22,$G290=$G$25,F$25,$G290=$G$26,F$26,$G290=$G$27,F$27,$G290=$G$29,F$29,$G290=$G$31,F$31,$G290=$G$32,F$32,$G290=$G$248,F$248,$G290=$G$250,F$250)</f>
        <v>8002</v>
      </c>
      <c r="G290" t="s">
        <v>94</v>
      </c>
      <c r="H290" s="66" cm="1">
        <f t="array" ref="H290">_xlfn.IFS($G290=$G$5,H$5,$G290=$G$6,H$6,$G290=$G$7,H$7,$G290=$G$8,H$8,$G290=$G$9,H$9,$G290=$G$10,H$10,$G290=$G$11,H$11,$G290=$G$12,H$12,$G290=$G$13,H$13,$G290=$G$15,H$15,$G290=$G$16,H$16,$G290=$G$17,H$17,$G290=$G$18,H$18,$G290=$G$19,H$19,$G290=$G$20,H$20,$G290=$G$21,H$21,$G290=$G$22,H$22,$G290=$G$25,H$25,$G290=$G$26,H$26,$G290=$G$27,H$27,$G290=$G$29,H$29,$G290=$G$31,H$31,$G290=$G$32,H$150,$G290=$G$248,H$248,$G290=$G$250,H$250)</f>
        <v>41.385213</v>
      </c>
      <c r="I290" s="78" cm="1">
        <f t="array" ref="I290">_xlfn.IFS($G290=$G$5,I$5,$G290=$G$6,I$6,$G290=$G$7,I$7,$G290=$G$8,I$8,$G290=$G$9,I$9,$G290=$G$10,I$10,$G290=$G$11,I$11,$G290=$G$12,I$12,$G290=$G$13,I$13,$G290=$G$15,I$15,$G290=$G$16,I$16,$G290=$G$17,I$17,$G290=$G$18,I$18,$G290=$G$19,I$19,$G290=$G$20,I$20,$G290=$G$21,I$21,$G290=$G$22,I$22,$G290=$G$25,I$25,$G290=$G$26,I$26,$G290=$G$27,I$27,$G290=$G$29,I$29,$G290=$G$31,I$31,$G290=$G$32,I$150,$G290=$G$248,I$248,$G290=$G$250,I$250)</f>
        <v>2.174852</v>
      </c>
      <c r="J290" cm="1">
        <f t="array" ref="J290">_xlfn.IFS($G290=$G$5,J$5,$G290=$G$6,J$6,$G290=$G$7,J$7,$G290=$G$8,J$8,$G290=$G$9,J$9,$G290=$G$10,J$10,$G290=$G$11,J$11,$G290=$G$12,J$12,$G290=$G$13,J$13,$G290=$G$15,J$15,$G290=$G$16,J$16,$G290=$G$17,J$17,$G290=$G$18,J$18,$G290=$G$19,J$19,$G290=$G$20,J$20,$G290=$G$21,J$21,$G290=$G$22,J$22,$G290=$G$25,J$25,$G290=$G$26,J$26,$G290=$G$27,J$27,$G290=$G$29,J$29,$G290=$G$31,J$31,$G290=$G$32,J$150,$G290=$G$248,J$248,$G290=$G$250,J$250)</f>
        <v>14</v>
      </c>
      <c r="K290" t="str" cm="1">
        <f t="array" ref="K290">_xlfn.IFS($G290=$G$5,K$5,$G290=$G$6,K$6,$G290=$G$7,K$7,$G290=$G$8,K$8,$G290=$G$9,K$9,$G290=$G$10,K$10,$G290=$G$11,K$11,$G290=$G$12,K$12,$G290=$G$13,K$13,$G290=$G$15,K$15,$G290=$G$16,K$16,$G290=$G$17,K$17,$G290=$G$18,K$18,$G290=$G$19,K$19,$G290=$G$20,K$20,$G290=$G$21,K$21,$G290=$G$22,K$22,$G290=$G$25,K$25,$G290=$G$26,K$26,$G290=$G$27,K$27,$G290=$G$29,K$29,$G290=$G$31,K$31,$G290=$G$32,K$150,$G290=$G$248,K$248,$G290=$G$250,K$250)</f>
        <v>BG sentinel + BG lure7</v>
      </c>
      <c r="O290" s="45" t="str">
        <f t="shared" si="20"/>
        <v>A_SP_BCN_20_210622</v>
      </c>
      <c r="P290" s="64">
        <v>44369</v>
      </c>
      <c r="R290" s="72"/>
      <c r="S290" s="64">
        <v>44378</v>
      </c>
      <c r="U290" s="72"/>
      <c r="V290" s="54" t="s">
        <v>66</v>
      </c>
      <c r="X290" s="45">
        <f t="shared" si="23"/>
        <v>9</v>
      </c>
      <c r="Z290" s="45" t="s">
        <v>80</v>
      </c>
      <c r="AA290" s="45">
        <f t="shared" si="16"/>
        <v>8</v>
      </c>
      <c r="AB290" t="str">
        <f t="shared" si="21"/>
        <v>Adult</v>
      </c>
      <c r="AC290" s="69">
        <v>5</v>
      </c>
      <c r="AD290" s="69">
        <v>3</v>
      </c>
      <c r="AE290" s="45" t="str">
        <f t="shared" si="22"/>
        <v>Morphological</v>
      </c>
      <c r="AF290" s="56">
        <v>4</v>
      </c>
    </row>
    <row r="291" spans="1:32" ht="18" customHeight="1" x14ac:dyDescent="0.25">
      <c r="A291" s="45">
        <v>287</v>
      </c>
      <c r="B291" s="45" t="s">
        <v>60</v>
      </c>
      <c r="C291" s="45" t="s">
        <v>61</v>
      </c>
      <c r="D291" s="45" t="s">
        <v>62</v>
      </c>
      <c r="E291" s="45" t="s">
        <v>62</v>
      </c>
      <c r="F291" s="46" cm="1">
        <f t="array" ref="F291">_xlfn.IFS($G291=$G$5,F$5,$G291=$G$6,F$6,$G291=$G$7,F$7,$G291=$G$8,F$8,$G291=$G$9,F$9,$G291=$G$10,F$10,$G291=$G$11,F$11,$G291=$G$12,F$12,$G291=$G$13,F$13,$G291=$G$15,F$15,$G291=$G$16,F$16,$G291=$G$17,F$17,$G291=$G$18,F$18,$G291=$G$19,F$19,$G291=$G$20,F$20,$G291=$G$21,F$21,$G291=$G$22,F$22,$G291=$G$25,F$25,$G291=$G$26,F$26,$G291=$G$27,F$27,$G291=$G$29,F$29,$G291=$G$31,F$31,$G291=$G$32,F$32,$G291=$G$248,F$248,$G291=$G$250,F$250)</f>
        <v>8017</v>
      </c>
      <c r="G291" t="s">
        <v>98</v>
      </c>
      <c r="H291" s="66" cm="1">
        <f t="array" ref="H291">_xlfn.IFS($G291=$G$5,H$5,$G291=$G$6,H$6,$G291=$G$7,H$7,$G291=$G$8,H$8,$G291=$G$9,H$9,$G291=$G$10,H$10,$G291=$G$11,H$11,$G291=$G$12,H$12,$G291=$G$13,H$13,$G291=$G$15,H$15,$G291=$G$16,H$16,$G291=$G$17,H$17,$G291=$G$18,H$18,$G291=$G$19,H$19,$G291=$G$20,H$20,$G291=$G$21,H$21,$G291=$G$22,H$22,$G291=$G$25,H$25,$G291=$G$26,H$26,$G291=$G$27,H$27,$G291=$G$29,H$29,$G291=$G$31,H$31,$G291=$G$32,H$150,$G291=$G$248,H$248,$G291=$G$250,H$250)</f>
        <v>41.430315999999998</v>
      </c>
      <c r="I291" s="78" cm="1">
        <f t="array" ref="I291">_xlfn.IFS($G291=$G$5,I$5,$G291=$G$6,I$6,$G291=$G$7,I$7,$G291=$G$8,I$8,$G291=$G$9,I$9,$G291=$G$10,I$10,$G291=$G$11,I$11,$G291=$G$12,I$12,$G291=$G$13,I$13,$G291=$G$15,I$15,$G291=$G$16,I$16,$G291=$G$17,I$17,$G291=$G$18,I$18,$G291=$G$19,I$19,$G291=$G$20,I$20,$G291=$G$21,I$21,$G291=$G$22,I$22,$G291=$G$25,I$25,$G291=$G$26,I$26,$G291=$G$27,I$27,$G291=$G$29,I$29,$G291=$G$31,I$31,$G291=$G$32,I$150,$G291=$G$248,I$248,$G291=$G$250,I$250)</f>
        <v>2.077556</v>
      </c>
      <c r="J291" cm="1">
        <f t="array" ref="J291">_xlfn.IFS($G291=$G$5,J$5,$G291=$G$6,J$6,$G291=$G$7,J$7,$G291=$G$8,J$8,$G291=$G$9,J$9,$G291=$G$10,J$10,$G291=$G$11,J$11,$G291=$G$12,J$12,$G291=$G$13,J$13,$G291=$G$15,J$15,$G291=$G$16,J$16,$G291=$G$17,J$17,$G291=$G$18,J$18,$G291=$G$19,J$19,$G291=$G$20,J$20,$G291=$G$21,J$21,$G291=$G$22,J$22,$G291=$G$25,J$25,$G291=$G$26,J$26,$G291=$G$27,J$27,$G291=$G$29,J$29,$G291=$G$31,J$31,$G291=$G$32,J$150,$G291=$G$248,J$248,$G291=$G$250,J$250)</f>
        <v>243.3</v>
      </c>
      <c r="K291" t="str" cm="1">
        <f t="array" ref="K291">_xlfn.IFS($G291=$G$5,K$5,$G291=$G$6,K$6,$G291=$G$7,K$7,$G291=$G$8,K$8,$G291=$G$9,K$9,$G291=$G$10,K$10,$G291=$G$11,K$11,$G291=$G$12,K$12,$G291=$G$13,K$13,$G291=$G$15,K$15,$G291=$G$16,K$16,$G291=$G$17,K$17,$G291=$G$18,K$18,$G291=$G$19,K$19,$G291=$G$20,K$20,$G291=$G$21,K$21,$G291=$G$22,K$22,$G291=$G$25,K$25,$G291=$G$26,K$26,$G291=$G$27,K$27,$G291=$G$29,K$29,$G291=$G$31,K$31,$G291=$G$32,K$150,$G291=$G$248,K$248,$G291=$G$250,K$250)</f>
        <v>BG sentinel + BG lure7</v>
      </c>
      <c r="O291" s="45" t="str">
        <f t="shared" si="20"/>
        <v>A_SP_BCN_22_210622</v>
      </c>
      <c r="P291" s="64">
        <v>44369</v>
      </c>
      <c r="R291" s="72"/>
      <c r="S291" s="64">
        <v>44377</v>
      </c>
      <c r="U291" s="72"/>
      <c r="V291" s="54" t="s">
        <v>66</v>
      </c>
      <c r="W291" t="s">
        <v>124</v>
      </c>
      <c r="X291" s="45">
        <f t="shared" si="23"/>
        <v>8</v>
      </c>
      <c r="Z291" s="69" t="s">
        <v>69</v>
      </c>
      <c r="AA291" s="45">
        <f t="shared" si="16"/>
        <v>3</v>
      </c>
      <c r="AB291" t="str">
        <f t="shared" si="21"/>
        <v>Adult</v>
      </c>
      <c r="AC291" s="69">
        <v>3</v>
      </c>
      <c r="AD291" s="69">
        <v>0</v>
      </c>
      <c r="AE291" s="45" t="str">
        <f t="shared" si="22"/>
        <v>Morphological</v>
      </c>
      <c r="AF291" s="56">
        <v>3</v>
      </c>
    </row>
    <row r="292" spans="1:32" ht="18" customHeight="1" x14ac:dyDescent="0.25">
      <c r="A292" s="45">
        <v>288</v>
      </c>
      <c r="B292" s="45" t="s">
        <v>60</v>
      </c>
      <c r="C292" s="45" t="s">
        <v>61</v>
      </c>
      <c r="D292" s="45" t="s">
        <v>62</v>
      </c>
      <c r="E292" s="45" t="s">
        <v>62</v>
      </c>
      <c r="F292" s="46" cm="1">
        <f t="array" ref="F292">_xlfn.IFS($G292=$G$5,F$5,$G292=$G$6,F$6,$G292=$G$7,F$7,$G292=$G$8,F$8,$G292=$G$9,F$9,$G292=$G$10,F$10,$G292=$G$11,F$11,$G292=$G$12,F$12,$G292=$G$13,F$13,$G292=$G$15,F$15,$G292=$G$16,F$16,$G292=$G$17,F$17,$G292=$G$18,F$18,$G292=$G$19,F$19,$G292=$G$20,F$20,$G292=$G$21,F$21,$G292=$G$22,F$22,$G292=$G$25,F$25,$G292=$G$26,F$26,$G292=$G$27,F$27,$G292=$G$29,F$29,$G292=$G$31,F$31,$G292=$G$32,F$32,$G292=$G$248,F$248,$G292=$G$250,F$250)</f>
        <v>8017</v>
      </c>
      <c r="G292" t="s">
        <v>98</v>
      </c>
      <c r="H292" s="66" cm="1">
        <f t="array" ref="H292">_xlfn.IFS($G292=$G$5,H$5,$G292=$G$6,H$6,$G292=$G$7,H$7,$G292=$G$8,H$8,$G292=$G$9,H$9,$G292=$G$10,H$10,$G292=$G$11,H$11,$G292=$G$12,H$12,$G292=$G$13,H$13,$G292=$G$15,H$15,$G292=$G$16,H$16,$G292=$G$17,H$17,$G292=$G$18,H$18,$G292=$G$19,H$19,$G292=$G$20,H$20,$G292=$G$21,H$21,$G292=$G$22,H$22,$G292=$G$25,H$25,$G292=$G$26,H$26,$G292=$G$27,H$27,$G292=$G$29,H$29,$G292=$G$31,H$31,$G292=$G$32,H$150,$G292=$G$248,H$248,$G292=$G$250,H$250)</f>
        <v>41.430315999999998</v>
      </c>
      <c r="I292" s="78" cm="1">
        <f t="array" ref="I292">_xlfn.IFS($G292=$G$5,I$5,$G292=$G$6,I$6,$G292=$G$7,I$7,$G292=$G$8,I$8,$G292=$G$9,I$9,$G292=$G$10,I$10,$G292=$G$11,I$11,$G292=$G$12,I$12,$G292=$G$13,I$13,$G292=$G$15,I$15,$G292=$G$16,I$16,$G292=$G$17,I$17,$G292=$G$18,I$18,$G292=$G$19,I$19,$G292=$G$20,I$20,$G292=$G$21,I$21,$G292=$G$22,I$22,$G292=$G$25,I$25,$G292=$G$26,I$26,$G292=$G$27,I$27,$G292=$G$29,I$29,$G292=$G$31,I$31,$G292=$G$32,I$150,$G292=$G$248,I$248,$G292=$G$250,I$250)</f>
        <v>2.077556</v>
      </c>
      <c r="J292" cm="1">
        <f t="array" ref="J292">_xlfn.IFS($G292=$G$5,J$5,$G292=$G$6,J$6,$G292=$G$7,J$7,$G292=$G$8,J$8,$G292=$G$9,J$9,$G292=$G$10,J$10,$G292=$G$11,J$11,$G292=$G$12,J$12,$G292=$G$13,J$13,$G292=$G$15,J$15,$G292=$G$16,J$16,$G292=$G$17,J$17,$G292=$G$18,J$18,$G292=$G$19,J$19,$G292=$G$20,J$20,$G292=$G$21,J$21,$G292=$G$22,J$22,$G292=$G$25,J$25,$G292=$G$26,J$26,$G292=$G$27,J$27,$G292=$G$29,J$29,$G292=$G$31,J$31,$G292=$G$32,J$150,$G292=$G$248,J$248,$G292=$G$250,J$250)</f>
        <v>243.3</v>
      </c>
      <c r="K292" t="str" cm="1">
        <f t="array" ref="K292">_xlfn.IFS($G292=$G$5,K$5,$G292=$G$6,K$6,$G292=$G$7,K$7,$G292=$G$8,K$8,$G292=$G$9,K$9,$G292=$G$10,K$10,$G292=$G$11,K$11,$G292=$G$12,K$12,$G292=$G$13,K$13,$G292=$G$15,K$15,$G292=$G$16,K$16,$G292=$G$17,K$17,$G292=$G$18,K$18,$G292=$G$19,K$19,$G292=$G$20,K$20,$G292=$G$21,K$21,$G292=$G$22,K$22,$G292=$G$25,K$25,$G292=$G$26,K$26,$G292=$G$27,K$27,$G292=$G$29,K$29,$G292=$G$31,K$31,$G292=$G$32,K$150,$G292=$G$248,K$248,$G292=$G$250,K$250)</f>
        <v>BG sentinel + BG lure7</v>
      </c>
      <c r="O292" s="45" t="str">
        <f t="shared" si="20"/>
        <v>A_SP_BCN_22_210622</v>
      </c>
      <c r="P292" s="64">
        <v>44369</v>
      </c>
      <c r="R292" s="72"/>
      <c r="S292" s="64">
        <v>44377</v>
      </c>
      <c r="U292" s="72"/>
      <c r="V292" s="54" t="s">
        <v>66</v>
      </c>
      <c r="W292" t="s">
        <v>124</v>
      </c>
      <c r="X292" s="45">
        <f t="shared" si="23"/>
        <v>8</v>
      </c>
      <c r="Z292" s="45" t="s">
        <v>80</v>
      </c>
      <c r="AA292" s="45">
        <f t="shared" si="16"/>
        <v>1</v>
      </c>
      <c r="AB292" t="str">
        <f t="shared" si="21"/>
        <v>Adult</v>
      </c>
      <c r="AC292" s="69">
        <v>1</v>
      </c>
      <c r="AD292" s="69">
        <v>0</v>
      </c>
      <c r="AE292" s="45" t="str">
        <f t="shared" si="22"/>
        <v>Morphological</v>
      </c>
      <c r="AF292" s="56">
        <v>3</v>
      </c>
    </row>
    <row r="293" spans="1:32" ht="18" customHeight="1" x14ac:dyDescent="0.25">
      <c r="A293" s="45">
        <v>289</v>
      </c>
      <c r="B293" s="45" t="s">
        <v>60</v>
      </c>
      <c r="C293" s="45" t="s">
        <v>61</v>
      </c>
      <c r="D293" s="45" t="s">
        <v>62</v>
      </c>
      <c r="E293" s="45" t="s">
        <v>62</v>
      </c>
      <c r="F293" s="46" cm="1">
        <f t="array" ref="F293">_xlfn.IFS($G293=$G$5,F$5,$G293=$G$6,F$6,$G293=$G$7,F$7,$G293=$G$8,F$8,$G293=$G$9,F$9,$G293=$G$10,F$10,$G293=$G$11,F$11,$G293=$G$12,F$12,$G293=$G$13,F$13,$G293=$G$15,F$15,$G293=$G$16,F$16,$G293=$G$17,F$17,$G293=$G$18,F$18,$G293=$G$19,F$19,$G293=$G$20,F$20,$G293=$G$21,F$21,$G293=$G$22,F$22,$G293=$G$25,F$25,$G293=$G$26,F$26,$G293=$G$27,F$27,$G293=$G$29,F$29,$G293=$G$31,F$31,$G293=$G$32,F$32,$G293=$G$248,F$248,$G293=$G$250,F$250)</f>
        <v>8038</v>
      </c>
      <c r="G293" t="s">
        <v>103</v>
      </c>
      <c r="H293" s="66" cm="1">
        <f t="array" ref="H293">_xlfn.IFS($G293=$G$5,H$5,$G293=$G$6,H$6,$G293=$G$7,H$7,$G293=$G$8,H$8,$G293=$G$9,H$9,$G293=$G$10,H$10,$G293=$G$11,H$11,$G293=$G$12,H$12,$G293=$G$13,H$13,$G293=$G$15,H$15,$G293=$G$16,H$16,$G293=$G$17,H$17,$G293=$G$18,H$18,$G293=$G$19,H$19,$G293=$G$20,H$20,$G293=$G$21,H$21,$G293=$G$22,H$22,$G293=$G$25,H$25,$G293=$G$26,H$26,$G293=$G$27,H$27,$G293=$G$29,H$29,$G293=$G$31,H$31,$G293=$G$32,H$150,$G293=$G$248,H$248,$G293=$G$250,H$250)</f>
        <v>41.367100000000001</v>
      </c>
      <c r="I293" s="78" cm="1">
        <f t="array" ref="I293">_xlfn.IFS($G293=$G$5,I$5,$G293=$G$6,I$6,$G293=$G$7,I$7,$G293=$G$8,I$8,$G293=$G$9,I$9,$G293=$G$10,I$10,$G293=$G$11,I$11,$G293=$G$12,I$12,$G293=$G$13,I$13,$G293=$G$15,I$15,$G293=$G$16,I$16,$G293=$G$17,I$17,$G293=$G$18,I$18,$G293=$G$19,I$19,$G293=$G$20,I$20,$G293=$G$21,I$21,$G293=$G$22,I$22,$G293=$G$25,I$25,$G293=$G$26,I$26,$G293=$G$27,I$27,$G293=$G$29,I$29,$G293=$G$31,I$31,$G293=$G$32,I$150,$G293=$G$248,I$248,$G293=$G$250,I$250)</f>
        <v>2.1539079999999999</v>
      </c>
      <c r="J293" cm="1">
        <f t="array" ref="J293">_xlfn.IFS($G293=$G$5,J$5,$G293=$G$6,J$6,$G293=$G$7,J$7,$G293=$G$8,J$8,$G293=$G$9,J$9,$G293=$G$10,J$10,$G293=$G$11,J$11,$G293=$G$12,J$12,$G293=$G$13,J$13,$G293=$G$15,J$15,$G293=$G$16,J$16,$G293=$G$17,J$17,$G293=$G$18,J$18,$G293=$G$19,J$19,$G293=$G$20,J$20,$G293=$G$21,J$21,$G293=$G$22,J$22,$G293=$G$25,J$25,$G293=$G$26,J$26,$G293=$G$27,J$27,$G293=$G$29,J$29,$G293=$G$31,J$31,$G293=$G$32,J$150,$G293=$G$248,J$248,$G293=$G$250,J$250)</f>
        <v>68</v>
      </c>
      <c r="K293" t="str" cm="1">
        <f t="array" ref="K293">_xlfn.IFS($G293=$G$5,K$5,$G293=$G$6,K$6,$G293=$G$7,K$7,$G293=$G$8,K$8,$G293=$G$9,K$9,$G293=$G$10,K$10,$G293=$G$11,K$11,$G293=$G$12,K$12,$G293=$G$13,K$13,$G293=$G$15,K$15,$G293=$G$16,K$16,$G293=$G$17,K$17,$G293=$G$18,K$18,$G293=$G$19,K$19,$G293=$G$20,K$20,$G293=$G$21,K$21,$G293=$G$22,K$22,$G293=$G$25,K$25,$G293=$G$26,K$26,$G293=$G$27,K$27,$G293=$G$29,K$29,$G293=$G$31,K$31,$G293=$G$32,K$150,$G293=$G$248,K$248,$G293=$G$250,K$250)</f>
        <v>BG sentinel + BG lure7</v>
      </c>
      <c r="O293" s="45" t="str">
        <f t="shared" si="20"/>
        <v>A_SP_BCN_23_210623</v>
      </c>
      <c r="P293" s="64">
        <v>44370</v>
      </c>
      <c r="R293" s="72"/>
      <c r="S293" s="64">
        <v>44378</v>
      </c>
      <c r="U293" s="72"/>
      <c r="V293" s="54" t="s">
        <v>66</v>
      </c>
      <c r="X293" s="45">
        <f t="shared" si="23"/>
        <v>8</v>
      </c>
      <c r="Z293" s="69" t="s">
        <v>69</v>
      </c>
      <c r="AA293" s="45">
        <f t="shared" si="16"/>
        <v>4</v>
      </c>
      <c r="AB293" t="str">
        <f t="shared" si="21"/>
        <v>Adult</v>
      </c>
      <c r="AC293" s="69">
        <v>3</v>
      </c>
      <c r="AD293" s="69">
        <v>1</v>
      </c>
      <c r="AE293" s="45" t="str">
        <f t="shared" si="22"/>
        <v>Morphological</v>
      </c>
      <c r="AF293" s="56">
        <v>4</v>
      </c>
    </row>
    <row r="294" spans="1:32" ht="18" customHeight="1" x14ac:dyDescent="0.25">
      <c r="A294" s="45">
        <v>290</v>
      </c>
      <c r="B294" s="45" t="s">
        <v>60</v>
      </c>
      <c r="C294" s="45" t="s">
        <v>61</v>
      </c>
      <c r="D294" s="45" t="s">
        <v>62</v>
      </c>
      <c r="E294" s="45" t="s">
        <v>62</v>
      </c>
      <c r="F294" s="46" cm="1">
        <f t="array" ref="F294">_xlfn.IFS($G294=$G$5,F$5,$G294=$G$6,F$6,$G294=$G$7,F$7,$G294=$G$8,F$8,$G294=$G$9,F$9,$G294=$G$10,F$10,$G294=$G$11,F$11,$G294=$G$12,F$12,$G294=$G$13,F$13,$G294=$G$15,F$15,$G294=$G$16,F$16,$G294=$G$17,F$17,$G294=$G$18,F$18,$G294=$G$19,F$19,$G294=$G$20,F$20,$G294=$G$21,F$21,$G294=$G$22,F$22,$G294=$G$25,F$25,$G294=$G$26,F$26,$G294=$G$27,F$27,$G294=$G$29,F$29,$G294=$G$31,F$31,$G294=$G$32,F$32,$G294=$G$248,F$248,$G294=$G$250,F$250)</f>
        <v>8038</v>
      </c>
      <c r="G294" t="s">
        <v>103</v>
      </c>
      <c r="H294" s="66" cm="1">
        <f t="array" ref="H294">_xlfn.IFS($G294=$G$5,H$5,$G294=$G$6,H$6,$G294=$G$7,H$7,$G294=$G$8,H$8,$G294=$G$9,H$9,$G294=$G$10,H$10,$G294=$G$11,H$11,$G294=$G$12,H$12,$G294=$G$13,H$13,$G294=$G$15,H$15,$G294=$G$16,H$16,$G294=$G$17,H$17,$G294=$G$18,H$18,$G294=$G$19,H$19,$G294=$G$20,H$20,$G294=$G$21,H$21,$G294=$G$22,H$22,$G294=$G$25,H$25,$G294=$G$26,H$26,$G294=$G$27,H$27,$G294=$G$29,H$29,$G294=$G$31,H$31,$G294=$G$32,H$150,$G294=$G$248,H$248,$G294=$G$250,H$250)</f>
        <v>41.367100000000001</v>
      </c>
      <c r="I294" s="78" cm="1">
        <f t="array" ref="I294">_xlfn.IFS($G294=$G$5,I$5,$G294=$G$6,I$6,$G294=$G$7,I$7,$G294=$G$8,I$8,$G294=$G$9,I$9,$G294=$G$10,I$10,$G294=$G$11,I$11,$G294=$G$12,I$12,$G294=$G$13,I$13,$G294=$G$15,I$15,$G294=$G$16,I$16,$G294=$G$17,I$17,$G294=$G$18,I$18,$G294=$G$19,I$19,$G294=$G$20,I$20,$G294=$G$21,I$21,$G294=$G$22,I$22,$G294=$G$25,I$25,$G294=$G$26,I$26,$G294=$G$27,I$27,$G294=$G$29,I$29,$G294=$G$31,I$31,$G294=$G$32,I$150,$G294=$G$248,I$248,$G294=$G$250,I$250)</f>
        <v>2.1539079999999999</v>
      </c>
      <c r="J294" cm="1">
        <f t="array" ref="J294">_xlfn.IFS($G294=$G$5,J$5,$G294=$G$6,J$6,$G294=$G$7,J$7,$G294=$G$8,J$8,$G294=$G$9,J$9,$G294=$G$10,J$10,$G294=$G$11,J$11,$G294=$G$12,J$12,$G294=$G$13,J$13,$G294=$G$15,J$15,$G294=$G$16,J$16,$G294=$G$17,J$17,$G294=$G$18,J$18,$G294=$G$19,J$19,$G294=$G$20,J$20,$G294=$G$21,J$21,$G294=$G$22,J$22,$G294=$G$25,J$25,$G294=$G$26,J$26,$G294=$G$27,J$27,$G294=$G$29,J$29,$G294=$G$31,J$31,$G294=$G$32,J$150,$G294=$G$248,J$248,$G294=$G$250,J$250)</f>
        <v>68</v>
      </c>
      <c r="K294" t="str" cm="1">
        <f t="array" ref="K294">_xlfn.IFS($G294=$G$5,K$5,$G294=$G$6,K$6,$G294=$G$7,K$7,$G294=$G$8,K$8,$G294=$G$9,K$9,$G294=$G$10,K$10,$G294=$G$11,K$11,$G294=$G$12,K$12,$G294=$G$13,K$13,$G294=$G$15,K$15,$G294=$G$16,K$16,$G294=$G$17,K$17,$G294=$G$18,K$18,$G294=$G$19,K$19,$G294=$G$20,K$20,$G294=$G$21,K$21,$G294=$G$22,K$22,$G294=$G$25,K$25,$G294=$G$26,K$26,$G294=$G$27,K$27,$G294=$G$29,K$29,$G294=$G$31,K$31,$G294=$G$32,K$150,$G294=$G$248,K$248,$G294=$G$250,K$250)</f>
        <v>BG sentinel + BG lure7</v>
      </c>
      <c r="O294" s="45" t="str">
        <f t="shared" ref="O294:O357" si="24">G294&amp;"_"&amp;TEXT(P294, "AAMMDD")</f>
        <v>A_SP_BCN_23_210623</v>
      </c>
      <c r="P294" s="64">
        <v>44370</v>
      </c>
      <c r="R294" s="72"/>
      <c r="S294" s="64">
        <v>44378</v>
      </c>
      <c r="U294" s="72"/>
      <c r="V294" s="54" t="s">
        <v>66</v>
      </c>
      <c r="X294" s="45">
        <f t="shared" si="23"/>
        <v>8</v>
      </c>
      <c r="Z294" s="45" t="s">
        <v>70</v>
      </c>
      <c r="AA294" s="45">
        <f t="shared" si="16"/>
        <v>10</v>
      </c>
      <c r="AB294" t="str">
        <f t="shared" si="21"/>
        <v>Adult</v>
      </c>
      <c r="AC294" s="69">
        <v>5</v>
      </c>
      <c r="AD294" s="69">
        <v>5</v>
      </c>
      <c r="AE294" s="45" t="str">
        <f t="shared" si="22"/>
        <v>Morphological</v>
      </c>
      <c r="AF294" s="56">
        <v>4</v>
      </c>
    </row>
    <row r="295" spans="1:32" ht="18" customHeight="1" x14ac:dyDescent="0.25">
      <c r="A295" s="45">
        <v>291</v>
      </c>
      <c r="B295" s="45" t="s">
        <v>60</v>
      </c>
      <c r="C295" s="45" t="s">
        <v>61</v>
      </c>
      <c r="D295" s="45" t="s">
        <v>62</v>
      </c>
      <c r="E295" s="45" t="s">
        <v>62</v>
      </c>
      <c r="F295" s="46" cm="1">
        <f t="array" ref="F295">_xlfn.IFS($G295=$G$5,F$5,$G295=$G$6,F$6,$G295=$G$7,F$7,$G295=$G$8,F$8,$G295=$G$9,F$9,$G295=$G$10,F$10,$G295=$G$11,F$11,$G295=$G$12,F$12,$G295=$G$13,F$13,$G295=$G$15,F$15,$G295=$G$16,F$16,$G295=$G$17,F$17,$G295=$G$18,F$18,$G295=$G$19,F$19,$G295=$G$20,F$20,$G295=$G$21,F$21,$G295=$G$22,F$22,$G295=$G$25,F$25,$G295=$G$26,F$26,$G295=$G$27,F$27,$G295=$G$29,F$29,$G295=$G$31,F$31,$G295=$G$32,F$32,$G295=$G$248,F$248,$G295=$G$250,F$250)</f>
        <v>8038</v>
      </c>
      <c r="G295" t="s">
        <v>103</v>
      </c>
      <c r="H295" s="66" cm="1">
        <f t="array" ref="H295">_xlfn.IFS($G295=$G$5,H$5,$G295=$G$6,H$6,$G295=$G$7,H$7,$G295=$G$8,H$8,$G295=$G$9,H$9,$G295=$G$10,H$10,$G295=$G$11,H$11,$G295=$G$12,H$12,$G295=$G$13,H$13,$G295=$G$15,H$15,$G295=$G$16,H$16,$G295=$G$17,H$17,$G295=$G$18,H$18,$G295=$G$19,H$19,$G295=$G$20,H$20,$G295=$G$21,H$21,$G295=$G$22,H$22,$G295=$G$25,H$25,$G295=$G$26,H$26,$G295=$G$27,H$27,$G295=$G$29,H$29,$G295=$G$31,H$31,$G295=$G$32,H$150,$G295=$G$248,H$248,$G295=$G$250,H$250)</f>
        <v>41.367100000000001</v>
      </c>
      <c r="I295" s="78" cm="1">
        <f t="array" ref="I295">_xlfn.IFS($G295=$G$5,I$5,$G295=$G$6,I$6,$G295=$G$7,I$7,$G295=$G$8,I$8,$G295=$G$9,I$9,$G295=$G$10,I$10,$G295=$G$11,I$11,$G295=$G$12,I$12,$G295=$G$13,I$13,$G295=$G$15,I$15,$G295=$G$16,I$16,$G295=$G$17,I$17,$G295=$G$18,I$18,$G295=$G$19,I$19,$G295=$G$20,I$20,$G295=$G$21,I$21,$G295=$G$22,I$22,$G295=$G$25,I$25,$G295=$G$26,I$26,$G295=$G$27,I$27,$G295=$G$29,I$29,$G295=$G$31,I$31,$G295=$G$32,I$150,$G295=$G$248,I$248,$G295=$G$250,I$250)</f>
        <v>2.1539079999999999</v>
      </c>
      <c r="J295" cm="1">
        <f t="array" ref="J295">_xlfn.IFS($G295=$G$5,J$5,$G295=$G$6,J$6,$G295=$G$7,J$7,$G295=$G$8,J$8,$G295=$G$9,J$9,$G295=$G$10,J$10,$G295=$G$11,J$11,$G295=$G$12,J$12,$G295=$G$13,J$13,$G295=$G$15,J$15,$G295=$G$16,J$16,$G295=$G$17,J$17,$G295=$G$18,J$18,$G295=$G$19,J$19,$G295=$G$20,J$20,$G295=$G$21,J$21,$G295=$G$22,J$22,$G295=$G$25,J$25,$G295=$G$26,J$26,$G295=$G$27,J$27,$G295=$G$29,J$29,$G295=$G$31,J$31,$G295=$G$32,J$150,$G295=$G$248,J$248,$G295=$G$250,J$250)</f>
        <v>68</v>
      </c>
      <c r="K295" t="str" cm="1">
        <f t="array" ref="K295">_xlfn.IFS($G295=$G$5,K$5,$G295=$G$6,K$6,$G295=$G$7,K$7,$G295=$G$8,K$8,$G295=$G$9,K$9,$G295=$G$10,K$10,$G295=$G$11,K$11,$G295=$G$12,K$12,$G295=$G$13,K$13,$G295=$G$15,K$15,$G295=$G$16,K$16,$G295=$G$17,K$17,$G295=$G$18,K$18,$G295=$G$19,K$19,$G295=$G$20,K$20,$G295=$G$21,K$21,$G295=$G$22,K$22,$G295=$G$25,K$25,$G295=$G$26,K$26,$G295=$G$27,K$27,$G295=$G$29,K$29,$G295=$G$31,K$31,$G295=$G$32,K$150,$G295=$G$248,K$248,$G295=$G$250,K$250)</f>
        <v>BG sentinel + BG lure7</v>
      </c>
      <c r="O295" s="45" t="str">
        <f t="shared" si="24"/>
        <v>A_SP_BCN_23_210623</v>
      </c>
      <c r="P295" s="64">
        <v>44370</v>
      </c>
      <c r="R295" s="72"/>
      <c r="S295" s="64">
        <v>44378</v>
      </c>
      <c r="U295" s="72"/>
      <c r="V295" s="54" t="s">
        <v>66</v>
      </c>
      <c r="X295" s="45">
        <f t="shared" si="23"/>
        <v>8</v>
      </c>
      <c r="Z295" s="45" t="s">
        <v>80</v>
      </c>
      <c r="AA295" s="45">
        <f t="shared" si="16"/>
        <v>2</v>
      </c>
      <c r="AB295" t="str">
        <f t="shared" si="21"/>
        <v>Adult</v>
      </c>
      <c r="AC295" s="69">
        <v>0</v>
      </c>
      <c r="AD295" s="69">
        <v>2</v>
      </c>
      <c r="AE295" s="45" t="str">
        <f t="shared" si="22"/>
        <v>Morphological</v>
      </c>
      <c r="AF295" s="56">
        <v>4</v>
      </c>
    </row>
    <row r="296" spans="1:32" ht="18" customHeight="1" x14ac:dyDescent="0.25">
      <c r="A296" s="45">
        <v>292</v>
      </c>
      <c r="B296" s="45" t="s">
        <v>60</v>
      </c>
      <c r="C296" s="45" t="s">
        <v>61</v>
      </c>
      <c r="D296" s="45" t="s">
        <v>62</v>
      </c>
      <c r="E296" s="45" t="s">
        <v>62</v>
      </c>
      <c r="F296" s="46" cm="1">
        <f t="array" ref="F296">_xlfn.IFS($G296=$G$5,F$5,$G296=$G$6,F$6,$G296=$G$7,F$7,$G296=$G$8,F$8,$G296=$G$9,F$9,$G296=$G$10,F$10,$G296=$G$11,F$11,$G296=$G$12,F$12,$G296=$G$13,F$13,$G296=$G$15,F$15,$G296=$G$16,F$16,$G296=$G$17,F$17,$G296=$G$18,F$18,$G296=$G$19,F$19,$G296=$G$20,F$20,$G296=$G$21,F$21,$G296=$G$22,F$22,$G296=$G$25,F$25,$G296=$G$26,F$26,$G296=$G$27,F$27,$G296=$G$29,F$29,$G296=$G$31,F$31,$G296=$G$32,F$32,$G296=$G$248,F$248,$G296=$G$250,F$250)</f>
        <v>8015</v>
      </c>
      <c r="G296" t="s">
        <v>109</v>
      </c>
      <c r="H296" s="66" cm="1">
        <f t="array" ref="H296">_xlfn.IFS($G296=$G$5,H$5,$G296=$G$6,H$6,$G296=$G$7,H$7,$G296=$G$8,H$8,$G296=$G$9,H$9,$G296=$G$10,H$10,$G296=$G$11,H$11,$G296=$G$12,H$12,$G296=$G$13,H$13,$G296=$G$15,H$15,$G296=$G$16,H$16,$G296=$G$17,H$17,$G296=$G$18,H$18,$G296=$G$19,H$19,$G296=$G$20,H$20,$G296=$G$21,H$21,$G296=$G$22,H$22,$G296=$G$25,H$25,$G296=$G$26,H$26,$G296=$G$27,H$27,$G296=$G$29,H$29,$G296=$G$31,H$31,$G296=$G$32,H$150,$G296=$G$248,H$248,$G296=$G$250,H$250)</f>
        <v>41.381725000000003</v>
      </c>
      <c r="I296" s="78" cm="1">
        <f t="array" ref="I296">_xlfn.IFS($G296=$G$5,I$5,$G296=$G$6,I$6,$G296=$G$7,I$7,$G296=$G$8,I$8,$G296=$G$9,I$9,$G296=$G$10,I$10,$G296=$G$11,I$11,$G296=$G$12,I$12,$G296=$G$13,I$13,$G296=$G$15,I$15,$G296=$G$16,I$16,$G296=$G$17,I$17,$G296=$G$18,I$18,$G296=$G$19,I$19,$G296=$G$20,I$20,$G296=$G$21,I$21,$G296=$G$22,I$22,$G296=$G$25,I$25,$G296=$G$26,I$26,$G296=$G$27,I$27,$G296=$G$29,I$29,$G296=$G$31,I$31,$G296=$G$32,I$150,$G296=$G$248,I$248,$G296=$G$250,I$250)</f>
        <v>2.1543679999999998</v>
      </c>
      <c r="J296" cm="1">
        <f t="array" ref="J296">_xlfn.IFS($G296=$G$5,J$5,$G296=$G$6,J$6,$G296=$G$7,J$7,$G296=$G$8,J$8,$G296=$G$9,J$9,$G296=$G$10,J$10,$G296=$G$11,J$11,$G296=$G$12,J$12,$G296=$G$13,J$13,$G296=$G$15,J$15,$G296=$G$16,J$16,$G296=$G$17,J$17,$G296=$G$18,J$18,$G296=$G$19,J$19,$G296=$G$20,J$20,$G296=$G$21,J$21,$G296=$G$22,J$22,$G296=$G$25,J$25,$G296=$G$26,J$26,$G296=$G$27,J$27,$G296=$G$29,J$29,$G296=$G$31,J$31,$G296=$G$32,J$150,$G296=$G$248,J$248,$G296=$G$250,J$250)</f>
        <v>20.7</v>
      </c>
      <c r="K296" t="str" cm="1">
        <f t="array" ref="K296">_xlfn.IFS($G296=$G$5,K$5,$G296=$G$6,K$6,$G296=$G$7,K$7,$G296=$G$8,K$8,$G296=$G$9,K$9,$G296=$G$10,K$10,$G296=$G$11,K$11,$G296=$G$12,K$12,$G296=$G$13,K$13,$G296=$G$15,K$15,$G296=$G$16,K$16,$G296=$G$17,K$17,$G296=$G$18,K$18,$G296=$G$19,K$19,$G296=$G$20,K$20,$G296=$G$21,K$21,$G296=$G$22,K$22,$G296=$G$25,K$25,$G296=$G$26,K$26,$G296=$G$27,K$27,$G296=$G$29,K$29,$G296=$G$31,K$31,$G296=$G$32,K$150,$G296=$G$248,K$248,$G296=$G$250,K$250)</f>
        <v>BG sentinel + BG lure7</v>
      </c>
      <c r="O296" s="45" t="str">
        <f t="shared" si="24"/>
        <v>A_SP_BCN_24_210622</v>
      </c>
      <c r="P296" s="64">
        <v>44369</v>
      </c>
      <c r="R296" s="72"/>
      <c r="S296" s="64">
        <v>44378</v>
      </c>
      <c r="U296" s="72"/>
      <c r="V296" s="54" t="s">
        <v>66</v>
      </c>
      <c r="X296" s="45">
        <f t="shared" si="23"/>
        <v>9</v>
      </c>
      <c r="Z296" s="45" t="s">
        <v>80</v>
      </c>
      <c r="AA296" s="45">
        <f t="shared" si="16"/>
        <v>1</v>
      </c>
      <c r="AB296" t="str">
        <f t="shared" si="21"/>
        <v>Adult</v>
      </c>
      <c r="AC296" s="69">
        <v>0</v>
      </c>
      <c r="AD296" s="69">
        <v>1</v>
      </c>
      <c r="AE296" s="45" t="str">
        <f t="shared" si="22"/>
        <v>Morphological</v>
      </c>
      <c r="AF296" s="56">
        <v>4</v>
      </c>
    </row>
    <row r="297" spans="1:32" ht="18" customHeight="1" x14ac:dyDescent="0.25">
      <c r="A297" s="45">
        <v>293</v>
      </c>
      <c r="B297" s="45" t="s">
        <v>60</v>
      </c>
      <c r="C297" s="45" t="s">
        <v>61</v>
      </c>
      <c r="D297" s="45" t="s">
        <v>62</v>
      </c>
      <c r="E297" s="45" t="s">
        <v>62</v>
      </c>
      <c r="F297" s="46" cm="1">
        <f t="array" ref="F297">_xlfn.IFS($G297=$G$5,F$5,$G297=$G$6,F$6,$G297=$G$7,F$7,$G297=$G$8,F$8,$G297=$G$9,F$9,$G297=$G$10,F$10,$G297=$G$11,F$11,$G297=$G$12,F$12,$G297=$G$13,F$13,$G297=$G$15,F$15,$G297=$G$16,F$16,$G297=$G$17,F$17,$G297=$G$18,F$18,$G297=$G$19,F$19,$G297=$G$20,F$20,$G297=$G$21,F$21,$G297=$G$22,F$22,$G297=$G$25,F$25,$G297=$G$26,F$26,$G297=$G$27,F$27,$G297=$G$29,F$29,$G297=$G$31,F$31,$G297=$G$32,F$32,$G297=$G$248,F$248,$G297=$G$250,F$250)</f>
        <v>8024</v>
      </c>
      <c r="G297" t="s">
        <v>63</v>
      </c>
      <c r="H297" s="66" cm="1">
        <f t="array" ref="H297">_xlfn.IFS($G297=$G$5,H$5,$G297=$G$6,H$6,$G297=$G$7,H$7,$G297=$G$8,H$8,$G297=$G$9,H$9,$G297=$G$10,H$10,$G297=$G$11,H$11,$G297=$G$12,H$12,$G297=$G$13,H$13,$G297=$G$15,H$15,$G297=$G$16,H$16,$G297=$G$17,H$17,$G297=$G$18,H$18,$G297=$G$19,H$19,$G297=$G$20,H$20,$G297=$G$21,H$21,$G297=$G$22,H$22,$G297=$G$25,H$25,$G297=$G$26,H$26,$G297=$G$27,H$27,$G297=$G$29,H$29,$G297=$G$31,H$31,$G297=$G$32,H$150,$G297=$G$248,H$248,$G297=$G$250,H$250)</f>
        <v>41.413573999999997</v>
      </c>
      <c r="I297" s="78" cm="1">
        <f t="array" ref="I297">_xlfn.IFS($G297=$G$5,I$5,$G297=$G$6,I$6,$G297=$G$7,I$7,$G297=$G$8,I$8,$G297=$G$9,I$9,$G297=$G$10,I$10,$G297=$G$11,I$11,$G297=$G$12,I$12,$G297=$G$13,I$13,$G297=$G$15,I$15,$G297=$G$16,I$16,$G297=$G$17,I$17,$G297=$G$18,I$18,$G297=$G$19,I$19,$G297=$G$20,I$20,$G297=$G$21,I$21,$G297=$G$22,I$22,$G297=$G$25,I$25,$G297=$G$26,I$26,$G297=$G$27,I$27,$G297=$G$29,I$29,$G297=$G$31,I$31,$G297=$G$32,I$150,$G297=$G$248,I$248,$G297=$G$250,I$250)</f>
        <v>2.1520730000000001</v>
      </c>
      <c r="J297" cm="1">
        <f t="array" ref="J297">_xlfn.IFS($G297=$G$5,J$5,$G297=$G$6,J$6,$G297=$G$7,J$7,$G297=$G$8,J$8,$G297=$G$9,J$9,$G297=$G$10,J$10,$G297=$G$11,J$11,$G297=$G$12,J$12,$G297=$G$13,J$13,$G297=$G$15,J$15,$G297=$G$16,J$16,$G297=$G$17,J$17,$G297=$G$18,J$18,$G297=$G$19,J$19,$G297=$G$20,J$20,$G297=$G$21,J$21,$G297=$G$22,J$22,$G297=$G$25,J$25,$G297=$G$26,J$26,$G297=$G$27,J$27,$G297=$G$29,J$29,$G297=$G$31,J$31,$G297=$G$32,J$150,$G297=$G$248,J$248,$G297=$G$250,J$250)</f>
        <v>141</v>
      </c>
      <c r="K297" t="str" cm="1">
        <f t="array" ref="K297">_xlfn.IFS($G297=$G$5,K$5,$G297=$G$6,K$6,$G297=$G$7,K$7,$G297=$G$8,K$8,$G297=$G$9,K$9,$G297=$G$10,K$10,$G297=$G$11,K$11,$G297=$G$12,K$12,$G297=$G$13,K$13,$G297=$G$15,K$15,$G297=$G$16,K$16,$G297=$G$17,K$17,$G297=$G$18,K$18,$G297=$G$19,K$19,$G297=$G$20,K$20,$G297=$G$21,K$21,$G297=$G$22,K$22,$G297=$G$25,K$25,$G297=$G$26,K$26,$G297=$G$27,K$27,$G297=$G$29,K$29,$G297=$G$31,K$31,$G297=$G$32,K$150,$G297=$G$248,K$248,$G297=$G$250,K$250)</f>
        <v>BG sentinel + BG lure7</v>
      </c>
      <c r="O297" s="45" t="str">
        <f t="shared" si="24"/>
        <v>A_SP_BCN_1_210630</v>
      </c>
      <c r="P297" s="64">
        <v>44377</v>
      </c>
      <c r="R297" s="72"/>
      <c r="S297" s="64">
        <v>44391</v>
      </c>
      <c r="U297" s="72"/>
      <c r="V297" s="54" t="s">
        <v>66</v>
      </c>
      <c r="W297" s="80" t="s">
        <v>125</v>
      </c>
      <c r="X297" s="45">
        <f t="shared" si="23"/>
        <v>14</v>
      </c>
      <c r="Z297" s="69" t="s">
        <v>69</v>
      </c>
      <c r="AA297" s="45">
        <f t="shared" si="16"/>
        <v>2</v>
      </c>
      <c r="AB297" t="str">
        <f t="shared" si="21"/>
        <v>Adult</v>
      </c>
      <c r="AC297" s="69">
        <v>1</v>
      </c>
      <c r="AD297" s="69">
        <v>1</v>
      </c>
      <c r="AE297" s="45" t="str">
        <f t="shared" si="22"/>
        <v>Morphological</v>
      </c>
      <c r="AF297" s="56">
        <v>4</v>
      </c>
    </row>
    <row r="298" spans="1:32" ht="18" customHeight="1" x14ac:dyDescent="0.25">
      <c r="A298" s="45">
        <v>294</v>
      </c>
      <c r="B298" s="45" t="s">
        <v>60</v>
      </c>
      <c r="C298" s="45" t="s">
        <v>61</v>
      </c>
      <c r="D298" s="45" t="s">
        <v>62</v>
      </c>
      <c r="E298" s="45" t="s">
        <v>62</v>
      </c>
      <c r="F298" s="46" cm="1">
        <f t="array" ref="F298">_xlfn.IFS($G298=$G$5,F$5,$G298=$G$6,F$6,$G298=$G$7,F$7,$G298=$G$8,F$8,$G298=$G$9,F$9,$G298=$G$10,F$10,$G298=$G$11,F$11,$G298=$G$12,F$12,$G298=$G$13,F$13,$G298=$G$15,F$15,$G298=$G$16,F$16,$G298=$G$17,F$17,$G298=$G$18,F$18,$G298=$G$19,F$19,$G298=$G$20,F$20,$G298=$G$21,F$21,$G298=$G$22,F$22,$G298=$G$25,F$25,$G298=$G$26,F$26,$G298=$G$27,F$27,$G298=$G$29,F$29,$G298=$G$31,F$31,$G298=$G$32,F$32,$G298=$G$248,F$248,$G298=$G$250,F$250)</f>
        <v>8035</v>
      </c>
      <c r="G298" t="s">
        <v>67</v>
      </c>
      <c r="H298" s="66" cm="1">
        <f t="array" ref="H298">_xlfn.IFS($G298=$G$5,H$5,$G298=$G$6,H$6,$G298=$G$7,H$7,$G298=$G$8,H$8,$G298=$G$9,H$9,$G298=$G$10,H$10,$G298=$G$11,H$11,$G298=$G$12,H$12,$G298=$G$13,H$13,$G298=$G$15,H$15,$G298=$G$16,H$16,$G298=$G$17,H$17,$G298=$G$18,H$18,$G298=$G$19,H$19,$G298=$G$20,H$20,$G298=$G$21,H$21,$G298=$G$22,H$22,$G298=$G$25,H$25,$G298=$G$26,H$26,$G298=$G$27,H$27,$G298=$G$29,H$29,$G298=$G$31,H$31,$G298=$G$32,H$150,$G298=$G$248,H$248,$G298=$G$250,H$250)</f>
        <v>41.424387000000003</v>
      </c>
      <c r="I298" s="78" cm="1">
        <f t="array" ref="I298">_xlfn.IFS($G298=$G$5,I$5,$G298=$G$6,I$6,$G298=$G$7,I$7,$G298=$G$8,I$8,$G298=$G$9,I$9,$G298=$G$10,I$10,$G298=$G$11,I$11,$G298=$G$12,I$12,$G298=$G$13,I$13,$G298=$G$15,I$15,$G298=$G$16,I$16,$G298=$G$17,I$17,$G298=$G$18,I$18,$G298=$G$19,I$19,$G298=$G$20,I$20,$G298=$G$21,I$21,$G298=$G$22,I$22,$G298=$G$25,I$25,$G298=$G$26,I$26,$G298=$G$27,I$27,$G298=$G$29,I$29,$G298=$G$31,I$31,$G298=$G$32,I$150,$G298=$G$248,I$248,$G298=$G$250,I$250)</f>
        <v>2.1431439999999999</v>
      </c>
      <c r="J298" cm="1">
        <f t="array" ref="J298">_xlfn.IFS($G298=$G$5,J$5,$G298=$G$6,J$6,$G298=$G$7,J$7,$G298=$G$8,J$8,$G298=$G$9,J$9,$G298=$G$10,J$10,$G298=$G$11,J$11,$G298=$G$12,J$12,$G298=$G$13,J$13,$G298=$G$15,J$15,$G298=$G$16,J$16,$G298=$G$17,J$17,$G298=$G$18,J$18,$G298=$G$19,J$19,$G298=$G$20,J$20,$G298=$G$21,J$21,$G298=$G$22,J$22,$G298=$G$25,J$25,$G298=$G$26,J$26,$G298=$G$27,J$27,$G298=$G$29,J$29,$G298=$G$31,J$31,$G298=$G$32,J$150,$G298=$G$248,J$248,$G298=$G$250,J$250)</f>
        <v>160</v>
      </c>
      <c r="K298" t="str" cm="1">
        <f t="array" ref="K298">_xlfn.IFS($G298=$G$5,K$5,$G298=$G$6,K$6,$G298=$G$7,K$7,$G298=$G$8,K$8,$G298=$G$9,K$9,$G298=$G$10,K$10,$G298=$G$11,K$11,$G298=$G$12,K$12,$G298=$G$13,K$13,$G298=$G$15,K$15,$G298=$G$16,K$16,$G298=$G$17,K$17,$G298=$G$18,K$18,$G298=$G$19,K$19,$G298=$G$20,K$20,$G298=$G$21,K$21,$G298=$G$22,K$22,$G298=$G$25,K$25,$G298=$G$26,K$26,$G298=$G$27,K$27,$G298=$G$29,K$29,$G298=$G$31,K$31,$G298=$G$32,K$150,$G298=$G$248,K$248,$G298=$G$250,K$250)</f>
        <v>BG sentinel + BG lure7</v>
      </c>
      <c r="O298" s="45" t="str">
        <f t="shared" si="24"/>
        <v>A_SP_BCN_2_210630</v>
      </c>
      <c r="P298" s="64">
        <v>44377</v>
      </c>
      <c r="R298" s="72"/>
      <c r="S298" s="64">
        <v>44384</v>
      </c>
      <c r="U298" s="72"/>
      <c r="V298" s="54" t="s">
        <v>126</v>
      </c>
      <c r="X298" s="45">
        <f t="shared" si="23"/>
        <v>7</v>
      </c>
      <c r="Z298" s="69" t="s">
        <v>69</v>
      </c>
      <c r="AA298" s="45">
        <f t="shared" si="16"/>
        <v>2</v>
      </c>
      <c r="AB298" t="str">
        <f t="shared" si="21"/>
        <v>Adult</v>
      </c>
      <c r="AC298" s="69">
        <v>2</v>
      </c>
      <c r="AD298" s="69">
        <v>0</v>
      </c>
      <c r="AE298" s="45" t="str">
        <f t="shared" si="22"/>
        <v>Morphological</v>
      </c>
      <c r="AF298" s="56">
        <v>1</v>
      </c>
    </row>
    <row r="299" spans="1:32" ht="18" customHeight="1" x14ac:dyDescent="0.25">
      <c r="A299" s="45">
        <v>295</v>
      </c>
      <c r="B299" s="45" t="s">
        <v>60</v>
      </c>
      <c r="C299" s="45" t="s">
        <v>61</v>
      </c>
      <c r="D299" s="45" t="s">
        <v>62</v>
      </c>
      <c r="E299" s="45" t="s">
        <v>62</v>
      </c>
      <c r="F299" s="46" cm="1">
        <f t="array" ref="F299">_xlfn.IFS($G299=$G$5,F$5,$G299=$G$6,F$6,$G299=$G$7,F$7,$G299=$G$8,F$8,$G299=$G$9,F$9,$G299=$G$10,F$10,$G299=$G$11,F$11,$G299=$G$12,F$12,$G299=$G$13,F$13,$G299=$G$15,F$15,$G299=$G$16,F$16,$G299=$G$17,F$17,$G299=$G$18,F$18,$G299=$G$19,F$19,$G299=$G$20,F$20,$G299=$G$21,F$21,$G299=$G$22,F$22,$G299=$G$25,F$25,$G299=$G$26,F$26,$G299=$G$27,F$27,$G299=$G$29,F$29,$G299=$G$31,F$31,$G299=$G$32,F$32,$G299=$G$248,F$248,$G299=$G$250,F$250)</f>
        <v>8016</v>
      </c>
      <c r="G299" t="s">
        <v>68</v>
      </c>
      <c r="H299" s="66" cm="1">
        <f t="array" ref="H299">_xlfn.IFS($G299=$G$5,H$5,$G299=$G$6,H$6,$G299=$G$7,H$7,$G299=$G$8,H$8,$G299=$G$9,H$9,$G299=$G$10,H$10,$G299=$G$11,H$11,$G299=$G$12,H$12,$G299=$G$13,H$13,$G299=$G$15,H$15,$G299=$G$16,H$16,$G299=$G$17,H$17,$G299=$G$18,H$18,$G299=$G$19,H$19,$G299=$G$20,H$20,$G299=$G$21,H$21,$G299=$G$22,H$22,$G299=$G$25,H$25,$G299=$G$26,H$26,$G299=$G$27,H$27,$G299=$G$29,H$29,$G299=$G$31,H$31,$G299=$G$32,H$150,$G299=$G$248,H$248,$G299=$G$250,H$250)</f>
        <v>41.437435000000001</v>
      </c>
      <c r="I299" s="78" cm="1">
        <f t="array" ref="I299">_xlfn.IFS($G299=$G$5,I$5,$G299=$G$6,I$6,$G299=$G$7,I$7,$G299=$G$8,I$8,$G299=$G$9,I$9,$G299=$G$10,I$10,$G299=$G$11,I$11,$G299=$G$12,I$12,$G299=$G$13,I$13,$G299=$G$15,I$15,$G299=$G$16,I$16,$G299=$G$17,I$17,$G299=$G$18,I$18,$G299=$G$19,I$19,$G299=$G$20,I$20,$G299=$G$21,I$21,$G299=$G$22,I$22,$G299=$G$25,I$25,$G299=$G$26,I$26,$G299=$G$27,I$27,$G299=$G$29,I$29,$G299=$G$31,I$31,$G299=$G$32,I$150,$G299=$G$248,I$248,$G299=$G$250,I$250)</f>
        <v>2.1812779999999998</v>
      </c>
      <c r="J299" cm="1">
        <f t="array" ref="J299">_xlfn.IFS($G299=$G$5,J$5,$G299=$G$6,J$6,$G299=$G$7,J$7,$G299=$G$8,J$8,$G299=$G$9,J$9,$G299=$G$10,J$10,$G299=$G$11,J$11,$G299=$G$12,J$12,$G299=$G$13,J$13,$G299=$G$15,J$15,$G299=$G$16,J$16,$G299=$G$17,J$17,$G299=$G$18,J$18,$G299=$G$19,J$19,$G299=$G$20,J$20,$G299=$G$21,J$21,$G299=$G$22,J$22,$G299=$G$25,J$25,$G299=$G$26,J$26,$G299=$G$27,J$27,$G299=$G$29,J$29,$G299=$G$31,J$31,$G299=$G$32,J$150,$G299=$G$248,J$248,$G299=$G$250,J$250)</f>
        <v>47</v>
      </c>
      <c r="K299" t="str" cm="1">
        <f t="array" ref="K299">_xlfn.IFS($G299=$G$5,K$5,$G299=$G$6,K$6,$G299=$G$7,K$7,$G299=$G$8,K$8,$G299=$G$9,K$9,$G299=$G$10,K$10,$G299=$G$11,K$11,$G299=$G$12,K$12,$G299=$G$13,K$13,$G299=$G$15,K$15,$G299=$G$16,K$16,$G299=$G$17,K$17,$G299=$G$18,K$18,$G299=$G$19,K$19,$G299=$G$20,K$20,$G299=$G$21,K$21,$G299=$G$22,K$22,$G299=$G$25,K$25,$G299=$G$26,K$26,$G299=$G$27,K$27,$G299=$G$29,K$29,$G299=$G$31,K$31,$G299=$G$32,K$150,$G299=$G$248,K$248,$G299=$G$250,K$250)</f>
        <v>BG sentinel + BG lure7</v>
      </c>
      <c r="O299" s="45" t="str">
        <f t="shared" si="24"/>
        <v>A_SP_BCN_3_210630</v>
      </c>
      <c r="P299" s="64">
        <v>44377</v>
      </c>
      <c r="R299" s="72"/>
      <c r="S299" s="64">
        <v>44384</v>
      </c>
      <c r="U299" s="72"/>
      <c r="V299" s="54" t="s">
        <v>66</v>
      </c>
      <c r="X299" s="45">
        <f t="shared" si="23"/>
        <v>7</v>
      </c>
      <c r="Z299" s="69" t="s">
        <v>69</v>
      </c>
      <c r="AA299" s="45">
        <f t="shared" si="16"/>
        <v>1</v>
      </c>
      <c r="AB299" t="str">
        <f t="shared" si="21"/>
        <v>Adult</v>
      </c>
      <c r="AC299" s="69">
        <v>0</v>
      </c>
      <c r="AD299" s="69">
        <v>1</v>
      </c>
      <c r="AE299" s="45" t="str">
        <f t="shared" si="22"/>
        <v>Morphological</v>
      </c>
      <c r="AF299" s="56">
        <v>4</v>
      </c>
    </row>
    <row r="300" spans="1:32" ht="18" customHeight="1" x14ac:dyDescent="0.25">
      <c r="A300" s="45">
        <v>296</v>
      </c>
      <c r="B300" s="45" t="s">
        <v>60</v>
      </c>
      <c r="C300" s="45" t="s">
        <v>61</v>
      </c>
      <c r="D300" s="45" t="s">
        <v>62</v>
      </c>
      <c r="E300" s="45" t="s">
        <v>62</v>
      </c>
      <c r="F300" s="46" cm="1">
        <f t="array" ref="F300">_xlfn.IFS($G300=$G$5,F$5,$G300=$G$6,F$6,$G300=$G$7,F$7,$G300=$G$8,F$8,$G300=$G$9,F$9,$G300=$G$10,F$10,$G300=$G$11,F$11,$G300=$G$12,F$12,$G300=$G$13,F$13,$G300=$G$15,F$15,$G300=$G$16,F$16,$G300=$G$17,F$17,$G300=$G$18,F$18,$G300=$G$19,F$19,$G300=$G$20,F$20,$G300=$G$21,F$21,$G300=$G$22,F$22,$G300=$G$25,F$25,$G300=$G$26,F$26,$G300=$G$27,F$27,$G300=$G$29,F$29,$G300=$G$31,F$31,$G300=$G$32,F$32,$G300=$G$248,F$248,$G300=$G$250,F$250)</f>
        <v>8016</v>
      </c>
      <c r="G300" t="s">
        <v>68</v>
      </c>
      <c r="H300" s="66" cm="1">
        <f t="array" ref="H300">_xlfn.IFS($G300=$G$5,H$5,$G300=$G$6,H$6,$G300=$G$7,H$7,$G300=$G$8,H$8,$G300=$G$9,H$9,$G300=$G$10,H$10,$G300=$G$11,H$11,$G300=$G$12,H$12,$G300=$G$13,H$13,$G300=$G$15,H$15,$G300=$G$16,H$16,$G300=$G$17,H$17,$G300=$G$18,H$18,$G300=$G$19,H$19,$G300=$G$20,H$20,$G300=$G$21,H$21,$G300=$G$22,H$22,$G300=$G$25,H$25,$G300=$G$26,H$26,$G300=$G$27,H$27,$G300=$G$29,H$29,$G300=$G$31,H$31,$G300=$G$32,H$150,$G300=$G$248,H$248,$G300=$G$250,H$250)</f>
        <v>41.437435000000001</v>
      </c>
      <c r="I300" s="78" cm="1">
        <f t="array" ref="I300">_xlfn.IFS($G300=$G$5,I$5,$G300=$G$6,I$6,$G300=$G$7,I$7,$G300=$G$8,I$8,$G300=$G$9,I$9,$G300=$G$10,I$10,$G300=$G$11,I$11,$G300=$G$12,I$12,$G300=$G$13,I$13,$G300=$G$15,I$15,$G300=$G$16,I$16,$G300=$G$17,I$17,$G300=$G$18,I$18,$G300=$G$19,I$19,$G300=$G$20,I$20,$G300=$G$21,I$21,$G300=$G$22,I$22,$G300=$G$25,I$25,$G300=$G$26,I$26,$G300=$G$27,I$27,$G300=$G$29,I$29,$G300=$G$31,I$31,$G300=$G$32,I$150,$G300=$G$248,I$248,$G300=$G$250,I$250)</f>
        <v>2.1812779999999998</v>
      </c>
      <c r="J300" cm="1">
        <f t="array" ref="J300">_xlfn.IFS($G300=$G$5,J$5,$G300=$G$6,J$6,$G300=$G$7,J$7,$G300=$G$8,J$8,$G300=$G$9,J$9,$G300=$G$10,J$10,$G300=$G$11,J$11,$G300=$G$12,J$12,$G300=$G$13,J$13,$G300=$G$15,J$15,$G300=$G$16,J$16,$G300=$G$17,J$17,$G300=$G$18,J$18,$G300=$G$19,J$19,$G300=$G$20,J$20,$G300=$G$21,J$21,$G300=$G$22,J$22,$G300=$G$25,J$25,$G300=$G$26,J$26,$G300=$G$27,J$27,$G300=$G$29,J$29,$G300=$G$31,J$31,$G300=$G$32,J$150,$G300=$G$248,J$248,$G300=$G$250,J$250)</f>
        <v>47</v>
      </c>
      <c r="K300" t="str" cm="1">
        <f t="array" ref="K300">_xlfn.IFS($G300=$G$5,K$5,$G300=$G$6,K$6,$G300=$G$7,K$7,$G300=$G$8,K$8,$G300=$G$9,K$9,$G300=$G$10,K$10,$G300=$G$11,K$11,$G300=$G$12,K$12,$G300=$G$13,K$13,$G300=$G$15,K$15,$G300=$G$16,K$16,$G300=$G$17,K$17,$G300=$G$18,K$18,$G300=$G$19,K$19,$G300=$G$20,K$20,$G300=$G$21,K$21,$G300=$G$22,K$22,$G300=$G$25,K$25,$G300=$G$26,K$26,$G300=$G$27,K$27,$G300=$G$29,K$29,$G300=$G$31,K$31,$G300=$G$32,K$150,$G300=$G$248,K$248,$G300=$G$250,K$250)</f>
        <v>BG sentinel + BG lure7</v>
      </c>
      <c r="O300" s="45" t="str">
        <f t="shared" si="24"/>
        <v>A_SP_BCN_3_210630</v>
      </c>
      <c r="P300" s="64">
        <v>44377</v>
      </c>
      <c r="R300" s="72"/>
      <c r="S300" s="64">
        <v>44384</v>
      </c>
      <c r="U300" s="72"/>
      <c r="V300" s="54" t="s">
        <v>66</v>
      </c>
      <c r="X300" s="45">
        <f t="shared" si="23"/>
        <v>7</v>
      </c>
      <c r="Z300" s="45" t="s">
        <v>70</v>
      </c>
      <c r="AA300" s="45">
        <f t="shared" si="16"/>
        <v>1</v>
      </c>
      <c r="AB300" t="str">
        <f t="shared" si="21"/>
        <v>Adult</v>
      </c>
      <c r="AC300" s="69">
        <v>1</v>
      </c>
      <c r="AD300" s="69">
        <v>0</v>
      </c>
      <c r="AE300" s="45" t="str">
        <f t="shared" si="22"/>
        <v>Morphological</v>
      </c>
      <c r="AF300" s="56">
        <v>4</v>
      </c>
    </row>
    <row r="301" spans="1:32" ht="18" customHeight="1" x14ac:dyDescent="0.25">
      <c r="A301" s="45">
        <v>297</v>
      </c>
      <c r="B301" s="45" t="s">
        <v>60</v>
      </c>
      <c r="C301" s="45" t="s">
        <v>61</v>
      </c>
      <c r="D301" s="45" t="s">
        <v>62</v>
      </c>
      <c r="E301" s="45" t="s">
        <v>62</v>
      </c>
      <c r="F301" s="46" cm="1">
        <f t="array" ref="F301">_xlfn.IFS($G301=$G$5,F$5,$G301=$G$6,F$6,$G301=$G$7,F$7,$G301=$G$8,F$8,$G301=$G$9,F$9,$G301=$G$10,F$10,$G301=$G$11,F$11,$G301=$G$12,F$12,$G301=$G$13,F$13,$G301=$G$15,F$15,$G301=$G$16,F$16,$G301=$G$17,F$17,$G301=$G$18,F$18,$G301=$G$19,F$19,$G301=$G$20,F$20,$G301=$G$21,F$21,$G301=$G$22,F$22,$G301=$G$25,F$25,$G301=$G$26,F$26,$G301=$G$27,F$27,$G301=$G$29,F$29,$G301=$G$31,F$31,$G301=$G$32,F$32,$G301=$G$248,F$248,$G301=$G$250,F$250)</f>
        <v>8016</v>
      </c>
      <c r="G301" t="s">
        <v>68</v>
      </c>
      <c r="H301" s="66" cm="1">
        <f t="array" ref="H301">_xlfn.IFS($G301=$G$5,H$5,$G301=$G$6,H$6,$G301=$G$7,H$7,$G301=$G$8,H$8,$G301=$G$9,H$9,$G301=$G$10,H$10,$G301=$G$11,H$11,$G301=$G$12,H$12,$G301=$G$13,H$13,$G301=$G$15,H$15,$G301=$G$16,H$16,$G301=$G$17,H$17,$G301=$G$18,H$18,$G301=$G$19,H$19,$G301=$G$20,H$20,$G301=$G$21,H$21,$G301=$G$22,H$22,$G301=$G$25,H$25,$G301=$G$26,H$26,$G301=$G$27,H$27,$G301=$G$29,H$29,$G301=$G$31,H$31,$G301=$G$32,H$150,$G301=$G$248,H$248,$G301=$G$250,H$250)</f>
        <v>41.437435000000001</v>
      </c>
      <c r="I301" s="78" cm="1">
        <f t="array" ref="I301">_xlfn.IFS($G301=$G$5,I$5,$G301=$G$6,I$6,$G301=$G$7,I$7,$G301=$G$8,I$8,$G301=$G$9,I$9,$G301=$G$10,I$10,$G301=$G$11,I$11,$G301=$G$12,I$12,$G301=$G$13,I$13,$G301=$G$15,I$15,$G301=$G$16,I$16,$G301=$G$17,I$17,$G301=$G$18,I$18,$G301=$G$19,I$19,$G301=$G$20,I$20,$G301=$G$21,I$21,$G301=$G$22,I$22,$G301=$G$25,I$25,$G301=$G$26,I$26,$G301=$G$27,I$27,$G301=$G$29,I$29,$G301=$G$31,I$31,$G301=$G$32,I$150,$G301=$G$248,I$248,$G301=$G$250,I$250)</f>
        <v>2.1812779999999998</v>
      </c>
      <c r="J301" cm="1">
        <f t="array" ref="J301">_xlfn.IFS($G301=$G$5,J$5,$G301=$G$6,J$6,$G301=$G$7,J$7,$G301=$G$8,J$8,$G301=$G$9,J$9,$G301=$G$10,J$10,$G301=$G$11,J$11,$G301=$G$12,J$12,$G301=$G$13,J$13,$G301=$G$15,J$15,$G301=$G$16,J$16,$G301=$G$17,J$17,$G301=$G$18,J$18,$G301=$G$19,J$19,$G301=$G$20,J$20,$G301=$G$21,J$21,$G301=$G$22,J$22,$G301=$G$25,J$25,$G301=$G$26,J$26,$G301=$G$27,J$27,$G301=$G$29,J$29,$G301=$G$31,J$31,$G301=$G$32,J$150,$G301=$G$248,J$248,$G301=$G$250,J$250)</f>
        <v>47</v>
      </c>
      <c r="K301" t="str" cm="1">
        <f t="array" ref="K301">_xlfn.IFS($G301=$G$5,K$5,$G301=$G$6,K$6,$G301=$G$7,K$7,$G301=$G$8,K$8,$G301=$G$9,K$9,$G301=$G$10,K$10,$G301=$G$11,K$11,$G301=$G$12,K$12,$G301=$G$13,K$13,$G301=$G$15,K$15,$G301=$G$16,K$16,$G301=$G$17,K$17,$G301=$G$18,K$18,$G301=$G$19,K$19,$G301=$G$20,K$20,$G301=$G$21,K$21,$G301=$G$22,K$22,$G301=$G$25,K$25,$G301=$G$26,K$26,$G301=$G$27,K$27,$G301=$G$29,K$29,$G301=$G$31,K$31,$G301=$G$32,K$150,$G301=$G$248,K$248,$G301=$G$250,K$250)</f>
        <v>BG sentinel + BG lure7</v>
      </c>
      <c r="O301" s="45" t="str">
        <f t="shared" si="24"/>
        <v>A_SP_BCN_3_210630</v>
      </c>
      <c r="P301" s="64">
        <v>44377</v>
      </c>
      <c r="R301" s="72"/>
      <c r="S301" s="64">
        <v>44384</v>
      </c>
      <c r="U301" s="72"/>
      <c r="V301" s="54" t="s">
        <v>66</v>
      </c>
      <c r="X301" s="45">
        <f t="shared" si="23"/>
        <v>7</v>
      </c>
      <c r="Z301" s="45" t="s">
        <v>80</v>
      </c>
      <c r="AA301" s="45">
        <f t="shared" si="16"/>
        <v>2</v>
      </c>
      <c r="AB301" t="str">
        <f t="shared" si="21"/>
        <v>Adult</v>
      </c>
      <c r="AC301" s="69">
        <v>2</v>
      </c>
      <c r="AD301" s="69">
        <v>0</v>
      </c>
      <c r="AE301" s="45" t="str">
        <f t="shared" si="22"/>
        <v>Morphological</v>
      </c>
      <c r="AF301" s="56">
        <v>4</v>
      </c>
    </row>
    <row r="302" spans="1:32" ht="18" customHeight="1" x14ac:dyDescent="0.25">
      <c r="A302" s="45">
        <v>298</v>
      </c>
      <c r="B302" s="45" t="s">
        <v>60</v>
      </c>
      <c r="C302" s="45" t="s">
        <v>61</v>
      </c>
      <c r="D302" s="45" t="s">
        <v>62</v>
      </c>
      <c r="E302" s="45" t="s">
        <v>62</v>
      </c>
      <c r="F302" s="46" cm="1">
        <f t="array" ref="F302">_xlfn.IFS($G302=$G$5,F$5,$G302=$G$6,F$6,$G302=$G$7,F$7,$G302=$G$8,F$8,$G302=$G$9,F$9,$G302=$G$10,F$10,$G302=$G$11,F$11,$G302=$G$12,F$12,$G302=$G$13,F$13,$G302=$G$15,F$15,$G302=$G$16,F$16,$G302=$G$17,F$17,$G302=$G$18,F$18,$G302=$G$19,F$19,$G302=$G$20,F$20,$G302=$G$21,F$21,$G302=$G$22,F$22,$G302=$G$25,F$25,$G302=$G$26,F$26,$G302=$G$27,F$27,$G302=$G$29,F$29,$G302=$G$31,F$31,$G302=$G$32,F$32,$G302=$G$248,F$248,$G302=$G$250,F$250)</f>
        <v>8018</v>
      </c>
      <c r="G302" t="s">
        <v>71</v>
      </c>
      <c r="H302" s="66" cm="1">
        <f t="array" ref="H302">_xlfn.IFS($G302=$G$5,H$5,$G302=$G$6,H$6,$G302=$G$7,H$7,$G302=$G$8,H$8,$G302=$G$9,H$9,$G302=$G$10,H$10,$G302=$G$11,H$11,$G302=$G$12,H$12,$G302=$G$13,H$13,$G302=$G$15,H$15,$G302=$G$16,H$16,$G302=$G$17,H$17,$G302=$G$18,H$18,$G302=$G$19,H$19,$G302=$G$20,H$20,$G302=$G$21,H$21,$G302=$G$22,H$22,$G302=$G$25,H$25,$G302=$G$26,H$26,$G302=$G$27,H$27,$G302=$G$29,H$29,$G302=$G$31,H$31,$G302=$G$32,H$150,$G302=$G$248,H$248,$G302=$G$250,H$250)</f>
        <v>41.410684000000003</v>
      </c>
      <c r="I302" s="78" cm="1">
        <f t="array" ref="I302">_xlfn.IFS($G302=$G$5,I$5,$G302=$G$6,I$6,$G302=$G$7,I$7,$G302=$G$8,I$8,$G302=$G$9,I$9,$G302=$G$10,I$10,$G302=$G$11,I$11,$G302=$G$12,I$12,$G302=$G$13,I$13,$G302=$G$15,I$15,$G302=$G$16,I$16,$G302=$G$17,I$17,$G302=$G$18,I$18,$G302=$G$19,I$19,$G302=$G$20,I$20,$G302=$G$21,I$21,$G302=$G$22,I$22,$G302=$G$25,I$25,$G302=$G$26,I$26,$G302=$G$27,I$27,$G302=$G$29,I$29,$G302=$G$31,I$31,$G302=$G$32,I$150,$G302=$G$248,I$248,$G302=$G$250,I$250)</f>
        <v>2.2208019999999999</v>
      </c>
      <c r="J302" cm="1">
        <f t="array" ref="J302">_xlfn.IFS($G302=$G$5,J$5,$G302=$G$6,J$6,$G302=$G$7,J$7,$G302=$G$8,J$8,$G302=$G$9,J$9,$G302=$G$10,J$10,$G302=$G$11,J$11,$G302=$G$12,J$12,$G302=$G$13,J$13,$G302=$G$15,J$15,$G302=$G$16,J$16,$G302=$G$17,J$17,$G302=$G$18,J$18,$G302=$G$19,J$19,$G302=$G$20,J$20,$G302=$G$21,J$21,$G302=$G$22,J$22,$G302=$G$25,J$25,$G302=$G$26,J$26,$G302=$G$27,J$27,$G302=$G$29,J$29,$G302=$G$31,J$31,$G302=$G$32,J$150,$G302=$G$248,J$248,$G302=$G$250,J$250)</f>
        <v>4</v>
      </c>
      <c r="K302" t="str" cm="1">
        <f t="array" ref="K302">_xlfn.IFS($G302=$G$5,K$5,$G302=$G$6,K$6,$G302=$G$7,K$7,$G302=$G$8,K$8,$G302=$G$9,K$9,$G302=$G$10,K$10,$G302=$G$11,K$11,$G302=$G$12,K$12,$G302=$G$13,K$13,$G302=$G$15,K$15,$G302=$G$16,K$16,$G302=$G$17,K$17,$G302=$G$18,K$18,$G302=$G$19,K$19,$G302=$G$20,K$20,$G302=$G$21,K$21,$G302=$G$22,K$22,$G302=$G$25,K$25,$G302=$G$26,K$26,$G302=$G$27,K$27,$G302=$G$29,K$29,$G302=$G$31,K$31,$G302=$G$32,K$150,$G302=$G$248,K$248,$G302=$G$250,K$250)</f>
        <v>BG sentinel + BG lure7</v>
      </c>
      <c r="L302" s="48"/>
      <c r="M302" s="48"/>
      <c r="O302" s="45" t="str">
        <f t="shared" si="24"/>
        <v>A_SP_BCN_4_210701</v>
      </c>
      <c r="P302" s="64">
        <v>44378</v>
      </c>
      <c r="R302" s="72"/>
      <c r="S302" s="64">
        <v>44385</v>
      </c>
      <c r="U302" s="72"/>
      <c r="V302" s="54" t="s">
        <v>66</v>
      </c>
      <c r="X302" s="45">
        <f t="shared" si="23"/>
        <v>7</v>
      </c>
      <c r="Z302" s="69" t="s">
        <v>69</v>
      </c>
      <c r="AA302" s="45">
        <f t="shared" si="16"/>
        <v>2</v>
      </c>
      <c r="AB302" t="str">
        <f t="shared" si="21"/>
        <v>Adult</v>
      </c>
      <c r="AC302" s="69">
        <v>1</v>
      </c>
      <c r="AD302" s="69">
        <v>1</v>
      </c>
      <c r="AE302" s="45" t="str">
        <f t="shared" si="22"/>
        <v>Morphological</v>
      </c>
      <c r="AF302" s="56">
        <v>4</v>
      </c>
    </row>
    <row r="303" spans="1:32" ht="18" customHeight="1" x14ac:dyDescent="0.25">
      <c r="A303" s="45">
        <v>299</v>
      </c>
      <c r="B303" s="45" t="s">
        <v>60</v>
      </c>
      <c r="C303" s="45" t="s">
        <v>61</v>
      </c>
      <c r="D303" s="45" t="s">
        <v>62</v>
      </c>
      <c r="E303" s="45" t="s">
        <v>62</v>
      </c>
      <c r="F303" s="46" cm="1">
        <f t="array" ref="F303">_xlfn.IFS($G303=$G$5,F$5,$G303=$G$6,F$6,$G303=$G$7,F$7,$G303=$G$8,F$8,$G303=$G$9,F$9,$G303=$G$10,F$10,$G303=$G$11,F$11,$G303=$G$12,F$12,$G303=$G$13,F$13,$G303=$G$15,F$15,$G303=$G$16,F$16,$G303=$G$17,F$17,$G303=$G$18,F$18,$G303=$G$19,F$19,$G303=$G$20,F$20,$G303=$G$21,F$21,$G303=$G$22,F$22,$G303=$G$25,F$25,$G303=$G$26,F$26,$G303=$G$27,F$27,$G303=$G$29,F$29,$G303=$G$31,F$31,$G303=$G$32,F$32,$G303=$G$248,F$248,$G303=$G$250,F$250)</f>
        <v>8018</v>
      </c>
      <c r="G303" t="s">
        <v>71</v>
      </c>
      <c r="H303" s="66" cm="1">
        <f t="array" ref="H303">_xlfn.IFS($G303=$G$5,H$5,$G303=$G$6,H$6,$G303=$G$7,H$7,$G303=$G$8,H$8,$G303=$G$9,H$9,$G303=$G$10,H$10,$G303=$G$11,H$11,$G303=$G$12,H$12,$G303=$G$13,H$13,$G303=$G$15,H$15,$G303=$G$16,H$16,$G303=$G$17,H$17,$G303=$G$18,H$18,$G303=$G$19,H$19,$G303=$G$20,H$20,$G303=$G$21,H$21,$G303=$G$22,H$22,$G303=$G$25,H$25,$G303=$G$26,H$26,$G303=$G$27,H$27,$G303=$G$29,H$29,$G303=$G$31,H$31,$G303=$G$32,H$150,$G303=$G$248,H$248,$G303=$G$250,H$250)</f>
        <v>41.410684000000003</v>
      </c>
      <c r="I303" s="78" cm="1">
        <f t="array" ref="I303">_xlfn.IFS($G303=$G$5,I$5,$G303=$G$6,I$6,$G303=$G$7,I$7,$G303=$G$8,I$8,$G303=$G$9,I$9,$G303=$G$10,I$10,$G303=$G$11,I$11,$G303=$G$12,I$12,$G303=$G$13,I$13,$G303=$G$15,I$15,$G303=$G$16,I$16,$G303=$G$17,I$17,$G303=$G$18,I$18,$G303=$G$19,I$19,$G303=$G$20,I$20,$G303=$G$21,I$21,$G303=$G$22,I$22,$G303=$G$25,I$25,$G303=$G$26,I$26,$G303=$G$27,I$27,$G303=$G$29,I$29,$G303=$G$31,I$31,$G303=$G$32,I$150,$G303=$G$248,I$248,$G303=$G$250,I$250)</f>
        <v>2.2208019999999999</v>
      </c>
      <c r="J303" cm="1">
        <f t="array" ref="J303">_xlfn.IFS($G303=$G$5,J$5,$G303=$G$6,J$6,$G303=$G$7,J$7,$G303=$G$8,J$8,$G303=$G$9,J$9,$G303=$G$10,J$10,$G303=$G$11,J$11,$G303=$G$12,J$12,$G303=$G$13,J$13,$G303=$G$15,J$15,$G303=$G$16,J$16,$G303=$G$17,J$17,$G303=$G$18,J$18,$G303=$G$19,J$19,$G303=$G$20,J$20,$G303=$G$21,J$21,$G303=$G$22,J$22,$G303=$G$25,J$25,$G303=$G$26,J$26,$G303=$G$27,J$27,$G303=$G$29,J$29,$G303=$G$31,J$31,$G303=$G$32,J$150,$G303=$G$248,J$248,$G303=$G$250,J$250)</f>
        <v>4</v>
      </c>
      <c r="K303" t="str" cm="1">
        <f t="array" ref="K303">_xlfn.IFS($G303=$G$5,K$5,$G303=$G$6,K$6,$G303=$G$7,K$7,$G303=$G$8,K$8,$G303=$G$9,K$9,$G303=$G$10,K$10,$G303=$G$11,K$11,$G303=$G$12,K$12,$G303=$G$13,K$13,$G303=$G$15,K$15,$G303=$G$16,K$16,$G303=$G$17,K$17,$G303=$G$18,K$18,$G303=$G$19,K$19,$G303=$G$20,K$20,$G303=$G$21,K$21,$G303=$G$22,K$22,$G303=$G$25,K$25,$G303=$G$26,K$26,$G303=$G$27,K$27,$G303=$G$29,K$29,$G303=$G$31,K$31,$G303=$G$32,K$150,$G303=$G$248,K$248,$G303=$G$250,K$250)</f>
        <v>BG sentinel + BG lure7</v>
      </c>
      <c r="L303" s="48"/>
      <c r="M303" s="48"/>
      <c r="O303" s="45" t="str">
        <f t="shared" si="24"/>
        <v>A_SP_BCN_4_210701</v>
      </c>
      <c r="P303" s="64">
        <v>44378</v>
      </c>
      <c r="R303" s="72"/>
      <c r="S303" s="64">
        <v>44385</v>
      </c>
      <c r="U303" s="72"/>
      <c r="V303" s="54" t="s">
        <v>66</v>
      </c>
      <c r="X303" s="45">
        <f t="shared" si="23"/>
        <v>7</v>
      </c>
      <c r="Z303" s="45" t="s">
        <v>70</v>
      </c>
      <c r="AA303" s="45">
        <f t="shared" si="16"/>
        <v>2</v>
      </c>
      <c r="AB303" t="str">
        <f t="shared" si="21"/>
        <v>Adult</v>
      </c>
      <c r="AC303" s="69">
        <v>1</v>
      </c>
      <c r="AD303" s="69">
        <v>1</v>
      </c>
      <c r="AE303" s="45" t="str">
        <f t="shared" si="22"/>
        <v>Morphological</v>
      </c>
      <c r="AF303" s="56">
        <v>4</v>
      </c>
    </row>
    <row r="304" spans="1:32" ht="18" customHeight="1" x14ac:dyDescent="0.25">
      <c r="A304" s="45">
        <v>300</v>
      </c>
      <c r="B304" s="45" t="s">
        <v>60</v>
      </c>
      <c r="C304" s="45" t="s">
        <v>61</v>
      </c>
      <c r="D304" s="45" t="s">
        <v>62</v>
      </c>
      <c r="E304" s="45" t="s">
        <v>62</v>
      </c>
      <c r="F304" s="46" cm="1">
        <f t="array" ref="F304">_xlfn.IFS($G304=$G$5,F$5,$G304=$G$6,F$6,$G304=$G$7,F$7,$G304=$G$8,F$8,$G304=$G$9,F$9,$G304=$G$10,F$10,$G304=$G$11,F$11,$G304=$G$12,F$12,$G304=$G$13,F$13,$G304=$G$15,F$15,$G304=$G$16,F$16,$G304=$G$17,F$17,$G304=$G$18,F$18,$G304=$G$19,F$19,$G304=$G$20,F$20,$G304=$G$21,F$21,$G304=$G$22,F$22,$G304=$G$25,F$25,$G304=$G$26,F$26,$G304=$G$27,F$27,$G304=$G$29,F$29,$G304=$G$31,F$31,$G304=$G$32,F$32,$G304=$G$248,F$248,$G304=$G$250,F$250)</f>
        <v>8018</v>
      </c>
      <c r="G304" t="s">
        <v>71</v>
      </c>
      <c r="H304" s="66" cm="1">
        <f t="array" ref="H304">_xlfn.IFS($G304=$G$5,H$5,$G304=$G$6,H$6,$G304=$G$7,H$7,$G304=$G$8,H$8,$G304=$G$9,H$9,$G304=$G$10,H$10,$G304=$G$11,H$11,$G304=$G$12,H$12,$G304=$G$13,H$13,$G304=$G$15,H$15,$G304=$G$16,H$16,$G304=$G$17,H$17,$G304=$G$18,H$18,$G304=$G$19,H$19,$G304=$G$20,H$20,$G304=$G$21,H$21,$G304=$G$22,H$22,$G304=$G$25,H$25,$G304=$G$26,H$26,$G304=$G$27,H$27,$G304=$G$29,H$29,$G304=$G$31,H$31,$G304=$G$32,H$150,$G304=$G$248,H$248,$G304=$G$250,H$250)</f>
        <v>41.410684000000003</v>
      </c>
      <c r="I304" s="78" cm="1">
        <f t="array" ref="I304">_xlfn.IFS($G304=$G$5,I$5,$G304=$G$6,I$6,$G304=$G$7,I$7,$G304=$G$8,I$8,$G304=$G$9,I$9,$G304=$G$10,I$10,$G304=$G$11,I$11,$G304=$G$12,I$12,$G304=$G$13,I$13,$G304=$G$15,I$15,$G304=$G$16,I$16,$G304=$G$17,I$17,$G304=$G$18,I$18,$G304=$G$19,I$19,$G304=$G$20,I$20,$G304=$G$21,I$21,$G304=$G$22,I$22,$G304=$G$25,I$25,$G304=$G$26,I$26,$G304=$G$27,I$27,$G304=$G$29,I$29,$G304=$G$31,I$31,$G304=$G$32,I$150,$G304=$G$248,I$248,$G304=$G$250,I$250)</f>
        <v>2.2208019999999999</v>
      </c>
      <c r="J304" cm="1">
        <f t="array" ref="J304">_xlfn.IFS($G304=$G$5,J$5,$G304=$G$6,J$6,$G304=$G$7,J$7,$G304=$G$8,J$8,$G304=$G$9,J$9,$G304=$G$10,J$10,$G304=$G$11,J$11,$G304=$G$12,J$12,$G304=$G$13,J$13,$G304=$G$15,J$15,$G304=$G$16,J$16,$G304=$G$17,J$17,$G304=$G$18,J$18,$G304=$G$19,J$19,$G304=$G$20,J$20,$G304=$G$21,J$21,$G304=$G$22,J$22,$G304=$G$25,J$25,$G304=$G$26,J$26,$G304=$G$27,J$27,$G304=$G$29,J$29,$G304=$G$31,J$31,$G304=$G$32,J$150,$G304=$G$248,J$248,$G304=$G$250,J$250)</f>
        <v>4</v>
      </c>
      <c r="K304" t="str" cm="1">
        <f t="array" ref="K304">_xlfn.IFS($G304=$G$5,K$5,$G304=$G$6,K$6,$G304=$G$7,K$7,$G304=$G$8,K$8,$G304=$G$9,K$9,$G304=$G$10,K$10,$G304=$G$11,K$11,$G304=$G$12,K$12,$G304=$G$13,K$13,$G304=$G$15,K$15,$G304=$G$16,K$16,$G304=$G$17,K$17,$G304=$G$18,K$18,$G304=$G$19,K$19,$G304=$G$20,K$20,$G304=$G$21,K$21,$G304=$G$22,K$22,$G304=$G$25,K$25,$G304=$G$26,K$26,$G304=$G$27,K$27,$G304=$G$29,K$29,$G304=$G$31,K$31,$G304=$G$32,K$150,$G304=$G$248,K$248,$G304=$G$250,K$250)</f>
        <v>BG sentinel + BG lure7</v>
      </c>
      <c r="L304" s="48"/>
      <c r="M304" s="48"/>
      <c r="O304" s="45" t="str">
        <f t="shared" si="24"/>
        <v>A_SP_BCN_4_210701</v>
      </c>
      <c r="P304" s="64">
        <v>44378</v>
      </c>
      <c r="R304" s="72"/>
      <c r="S304" s="64">
        <v>44385</v>
      </c>
      <c r="U304" s="72"/>
      <c r="V304" s="54" t="s">
        <v>66</v>
      </c>
      <c r="X304" s="45">
        <f t="shared" si="23"/>
        <v>7</v>
      </c>
      <c r="Z304" s="45" t="s">
        <v>80</v>
      </c>
      <c r="AA304" s="45">
        <f t="shared" si="16"/>
        <v>3</v>
      </c>
      <c r="AB304" t="str">
        <f t="shared" si="21"/>
        <v>Adult</v>
      </c>
      <c r="AC304" s="69">
        <v>2</v>
      </c>
      <c r="AD304" s="69">
        <v>1</v>
      </c>
      <c r="AE304" s="45" t="str">
        <f t="shared" si="22"/>
        <v>Morphological</v>
      </c>
      <c r="AF304" s="56">
        <v>4</v>
      </c>
    </row>
    <row r="305" spans="1:32" ht="18" customHeight="1" x14ac:dyDescent="0.25">
      <c r="A305" s="45">
        <v>301</v>
      </c>
      <c r="B305" s="45" t="s">
        <v>60</v>
      </c>
      <c r="C305" s="45" t="s">
        <v>61</v>
      </c>
      <c r="D305" s="45" t="s">
        <v>62</v>
      </c>
      <c r="E305" s="45" t="s">
        <v>62</v>
      </c>
      <c r="F305" s="46" cm="1">
        <f t="array" ref="F305">_xlfn.IFS($G305=$G$5,F$5,$G305=$G$6,F$6,$G305=$G$7,F$7,$G305=$G$8,F$8,$G305=$G$9,F$9,$G305=$G$10,F$10,$G305=$G$11,F$11,$G305=$G$12,F$12,$G305=$G$13,F$13,$G305=$G$15,F$15,$G305=$G$16,F$16,$G305=$G$17,F$17,$G305=$G$18,F$18,$G305=$G$19,F$19,$G305=$G$20,F$20,$G305=$G$21,F$21,$G305=$G$22,F$22,$G305=$G$25,F$25,$G305=$G$26,F$26,$G305=$G$27,F$27,$G305=$G$29,F$29,$G305=$G$31,F$31,$G305=$G$32,F$32,$G305=$G$248,F$248,$G305=$G$250,F$250)</f>
        <v>8019</v>
      </c>
      <c r="G305" t="s">
        <v>72</v>
      </c>
      <c r="H305" s="66" cm="1">
        <f t="array" ref="H305">_xlfn.IFS($G305=$G$5,H$5,$G305=$G$6,H$6,$G305=$G$7,H$7,$G305=$G$8,H$8,$G305=$G$9,H$9,$G305=$G$10,H$10,$G305=$G$11,H$11,$G305=$G$12,H$12,$G305=$G$13,H$13,$G305=$G$15,H$15,$G305=$G$16,H$16,$G305=$G$17,H$17,$G305=$G$18,H$18,$G305=$G$19,H$19,$G305=$G$20,H$20,$G305=$G$21,H$21,$G305=$G$22,H$22,$G305=$G$25,H$25,$G305=$G$26,H$26,$G305=$G$27,H$27,$G305=$G$29,H$29,$G305=$G$31,H$31,$G305=$G$32,H$150,$G305=$G$248,H$248,$G305=$G$250,H$250)</f>
        <v>41.382339999999999</v>
      </c>
      <c r="I305" s="78" cm="1">
        <f t="array" ref="I305">_xlfn.IFS($G305=$G$5,I$5,$G305=$G$6,I$6,$G305=$G$7,I$7,$G305=$G$8,I$8,$G305=$G$9,I$9,$G305=$G$10,I$10,$G305=$G$11,I$11,$G305=$G$12,I$12,$G305=$G$13,I$13,$G305=$G$15,I$15,$G305=$G$16,I$16,$G305=$G$17,I$17,$G305=$G$18,I$18,$G305=$G$19,I$19,$G305=$G$20,I$20,$G305=$G$21,I$21,$G305=$G$22,I$22,$G305=$G$25,I$25,$G305=$G$26,I$26,$G305=$G$27,I$27,$G305=$G$29,I$29,$G305=$G$31,I$31,$G305=$G$32,I$150,$G305=$G$248,I$248,$G305=$G$250,I$250)</f>
        <v>2.1714790000000002</v>
      </c>
      <c r="J305" cm="1">
        <f t="array" ref="J305">_xlfn.IFS($G305=$G$5,J$5,$G305=$G$6,J$6,$G305=$G$7,J$7,$G305=$G$8,J$8,$G305=$G$9,J$9,$G305=$G$10,J$10,$G305=$G$11,J$11,$G305=$G$12,J$12,$G305=$G$13,J$13,$G305=$G$15,J$15,$G305=$G$16,J$16,$G305=$G$17,J$17,$G305=$G$18,J$18,$G305=$G$19,J$19,$G305=$G$20,J$20,$G305=$G$21,J$21,$G305=$G$22,J$22,$G305=$G$25,J$25,$G305=$G$26,J$26,$G305=$G$27,J$27,$G305=$G$29,J$29,$G305=$G$31,J$31,$G305=$G$32,J$150,$G305=$G$248,J$248,$G305=$G$250,J$250)</f>
        <v>18</v>
      </c>
      <c r="K305" t="str" cm="1">
        <f t="array" ref="K305">_xlfn.IFS($G305=$G$5,K$5,$G305=$G$6,K$6,$G305=$G$7,K$7,$G305=$G$8,K$8,$G305=$G$9,K$9,$G305=$G$10,K$10,$G305=$G$11,K$11,$G305=$G$12,K$12,$G305=$G$13,K$13,$G305=$G$15,K$15,$G305=$G$16,K$16,$G305=$G$17,K$17,$G305=$G$18,K$18,$G305=$G$19,K$19,$G305=$G$20,K$20,$G305=$G$21,K$21,$G305=$G$22,K$22,$G305=$G$25,K$25,$G305=$G$26,K$26,$G305=$G$27,K$27,$G305=$G$29,K$29,$G305=$G$31,K$31,$G305=$G$32,K$150,$G305=$G$248,K$248,$G305=$G$250,K$250)</f>
        <v>BG sentinel + BG lure7</v>
      </c>
      <c r="L305" s="48"/>
      <c r="M305" s="48"/>
      <c r="O305" s="45" t="str">
        <f t="shared" si="24"/>
        <v>A_SP_BCN_5_210701</v>
      </c>
      <c r="P305" s="64">
        <v>44378</v>
      </c>
      <c r="R305" s="72"/>
      <c r="S305" s="64">
        <v>44385</v>
      </c>
      <c r="U305" s="72"/>
      <c r="V305" s="54" t="s">
        <v>66</v>
      </c>
      <c r="X305" s="45">
        <f t="shared" si="23"/>
        <v>7</v>
      </c>
      <c r="Z305" s="45" t="s">
        <v>70</v>
      </c>
      <c r="AA305" s="45">
        <f t="shared" si="16"/>
        <v>6</v>
      </c>
      <c r="AB305" t="str">
        <f t="shared" si="21"/>
        <v>Adult</v>
      </c>
      <c r="AC305" s="69">
        <v>6</v>
      </c>
      <c r="AD305" s="69">
        <v>0</v>
      </c>
      <c r="AE305" s="45" t="str">
        <f t="shared" si="22"/>
        <v>Morphological</v>
      </c>
      <c r="AF305" s="56">
        <v>4</v>
      </c>
    </row>
    <row r="306" spans="1:32" ht="18" customHeight="1" x14ac:dyDescent="0.25">
      <c r="A306" s="45">
        <v>302</v>
      </c>
      <c r="B306" s="45" t="s">
        <v>60</v>
      </c>
      <c r="C306" s="45" t="s">
        <v>61</v>
      </c>
      <c r="D306" s="45" t="s">
        <v>62</v>
      </c>
      <c r="E306" s="45" t="s">
        <v>62</v>
      </c>
      <c r="F306" s="46" cm="1">
        <f t="array" ref="F306">_xlfn.IFS($G306=$G$5,F$5,$G306=$G$6,F$6,$G306=$G$7,F$7,$G306=$G$8,F$8,$G306=$G$9,F$9,$G306=$G$10,F$10,$G306=$G$11,F$11,$G306=$G$12,F$12,$G306=$G$13,F$13,$G306=$G$15,F$15,$G306=$G$16,F$16,$G306=$G$17,F$17,$G306=$G$18,F$18,$G306=$G$19,F$19,$G306=$G$20,F$20,$G306=$G$21,F$21,$G306=$G$22,F$22,$G306=$G$25,F$25,$G306=$G$26,F$26,$G306=$G$27,F$27,$G306=$G$29,F$29,$G306=$G$31,F$31,$G306=$G$32,F$32,$G306=$G$248,F$248,$G306=$G$250,F$250)</f>
        <v>8002</v>
      </c>
      <c r="G306" t="s">
        <v>73</v>
      </c>
      <c r="H306" s="66" cm="1">
        <f t="array" ref="H306">_xlfn.IFS($G306=$G$5,H$5,$G306=$G$6,H$6,$G306=$G$7,H$7,$G306=$G$8,H$8,$G306=$G$9,H$9,$G306=$G$10,H$10,$G306=$G$11,H$11,$G306=$G$12,H$12,$G306=$G$13,H$13,$G306=$G$15,H$15,$G306=$G$16,H$16,$G306=$G$17,H$17,$G306=$G$18,H$18,$G306=$G$19,H$19,$G306=$G$20,H$20,$G306=$G$21,H$21,$G306=$G$22,H$22,$G306=$G$25,H$25,$G306=$G$26,H$26,$G306=$G$27,H$27,$G306=$G$29,H$29,$G306=$G$31,H$31,$G306=$G$32,H$150,$G306=$G$248,H$248,$G306=$G$250,H$250)</f>
        <v>41.371864000000002</v>
      </c>
      <c r="I306" s="78" cm="1">
        <f t="array" ref="I306">_xlfn.IFS($G306=$G$5,I$5,$G306=$G$6,I$6,$G306=$G$7,I$7,$G306=$G$8,I$8,$G306=$G$9,I$9,$G306=$G$10,I$10,$G306=$G$11,I$11,$G306=$G$12,I$12,$G306=$G$13,I$13,$G306=$G$15,I$15,$G306=$G$16,I$16,$G306=$G$17,I$17,$G306=$G$18,I$18,$G306=$G$19,I$19,$G306=$G$20,I$20,$G306=$G$21,I$21,$G306=$G$22,I$22,$G306=$G$25,I$25,$G306=$G$26,I$26,$G306=$G$27,I$27,$G306=$G$29,I$29,$G306=$G$31,I$31,$G306=$G$32,I$150,$G306=$G$248,I$248,$G306=$G$250,I$250)</f>
        <v>2.173899</v>
      </c>
      <c r="J306" cm="1">
        <f t="array" ref="J306">_xlfn.IFS($G306=$G$5,J$5,$G306=$G$6,J$6,$G306=$G$7,J$7,$G306=$G$8,J$8,$G306=$G$9,J$9,$G306=$G$10,J$10,$G306=$G$11,J$11,$G306=$G$12,J$12,$G306=$G$13,J$13,$G306=$G$15,J$15,$G306=$G$16,J$16,$G306=$G$17,J$17,$G306=$G$18,J$18,$G306=$G$19,J$19,$G306=$G$20,J$20,$G306=$G$21,J$21,$G306=$G$22,J$22,$G306=$G$25,J$25,$G306=$G$26,J$26,$G306=$G$27,J$27,$G306=$G$29,J$29,$G306=$G$31,J$31,$G306=$G$32,J$150,$G306=$G$248,J$248,$G306=$G$250,J$250)</f>
        <v>19</v>
      </c>
      <c r="K306" t="str" cm="1">
        <f t="array" ref="K306">_xlfn.IFS($G306=$G$5,K$5,$G306=$G$6,K$6,$G306=$G$7,K$7,$G306=$G$8,K$8,$G306=$G$9,K$9,$G306=$G$10,K$10,$G306=$G$11,K$11,$G306=$G$12,K$12,$G306=$G$13,K$13,$G306=$G$15,K$15,$G306=$G$16,K$16,$G306=$G$17,K$17,$G306=$G$18,K$18,$G306=$G$19,K$19,$G306=$G$20,K$20,$G306=$G$21,K$21,$G306=$G$22,K$22,$G306=$G$25,K$25,$G306=$G$26,K$26,$G306=$G$27,K$27,$G306=$G$29,K$29,$G306=$G$31,K$31,$G306=$G$32,K$150,$G306=$G$248,K$248,$G306=$G$250,K$250)</f>
        <v>BG sentinel + BG lure7</v>
      </c>
      <c r="L306" s="48"/>
      <c r="M306" s="48"/>
      <c r="O306" s="45" t="str">
        <f t="shared" si="24"/>
        <v>A_SP_BCN_6_210701</v>
      </c>
      <c r="P306" s="64">
        <v>44378</v>
      </c>
      <c r="R306" s="72"/>
      <c r="S306" s="64">
        <v>44385</v>
      </c>
      <c r="U306" s="72"/>
      <c r="V306" s="54" t="s">
        <v>66</v>
      </c>
      <c r="X306" s="45">
        <f t="shared" si="23"/>
        <v>7</v>
      </c>
      <c r="Z306" s="69" t="s">
        <v>69</v>
      </c>
      <c r="AA306" s="45">
        <f t="shared" si="16"/>
        <v>1</v>
      </c>
      <c r="AB306" t="str">
        <f t="shared" si="21"/>
        <v>Adult</v>
      </c>
      <c r="AC306" s="69">
        <v>1</v>
      </c>
      <c r="AD306" s="69">
        <v>0</v>
      </c>
      <c r="AE306" s="45" t="str">
        <f t="shared" si="22"/>
        <v>Morphological</v>
      </c>
      <c r="AF306" s="56">
        <v>4</v>
      </c>
    </row>
    <row r="307" spans="1:32" ht="18" customHeight="1" x14ac:dyDescent="0.25">
      <c r="A307" s="45">
        <v>303</v>
      </c>
      <c r="B307" s="45" t="s">
        <v>60</v>
      </c>
      <c r="C307" s="45" t="s">
        <v>61</v>
      </c>
      <c r="D307" s="45" t="s">
        <v>62</v>
      </c>
      <c r="E307" s="45" t="s">
        <v>62</v>
      </c>
      <c r="F307" s="46" cm="1">
        <f t="array" ref="F307">_xlfn.IFS($G307=$G$5,F$5,$G307=$G$6,F$6,$G307=$G$7,F$7,$G307=$G$8,F$8,$G307=$G$9,F$9,$G307=$G$10,F$10,$G307=$G$11,F$11,$G307=$G$12,F$12,$G307=$G$13,F$13,$G307=$G$15,F$15,$G307=$G$16,F$16,$G307=$G$17,F$17,$G307=$G$18,F$18,$G307=$G$19,F$19,$G307=$G$20,F$20,$G307=$G$21,F$21,$G307=$G$22,F$22,$G307=$G$25,F$25,$G307=$G$26,F$26,$G307=$G$27,F$27,$G307=$G$29,F$29,$G307=$G$31,F$31,$G307=$G$32,F$32,$G307=$G$248,F$248,$G307=$G$250,F$250)</f>
        <v>8038</v>
      </c>
      <c r="G307" t="s">
        <v>74</v>
      </c>
      <c r="H307" s="66" cm="1">
        <f t="array" ref="H307">_xlfn.IFS($G307=$G$5,H$5,$G307=$G$6,H$6,$G307=$G$7,H$7,$G307=$G$8,H$8,$G307=$G$9,H$9,$G307=$G$10,H$10,$G307=$G$11,H$11,$G307=$G$12,H$12,$G307=$G$13,H$13,$G307=$G$15,H$15,$G307=$G$16,H$16,$G307=$G$17,H$17,$G307=$G$18,H$18,$G307=$G$19,H$19,$G307=$G$20,H$20,$G307=$G$21,H$21,$G307=$G$22,H$22,$G307=$G$25,H$25,$G307=$G$26,H$26,$G307=$G$27,H$27,$G307=$G$29,H$29,$G307=$G$31,H$31,$G307=$G$32,H$150,$G307=$G$248,H$248,$G307=$G$250,H$250)</f>
        <v>41.371864000000002</v>
      </c>
      <c r="I307" s="78" cm="1">
        <f t="array" ref="I307">_xlfn.IFS($G307=$G$5,I$5,$G307=$G$6,I$6,$G307=$G$7,I$7,$G307=$G$8,I$8,$G307=$G$9,I$9,$G307=$G$10,I$10,$G307=$G$11,I$11,$G307=$G$12,I$12,$G307=$G$13,I$13,$G307=$G$15,I$15,$G307=$G$16,I$16,$G307=$G$17,I$17,$G307=$G$18,I$18,$G307=$G$19,I$19,$G307=$G$20,I$20,$G307=$G$21,I$21,$G307=$G$22,I$22,$G307=$G$25,I$25,$G307=$G$26,I$26,$G307=$G$27,I$27,$G307=$G$29,I$29,$G307=$G$31,I$31,$G307=$G$32,I$150,$G307=$G$248,I$248,$G307=$G$250,I$250)</f>
        <v>2.173899</v>
      </c>
      <c r="J307" cm="1">
        <f t="array" ref="J307">_xlfn.IFS($G307=$G$5,J$5,$G307=$G$6,J$6,$G307=$G$7,J$7,$G307=$G$8,J$8,$G307=$G$9,J$9,$G307=$G$10,J$10,$G307=$G$11,J$11,$G307=$G$12,J$12,$G307=$G$13,J$13,$G307=$G$15,J$15,$G307=$G$16,J$16,$G307=$G$17,J$17,$G307=$G$18,J$18,$G307=$G$19,J$19,$G307=$G$20,J$20,$G307=$G$21,J$21,$G307=$G$22,J$22,$G307=$G$25,J$25,$G307=$G$26,J$26,$G307=$G$27,J$27,$G307=$G$29,J$29,$G307=$G$31,J$31,$G307=$G$32,J$150,$G307=$G$248,J$248,$G307=$G$250,J$250)</f>
        <v>5</v>
      </c>
      <c r="K307" t="str" cm="1">
        <f t="array" ref="K307">_xlfn.IFS($G307=$G$5,K$5,$G307=$G$6,K$6,$G307=$G$7,K$7,$G307=$G$8,K$8,$G307=$G$9,K$9,$G307=$G$10,K$10,$G307=$G$11,K$11,$G307=$G$12,K$12,$G307=$G$13,K$13,$G307=$G$15,K$15,$G307=$G$16,K$16,$G307=$G$17,K$17,$G307=$G$18,K$18,$G307=$G$19,K$19,$G307=$G$20,K$20,$G307=$G$21,K$21,$G307=$G$22,K$22,$G307=$G$25,K$25,$G307=$G$26,K$26,$G307=$G$27,K$27,$G307=$G$29,K$29,$G307=$G$31,K$31,$G307=$G$32,K$150,$G307=$G$248,K$248,$G307=$G$250,K$250)</f>
        <v>BG sentinel + BG lure7</v>
      </c>
      <c r="L307" s="48"/>
      <c r="M307" s="48"/>
      <c r="O307" s="45" t="str">
        <f t="shared" si="24"/>
        <v>A_SP_BCN_7_210701</v>
      </c>
      <c r="P307" s="64">
        <v>44378</v>
      </c>
      <c r="R307" s="72"/>
      <c r="S307" s="64">
        <v>44385</v>
      </c>
      <c r="U307" s="72"/>
      <c r="V307" s="54" t="s">
        <v>66</v>
      </c>
      <c r="X307" s="45">
        <f t="shared" si="23"/>
        <v>7</v>
      </c>
      <c r="Z307" s="69" t="s">
        <v>69</v>
      </c>
      <c r="AA307" s="45">
        <f t="shared" si="16"/>
        <v>1</v>
      </c>
      <c r="AB307" t="str">
        <f t="shared" si="21"/>
        <v>Adult</v>
      </c>
      <c r="AC307" s="69">
        <v>0</v>
      </c>
      <c r="AD307" s="69">
        <v>1</v>
      </c>
      <c r="AE307" s="45" t="str">
        <f t="shared" si="22"/>
        <v>Morphological</v>
      </c>
      <c r="AF307" s="56">
        <v>4</v>
      </c>
    </row>
    <row r="308" spans="1:32" ht="18" customHeight="1" x14ac:dyDescent="0.25">
      <c r="A308" s="45">
        <v>304</v>
      </c>
      <c r="B308" s="45" t="s">
        <v>60</v>
      </c>
      <c r="C308" s="45" t="s">
        <v>61</v>
      </c>
      <c r="D308" s="45" t="s">
        <v>62</v>
      </c>
      <c r="E308" s="45" t="s">
        <v>62</v>
      </c>
      <c r="F308" s="46" cm="1">
        <f t="array" ref="F308">_xlfn.IFS($G308=$G$5,F$5,$G308=$G$6,F$6,$G308=$G$7,F$7,$G308=$G$8,F$8,$G308=$G$9,F$9,$G308=$G$10,F$10,$G308=$G$11,F$11,$G308=$G$12,F$12,$G308=$G$13,F$13,$G308=$G$15,F$15,$G308=$G$16,F$16,$G308=$G$17,F$17,$G308=$G$18,F$18,$G308=$G$19,F$19,$G308=$G$20,F$20,$G308=$G$21,F$21,$G308=$G$22,F$22,$G308=$G$25,F$25,$G308=$G$26,F$26,$G308=$G$27,F$27,$G308=$G$29,F$29,$G308=$G$31,F$31,$G308=$G$32,F$32,$G308=$G$248,F$248,$G308=$G$250,F$250)</f>
        <v>8038</v>
      </c>
      <c r="G308" t="s">
        <v>74</v>
      </c>
      <c r="H308" s="66" cm="1">
        <f t="array" ref="H308">_xlfn.IFS($G308=$G$5,H$5,$G308=$G$6,H$6,$G308=$G$7,H$7,$G308=$G$8,H$8,$G308=$G$9,H$9,$G308=$G$10,H$10,$G308=$G$11,H$11,$G308=$G$12,H$12,$G308=$G$13,H$13,$G308=$G$15,H$15,$G308=$G$16,H$16,$G308=$G$17,H$17,$G308=$G$18,H$18,$G308=$G$19,H$19,$G308=$G$20,H$20,$G308=$G$21,H$21,$G308=$G$22,H$22,$G308=$G$25,H$25,$G308=$G$26,H$26,$G308=$G$27,H$27,$G308=$G$29,H$29,$G308=$G$31,H$31,$G308=$G$32,H$150,$G308=$G$248,H$248,$G308=$G$250,H$250)</f>
        <v>41.371864000000002</v>
      </c>
      <c r="I308" s="78" cm="1">
        <f t="array" ref="I308">_xlfn.IFS($G308=$G$5,I$5,$G308=$G$6,I$6,$G308=$G$7,I$7,$G308=$G$8,I$8,$G308=$G$9,I$9,$G308=$G$10,I$10,$G308=$G$11,I$11,$G308=$G$12,I$12,$G308=$G$13,I$13,$G308=$G$15,I$15,$G308=$G$16,I$16,$G308=$G$17,I$17,$G308=$G$18,I$18,$G308=$G$19,I$19,$G308=$G$20,I$20,$G308=$G$21,I$21,$G308=$G$22,I$22,$G308=$G$25,I$25,$G308=$G$26,I$26,$G308=$G$27,I$27,$G308=$G$29,I$29,$G308=$G$31,I$31,$G308=$G$32,I$150,$G308=$G$248,I$248,$G308=$G$250,I$250)</f>
        <v>2.173899</v>
      </c>
      <c r="J308" cm="1">
        <f t="array" ref="J308">_xlfn.IFS($G308=$G$5,J$5,$G308=$G$6,J$6,$G308=$G$7,J$7,$G308=$G$8,J$8,$G308=$G$9,J$9,$G308=$G$10,J$10,$G308=$G$11,J$11,$G308=$G$12,J$12,$G308=$G$13,J$13,$G308=$G$15,J$15,$G308=$G$16,J$16,$G308=$G$17,J$17,$G308=$G$18,J$18,$G308=$G$19,J$19,$G308=$G$20,J$20,$G308=$G$21,J$21,$G308=$G$22,J$22,$G308=$G$25,J$25,$G308=$G$26,J$26,$G308=$G$27,J$27,$G308=$G$29,J$29,$G308=$G$31,J$31,$G308=$G$32,J$150,$G308=$G$248,J$248,$G308=$G$250,J$250)</f>
        <v>5</v>
      </c>
      <c r="K308" t="str" cm="1">
        <f t="array" ref="K308">_xlfn.IFS($G308=$G$5,K$5,$G308=$G$6,K$6,$G308=$G$7,K$7,$G308=$G$8,K$8,$G308=$G$9,K$9,$G308=$G$10,K$10,$G308=$G$11,K$11,$G308=$G$12,K$12,$G308=$G$13,K$13,$G308=$G$15,K$15,$G308=$G$16,K$16,$G308=$G$17,K$17,$G308=$G$18,K$18,$G308=$G$19,K$19,$G308=$G$20,K$20,$G308=$G$21,K$21,$G308=$G$22,K$22,$G308=$G$25,K$25,$G308=$G$26,K$26,$G308=$G$27,K$27,$G308=$G$29,K$29,$G308=$G$31,K$31,$G308=$G$32,K$150,$G308=$G$248,K$248,$G308=$G$250,K$250)</f>
        <v>BG sentinel + BG lure7</v>
      </c>
      <c r="L308" s="48"/>
      <c r="M308" s="48"/>
      <c r="O308" s="45" t="str">
        <f t="shared" si="24"/>
        <v>A_SP_BCN_7_210701</v>
      </c>
      <c r="P308" s="64">
        <v>44378</v>
      </c>
      <c r="R308" s="72"/>
      <c r="S308" s="64">
        <v>44385</v>
      </c>
      <c r="U308" s="72"/>
      <c r="V308" s="54" t="s">
        <v>66</v>
      </c>
      <c r="X308" s="45">
        <f t="shared" si="23"/>
        <v>7</v>
      </c>
      <c r="Z308" s="45" t="s">
        <v>70</v>
      </c>
      <c r="AA308" s="45">
        <f t="shared" si="16"/>
        <v>1</v>
      </c>
      <c r="AB308" t="str">
        <f t="shared" si="21"/>
        <v>Adult</v>
      </c>
      <c r="AC308" s="69">
        <v>1</v>
      </c>
      <c r="AD308" s="69">
        <v>0</v>
      </c>
      <c r="AE308" s="45" t="str">
        <f t="shared" si="22"/>
        <v>Morphological</v>
      </c>
      <c r="AF308" s="56">
        <v>3</v>
      </c>
    </row>
    <row r="309" spans="1:32" ht="18" customHeight="1" x14ac:dyDescent="0.25">
      <c r="A309" s="45">
        <v>305</v>
      </c>
      <c r="B309" s="45" t="s">
        <v>60</v>
      </c>
      <c r="C309" s="45" t="s">
        <v>61</v>
      </c>
      <c r="D309" s="45" t="s">
        <v>62</v>
      </c>
      <c r="E309" s="45" t="s">
        <v>62</v>
      </c>
      <c r="F309" s="46" cm="1">
        <f t="array" ref="F309">_xlfn.IFS($G309=$G$5,F$5,$G309=$G$6,F$6,$G309=$G$7,F$7,$G309=$G$8,F$8,$G309=$G$9,F$9,$G309=$G$10,F$10,$G309=$G$11,F$11,$G309=$G$12,F$12,$G309=$G$13,F$13,$G309=$G$15,F$15,$G309=$G$16,F$16,$G309=$G$17,F$17,$G309=$G$18,F$18,$G309=$G$19,F$19,$G309=$G$20,F$20,$G309=$G$21,F$21,$G309=$G$22,F$22,$G309=$G$25,F$25,$G309=$G$26,F$26,$G309=$G$27,F$27,$G309=$G$29,F$29,$G309=$G$31,F$31,$G309=$G$32,F$32,$G309=$G$248,F$248,$G309=$G$250,F$250)</f>
        <v>8038</v>
      </c>
      <c r="G309" t="s">
        <v>75</v>
      </c>
      <c r="H309" s="66" cm="1">
        <f t="array" ref="H309">_xlfn.IFS($G309=$G$5,H$5,$G309=$G$6,H$6,$G309=$G$7,H$7,$G309=$G$8,H$8,$G309=$G$9,H$9,$G309=$G$10,H$10,$G309=$G$11,H$11,$G309=$G$12,H$12,$G309=$G$13,H$13,$G309=$G$15,H$15,$G309=$G$16,H$16,$G309=$G$17,H$17,$G309=$G$18,H$18,$G309=$G$19,H$19,$G309=$G$20,H$20,$G309=$G$21,H$21,$G309=$G$22,H$22,$G309=$G$25,H$25,$G309=$G$26,H$26,$G309=$G$27,H$27,$G309=$G$29,H$29,$G309=$G$31,H$31,$G309=$G$32,H$150,$G309=$G$248,H$248,$G309=$G$250,H$250)</f>
        <v>41.368589</v>
      </c>
      <c r="I309" s="78" cm="1">
        <f t="array" ref="I309">_xlfn.IFS($G309=$G$5,I$5,$G309=$G$6,I$6,$G309=$G$7,I$7,$G309=$G$8,I$8,$G309=$G$9,I$9,$G309=$G$10,I$10,$G309=$G$11,I$11,$G309=$G$12,I$12,$G309=$G$13,I$13,$G309=$G$15,I$15,$G309=$G$16,I$16,$G309=$G$17,I$17,$G309=$G$18,I$18,$G309=$G$19,I$19,$G309=$G$20,I$20,$G309=$G$21,I$21,$G309=$G$22,I$22,$G309=$G$25,I$25,$G309=$G$26,I$26,$G309=$G$27,I$27,$G309=$G$29,I$29,$G309=$G$31,I$31,$G309=$G$32,I$150,$G309=$G$248,I$248,$G309=$G$250,I$250)</f>
        <v>2.1620900000000001</v>
      </c>
      <c r="J309" cm="1">
        <f t="array" ref="J309">_xlfn.IFS($G309=$G$5,J$5,$G309=$G$6,J$6,$G309=$G$7,J$7,$G309=$G$8,J$8,$G309=$G$9,J$9,$G309=$G$10,J$10,$G309=$G$11,J$11,$G309=$G$12,J$12,$G309=$G$13,J$13,$G309=$G$15,J$15,$G309=$G$16,J$16,$G309=$G$17,J$17,$G309=$G$18,J$18,$G309=$G$19,J$19,$G309=$G$20,J$20,$G309=$G$21,J$21,$G309=$G$22,J$22,$G309=$G$25,J$25,$G309=$G$26,J$26,$G309=$G$27,J$27,$G309=$G$29,J$29,$G309=$G$31,J$31,$G309=$G$32,J$150,$G309=$G$248,J$248,$G309=$G$250,J$250)</f>
        <v>95</v>
      </c>
      <c r="K309" t="str" cm="1">
        <f t="array" ref="K309">_xlfn.IFS($G309=$G$5,K$5,$G309=$G$6,K$6,$G309=$G$7,K$7,$G309=$G$8,K$8,$G309=$G$9,K$9,$G309=$G$10,K$10,$G309=$G$11,K$11,$G309=$G$12,K$12,$G309=$G$13,K$13,$G309=$G$15,K$15,$G309=$G$16,K$16,$G309=$G$17,K$17,$G309=$G$18,K$18,$G309=$G$19,K$19,$G309=$G$20,K$20,$G309=$G$21,K$21,$G309=$G$22,K$22,$G309=$G$25,K$25,$G309=$G$26,K$26,$G309=$G$27,K$27,$G309=$G$29,K$29,$G309=$G$31,K$31,$G309=$G$32,K$150,$G309=$G$248,K$248,$G309=$G$250,K$250)</f>
        <v>BG sentinel + BG lure7</v>
      </c>
      <c r="L309" s="48"/>
      <c r="M309" s="48"/>
      <c r="O309" s="45" t="str">
        <f t="shared" si="24"/>
        <v>A_SP_BCN_8_210701</v>
      </c>
      <c r="P309" s="64">
        <v>44378</v>
      </c>
      <c r="R309" s="72"/>
      <c r="S309" s="64">
        <v>44385</v>
      </c>
      <c r="U309" s="72"/>
      <c r="V309" s="54" t="s">
        <v>66</v>
      </c>
      <c r="W309" t="s">
        <v>127</v>
      </c>
      <c r="X309" s="45">
        <f t="shared" si="23"/>
        <v>7</v>
      </c>
      <c r="Z309" s="69" t="s">
        <v>69</v>
      </c>
      <c r="AA309" s="45">
        <f t="shared" si="16"/>
        <v>13</v>
      </c>
      <c r="AB309" t="str">
        <f t="shared" si="21"/>
        <v>Adult</v>
      </c>
      <c r="AC309" s="69">
        <v>10</v>
      </c>
      <c r="AD309" s="69">
        <v>3</v>
      </c>
      <c r="AE309" s="45" t="str">
        <f t="shared" si="22"/>
        <v>Morphological</v>
      </c>
      <c r="AF309" s="56">
        <v>3</v>
      </c>
    </row>
    <row r="310" spans="1:32" ht="18" customHeight="1" x14ac:dyDescent="0.25">
      <c r="A310" s="45">
        <v>306</v>
      </c>
      <c r="B310" s="45" t="s">
        <v>60</v>
      </c>
      <c r="C310" s="45" t="s">
        <v>61</v>
      </c>
      <c r="D310" s="45" t="s">
        <v>62</v>
      </c>
      <c r="E310" s="45" t="s">
        <v>62</v>
      </c>
      <c r="F310" s="46" cm="1">
        <f t="array" ref="F310">_xlfn.IFS($G310=$G$5,F$5,$G310=$G$6,F$6,$G310=$G$7,F$7,$G310=$G$8,F$8,$G310=$G$9,F$9,$G310=$G$10,F$10,$G310=$G$11,F$11,$G310=$G$12,F$12,$G310=$G$13,F$13,$G310=$G$15,F$15,$G310=$G$16,F$16,$G310=$G$17,F$17,$G310=$G$18,F$18,$G310=$G$19,F$19,$G310=$G$20,F$20,$G310=$G$21,F$21,$G310=$G$22,F$22,$G310=$G$25,F$25,$G310=$G$26,F$26,$G310=$G$27,F$27,$G310=$G$29,F$29,$G310=$G$31,F$31,$G310=$G$32,F$32,$G310=$G$248,F$248,$G310=$G$250,F$250)</f>
        <v>8038</v>
      </c>
      <c r="G310" t="s">
        <v>75</v>
      </c>
      <c r="H310" s="66" cm="1">
        <f t="array" ref="H310">_xlfn.IFS($G310=$G$5,H$5,$G310=$G$6,H$6,$G310=$G$7,H$7,$G310=$G$8,H$8,$G310=$G$9,H$9,$G310=$G$10,H$10,$G310=$G$11,H$11,$G310=$G$12,H$12,$G310=$G$13,H$13,$G310=$G$15,H$15,$G310=$G$16,H$16,$G310=$G$17,H$17,$G310=$G$18,H$18,$G310=$G$19,H$19,$G310=$G$20,H$20,$G310=$G$21,H$21,$G310=$G$22,H$22,$G310=$G$25,H$25,$G310=$G$26,H$26,$G310=$G$27,H$27,$G310=$G$29,H$29,$G310=$G$31,H$31,$G310=$G$32,H$150,$G310=$G$248,H$248,$G310=$G$250,H$250)</f>
        <v>41.368589</v>
      </c>
      <c r="I310" s="78" cm="1">
        <f t="array" ref="I310">_xlfn.IFS($G310=$G$5,I$5,$G310=$G$6,I$6,$G310=$G$7,I$7,$G310=$G$8,I$8,$G310=$G$9,I$9,$G310=$G$10,I$10,$G310=$G$11,I$11,$G310=$G$12,I$12,$G310=$G$13,I$13,$G310=$G$15,I$15,$G310=$G$16,I$16,$G310=$G$17,I$17,$G310=$G$18,I$18,$G310=$G$19,I$19,$G310=$G$20,I$20,$G310=$G$21,I$21,$G310=$G$22,I$22,$G310=$G$25,I$25,$G310=$G$26,I$26,$G310=$G$27,I$27,$G310=$G$29,I$29,$G310=$G$31,I$31,$G310=$G$32,I$150,$G310=$G$248,I$248,$G310=$G$250,I$250)</f>
        <v>2.1620900000000001</v>
      </c>
      <c r="J310" cm="1">
        <f t="array" ref="J310">_xlfn.IFS($G310=$G$5,J$5,$G310=$G$6,J$6,$G310=$G$7,J$7,$G310=$G$8,J$8,$G310=$G$9,J$9,$G310=$G$10,J$10,$G310=$G$11,J$11,$G310=$G$12,J$12,$G310=$G$13,J$13,$G310=$G$15,J$15,$G310=$G$16,J$16,$G310=$G$17,J$17,$G310=$G$18,J$18,$G310=$G$19,J$19,$G310=$G$20,J$20,$G310=$G$21,J$21,$G310=$G$22,J$22,$G310=$G$25,J$25,$G310=$G$26,J$26,$G310=$G$27,J$27,$G310=$G$29,J$29,$G310=$G$31,J$31,$G310=$G$32,J$150,$G310=$G$248,J$248,$G310=$G$250,J$250)</f>
        <v>95</v>
      </c>
      <c r="K310" t="str" cm="1">
        <f t="array" ref="K310">_xlfn.IFS($G310=$G$5,K$5,$G310=$G$6,K$6,$G310=$G$7,K$7,$G310=$G$8,K$8,$G310=$G$9,K$9,$G310=$G$10,K$10,$G310=$G$11,K$11,$G310=$G$12,K$12,$G310=$G$13,K$13,$G310=$G$15,K$15,$G310=$G$16,K$16,$G310=$G$17,K$17,$G310=$G$18,K$18,$G310=$G$19,K$19,$G310=$G$20,K$20,$G310=$G$21,K$21,$G310=$G$22,K$22,$G310=$G$25,K$25,$G310=$G$26,K$26,$G310=$G$27,K$27,$G310=$G$29,K$29,$G310=$G$31,K$31,$G310=$G$32,K$150,$G310=$G$248,K$248,$G310=$G$250,K$250)</f>
        <v>BG sentinel + BG lure7</v>
      </c>
      <c r="L310" s="48"/>
      <c r="M310" s="48"/>
      <c r="O310" s="45" t="str">
        <f t="shared" si="24"/>
        <v>A_SP_BCN_8_210701</v>
      </c>
      <c r="P310" s="64">
        <v>44378</v>
      </c>
      <c r="R310" s="72"/>
      <c r="S310" s="64">
        <v>44385</v>
      </c>
      <c r="U310" s="72"/>
      <c r="V310" s="54" t="s">
        <v>66</v>
      </c>
      <c r="W310" t="s">
        <v>127</v>
      </c>
      <c r="X310" s="45">
        <f t="shared" si="23"/>
        <v>7</v>
      </c>
      <c r="Z310" s="45" t="s">
        <v>70</v>
      </c>
      <c r="AA310" s="45">
        <f t="shared" si="16"/>
        <v>22</v>
      </c>
      <c r="AB310" t="str">
        <f t="shared" si="21"/>
        <v>Adult</v>
      </c>
      <c r="AC310" s="69">
        <v>22</v>
      </c>
      <c r="AD310" s="69">
        <v>0</v>
      </c>
      <c r="AE310" s="45" t="str">
        <f t="shared" si="22"/>
        <v>Morphological</v>
      </c>
      <c r="AF310" s="56">
        <v>3</v>
      </c>
    </row>
    <row r="311" spans="1:32" ht="18" customHeight="1" x14ac:dyDescent="0.25">
      <c r="A311" s="45">
        <v>307</v>
      </c>
      <c r="B311" s="45" t="s">
        <v>60</v>
      </c>
      <c r="C311" s="45" t="s">
        <v>61</v>
      </c>
      <c r="D311" s="45" t="s">
        <v>62</v>
      </c>
      <c r="E311" s="45" t="s">
        <v>62</v>
      </c>
      <c r="F311" s="46" cm="1">
        <f t="array" ref="F311">_xlfn.IFS($G311=$G$5,F$5,$G311=$G$6,F$6,$G311=$G$7,F$7,$G311=$G$8,F$8,$G311=$G$9,F$9,$G311=$G$10,F$10,$G311=$G$11,F$11,$G311=$G$12,F$12,$G311=$G$13,F$13,$G311=$G$15,F$15,$G311=$G$16,F$16,$G311=$G$17,F$17,$G311=$G$18,F$18,$G311=$G$19,F$19,$G311=$G$20,F$20,$G311=$G$21,F$21,$G311=$G$22,F$22,$G311=$G$25,F$25,$G311=$G$26,F$26,$G311=$G$27,F$27,$G311=$G$29,F$29,$G311=$G$31,F$31,$G311=$G$32,F$32,$G311=$G$248,F$248,$G311=$G$250,F$250)</f>
        <v>8038</v>
      </c>
      <c r="G311" t="s">
        <v>75</v>
      </c>
      <c r="H311" s="66" cm="1">
        <f t="array" ref="H311">_xlfn.IFS($G311=$G$5,H$5,$G311=$G$6,H$6,$G311=$G$7,H$7,$G311=$G$8,H$8,$G311=$G$9,H$9,$G311=$G$10,H$10,$G311=$G$11,H$11,$G311=$G$12,H$12,$G311=$G$13,H$13,$G311=$G$15,H$15,$G311=$G$16,H$16,$G311=$G$17,H$17,$G311=$G$18,H$18,$G311=$G$19,H$19,$G311=$G$20,H$20,$G311=$G$21,H$21,$G311=$G$22,H$22,$G311=$G$25,H$25,$G311=$G$26,H$26,$G311=$G$27,H$27,$G311=$G$29,H$29,$G311=$G$31,H$31,$G311=$G$32,H$150,$G311=$G$248,H$248,$G311=$G$250,H$250)</f>
        <v>41.368589</v>
      </c>
      <c r="I311" s="78" cm="1">
        <f t="array" ref="I311">_xlfn.IFS($G311=$G$5,I$5,$G311=$G$6,I$6,$G311=$G$7,I$7,$G311=$G$8,I$8,$G311=$G$9,I$9,$G311=$G$10,I$10,$G311=$G$11,I$11,$G311=$G$12,I$12,$G311=$G$13,I$13,$G311=$G$15,I$15,$G311=$G$16,I$16,$G311=$G$17,I$17,$G311=$G$18,I$18,$G311=$G$19,I$19,$G311=$G$20,I$20,$G311=$G$21,I$21,$G311=$G$22,I$22,$G311=$G$25,I$25,$G311=$G$26,I$26,$G311=$G$27,I$27,$G311=$G$29,I$29,$G311=$G$31,I$31,$G311=$G$32,I$150,$G311=$G$248,I$248,$G311=$G$250,I$250)</f>
        <v>2.1620900000000001</v>
      </c>
      <c r="J311" cm="1">
        <f t="array" ref="J311">_xlfn.IFS($G311=$G$5,J$5,$G311=$G$6,J$6,$G311=$G$7,J$7,$G311=$G$8,J$8,$G311=$G$9,J$9,$G311=$G$10,J$10,$G311=$G$11,J$11,$G311=$G$12,J$12,$G311=$G$13,J$13,$G311=$G$15,J$15,$G311=$G$16,J$16,$G311=$G$17,J$17,$G311=$G$18,J$18,$G311=$G$19,J$19,$G311=$G$20,J$20,$G311=$G$21,J$21,$G311=$G$22,J$22,$G311=$G$25,J$25,$G311=$G$26,J$26,$G311=$G$27,J$27,$G311=$G$29,J$29,$G311=$G$31,J$31,$G311=$G$32,J$150,$G311=$G$248,J$248,$G311=$G$250,J$250)</f>
        <v>95</v>
      </c>
      <c r="K311" t="str" cm="1">
        <f t="array" ref="K311">_xlfn.IFS($G311=$G$5,K$5,$G311=$G$6,K$6,$G311=$G$7,K$7,$G311=$G$8,K$8,$G311=$G$9,K$9,$G311=$G$10,K$10,$G311=$G$11,K$11,$G311=$G$12,K$12,$G311=$G$13,K$13,$G311=$G$15,K$15,$G311=$G$16,K$16,$G311=$G$17,K$17,$G311=$G$18,K$18,$G311=$G$19,K$19,$G311=$G$20,K$20,$G311=$G$21,K$21,$G311=$G$22,K$22,$G311=$G$25,K$25,$G311=$G$26,K$26,$G311=$G$27,K$27,$G311=$G$29,K$29,$G311=$G$31,K$31,$G311=$G$32,K$150,$G311=$G$248,K$248,$G311=$G$250,K$250)</f>
        <v>BG sentinel + BG lure7</v>
      </c>
      <c r="L311" s="48"/>
      <c r="M311" s="48"/>
      <c r="O311" s="45" t="str">
        <f t="shared" si="24"/>
        <v>A_SP_BCN_8_210701</v>
      </c>
      <c r="P311" s="64">
        <v>44378</v>
      </c>
      <c r="R311" s="72"/>
      <c r="S311" s="64">
        <v>44385</v>
      </c>
      <c r="U311" s="72"/>
      <c r="V311" s="54" t="s">
        <v>66</v>
      </c>
      <c r="W311" t="s">
        <v>127</v>
      </c>
      <c r="X311" s="45">
        <f t="shared" si="23"/>
        <v>7</v>
      </c>
      <c r="Z311" s="45" t="s">
        <v>80</v>
      </c>
      <c r="AA311" s="45">
        <f t="shared" si="16"/>
        <v>9</v>
      </c>
      <c r="AB311" t="str">
        <f t="shared" si="21"/>
        <v>Adult</v>
      </c>
      <c r="AC311" s="69">
        <v>2</v>
      </c>
      <c r="AD311" s="69">
        <v>7</v>
      </c>
      <c r="AE311" s="45" t="str">
        <f t="shared" si="22"/>
        <v>Morphological</v>
      </c>
      <c r="AF311" s="56">
        <v>4</v>
      </c>
    </row>
    <row r="312" spans="1:32" ht="18" customHeight="1" x14ac:dyDescent="0.25">
      <c r="A312" s="45">
        <v>308</v>
      </c>
      <c r="B312" s="45" t="s">
        <v>60</v>
      </c>
      <c r="C312" s="45" t="s">
        <v>61</v>
      </c>
      <c r="D312" s="45" t="s">
        <v>62</v>
      </c>
      <c r="E312" s="45" t="s">
        <v>62</v>
      </c>
      <c r="F312" s="46" cm="1">
        <f t="array" ref="F312">_xlfn.IFS($G312=$G$5,F$5,$G312=$G$6,F$6,$G312=$G$7,F$7,$G312=$G$8,F$8,$G312=$G$9,F$9,$G312=$G$10,F$10,$G312=$G$11,F$11,$G312=$G$12,F$12,$G312=$G$13,F$13,$G312=$G$15,F$15,$G312=$G$16,F$16,$G312=$G$17,F$17,$G312=$G$18,F$18,$G312=$G$19,F$19,$G312=$G$20,F$20,$G312=$G$21,F$21,$G312=$G$22,F$22,$G312=$G$25,F$25,$G312=$G$26,F$26,$G312=$G$27,F$27,$G312=$G$29,F$29,$G312=$G$31,F$31,$G312=$G$32,F$32,$G312=$G$248,F$248,$G312=$G$250,F$250)</f>
        <v>8034</v>
      </c>
      <c r="G312" t="s">
        <v>78</v>
      </c>
      <c r="H312" s="66" cm="1">
        <f t="array" ref="H312">_xlfn.IFS($G312=$G$5,H$5,$G312=$G$6,H$6,$G312=$G$7,H$7,$G312=$G$8,H$8,$G312=$G$9,H$9,$G312=$G$10,H$10,$G312=$G$11,H$11,$G312=$G$12,H$12,$G312=$G$13,H$13,$G312=$G$15,H$15,$G312=$G$16,H$16,$G312=$G$17,H$17,$G312=$G$18,H$18,$G312=$G$19,H$19,$G312=$G$20,H$20,$G312=$G$21,H$21,$G312=$G$22,H$22,$G312=$G$25,H$25,$G312=$G$26,H$26,$G312=$G$27,H$27,$G312=$G$29,H$29,$G312=$G$31,H$31,$G312=$G$32,H$150,$G312=$G$248,H$248,$G312=$G$250,H$250)</f>
        <v>41.393644999999999</v>
      </c>
      <c r="I312" s="78" cm="1">
        <f t="array" ref="I312">_xlfn.IFS($G312=$G$5,I$5,$G312=$G$6,I$6,$G312=$G$7,I$7,$G312=$G$8,I$8,$G312=$G$9,I$9,$G312=$G$10,I$10,$G312=$G$11,I$11,$G312=$G$12,I$12,$G312=$G$13,I$13,$G312=$G$15,I$15,$G312=$G$16,I$16,$G312=$G$17,I$17,$G312=$G$18,I$18,$G312=$G$19,I$19,$G312=$G$20,I$20,$G312=$G$21,I$21,$G312=$G$22,I$22,$G312=$G$25,I$25,$G312=$G$26,I$26,$G312=$G$27,I$27,$G312=$G$29,I$29,$G312=$G$31,I$31,$G312=$G$32,I$150,$G312=$G$248,I$248,$G312=$G$250,I$250)</f>
        <v>2.1216780000000002</v>
      </c>
      <c r="J312" cm="1">
        <f t="array" ref="J312">_xlfn.IFS($G312=$G$5,J$5,$G312=$G$6,J$6,$G312=$G$7,J$7,$G312=$G$8,J$8,$G312=$G$9,J$9,$G312=$G$10,J$10,$G312=$G$11,J$11,$G312=$G$12,J$12,$G312=$G$13,J$13,$G312=$G$15,J$15,$G312=$G$16,J$16,$G312=$G$17,J$17,$G312=$G$18,J$18,$G312=$G$19,J$19,$G312=$G$20,J$20,$G312=$G$21,J$21,$G312=$G$22,J$22,$G312=$G$25,J$25,$G312=$G$26,J$26,$G312=$G$27,J$27,$G312=$G$29,J$29,$G312=$G$31,J$31,$G312=$G$32,J$150,$G312=$G$248,J$248,$G312=$G$250,J$250)</f>
        <v>98</v>
      </c>
      <c r="K312" t="str" cm="1">
        <f t="array" ref="K312">_xlfn.IFS($G312=$G$5,K$5,$G312=$G$6,K$6,$G312=$G$7,K$7,$G312=$G$8,K$8,$G312=$G$9,K$9,$G312=$G$10,K$10,$G312=$G$11,K$11,$G312=$G$12,K$12,$G312=$G$13,K$13,$G312=$G$15,K$15,$G312=$G$16,K$16,$G312=$G$17,K$17,$G312=$G$18,K$18,$G312=$G$19,K$19,$G312=$G$20,K$20,$G312=$G$21,K$21,$G312=$G$22,K$22,$G312=$G$25,K$25,$G312=$G$26,K$26,$G312=$G$27,K$27,$G312=$G$29,K$29,$G312=$G$31,K$31,$G312=$G$32,K$150,$G312=$G$248,K$248,$G312=$G$250,K$250)</f>
        <v>BG sentinel + BG lure7</v>
      </c>
      <c r="L312" s="48"/>
      <c r="M312" s="48"/>
      <c r="O312" s="45" t="str">
        <f t="shared" si="24"/>
        <v>A_SP_BCN_9_210630</v>
      </c>
      <c r="P312" s="64">
        <v>44377</v>
      </c>
      <c r="R312" s="72"/>
      <c r="S312" s="64">
        <v>44384</v>
      </c>
      <c r="U312" s="72"/>
      <c r="V312" s="54" t="s">
        <v>66</v>
      </c>
      <c r="X312" s="45">
        <f t="shared" si="23"/>
        <v>7</v>
      </c>
      <c r="Z312" s="45" t="s">
        <v>70</v>
      </c>
      <c r="AA312" s="45">
        <f t="shared" si="16"/>
        <v>1</v>
      </c>
      <c r="AB312" t="str">
        <f t="shared" si="21"/>
        <v>Adult</v>
      </c>
      <c r="AC312" s="69">
        <v>1</v>
      </c>
      <c r="AD312" s="69">
        <v>0</v>
      </c>
      <c r="AE312" s="45" t="str">
        <f t="shared" si="22"/>
        <v>Morphological</v>
      </c>
      <c r="AF312" s="56">
        <v>4</v>
      </c>
    </row>
    <row r="313" spans="1:32" ht="18" customHeight="1" x14ac:dyDescent="0.25">
      <c r="A313" s="45">
        <v>309</v>
      </c>
      <c r="B313" s="45" t="s">
        <v>60</v>
      </c>
      <c r="C313" s="45" t="s">
        <v>61</v>
      </c>
      <c r="D313" s="45" t="s">
        <v>62</v>
      </c>
      <c r="E313" s="45" t="s">
        <v>62</v>
      </c>
      <c r="F313" s="46" cm="1">
        <f t="array" ref="F313">_xlfn.IFS($G313=$G$5,F$5,$G313=$G$6,F$6,$G313=$G$7,F$7,$G313=$G$8,F$8,$G313=$G$9,F$9,$G313=$G$10,F$10,$G313=$G$11,F$11,$G313=$G$12,F$12,$G313=$G$13,F$13,$G313=$G$15,F$15,$G313=$G$16,F$16,$G313=$G$17,F$17,$G313=$G$18,F$18,$G313=$G$19,F$19,$G313=$G$20,F$20,$G313=$G$21,F$21,$G313=$G$22,F$22,$G313=$G$25,F$25,$G313=$G$26,F$26,$G313=$G$27,F$27,$G313=$G$29,F$29,$G313=$G$31,F$31,$G313=$G$32,F$32,$G313=$G$248,F$248,$G313=$G$250,F$250)</f>
        <v>8034</v>
      </c>
      <c r="G313" t="s">
        <v>78</v>
      </c>
      <c r="H313" s="66" cm="1">
        <f t="array" ref="H313">_xlfn.IFS($G313=$G$5,H$5,$G313=$G$6,H$6,$G313=$G$7,H$7,$G313=$G$8,H$8,$G313=$G$9,H$9,$G313=$G$10,H$10,$G313=$G$11,H$11,$G313=$G$12,H$12,$G313=$G$13,H$13,$G313=$G$15,H$15,$G313=$G$16,H$16,$G313=$G$17,H$17,$G313=$G$18,H$18,$G313=$G$19,H$19,$G313=$G$20,H$20,$G313=$G$21,H$21,$G313=$G$22,H$22,$G313=$G$25,H$25,$G313=$G$26,H$26,$G313=$G$27,H$27,$G313=$G$29,H$29,$G313=$G$31,H$31,$G313=$G$32,H$150,$G313=$G$248,H$248,$G313=$G$250,H$250)</f>
        <v>41.393644999999999</v>
      </c>
      <c r="I313" s="78" cm="1">
        <f t="array" ref="I313">_xlfn.IFS($G313=$G$5,I$5,$G313=$G$6,I$6,$G313=$G$7,I$7,$G313=$G$8,I$8,$G313=$G$9,I$9,$G313=$G$10,I$10,$G313=$G$11,I$11,$G313=$G$12,I$12,$G313=$G$13,I$13,$G313=$G$15,I$15,$G313=$G$16,I$16,$G313=$G$17,I$17,$G313=$G$18,I$18,$G313=$G$19,I$19,$G313=$G$20,I$20,$G313=$G$21,I$21,$G313=$G$22,I$22,$G313=$G$25,I$25,$G313=$G$26,I$26,$G313=$G$27,I$27,$G313=$G$29,I$29,$G313=$G$31,I$31,$G313=$G$32,I$150,$G313=$G$248,I$248,$G313=$G$250,I$250)</f>
        <v>2.1216780000000002</v>
      </c>
      <c r="J313" cm="1">
        <f t="array" ref="J313">_xlfn.IFS($G313=$G$5,J$5,$G313=$G$6,J$6,$G313=$G$7,J$7,$G313=$G$8,J$8,$G313=$G$9,J$9,$G313=$G$10,J$10,$G313=$G$11,J$11,$G313=$G$12,J$12,$G313=$G$13,J$13,$G313=$G$15,J$15,$G313=$G$16,J$16,$G313=$G$17,J$17,$G313=$G$18,J$18,$G313=$G$19,J$19,$G313=$G$20,J$20,$G313=$G$21,J$21,$G313=$G$22,J$22,$G313=$G$25,J$25,$G313=$G$26,J$26,$G313=$G$27,J$27,$G313=$G$29,J$29,$G313=$G$31,J$31,$G313=$G$32,J$150,$G313=$G$248,J$248,$G313=$G$250,J$250)</f>
        <v>98</v>
      </c>
      <c r="K313" t="str" cm="1">
        <f t="array" ref="K313">_xlfn.IFS($G313=$G$5,K$5,$G313=$G$6,K$6,$G313=$G$7,K$7,$G313=$G$8,K$8,$G313=$G$9,K$9,$G313=$G$10,K$10,$G313=$G$11,K$11,$G313=$G$12,K$12,$G313=$G$13,K$13,$G313=$G$15,K$15,$G313=$G$16,K$16,$G313=$G$17,K$17,$G313=$G$18,K$18,$G313=$G$19,K$19,$G313=$G$20,K$20,$G313=$G$21,K$21,$G313=$G$22,K$22,$G313=$G$25,K$25,$G313=$G$26,K$26,$G313=$G$27,K$27,$G313=$G$29,K$29,$G313=$G$31,K$31,$G313=$G$32,K$150,$G313=$G$248,K$248,$G313=$G$250,K$250)</f>
        <v>BG sentinel + BG lure7</v>
      </c>
      <c r="L313" s="48"/>
      <c r="M313" s="48"/>
      <c r="O313" s="45" t="str">
        <f t="shared" si="24"/>
        <v>A_SP_BCN_9_210630</v>
      </c>
      <c r="P313" s="64">
        <v>44377</v>
      </c>
      <c r="R313" s="72"/>
      <c r="S313" s="64">
        <v>44384</v>
      </c>
      <c r="U313" s="72"/>
      <c r="V313" s="54" t="s">
        <v>66</v>
      </c>
      <c r="X313" s="45">
        <f t="shared" si="23"/>
        <v>7</v>
      </c>
      <c r="Z313" s="45" t="s">
        <v>80</v>
      </c>
      <c r="AA313" s="45">
        <f t="shared" si="16"/>
        <v>5</v>
      </c>
      <c r="AB313" t="str">
        <f t="shared" si="21"/>
        <v>Adult</v>
      </c>
      <c r="AC313" s="69">
        <v>5</v>
      </c>
      <c r="AD313" s="69">
        <v>0</v>
      </c>
      <c r="AE313" s="45" t="str">
        <f t="shared" si="22"/>
        <v>Morphological</v>
      </c>
      <c r="AF313" s="56">
        <v>4</v>
      </c>
    </row>
    <row r="314" spans="1:32" ht="18" customHeight="1" x14ac:dyDescent="0.25">
      <c r="A314" s="45">
        <v>310</v>
      </c>
      <c r="B314" s="45" t="s">
        <v>60</v>
      </c>
      <c r="C314" s="45" t="s">
        <v>61</v>
      </c>
      <c r="D314" s="45" t="s">
        <v>62</v>
      </c>
      <c r="E314" s="45" t="s">
        <v>62</v>
      </c>
      <c r="F314" s="46" cm="1">
        <f t="array" ref="F314">_xlfn.IFS($G314=$G$5,F$5,$G314=$G$6,F$6,$G314=$G$7,F$7,$G314=$G$8,F$8,$G314=$G$9,F$9,$G314=$G$10,F$10,$G314=$G$11,F$11,$G314=$G$12,F$12,$G314=$G$13,F$13,$G314=$G$15,F$15,$G314=$G$16,F$16,$G314=$G$17,F$17,$G314=$G$18,F$18,$G314=$G$19,F$19,$G314=$G$20,F$20,$G314=$G$21,F$21,$G314=$G$22,F$22,$G314=$G$25,F$25,$G314=$G$26,F$26,$G314=$G$27,F$27,$G314=$G$29,F$29,$G314=$G$31,F$31,$G314=$G$32,F$32,$G314=$G$248,F$248,$G314=$G$250,F$250)</f>
        <v>8040</v>
      </c>
      <c r="G314" t="s">
        <v>81</v>
      </c>
      <c r="H314" s="66" cm="1">
        <f t="array" ref="H314">_xlfn.IFS($G314=$G$5,H$5,$G314=$G$6,H$6,$G314=$G$7,H$7,$G314=$G$8,H$8,$G314=$G$9,H$9,$G314=$G$10,H$10,$G314=$G$11,H$11,$G314=$G$12,H$12,$G314=$G$13,H$13,$G314=$G$15,H$15,$G314=$G$16,H$16,$G314=$G$17,H$17,$G314=$G$18,H$18,$G314=$G$19,H$19,$G314=$G$20,H$20,$G314=$G$21,H$21,$G314=$G$22,H$22,$G314=$G$25,H$25,$G314=$G$26,H$26,$G314=$G$27,H$27,$G314=$G$29,H$29,$G314=$G$31,H$31,$G314=$G$32,H$150,$G314=$G$248,H$248,$G314=$G$250,H$250)</f>
        <v>41.343685000000001</v>
      </c>
      <c r="I314" s="78" cm="1">
        <f t="array" ref="I314">_xlfn.IFS($G314=$G$5,I$5,$G314=$G$6,I$6,$G314=$G$7,I$7,$G314=$G$8,I$8,$G314=$G$9,I$9,$G314=$G$10,I$10,$G314=$G$11,I$11,$G314=$G$12,I$12,$G314=$G$13,I$13,$G314=$G$15,I$15,$G314=$G$16,I$16,$G314=$G$17,I$17,$G314=$G$18,I$18,$G314=$G$19,I$19,$G314=$G$20,I$20,$G314=$G$21,I$21,$G314=$G$22,I$22,$G314=$G$25,I$25,$G314=$G$26,I$26,$G314=$G$27,I$27,$G314=$G$29,I$29,$G314=$G$31,I$31,$G314=$G$32,I$150,$G314=$G$248,I$248,$G314=$G$250,I$250)</f>
        <v>2.1441490000000001</v>
      </c>
      <c r="J314" cm="1">
        <f t="array" ref="J314">_xlfn.IFS($G314=$G$5,J$5,$G314=$G$6,J$6,$G314=$G$7,J$7,$G314=$G$8,J$8,$G314=$G$9,J$9,$G314=$G$10,J$10,$G314=$G$11,J$11,$G314=$G$12,J$12,$G314=$G$13,J$13,$G314=$G$15,J$15,$G314=$G$16,J$16,$G314=$G$17,J$17,$G314=$G$18,J$18,$G314=$G$19,J$19,$G314=$G$20,J$20,$G314=$G$21,J$21,$G314=$G$22,J$22,$G314=$G$25,J$25,$G314=$G$26,J$26,$G314=$G$27,J$27,$G314=$G$29,J$29,$G314=$G$31,J$31,$G314=$G$32,J$150,$G314=$G$248,J$248,$G314=$G$250,J$250)</f>
        <v>4</v>
      </c>
      <c r="K314" t="str" cm="1">
        <f t="array" ref="K314">_xlfn.IFS($G314=$G$5,K$5,$G314=$G$6,K$6,$G314=$G$7,K$7,$G314=$G$8,K$8,$G314=$G$9,K$9,$G314=$G$10,K$10,$G314=$G$11,K$11,$G314=$G$12,K$12,$G314=$G$13,K$13,$G314=$G$15,K$15,$G314=$G$16,K$16,$G314=$G$17,K$17,$G314=$G$18,K$18,$G314=$G$19,K$19,$G314=$G$20,K$20,$G314=$G$21,K$21,$G314=$G$22,K$22,$G314=$G$25,K$25,$G314=$G$26,K$26,$G314=$G$27,K$27,$G314=$G$29,K$29,$G314=$G$31,K$31,$G314=$G$32,K$150,$G314=$G$248,K$248,$G314=$G$250,K$250)</f>
        <v>BG sentinel + BG lure7</v>
      </c>
      <c r="L314" s="48"/>
      <c r="M314" s="48"/>
      <c r="O314" s="45" t="str">
        <f t="shared" si="24"/>
        <v>A_SP_BCN_10_210701</v>
      </c>
      <c r="P314" s="64">
        <v>44378</v>
      </c>
      <c r="R314" s="72"/>
      <c r="S314" s="64">
        <v>44385</v>
      </c>
      <c r="U314" s="72"/>
      <c r="V314" s="54" t="s">
        <v>66</v>
      </c>
      <c r="X314" s="45">
        <f t="shared" si="23"/>
        <v>7</v>
      </c>
      <c r="Z314" s="69" t="s">
        <v>69</v>
      </c>
      <c r="AA314" s="45">
        <f t="shared" si="16"/>
        <v>15</v>
      </c>
      <c r="AB314" t="str">
        <f t="shared" si="21"/>
        <v>Adult</v>
      </c>
      <c r="AC314" s="69">
        <v>8</v>
      </c>
      <c r="AD314" s="69">
        <v>7</v>
      </c>
      <c r="AE314" s="45" t="str">
        <f t="shared" si="22"/>
        <v>Morphological</v>
      </c>
      <c r="AF314" s="56">
        <v>4</v>
      </c>
    </row>
    <row r="315" spans="1:32" ht="18" customHeight="1" x14ac:dyDescent="0.25">
      <c r="A315" s="45">
        <v>311</v>
      </c>
      <c r="B315" s="45" t="s">
        <v>60</v>
      </c>
      <c r="C315" s="45" t="s">
        <v>61</v>
      </c>
      <c r="D315" s="45" t="s">
        <v>62</v>
      </c>
      <c r="E315" s="45" t="s">
        <v>62</v>
      </c>
      <c r="F315" s="46" cm="1">
        <f t="array" ref="F315">_xlfn.IFS($G315=$G$5,F$5,$G315=$G$6,F$6,$G315=$G$7,F$7,$G315=$G$8,F$8,$G315=$G$9,F$9,$G315=$G$10,F$10,$G315=$G$11,F$11,$G315=$G$12,F$12,$G315=$G$13,F$13,$G315=$G$15,F$15,$G315=$G$16,F$16,$G315=$G$17,F$17,$G315=$G$18,F$18,$G315=$G$19,F$19,$G315=$G$20,F$20,$G315=$G$21,F$21,$G315=$G$22,F$22,$G315=$G$25,F$25,$G315=$G$26,F$26,$G315=$G$27,F$27,$G315=$G$29,F$29,$G315=$G$31,F$31,$G315=$G$32,F$32,$G315=$G$248,F$248,$G315=$G$250,F$250)</f>
        <v>8040</v>
      </c>
      <c r="G315" t="s">
        <v>81</v>
      </c>
      <c r="H315" s="66" cm="1">
        <f t="array" ref="H315">_xlfn.IFS($G315=$G$5,H$5,$G315=$G$6,H$6,$G315=$G$7,H$7,$G315=$G$8,H$8,$G315=$G$9,H$9,$G315=$G$10,H$10,$G315=$G$11,H$11,$G315=$G$12,H$12,$G315=$G$13,H$13,$G315=$G$15,H$15,$G315=$G$16,H$16,$G315=$G$17,H$17,$G315=$G$18,H$18,$G315=$G$19,H$19,$G315=$G$20,H$20,$G315=$G$21,H$21,$G315=$G$22,H$22,$G315=$G$25,H$25,$G315=$G$26,H$26,$G315=$G$27,H$27,$G315=$G$29,H$29,$G315=$G$31,H$31,$G315=$G$32,H$150,$G315=$G$248,H$248,$G315=$G$250,H$250)</f>
        <v>41.343685000000001</v>
      </c>
      <c r="I315" s="78" cm="1">
        <f t="array" ref="I315">_xlfn.IFS($G315=$G$5,I$5,$G315=$G$6,I$6,$G315=$G$7,I$7,$G315=$G$8,I$8,$G315=$G$9,I$9,$G315=$G$10,I$10,$G315=$G$11,I$11,$G315=$G$12,I$12,$G315=$G$13,I$13,$G315=$G$15,I$15,$G315=$G$16,I$16,$G315=$G$17,I$17,$G315=$G$18,I$18,$G315=$G$19,I$19,$G315=$G$20,I$20,$G315=$G$21,I$21,$G315=$G$22,I$22,$G315=$G$25,I$25,$G315=$G$26,I$26,$G315=$G$27,I$27,$G315=$G$29,I$29,$G315=$G$31,I$31,$G315=$G$32,I$150,$G315=$G$248,I$248,$G315=$G$250,I$250)</f>
        <v>2.1441490000000001</v>
      </c>
      <c r="J315" cm="1">
        <f t="array" ref="J315">_xlfn.IFS($G315=$G$5,J$5,$G315=$G$6,J$6,$G315=$G$7,J$7,$G315=$G$8,J$8,$G315=$G$9,J$9,$G315=$G$10,J$10,$G315=$G$11,J$11,$G315=$G$12,J$12,$G315=$G$13,J$13,$G315=$G$15,J$15,$G315=$G$16,J$16,$G315=$G$17,J$17,$G315=$G$18,J$18,$G315=$G$19,J$19,$G315=$G$20,J$20,$G315=$G$21,J$21,$G315=$G$22,J$22,$G315=$G$25,J$25,$G315=$G$26,J$26,$G315=$G$27,J$27,$G315=$G$29,J$29,$G315=$G$31,J$31,$G315=$G$32,J$150,$G315=$G$248,J$248,$G315=$G$250,J$250)</f>
        <v>4</v>
      </c>
      <c r="K315" t="str" cm="1">
        <f t="array" ref="K315">_xlfn.IFS($G315=$G$5,K$5,$G315=$G$6,K$6,$G315=$G$7,K$7,$G315=$G$8,K$8,$G315=$G$9,K$9,$G315=$G$10,K$10,$G315=$G$11,K$11,$G315=$G$12,K$12,$G315=$G$13,K$13,$G315=$G$15,K$15,$G315=$G$16,K$16,$G315=$G$17,K$17,$G315=$G$18,K$18,$G315=$G$19,K$19,$G315=$G$20,K$20,$G315=$G$21,K$21,$G315=$G$22,K$22,$G315=$G$25,K$25,$G315=$G$26,K$26,$G315=$G$27,K$27,$G315=$G$29,K$29,$G315=$G$31,K$31,$G315=$G$32,K$150,$G315=$G$248,K$248,$G315=$G$250,K$250)</f>
        <v>BG sentinel + BG lure7</v>
      </c>
      <c r="L315" s="48" t="str" cm="1">
        <f t="array" ref="L315">_xlfn.IFS($G315=$G$5,L$5,$G315=$G$6,L$6,$G315=$G$7,L$7,$G315=$G$8,L$8,$G315=$G$9,L$9,$G315=$G$10,L$10,$G315=$G$11,L$11,$G315=$G$12,L$12,$G315=$G$13,L$13,$G315=$G$15,L$15,$G315=$G$16,L$16,$G315=$G$17,L$17,$G315=$G$18,L$18,$G315=$G$19,L$19,$G315=$G$20,L$20,$G315=$G$21,L$21,$G315=$G$22,L$22,$G315=$G$25,L$25,$G315=$G$26,L$26,$G315=$G$27,L$27,$G315=$G$29,L$29,$G315=$G$31,L$31,$G315=$G$32,L$32,$G315=$G$248,L$248,$G315=$G$250,L$250)</f>
        <v>Urban habitat</v>
      </c>
      <c r="M315" s="48"/>
      <c r="O315" s="45" t="str">
        <f t="shared" si="24"/>
        <v>A_SP_BCN_10_210701</v>
      </c>
      <c r="P315" s="64">
        <v>44378</v>
      </c>
      <c r="R315" s="72"/>
      <c r="S315" s="64">
        <v>44385</v>
      </c>
      <c r="U315" s="72"/>
      <c r="V315" s="54" t="s">
        <v>66</v>
      </c>
      <c r="X315" s="45">
        <f t="shared" si="23"/>
        <v>7</v>
      </c>
      <c r="Z315" s="45" t="s">
        <v>70</v>
      </c>
      <c r="AA315" s="45">
        <f t="shared" si="16"/>
        <v>17</v>
      </c>
      <c r="AB315" t="str">
        <f t="shared" si="21"/>
        <v>Adult</v>
      </c>
      <c r="AC315" s="69">
        <v>17</v>
      </c>
      <c r="AD315" s="69">
        <v>0</v>
      </c>
      <c r="AE315" s="45" t="str">
        <f t="shared" si="22"/>
        <v>Morphological</v>
      </c>
      <c r="AF315" s="56">
        <v>4</v>
      </c>
    </row>
    <row r="316" spans="1:32" ht="18" customHeight="1" x14ac:dyDescent="0.25">
      <c r="A316" s="45">
        <v>312</v>
      </c>
      <c r="B316" s="45" t="s">
        <v>60</v>
      </c>
      <c r="C316" s="45" t="s">
        <v>61</v>
      </c>
      <c r="D316" s="45" t="s">
        <v>62</v>
      </c>
      <c r="E316" s="45" t="s">
        <v>62</v>
      </c>
      <c r="F316" s="46" cm="1">
        <f t="array" ref="F316">_xlfn.IFS($G316=$G$5,F$5,$G316=$G$6,F$6,$G316=$G$7,F$7,$G316=$G$8,F$8,$G316=$G$9,F$9,$G316=$G$10,F$10,$G316=$G$11,F$11,$G316=$G$12,F$12,$G316=$G$13,F$13,$G316=$G$15,F$15,$G316=$G$16,F$16,$G316=$G$17,F$17,$G316=$G$18,F$18,$G316=$G$19,F$19,$G316=$G$20,F$20,$G316=$G$21,F$21,$G316=$G$22,F$22,$G316=$G$25,F$25,$G316=$G$26,F$26,$G316=$G$27,F$27,$G316=$G$29,F$29,$G316=$G$31,F$31,$G316=$G$32,F$32,$G316=$G$248,F$248,$G316=$G$250,F$250)</f>
        <v>8040</v>
      </c>
      <c r="G316" t="s">
        <v>81</v>
      </c>
      <c r="H316" s="66" cm="1">
        <f t="array" ref="H316">_xlfn.IFS($G316=$G$5,H$5,$G316=$G$6,H$6,$G316=$G$7,H$7,$G316=$G$8,H$8,$G316=$G$9,H$9,$G316=$G$10,H$10,$G316=$G$11,H$11,$G316=$G$12,H$12,$G316=$G$13,H$13,$G316=$G$15,H$15,$G316=$G$16,H$16,$G316=$G$17,H$17,$G316=$G$18,H$18,$G316=$G$19,H$19,$G316=$G$20,H$20,$G316=$G$21,H$21,$G316=$G$22,H$22,$G316=$G$25,H$25,$G316=$G$26,H$26,$G316=$G$27,H$27,$G316=$G$29,H$29,$G316=$G$31,H$31,$G316=$G$32,H$150,$G316=$G$248,H$248,$G316=$G$250,H$250)</f>
        <v>41.343685000000001</v>
      </c>
      <c r="I316" s="78" cm="1">
        <f t="array" ref="I316">_xlfn.IFS($G316=$G$5,I$5,$G316=$G$6,I$6,$G316=$G$7,I$7,$G316=$G$8,I$8,$G316=$G$9,I$9,$G316=$G$10,I$10,$G316=$G$11,I$11,$G316=$G$12,I$12,$G316=$G$13,I$13,$G316=$G$15,I$15,$G316=$G$16,I$16,$G316=$G$17,I$17,$G316=$G$18,I$18,$G316=$G$19,I$19,$G316=$G$20,I$20,$G316=$G$21,I$21,$G316=$G$22,I$22,$G316=$G$25,I$25,$G316=$G$26,I$26,$G316=$G$27,I$27,$G316=$G$29,I$29,$G316=$G$31,I$31,$G316=$G$32,I$150,$G316=$G$248,I$248,$G316=$G$250,I$250)</f>
        <v>2.1441490000000001</v>
      </c>
      <c r="J316" cm="1">
        <f t="array" ref="J316">_xlfn.IFS($G316=$G$5,J$5,$G316=$G$6,J$6,$G316=$G$7,J$7,$G316=$G$8,J$8,$G316=$G$9,J$9,$G316=$G$10,J$10,$G316=$G$11,J$11,$G316=$G$12,J$12,$G316=$G$13,J$13,$G316=$G$15,J$15,$G316=$G$16,J$16,$G316=$G$17,J$17,$G316=$G$18,J$18,$G316=$G$19,J$19,$G316=$G$20,J$20,$G316=$G$21,J$21,$G316=$G$22,J$22,$G316=$G$25,J$25,$G316=$G$26,J$26,$G316=$G$27,J$27,$G316=$G$29,J$29,$G316=$G$31,J$31,$G316=$G$32,J$150,$G316=$G$248,J$248,$G316=$G$250,J$250)</f>
        <v>4</v>
      </c>
      <c r="K316" t="str" cm="1">
        <f t="array" ref="K316">_xlfn.IFS($G316=$G$5,K$5,$G316=$G$6,K$6,$G316=$G$7,K$7,$G316=$G$8,K$8,$G316=$G$9,K$9,$G316=$G$10,K$10,$G316=$G$11,K$11,$G316=$G$12,K$12,$G316=$G$13,K$13,$G316=$G$15,K$15,$G316=$G$16,K$16,$G316=$G$17,K$17,$G316=$G$18,K$18,$G316=$G$19,K$19,$G316=$G$20,K$20,$G316=$G$21,K$21,$G316=$G$22,K$22,$G316=$G$25,K$25,$G316=$G$26,K$26,$G316=$G$27,K$27,$G316=$G$29,K$29,$G316=$G$31,K$31,$G316=$G$32,K$150,$G316=$G$248,K$248,$G316=$G$250,K$250)</f>
        <v>BG sentinel + BG lure7</v>
      </c>
      <c r="L316" s="48" t="str" cm="1">
        <f t="array" ref="L316">_xlfn.IFS($G316=$G$5,L$5,$G316=$G$6,L$6,$G316=$G$7,L$7,$G316=$G$8,L$8,$G316=$G$9,L$9,$G316=$G$10,L$10,$G316=$G$11,L$11,$G316=$G$12,L$12,$G316=$G$13,L$13,$G316=$G$15,L$15,$G316=$G$16,L$16,$G316=$G$17,L$17,$G316=$G$18,L$18,$G316=$G$19,L$19,$G316=$G$20,L$20,$G316=$G$21,L$21,$G316=$G$22,L$22,$G316=$G$25,L$25,$G316=$G$26,L$26,$G316=$G$27,L$27,$G316=$G$29,L$29,$G316=$G$31,L$31,$G316=$G$32,L$32,$G316=$G$248,L$248,$G316=$G$250,L$250)</f>
        <v>Urban habitat</v>
      </c>
      <c r="M316" s="48"/>
      <c r="O316" s="45" t="str">
        <f t="shared" si="24"/>
        <v>A_SP_BCN_10_210701</v>
      </c>
      <c r="P316" s="64">
        <v>44378</v>
      </c>
      <c r="R316" s="72"/>
      <c r="S316" s="64">
        <v>44385</v>
      </c>
      <c r="U316" s="72"/>
      <c r="V316" s="54" t="s">
        <v>66</v>
      </c>
      <c r="X316" s="45">
        <f t="shared" si="23"/>
        <v>7</v>
      </c>
      <c r="Z316" s="45" t="s">
        <v>80</v>
      </c>
      <c r="AA316" s="45">
        <f t="shared" si="16"/>
        <v>1</v>
      </c>
      <c r="AB316" t="str">
        <f t="shared" si="21"/>
        <v>Adult</v>
      </c>
      <c r="AC316" s="69">
        <v>0</v>
      </c>
      <c r="AD316" s="69">
        <v>1</v>
      </c>
      <c r="AE316" s="45" t="str">
        <f t="shared" si="22"/>
        <v>Morphological</v>
      </c>
      <c r="AF316" s="56">
        <v>4</v>
      </c>
    </row>
    <row r="317" spans="1:32" ht="18" customHeight="1" x14ac:dyDescent="0.25">
      <c r="A317" s="45">
        <v>313</v>
      </c>
      <c r="B317" s="45" t="s">
        <v>60</v>
      </c>
      <c r="C317" s="45" t="s">
        <v>61</v>
      </c>
      <c r="D317" s="45" t="s">
        <v>62</v>
      </c>
      <c r="E317" s="45" t="s">
        <v>62</v>
      </c>
      <c r="F317" s="46" cm="1">
        <f t="array" ref="F317">_xlfn.IFS($G317=$G$5,F$5,$G317=$G$6,F$6,$G317=$G$7,F$7,$G317=$G$8,F$8,$G317=$G$9,F$9,$G317=$G$10,F$10,$G317=$G$11,F$11,$G317=$G$12,F$12,$G317=$G$13,F$13,$G317=$G$15,F$15,$G317=$G$16,F$16,$G317=$G$17,F$17,$G317=$G$18,F$18,$G317=$G$19,F$19,$G317=$G$20,F$20,$G317=$G$21,F$21,$G317=$G$22,F$22,$G317=$G$25,F$25,$G317=$G$26,F$26,$G317=$G$27,F$27,$G317=$G$29,F$29,$G317=$G$31,F$31,$G317=$G$32,F$32,$G317=$G$248,F$248,$G317=$G$250,F$250)</f>
        <v>8038</v>
      </c>
      <c r="G317" t="s">
        <v>82</v>
      </c>
      <c r="H317" s="66" cm="1">
        <f t="array" ref="H317">_xlfn.IFS($G317=$G$5,H$5,$G317=$G$6,H$6,$G317=$G$7,H$7,$G317=$G$8,H$8,$G317=$G$9,H$9,$G317=$G$10,H$10,$G317=$G$11,H$11,$G317=$G$12,H$12,$G317=$G$13,H$13,$G317=$G$15,H$15,$G317=$G$16,H$16,$G317=$G$17,H$17,$G317=$G$18,H$18,$G317=$G$19,H$19,$G317=$G$20,H$20,$G317=$G$21,H$21,$G317=$G$22,H$22,$G317=$G$25,H$25,$G317=$G$26,H$26,$G317=$G$27,H$27,$G317=$G$29,H$29,$G317=$G$31,H$31,$G317=$G$32,H$150,$G317=$G$248,H$248,$G317=$G$250,H$250)</f>
        <v>41.367429999999999</v>
      </c>
      <c r="I317" s="78" cm="1">
        <f t="array" ref="I317">_xlfn.IFS($G317=$G$5,I$5,$G317=$G$6,I$6,$G317=$G$7,I$7,$G317=$G$8,I$8,$G317=$G$9,I$9,$G317=$G$10,I$10,$G317=$G$11,I$11,$G317=$G$12,I$12,$G317=$G$13,I$13,$G317=$G$15,I$15,$G317=$G$16,I$16,$G317=$G$17,I$17,$G317=$G$18,I$18,$G317=$G$19,I$19,$G317=$G$20,I$20,$G317=$G$21,I$21,$G317=$G$22,I$22,$G317=$G$25,I$25,$G317=$G$26,I$26,$G317=$G$27,I$27,$G317=$G$29,I$29,$G317=$G$31,I$31,$G317=$G$32,I$150,$G317=$G$248,I$248,$G317=$G$250,I$250)</f>
        <v>2.1569609999999999</v>
      </c>
      <c r="J317" cm="1">
        <f t="array" ref="J317">_xlfn.IFS($G317=$G$5,J$5,$G317=$G$6,J$6,$G317=$G$7,J$7,$G317=$G$8,J$8,$G317=$G$9,J$9,$G317=$G$10,J$10,$G317=$G$11,J$11,$G317=$G$12,J$12,$G317=$G$13,J$13,$G317=$G$15,J$15,$G317=$G$16,J$16,$G317=$G$17,J$17,$G317=$G$18,J$18,$G317=$G$19,J$19,$G317=$G$20,J$20,$G317=$G$21,J$21,$G317=$G$22,J$22,$G317=$G$25,J$25,$G317=$G$26,J$26,$G317=$G$27,J$27,$G317=$G$29,J$29,$G317=$G$31,J$31,$G317=$G$32,J$150,$G317=$G$248,J$248,$G317=$G$250,J$250)</f>
        <v>91</v>
      </c>
      <c r="K317" t="str" cm="1">
        <f t="array" ref="K317">_xlfn.IFS($G317=$G$5,K$5,$G317=$G$6,K$6,$G317=$G$7,K$7,$G317=$G$8,K$8,$G317=$G$9,K$9,$G317=$G$10,K$10,$G317=$G$11,K$11,$G317=$G$12,K$12,$G317=$G$13,K$13,$G317=$G$15,K$15,$G317=$G$16,K$16,$G317=$G$17,K$17,$G317=$G$18,K$18,$G317=$G$19,K$19,$G317=$G$20,K$20,$G317=$G$21,K$21,$G317=$G$22,K$22,$G317=$G$25,K$25,$G317=$G$26,K$26,$G317=$G$27,K$27,$G317=$G$29,K$29,$G317=$G$31,K$31,$G317=$G$32,K$150,$G317=$G$248,K$248,$G317=$G$250,K$250)</f>
        <v>BG sentinel + BG lure7</v>
      </c>
      <c r="L317" s="48"/>
      <c r="M317" s="48"/>
      <c r="O317" s="45" t="str">
        <f t="shared" si="24"/>
        <v>A_SP_BCN_11_210702</v>
      </c>
      <c r="P317" s="64">
        <v>44379</v>
      </c>
      <c r="R317" s="72"/>
      <c r="S317" s="64">
        <v>44385</v>
      </c>
      <c r="U317" s="72"/>
      <c r="V317" s="54" t="s">
        <v>66</v>
      </c>
      <c r="X317" s="45">
        <f t="shared" si="23"/>
        <v>6</v>
      </c>
      <c r="Z317" s="69" t="s">
        <v>69</v>
      </c>
      <c r="AA317" s="45">
        <f t="shared" si="16"/>
        <v>3</v>
      </c>
      <c r="AB317" t="str">
        <f t="shared" si="21"/>
        <v>Adult</v>
      </c>
      <c r="AC317" s="69">
        <v>1</v>
      </c>
      <c r="AD317" s="69">
        <v>2</v>
      </c>
      <c r="AE317" s="45" t="str">
        <f t="shared" si="22"/>
        <v>Morphological</v>
      </c>
      <c r="AF317" s="56">
        <v>4</v>
      </c>
    </row>
    <row r="318" spans="1:32" ht="18" customHeight="1" x14ac:dyDescent="0.25">
      <c r="A318" s="45">
        <v>314</v>
      </c>
      <c r="B318" s="45" t="s">
        <v>60</v>
      </c>
      <c r="C318" s="45" t="s">
        <v>61</v>
      </c>
      <c r="D318" s="45" t="s">
        <v>62</v>
      </c>
      <c r="E318" s="45" t="s">
        <v>62</v>
      </c>
      <c r="F318" s="46" cm="1">
        <f t="array" ref="F318">_xlfn.IFS($G318=$G$5,F$5,$G318=$G$6,F$6,$G318=$G$7,F$7,$G318=$G$8,F$8,$G318=$G$9,F$9,$G318=$G$10,F$10,$G318=$G$11,F$11,$G318=$G$12,F$12,$G318=$G$13,F$13,$G318=$G$15,F$15,$G318=$G$16,F$16,$G318=$G$17,F$17,$G318=$G$18,F$18,$G318=$G$19,F$19,$G318=$G$20,F$20,$G318=$G$21,F$21,$G318=$G$22,F$22,$G318=$G$25,F$25,$G318=$G$26,F$26,$G318=$G$27,F$27,$G318=$G$29,F$29,$G318=$G$31,F$31,$G318=$G$32,F$32,$G318=$G$248,F$248,$G318=$G$250,F$250)</f>
        <v>8038</v>
      </c>
      <c r="G318" t="s">
        <v>82</v>
      </c>
      <c r="H318" s="66" cm="1">
        <f t="array" ref="H318">_xlfn.IFS($G318=$G$5,H$5,$G318=$G$6,H$6,$G318=$G$7,H$7,$G318=$G$8,H$8,$G318=$G$9,H$9,$G318=$G$10,H$10,$G318=$G$11,H$11,$G318=$G$12,H$12,$G318=$G$13,H$13,$G318=$G$15,H$15,$G318=$G$16,H$16,$G318=$G$17,H$17,$G318=$G$18,H$18,$G318=$G$19,H$19,$G318=$G$20,H$20,$G318=$G$21,H$21,$G318=$G$22,H$22,$G318=$G$25,H$25,$G318=$G$26,H$26,$G318=$G$27,H$27,$G318=$G$29,H$29,$G318=$G$31,H$31,$G318=$G$32,H$150,$G318=$G$248,H$248,$G318=$G$250,H$250)</f>
        <v>41.367429999999999</v>
      </c>
      <c r="I318" s="78" cm="1">
        <f t="array" ref="I318">_xlfn.IFS($G318=$G$5,I$5,$G318=$G$6,I$6,$G318=$G$7,I$7,$G318=$G$8,I$8,$G318=$G$9,I$9,$G318=$G$10,I$10,$G318=$G$11,I$11,$G318=$G$12,I$12,$G318=$G$13,I$13,$G318=$G$15,I$15,$G318=$G$16,I$16,$G318=$G$17,I$17,$G318=$G$18,I$18,$G318=$G$19,I$19,$G318=$G$20,I$20,$G318=$G$21,I$21,$G318=$G$22,I$22,$G318=$G$25,I$25,$G318=$G$26,I$26,$G318=$G$27,I$27,$G318=$G$29,I$29,$G318=$G$31,I$31,$G318=$G$32,I$150,$G318=$G$248,I$248,$G318=$G$250,I$250)</f>
        <v>2.1569609999999999</v>
      </c>
      <c r="J318" cm="1">
        <f t="array" ref="J318">_xlfn.IFS($G318=$G$5,J$5,$G318=$G$6,J$6,$G318=$G$7,J$7,$G318=$G$8,J$8,$G318=$G$9,J$9,$G318=$G$10,J$10,$G318=$G$11,J$11,$G318=$G$12,J$12,$G318=$G$13,J$13,$G318=$G$15,J$15,$G318=$G$16,J$16,$G318=$G$17,J$17,$G318=$G$18,J$18,$G318=$G$19,J$19,$G318=$G$20,J$20,$G318=$G$21,J$21,$G318=$G$22,J$22,$G318=$G$25,J$25,$G318=$G$26,J$26,$G318=$G$27,J$27,$G318=$G$29,J$29,$G318=$G$31,J$31,$G318=$G$32,J$150,$G318=$G$248,J$248,$G318=$G$250,J$250)</f>
        <v>91</v>
      </c>
      <c r="K318" t="str" cm="1">
        <f t="array" ref="K318">_xlfn.IFS($G318=$G$5,K$5,$G318=$G$6,K$6,$G318=$G$7,K$7,$G318=$G$8,K$8,$G318=$G$9,K$9,$G318=$G$10,K$10,$G318=$G$11,K$11,$G318=$G$12,K$12,$G318=$G$13,K$13,$G318=$G$15,K$15,$G318=$G$16,K$16,$G318=$G$17,K$17,$G318=$G$18,K$18,$G318=$G$19,K$19,$G318=$G$20,K$20,$G318=$G$21,K$21,$G318=$G$22,K$22,$G318=$G$25,K$25,$G318=$G$26,K$26,$G318=$G$27,K$27,$G318=$G$29,K$29,$G318=$G$31,K$31,$G318=$G$32,K$150,$G318=$G$248,K$248,$G318=$G$250,K$250)</f>
        <v>BG sentinel + BG lure7</v>
      </c>
      <c r="L318" s="48" t="str" cm="1">
        <f t="array" ref="L318">_xlfn.IFS($G318=$G$5,L$5,$G318=$G$6,L$6,$G318=$G$7,L$7,$G318=$G$8,L$8,$G318=$G$9,L$9,$G318=$G$10,L$10,$G318=$G$11,L$11,$G318=$G$12,L$12,$G318=$G$13,L$13,$G318=$G$15,L$15,$G318=$G$16,L$16,$G318=$G$17,L$17,$G318=$G$18,L$18,$G318=$G$19,L$19,$G318=$G$20,L$20,$G318=$G$21,L$21,$G318=$G$22,L$22,$G318=$G$25,L$25,$G318=$G$26,L$26,$G318=$G$27,L$27,$G318=$G$29,L$29,$G318=$G$31,L$31,$G318=$G$32,L$32,$G318=$G$248,L$248,$G318=$G$250,L$250)</f>
        <v>Other</v>
      </c>
      <c r="M318" s="48"/>
      <c r="O318" s="45" t="str">
        <f t="shared" si="24"/>
        <v>A_SP_BCN_11_210702</v>
      </c>
      <c r="P318" s="64">
        <v>44379</v>
      </c>
      <c r="R318" s="72"/>
      <c r="S318" s="64">
        <v>44385</v>
      </c>
      <c r="U318" s="72"/>
      <c r="V318" s="54" t="s">
        <v>66</v>
      </c>
      <c r="X318" s="45">
        <f t="shared" si="23"/>
        <v>6</v>
      </c>
      <c r="Z318" s="45" t="s">
        <v>70</v>
      </c>
      <c r="AA318" s="45">
        <f t="shared" si="16"/>
        <v>7</v>
      </c>
      <c r="AB318" t="str">
        <f t="shared" si="21"/>
        <v>Adult</v>
      </c>
      <c r="AC318" s="69">
        <v>7</v>
      </c>
      <c r="AD318" s="69">
        <v>0</v>
      </c>
      <c r="AE318" s="45" t="str">
        <f t="shared" si="22"/>
        <v>Morphological</v>
      </c>
      <c r="AF318" s="56">
        <v>4</v>
      </c>
    </row>
    <row r="319" spans="1:32" ht="18" customHeight="1" x14ac:dyDescent="0.25">
      <c r="A319" s="45">
        <v>315</v>
      </c>
      <c r="B319" s="45" t="s">
        <v>60</v>
      </c>
      <c r="C319" s="45" t="s">
        <v>61</v>
      </c>
      <c r="D319" s="45" t="s">
        <v>62</v>
      </c>
      <c r="E319" s="45" t="s">
        <v>62</v>
      </c>
      <c r="F319" s="46" cm="1">
        <f t="array" ref="F319">_xlfn.IFS($G319=$G$5,F$5,$G319=$G$6,F$6,$G319=$G$7,F$7,$G319=$G$8,F$8,$G319=$G$9,F$9,$G319=$G$10,F$10,$G319=$G$11,F$11,$G319=$G$12,F$12,$G319=$G$13,F$13,$G319=$G$15,F$15,$G319=$G$16,F$16,$G319=$G$17,F$17,$G319=$G$18,F$18,$G319=$G$19,F$19,$G319=$G$20,F$20,$G319=$G$21,F$21,$G319=$G$22,F$22,$G319=$G$25,F$25,$G319=$G$26,F$26,$G319=$G$27,F$27,$G319=$G$29,F$29,$G319=$G$31,F$31,$G319=$G$32,F$32,$G319=$G$248,F$248,$G319=$G$250,F$250)</f>
        <v>8038</v>
      </c>
      <c r="G319" t="s">
        <v>82</v>
      </c>
      <c r="H319" s="66" cm="1">
        <f t="array" ref="H319">_xlfn.IFS($G319=$G$5,H$5,$G319=$G$6,H$6,$G319=$G$7,H$7,$G319=$G$8,H$8,$G319=$G$9,H$9,$G319=$G$10,H$10,$G319=$G$11,H$11,$G319=$G$12,H$12,$G319=$G$13,H$13,$G319=$G$15,H$15,$G319=$G$16,H$16,$G319=$G$17,H$17,$G319=$G$18,H$18,$G319=$G$19,H$19,$G319=$G$20,H$20,$G319=$G$21,H$21,$G319=$G$22,H$22,$G319=$G$25,H$25,$G319=$G$26,H$26,$G319=$G$27,H$27,$G319=$G$29,H$29,$G319=$G$31,H$31,$G319=$G$32,H$150,$G319=$G$248,H$248,$G319=$G$250,H$250)</f>
        <v>41.367429999999999</v>
      </c>
      <c r="I319" s="78" cm="1">
        <f t="array" ref="I319">_xlfn.IFS($G319=$G$5,I$5,$G319=$G$6,I$6,$G319=$G$7,I$7,$G319=$G$8,I$8,$G319=$G$9,I$9,$G319=$G$10,I$10,$G319=$G$11,I$11,$G319=$G$12,I$12,$G319=$G$13,I$13,$G319=$G$15,I$15,$G319=$G$16,I$16,$G319=$G$17,I$17,$G319=$G$18,I$18,$G319=$G$19,I$19,$G319=$G$20,I$20,$G319=$G$21,I$21,$G319=$G$22,I$22,$G319=$G$25,I$25,$G319=$G$26,I$26,$G319=$G$27,I$27,$G319=$G$29,I$29,$G319=$G$31,I$31,$G319=$G$32,I$150,$G319=$G$248,I$248,$G319=$G$250,I$250)</f>
        <v>2.1569609999999999</v>
      </c>
      <c r="J319" cm="1">
        <f t="array" ref="J319">_xlfn.IFS($G319=$G$5,J$5,$G319=$G$6,J$6,$G319=$G$7,J$7,$G319=$G$8,J$8,$G319=$G$9,J$9,$G319=$G$10,J$10,$G319=$G$11,J$11,$G319=$G$12,J$12,$G319=$G$13,J$13,$G319=$G$15,J$15,$G319=$G$16,J$16,$G319=$G$17,J$17,$G319=$G$18,J$18,$G319=$G$19,J$19,$G319=$G$20,J$20,$G319=$G$21,J$21,$G319=$G$22,J$22,$G319=$G$25,J$25,$G319=$G$26,J$26,$G319=$G$27,J$27,$G319=$G$29,J$29,$G319=$G$31,J$31,$G319=$G$32,J$150,$G319=$G$248,J$248,$G319=$G$250,J$250)</f>
        <v>91</v>
      </c>
      <c r="K319" t="str" cm="1">
        <f t="array" ref="K319">_xlfn.IFS($G319=$G$5,K$5,$G319=$G$6,K$6,$G319=$G$7,K$7,$G319=$G$8,K$8,$G319=$G$9,K$9,$G319=$G$10,K$10,$G319=$G$11,K$11,$G319=$G$12,K$12,$G319=$G$13,K$13,$G319=$G$15,K$15,$G319=$G$16,K$16,$G319=$G$17,K$17,$G319=$G$18,K$18,$G319=$G$19,K$19,$G319=$G$20,K$20,$G319=$G$21,K$21,$G319=$G$22,K$22,$G319=$G$25,K$25,$G319=$G$26,K$26,$G319=$G$27,K$27,$G319=$G$29,K$29,$G319=$G$31,K$31,$G319=$G$32,K$150,$G319=$G$248,K$248,$G319=$G$250,K$250)</f>
        <v>BG sentinel + BG lure7</v>
      </c>
      <c r="L319" s="48" t="str" cm="1">
        <f t="array" ref="L319">_xlfn.IFS($G319=$G$5,L$5,$G319=$G$6,L$6,$G319=$G$7,L$7,$G319=$G$8,L$8,$G319=$G$9,L$9,$G319=$G$10,L$10,$G319=$G$11,L$11,$G319=$G$12,L$12,$G319=$G$13,L$13,$G319=$G$15,L$15,$G319=$G$16,L$16,$G319=$G$17,L$17,$G319=$G$18,L$18,$G319=$G$19,L$19,$G319=$G$20,L$20,$G319=$G$21,L$21,$G319=$G$22,L$22,$G319=$G$25,L$25,$G319=$G$26,L$26,$G319=$G$27,L$27,$G319=$G$29,L$29,$G319=$G$31,L$31,$G319=$G$32,L$32,$G319=$G$248,L$248,$G319=$G$250,L$250)</f>
        <v>Other</v>
      </c>
      <c r="M319" s="48"/>
      <c r="O319" s="45" t="str">
        <f t="shared" si="24"/>
        <v>A_SP_BCN_11_210702</v>
      </c>
      <c r="P319" s="64">
        <v>44379</v>
      </c>
      <c r="R319" s="72"/>
      <c r="S319" s="64">
        <v>44385</v>
      </c>
      <c r="U319" s="72"/>
      <c r="V319" s="54" t="s">
        <v>66</v>
      </c>
      <c r="X319" s="45">
        <f t="shared" si="23"/>
        <v>6</v>
      </c>
      <c r="Z319" s="45" t="s">
        <v>80</v>
      </c>
      <c r="AA319" s="45">
        <f t="shared" si="16"/>
        <v>3</v>
      </c>
      <c r="AB319" t="str">
        <f t="shared" si="21"/>
        <v>Adult</v>
      </c>
      <c r="AC319" s="69">
        <v>3</v>
      </c>
      <c r="AD319" s="69">
        <v>0</v>
      </c>
      <c r="AE319" s="45" t="str">
        <f t="shared" si="22"/>
        <v>Morphological</v>
      </c>
      <c r="AF319" s="56">
        <v>4</v>
      </c>
    </row>
    <row r="320" spans="1:32" ht="18" customHeight="1" x14ac:dyDescent="0.25">
      <c r="A320" s="45">
        <v>316</v>
      </c>
      <c r="B320" s="45" t="s">
        <v>60</v>
      </c>
      <c r="C320" s="45" t="s">
        <v>61</v>
      </c>
      <c r="D320" s="45" t="s">
        <v>62</v>
      </c>
      <c r="E320" s="45" t="s">
        <v>62</v>
      </c>
      <c r="F320" s="46" cm="1">
        <f t="array" ref="F320">_xlfn.IFS($G320=$G$5,F$5,$G320=$G$6,F$6,$G320=$G$7,F$7,$G320=$G$8,F$8,$G320=$G$9,F$9,$G320=$G$10,F$10,$G320=$G$11,F$11,$G320=$G$12,F$12,$G320=$G$13,F$13,$G320=$G$15,F$15,$G320=$G$16,F$16,$G320=$G$17,F$17,$G320=$G$18,F$18,$G320=$G$19,F$19,$G320=$G$20,F$20,$G320=$G$21,F$21,$G320=$G$22,F$22,$G320=$G$25,F$25,$G320=$G$26,F$26,$G320=$G$27,F$27,$G320=$G$29,F$29,$G320=$G$31,F$31,$G320=$G$32,F$32,$G320=$G$248,F$248,$G320=$G$250,F$250)</f>
        <v>8038</v>
      </c>
      <c r="G320" t="s">
        <v>84</v>
      </c>
      <c r="H320" s="66" cm="1">
        <f t="array" ref="H320">_xlfn.IFS($G320=$G$5,H$5,$G320=$G$6,H$6,$G320=$G$7,H$7,$G320=$G$8,H$8,$G320=$G$9,H$9,$G320=$G$10,H$10,$G320=$G$11,H$11,$G320=$G$12,H$12,$G320=$G$13,H$13,$G320=$G$15,H$15,$G320=$G$16,H$16,$G320=$G$17,H$17,$G320=$G$18,H$18,$G320=$G$19,H$19,$G320=$G$20,H$20,$G320=$G$21,H$21,$G320=$G$22,H$22,$G320=$G$25,H$25,$G320=$G$26,H$26,$G320=$G$27,H$27,$G320=$G$29,H$29,$G320=$G$31,H$31,$G320=$G$32,H$150,$G320=$G$248,H$248,$G320=$G$250,H$250)</f>
        <v>41.363377999999997</v>
      </c>
      <c r="I320" s="78" cm="1">
        <f t="array" ref="I320">_xlfn.IFS($G320=$G$5,I$5,$G320=$G$6,I$6,$G320=$G$7,I$7,$G320=$G$8,I$8,$G320=$G$9,I$9,$G320=$G$10,I$10,$G320=$G$11,I$11,$G320=$G$12,I$12,$G320=$G$13,I$13,$G320=$G$15,I$15,$G320=$G$16,I$16,$G320=$G$17,I$17,$G320=$G$18,I$18,$G320=$G$19,I$19,$G320=$G$20,I$20,$G320=$G$21,I$21,$G320=$G$22,I$22,$G320=$G$25,I$25,$G320=$G$26,I$26,$G320=$G$27,I$27,$G320=$G$29,I$29,$G320=$G$31,I$31,$G320=$G$32,I$150,$G320=$G$248,I$248,$G320=$G$250,I$250)</f>
        <v>2.164879</v>
      </c>
      <c r="J320" cm="1">
        <f t="array" ref="J320">_xlfn.IFS($G320=$G$5,J$5,$G320=$G$6,J$6,$G320=$G$7,J$7,$G320=$G$8,J$8,$G320=$G$9,J$9,$G320=$G$10,J$10,$G320=$G$11,J$11,$G320=$G$12,J$12,$G320=$G$13,J$13,$G320=$G$15,J$15,$G320=$G$16,J$16,$G320=$G$17,J$17,$G320=$G$18,J$18,$G320=$G$19,J$19,$G320=$G$20,J$20,$G320=$G$21,J$21,$G320=$G$22,J$22,$G320=$G$25,J$25,$G320=$G$26,J$26,$G320=$G$27,J$27,$G320=$G$29,J$29,$G320=$G$31,J$31,$G320=$G$32,J$150,$G320=$G$248,J$248,$G320=$G$250,J$250)</f>
        <v>185</v>
      </c>
      <c r="K320" t="str" cm="1">
        <f t="array" ref="K320">_xlfn.IFS($G320=$G$5,K$5,$G320=$G$6,K$6,$G320=$G$7,K$7,$G320=$G$8,K$8,$G320=$G$9,K$9,$G320=$G$10,K$10,$G320=$G$11,K$11,$G320=$G$12,K$12,$G320=$G$13,K$13,$G320=$G$15,K$15,$G320=$G$16,K$16,$G320=$G$17,K$17,$G320=$G$18,K$18,$G320=$G$19,K$19,$G320=$G$20,K$20,$G320=$G$21,K$21,$G320=$G$22,K$22,$G320=$G$25,K$25,$G320=$G$26,K$26,$G320=$G$27,K$27,$G320=$G$29,K$29,$G320=$G$31,K$31,$G320=$G$32,K$150,$G320=$G$248,K$248,$G320=$G$250,K$250)</f>
        <v>BG sentinel + BG lure7</v>
      </c>
      <c r="L320" s="48"/>
      <c r="M320" s="48"/>
      <c r="O320" s="45" t="str">
        <f t="shared" si="24"/>
        <v>A_SP_BCN_12_210701</v>
      </c>
      <c r="P320" s="64">
        <v>44378</v>
      </c>
      <c r="R320" s="72"/>
      <c r="S320" s="64">
        <v>44385</v>
      </c>
      <c r="U320" s="72"/>
      <c r="V320" s="54" t="s">
        <v>66</v>
      </c>
      <c r="X320" s="45">
        <f t="shared" si="23"/>
        <v>7</v>
      </c>
      <c r="Z320" s="69" t="s">
        <v>69</v>
      </c>
      <c r="AA320" s="45">
        <f t="shared" si="16"/>
        <v>3</v>
      </c>
      <c r="AB320" t="str">
        <f t="shared" si="21"/>
        <v>Adult</v>
      </c>
      <c r="AC320" s="69">
        <v>3</v>
      </c>
      <c r="AD320" s="69">
        <v>0</v>
      </c>
      <c r="AE320" s="45" t="str">
        <f t="shared" si="22"/>
        <v>Morphological</v>
      </c>
      <c r="AF320" s="56">
        <v>4</v>
      </c>
    </row>
    <row r="321" spans="1:32" ht="18" customHeight="1" x14ac:dyDescent="0.25">
      <c r="A321" s="45">
        <v>317</v>
      </c>
      <c r="B321" s="45" t="s">
        <v>60</v>
      </c>
      <c r="C321" s="45" t="s">
        <v>61</v>
      </c>
      <c r="D321" s="45" t="s">
        <v>62</v>
      </c>
      <c r="E321" s="45" t="s">
        <v>62</v>
      </c>
      <c r="F321" s="46" cm="1">
        <f t="array" ref="F321">_xlfn.IFS($G321=$G$5,F$5,$G321=$G$6,F$6,$G321=$G$7,F$7,$G321=$G$8,F$8,$G321=$G$9,F$9,$G321=$G$10,F$10,$G321=$G$11,F$11,$G321=$G$12,F$12,$G321=$G$13,F$13,$G321=$G$15,F$15,$G321=$G$16,F$16,$G321=$G$17,F$17,$G321=$G$18,F$18,$G321=$G$19,F$19,$G321=$G$20,F$20,$G321=$G$21,F$21,$G321=$G$22,F$22,$G321=$G$25,F$25,$G321=$G$26,F$26,$G321=$G$27,F$27,$G321=$G$29,F$29,$G321=$G$31,F$31,$G321=$G$32,F$32,$G321=$G$248,F$248,$G321=$G$250,F$250)</f>
        <v>8038</v>
      </c>
      <c r="G321" t="s">
        <v>84</v>
      </c>
      <c r="H321" s="66" cm="1">
        <f t="array" ref="H321">_xlfn.IFS($G321=$G$5,H$5,$G321=$G$6,H$6,$G321=$G$7,H$7,$G321=$G$8,H$8,$G321=$G$9,H$9,$G321=$G$10,H$10,$G321=$G$11,H$11,$G321=$G$12,H$12,$G321=$G$13,H$13,$G321=$G$15,H$15,$G321=$G$16,H$16,$G321=$G$17,H$17,$G321=$G$18,H$18,$G321=$G$19,H$19,$G321=$G$20,H$20,$G321=$G$21,H$21,$G321=$G$22,H$22,$G321=$G$25,H$25,$G321=$G$26,H$26,$G321=$G$27,H$27,$G321=$G$29,H$29,$G321=$G$31,H$31,$G321=$G$32,H$150,$G321=$G$248,H$248,$G321=$G$250,H$250)</f>
        <v>41.363377999999997</v>
      </c>
      <c r="I321" s="78" cm="1">
        <f t="array" ref="I321">_xlfn.IFS($G321=$G$5,I$5,$G321=$G$6,I$6,$G321=$G$7,I$7,$G321=$G$8,I$8,$G321=$G$9,I$9,$G321=$G$10,I$10,$G321=$G$11,I$11,$G321=$G$12,I$12,$G321=$G$13,I$13,$G321=$G$15,I$15,$G321=$G$16,I$16,$G321=$G$17,I$17,$G321=$G$18,I$18,$G321=$G$19,I$19,$G321=$G$20,I$20,$G321=$G$21,I$21,$G321=$G$22,I$22,$G321=$G$25,I$25,$G321=$G$26,I$26,$G321=$G$27,I$27,$G321=$G$29,I$29,$G321=$G$31,I$31,$G321=$G$32,I$150,$G321=$G$248,I$248,$G321=$G$250,I$250)</f>
        <v>2.164879</v>
      </c>
      <c r="J321" cm="1">
        <f t="array" ref="J321">_xlfn.IFS($G321=$G$5,J$5,$G321=$G$6,J$6,$G321=$G$7,J$7,$G321=$G$8,J$8,$G321=$G$9,J$9,$G321=$G$10,J$10,$G321=$G$11,J$11,$G321=$G$12,J$12,$G321=$G$13,J$13,$G321=$G$15,J$15,$G321=$G$16,J$16,$G321=$G$17,J$17,$G321=$G$18,J$18,$G321=$G$19,J$19,$G321=$G$20,J$20,$G321=$G$21,J$21,$G321=$G$22,J$22,$G321=$G$25,J$25,$G321=$G$26,J$26,$G321=$G$27,J$27,$G321=$G$29,J$29,$G321=$G$31,J$31,$G321=$G$32,J$150,$G321=$G$248,J$248,$G321=$G$250,J$250)</f>
        <v>185</v>
      </c>
      <c r="K321" t="str" cm="1">
        <f t="array" ref="K321">_xlfn.IFS($G321=$G$5,K$5,$G321=$G$6,K$6,$G321=$G$7,K$7,$G321=$G$8,K$8,$G321=$G$9,K$9,$G321=$G$10,K$10,$G321=$G$11,K$11,$G321=$G$12,K$12,$G321=$G$13,K$13,$G321=$G$15,K$15,$G321=$G$16,K$16,$G321=$G$17,K$17,$G321=$G$18,K$18,$G321=$G$19,K$19,$G321=$G$20,K$20,$G321=$G$21,K$21,$G321=$G$22,K$22,$G321=$G$25,K$25,$G321=$G$26,K$26,$G321=$G$27,K$27,$G321=$G$29,K$29,$G321=$G$31,K$31,$G321=$G$32,K$150,$G321=$G$248,K$248,$G321=$G$250,K$250)</f>
        <v>BG sentinel + BG lure7</v>
      </c>
      <c r="L321" s="48"/>
      <c r="M321" s="48"/>
      <c r="O321" s="45" t="str">
        <f t="shared" si="24"/>
        <v>A_SP_BCN_12_210701</v>
      </c>
      <c r="P321" s="64">
        <v>44378</v>
      </c>
      <c r="R321" s="72"/>
      <c r="S321" s="64">
        <v>44385</v>
      </c>
      <c r="U321" s="72"/>
      <c r="V321" s="54" t="s">
        <v>66</v>
      </c>
      <c r="W321" t="s">
        <v>128</v>
      </c>
      <c r="X321" s="45">
        <f t="shared" si="23"/>
        <v>7</v>
      </c>
      <c r="Z321" s="45" t="s">
        <v>70</v>
      </c>
      <c r="AA321" s="45">
        <f t="shared" si="16"/>
        <v>31</v>
      </c>
      <c r="AB321" t="str">
        <f t="shared" si="21"/>
        <v>Adult</v>
      </c>
      <c r="AC321" s="69">
        <v>31</v>
      </c>
      <c r="AD321" s="69">
        <v>0</v>
      </c>
      <c r="AE321" s="45" t="str">
        <f t="shared" si="22"/>
        <v>Morphological</v>
      </c>
      <c r="AF321" s="56">
        <v>4</v>
      </c>
    </row>
    <row r="322" spans="1:32" ht="18" customHeight="1" x14ac:dyDescent="0.25">
      <c r="A322" s="45">
        <v>318</v>
      </c>
      <c r="B322" s="45" t="s">
        <v>60</v>
      </c>
      <c r="C322" s="45" t="s">
        <v>61</v>
      </c>
      <c r="D322" s="45" t="s">
        <v>62</v>
      </c>
      <c r="E322" s="45" t="s">
        <v>62</v>
      </c>
      <c r="F322" s="46" cm="1">
        <f t="array" ref="F322">_xlfn.IFS($G322=$G$5,F$5,$G322=$G$6,F$6,$G322=$G$7,F$7,$G322=$G$8,F$8,$G322=$G$9,F$9,$G322=$G$10,F$10,$G322=$G$11,F$11,$G322=$G$12,F$12,$G322=$G$13,F$13,$G322=$G$15,F$15,$G322=$G$16,F$16,$G322=$G$17,F$17,$G322=$G$18,F$18,$G322=$G$19,F$19,$G322=$G$20,F$20,$G322=$G$21,F$21,$G322=$G$22,F$22,$G322=$G$25,F$25,$G322=$G$26,F$26,$G322=$G$27,F$27,$G322=$G$29,F$29,$G322=$G$31,F$31,$G322=$G$32,F$32,$G322=$G$248,F$248,$G322=$G$250,F$250)</f>
        <v>8038</v>
      </c>
      <c r="G322" t="s">
        <v>84</v>
      </c>
      <c r="H322" s="66" cm="1">
        <f t="array" ref="H322">_xlfn.IFS($G322=$G$5,H$5,$G322=$G$6,H$6,$G322=$G$7,H$7,$G322=$G$8,H$8,$G322=$G$9,H$9,$G322=$G$10,H$10,$G322=$G$11,H$11,$G322=$G$12,H$12,$G322=$G$13,H$13,$G322=$G$15,H$15,$G322=$G$16,H$16,$G322=$G$17,H$17,$G322=$G$18,H$18,$G322=$G$19,H$19,$G322=$G$20,H$20,$G322=$G$21,H$21,$G322=$G$22,H$22,$G322=$G$25,H$25,$G322=$G$26,H$26,$G322=$G$27,H$27,$G322=$G$29,H$29,$G322=$G$31,H$31,$G322=$G$32,H$150,$G322=$G$248,H$248,$G322=$G$250,H$250)</f>
        <v>41.363377999999997</v>
      </c>
      <c r="I322" s="78" cm="1">
        <f t="array" ref="I322">_xlfn.IFS($G322=$G$5,I$5,$G322=$G$6,I$6,$G322=$G$7,I$7,$G322=$G$8,I$8,$G322=$G$9,I$9,$G322=$G$10,I$10,$G322=$G$11,I$11,$G322=$G$12,I$12,$G322=$G$13,I$13,$G322=$G$15,I$15,$G322=$G$16,I$16,$G322=$G$17,I$17,$G322=$G$18,I$18,$G322=$G$19,I$19,$G322=$G$20,I$20,$G322=$G$21,I$21,$G322=$G$22,I$22,$G322=$G$25,I$25,$G322=$G$26,I$26,$G322=$G$27,I$27,$G322=$G$29,I$29,$G322=$G$31,I$31,$G322=$G$32,I$150,$G322=$G$248,I$248,$G322=$G$250,I$250)</f>
        <v>2.164879</v>
      </c>
      <c r="J322" cm="1">
        <f t="array" ref="J322">_xlfn.IFS($G322=$G$5,J$5,$G322=$G$6,J$6,$G322=$G$7,J$7,$G322=$G$8,J$8,$G322=$G$9,J$9,$G322=$G$10,J$10,$G322=$G$11,J$11,$G322=$G$12,J$12,$G322=$G$13,J$13,$G322=$G$15,J$15,$G322=$G$16,J$16,$G322=$G$17,J$17,$G322=$G$18,J$18,$G322=$G$19,J$19,$G322=$G$20,J$20,$G322=$G$21,J$21,$G322=$G$22,J$22,$G322=$G$25,J$25,$G322=$G$26,J$26,$G322=$G$27,J$27,$G322=$G$29,J$29,$G322=$G$31,J$31,$G322=$G$32,J$150,$G322=$G$248,J$248,$G322=$G$250,J$250)</f>
        <v>185</v>
      </c>
      <c r="K322" t="str" cm="1">
        <f t="array" ref="K322">_xlfn.IFS($G322=$G$5,K$5,$G322=$G$6,K$6,$G322=$G$7,K$7,$G322=$G$8,K$8,$G322=$G$9,K$9,$G322=$G$10,K$10,$G322=$G$11,K$11,$G322=$G$12,K$12,$G322=$G$13,K$13,$G322=$G$15,K$15,$G322=$G$16,K$16,$G322=$G$17,K$17,$G322=$G$18,K$18,$G322=$G$19,K$19,$G322=$G$20,K$20,$G322=$G$21,K$21,$G322=$G$22,K$22,$G322=$G$25,K$25,$G322=$G$26,K$26,$G322=$G$27,K$27,$G322=$G$29,K$29,$G322=$G$31,K$31,$G322=$G$32,K$150,$G322=$G$248,K$248,$G322=$G$250,K$250)</f>
        <v>BG sentinel + BG lure7</v>
      </c>
      <c r="L322" s="48"/>
      <c r="M322" s="48"/>
      <c r="O322" s="45" t="str">
        <f t="shared" si="24"/>
        <v>A_SP_BCN_12_210701</v>
      </c>
      <c r="P322" s="64">
        <v>44378</v>
      </c>
      <c r="R322" s="72"/>
      <c r="S322" s="64">
        <v>44385</v>
      </c>
      <c r="U322" s="72"/>
      <c r="V322" s="54" t="s">
        <v>66</v>
      </c>
      <c r="X322" s="45">
        <f t="shared" si="23"/>
        <v>7</v>
      </c>
      <c r="Z322" s="45" t="s">
        <v>80</v>
      </c>
      <c r="AA322" s="45">
        <f t="shared" si="16"/>
        <v>4</v>
      </c>
      <c r="AB322" t="str">
        <f t="shared" si="21"/>
        <v>Adult</v>
      </c>
      <c r="AC322" s="69">
        <v>2</v>
      </c>
      <c r="AD322" s="69">
        <v>2</v>
      </c>
      <c r="AE322" s="45" t="str">
        <f t="shared" si="22"/>
        <v>Morphological</v>
      </c>
      <c r="AF322" s="56">
        <v>4</v>
      </c>
    </row>
    <row r="323" spans="1:32" ht="18" customHeight="1" x14ac:dyDescent="0.25">
      <c r="A323" s="45">
        <v>319</v>
      </c>
      <c r="B323" s="45" t="s">
        <v>60</v>
      </c>
      <c r="C323" s="45" t="s">
        <v>61</v>
      </c>
      <c r="D323" s="45" t="s">
        <v>62</v>
      </c>
      <c r="E323" s="45" t="s">
        <v>62</v>
      </c>
      <c r="F323" s="46" cm="1">
        <f t="array" ref="F323">_xlfn.IFS($G323=$G$5,F$5,$G323=$G$6,F$6,$G323=$G$7,F$7,$G323=$G$8,F$8,$G323=$G$9,F$9,$G323=$G$10,F$10,$G323=$G$11,F$11,$G323=$G$12,F$12,$G323=$G$13,F$13,$G323=$G$15,F$15,$G323=$G$16,F$16,$G323=$G$17,F$17,$G323=$G$18,F$18,$G323=$G$19,F$19,$G323=$G$20,F$20,$G323=$G$21,F$21,$G323=$G$22,F$22,$G323=$G$25,F$25,$G323=$G$26,F$26,$G323=$G$27,F$27,$G323=$G$29,F$29,$G323=$G$31,F$31,$G323=$G$32,F$32,$G323=$G$248,F$248,$G323=$G$250,F$250)</f>
        <v>8035</v>
      </c>
      <c r="G323" t="s">
        <v>85</v>
      </c>
      <c r="H323" s="66" cm="1">
        <f t="array" ref="H323">_xlfn.IFS($G323=$G$5,H$5,$G323=$G$6,H$6,$G323=$G$7,H$7,$G323=$G$8,H$8,$G323=$G$9,H$9,$G323=$G$10,H$10,$G323=$G$11,H$11,$G323=$G$12,H$12,$G323=$G$13,H$13,$G323=$G$15,H$15,$G323=$G$16,H$16,$G323=$G$17,H$17,$G323=$G$18,H$18,$G323=$G$19,H$19,$G323=$G$20,H$20,$G323=$G$21,H$21,$G323=$G$22,H$22,$G323=$G$25,H$25,$G323=$G$26,H$26,$G323=$G$27,H$27,$G323=$G$29,H$29,$G323=$G$31,H$31,$G323=$G$32,H$150,$G323=$G$248,H$248,$G323=$G$250,H$250)</f>
        <v>41.434472</v>
      </c>
      <c r="I323" s="78" cm="1">
        <f t="array" ref="I323">_xlfn.IFS($G323=$G$5,I$5,$G323=$G$6,I$6,$G323=$G$7,I$7,$G323=$G$8,I$8,$G323=$G$9,I$9,$G323=$G$10,I$10,$G323=$G$11,I$11,$G323=$G$12,I$12,$G323=$G$13,I$13,$G323=$G$15,I$15,$G323=$G$16,I$16,$G323=$G$17,I$17,$G323=$G$18,I$18,$G323=$G$19,I$19,$G323=$G$20,I$20,$G323=$G$21,I$21,$G323=$G$22,I$22,$G323=$G$25,I$25,$G323=$G$26,I$26,$G323=$G$27,I$27,$G323=$G$29,I$29,$G323=$G$31,I$31,$G323=$G$32,I$150,$G323=$G$248,I$248,$G323=$G$250,I$250)</f>
        <v>2.1315789999999999</v>
      </c>
      <c r="J323" cm="1">
        <f t="array" ref="J323">_xlfn.IFS($G323=$G$5,J$5,$G323=$G$6,J$6,$G323=$G$7,J$7,$G323=$G$8,J$8,$G323=$G$9,J$9,$G323=$G$10,J$10,$G323=$G$11,J$11,$G323=$G$12,J$12,$G323=$G$13,J$13,$G323=$G$15,J$15,$G323=$G$16,J$16,$G323=$G$17,J$17,$G323=$G$18,J$18,$G323=$G$19,J$19,$G323=$G$20,J$20,$G323=$G$21,J$21,$G323=$G$22,J$22,$G323=$G$25,J$25,$G323=$G$26,J$26,$G323=$G$27,J$27,$G323=$G$29,J$29,$G323=$G$31,J$31,$G323=$G$32,J$150,$G323=$G$248,J$248,$G323=$G$250,J$250)</f>
        <v>365</v>
      </c>
      <c r="K323" t="str" cm="1">
        <f t="array" ref="K323">_xlfn.IFS($G323=$G$5,K$5,$G323=$G$6,K$6,$G323=$G$7,K$7,$G323=$G$8,K$8,$G323=$G$9,K$9,$G323=$G$10,K$10,$G323=$G$11,K$11,$G323=$G$12,K$12,$G323=$G$13,K$13,$G323=$G$15,K$15,$G323=$G$16,K$16,$G323=$G$17,K$17,$G323=$G$18,K$18,$G323=$G$19,K$19,$G323=$G$20,K$20,$G323=$G$21,K$21,$G323=$G$22,K$22,$G323=$G$25,K$25,$G323=$G$26,K$26,$G323=$G$27,K$27,$G323=$G$29,K$29,$G323=$G$31,K$31,$G323=$G$32,K$150,$G323=$G$248,K$248,$G323=$G$250,K$250)</f>
        <v>BG sentinel + BG lure7</v>
      </c>
      <c r="L323" s="48"/>
      <c r="M323" s="48"/>
      <c r="O323" s="45" t="str">
        <f t="shared" si="24"/>
        <v>A_SP_BCN_13_210630</v>
      </c>
      <c r="P323" s="64">
        <v>44377</v>
      </c>
      <c r="R323" s="72"/>
      <c r="S323" s="64">
        <v>44384</v>
      </c>
      <c r="U323" s="72"/>
      <c r="V323" s="54" t="s">
        <v>66</v>
      </c>
      <c r="X323" s="45">
        <f t="shared" si="23"/>
        <v>7</v>
      </c>
      <c r="Z323" s="45" t="s">
        <v>80</v>
      </c>
      <c r="AA323" s="45">
        <f t="shared" si="16"/>
        <v>8</v>
      </c>
      <c r="AB323" t="str">
        <f t="shared" si="21"/>
        <v>Adult</v>
      </c>
      <c r="AC323" s="69">
        <v>5</v>
      </c>
      <c r="AD323" s="69">
        <v>3</v>
      </c>
      <c r="AE323" s="45" t="str">
        <f t="shared" si="22"/>
        <v>Morphological</v>
      </c>
      <c r="AF323" s="56">
        <v>4</v>
      </c>
    </row>
    <row r="324" spans="1:32" ht="18" customHeight="1" x14ac:dyDescent="0.25">
      <c r="A324" s="45">
        <v>320</v>
      </c>
      <c r="B324" s="45" t="s">
        <v>60</v>
      </c>
      <c r="C324" s="45" t="s">
        <v>61</v>
      </c>
      <c r="D324" s="45" t="s">
        <v>62</v>
      </c>
      <c r="E324" s="45" t="s">
        <v>62</v>
      </c>
      <c r="F324" s="46" cm="1">
        <f t="array" ref="F324">_xlfn.IFS($G324=$G$5,F$5,$G324=$G$6,F$6,$G324=$G$7,F$7,$G324=$G$8,F$8,$G324=$G$9,F$9,$G324=$G$10,F$10,$G324=$G$11,F$11,$G324=$G$12,F$12,$G324=$G$13,F$13,$G324=$G$15,F$15,$G324=$G$16,F$16,$G324=$G$17,F$17,$G324=$G$18,F$18,$G324=$G$19,F$19,$G324=$G$20,F$20,$G324=$G$21,F$21,$G324=$G$22,F$22,$G324=$G$25,F$25,$G324=$G$26,F$26,$G324=$G$27,F$27,$G324=$G$29,F$29,$G324=$G$31,F$31,$G324=$G$32,F$32,$G324=$G$248,F$248,$G324=$G$250,F$250)</f>
        <v>8017</v>
      </c>
      <c r="G324" t="s">
        <v>86</v>
      </c>
      <c r="H324" s="66" cm="1">
        <f t="array" ref="H324">_xlfn.IFS($G324=$G$5,H$5,$G324=$G$6,H$6,$G324=$G$7,H$7,$G324=$G$8,H$8,$G324=$G$9,H$9,$G324=$G$10,H$10,$G324=$G$11,H$11,$G324=$G$12,H$12,$G324=$G$13,H$13,$G324=$G$15,H$15,$G324=$G$16,H$16,$G324=$G$17,H$17,$G324=$G$18,H$18,$G324=$G$19,H$19,$G324=$G$20,H$20,$G324=$G$21,H$21,$G324=$G$22,H$22,$G324=$G$25,H$25,$G324=$G$26,H$26,$G324=$G$27,H$27,$G324=$G$29,H$29,$G324=$G$31,H$31,$G324=$G$32,H$150,$G324=$G$248,H$248,$G324=$G$250,H$250)</f>
        <v>41.428533999999999</v>
      </c>
      <c r="I324" s="78" cm="1">
        <f t="array" ref="I324">_xlfn.IFS($G324=$G$5,I$5,$G324=$G$6,I$6,$G324=$G$7,I$7,$G324=$G$8,I$8,$G324=$G$9,I$9,$G324=$G$10,I$10,$G324=$G$11,I$11,$G324=$G$12,I$12,$G324=$G$13,I$13,$G324=$G$15,I$15,$G324=$G$16,I$16,$G324=$G$17,I$17,$G324=$G$18,I$18,$G324=$G$19,I$19,$G324=$G$20,I$20,$G324=$G$21,I$21,$G324=$G$22,I$22,$G324=$G$25,I$25,$G324=$G$26,I$26,$G324=$G$27,I$27,$G324=$G$29,I$29,$G324=$G$31,I$31,$G324=$G$32,I$150,$G324=$G$248,I$248,$G324=$G$250,I$250)</f>
        <v>2.090954</v>
      </c>
      <c r="J324" cm="1">
        <f t="array" ref="J324">_xlfn.IFS($G324=$G$5,J$5,$G324=$G$6,J$6,$G324=$G$7,J$7,$G324=$G$8,J$8,$G324=$G$9,J$9,$G324=$G$10,J$10,$G324=$G$11,J$11,$G324=$G$12,J$12,$G324=$G$13,J$13,$G324=$G$15,J$15,$G324=$G$16,J$16,$G324=$G$17,J$17,$G324=$G$18,J$18,$G324=$G$19,J$19,$G324=$G$20,J$20,$G324=$G$21,J$21,$G324=$G$22,J$22,$G324=$G$25,J$25,$G324=$G$26,J$26,$G324=$G$27,J$27,$G324=$G$29,J$29,$G324=$G$31,J$31,$G324=$G$32,J$150,$G324=$G$248,J$248,$G324=$G$250,J$250)</f>
        <v>215</v>
      </c>
      <c r="K324" t="str" cm="1">
        <f t="array" ref="K324">_xlfn.IFS($G324=$G$5,K$5,$G324=$G$6,K$6,$G324=$G$7,K$7,$G324=$G$8,K$8,$G324=$G$9,K$9,$G324=$G$10,K$10,$G324=$G$11,K$11,$G324=$G$12,K$12,$G324=$G$13,K$13,$G324=$G$15,K$15,$G324=$G$16,K$16,$G324=$G$17,K$17,$G324=$G$18,K$18,$G324=$G$19,K$19,$G324=$G$20,K$20,$G324=$G$21,K$21,$G324=$G$22,K$22,$G324=$G$25,K$25,$G324=$G$26,K$26,$G324=$G$27,K$27,$G324=$G$29,K$29,$G324=$G$31,K$31,$G324=$G$32,K$150,$G324=$G$248,K$248,$G324=$G$250,K$250)</f>
        <v>BG sentinel + BG lure7</v>
      </c>
      <c r="L324" s="48"/>
      <c r="M324" s="48"/>
      <c r="O324" s="45" t="str">
        <f t="shared" si="24"/>
        <v>A_SP_BCN_14_210630</v>
      </c>
      <c r="P324" s="64">
        <v>44377</v>
      </c>
      <c r="R324" s="72"/>
      <c r="S324" s="64">
        <v>44384</v>
      </c>
      <c r="U324" s="72"/>
      <c r="V324" s="54" t="s">
        <v>66</v>
      </c>
      <c r="X324" s="45">
        <f t="shared" si="23"/>
        <v>7</v>
      </c>
      <c r="Z324" s="69" t="s">
        <v>69</v>
      </c>
      <c r="AA324" s="45">
        <f t="shared" si="16"/>
        <v>1</v>
      </c>
      <c r="AB324" t="str">
        <f t="shared" si="21"/>
        <v>Adult</v>
      </c>
      <c r="AC324" s="69">
        <v>1</v>
      </c>
      <c r="AD324" s="69">
        <v>0</v>
      </c>
      <c r="AE324" s="45" t="str">
        <f t="shared" si="22"/>
        <v>Morphological</v>
      </c>
      <c r="AF324" s="56">
        <v>4</v>
      </c>
    </row>
    <row r="325" spans="1:32" ht="18" customHeight="1" x14ac:dyDescent="0.25">
      <c r="A325" s="45">
        <v>321</v>
      </c>
      <c r="B325" s="45" t="s">
        <v>60</v>
      </c>
      <c r="C325" s="45" t="s">
        <v>61</v>
      </c>
      <c r="D325" s="45" t="s">
        <v>62</v>
      </c>
      <c r="E325" s="45" t="s">
        <v>62</v>
      </c>
      <c r="F325" s="46" cm="1">
        <f t="array" ref="F325">_xlfn.IFS($G325=$G$5,F$5,$G325=$G$6,F$6,$G325=$G$7,F$7,$G325=$G$8,F$8,$G325=$G$9,F$9,$G325=$G$10,F$10,$G325=$G$11,F$11,$G325=$G$12,F$12,$G325=$G$13,F$13,$G325=$G$15,F$15,$G325=$G$16,F$16,$G325=$G$17,F$17,$G325=$G$18,F$18,$G325=$G$19,F$19,$G325=$G$20,F$20,$G325=$G$21,F$21,$G325=$G$22,F$22,$G325=$G$25,F$25,$G325=$G$26,F$26,$G325=$G$27,F$27,$G325=$G$29,F$29,$G325=$G$31,F$31,$G325=$G$32,F$32,$G325=$G$248,F$248,$G325=$G$250,F$250)</f>
        <v>8017</v>
      </c>
      <c r="G325" t="s">
        <v>86</v>
      </c>
      <c r="H325" s="66" cm="1">
        <f t="array" ref="H325">_xlfn.IFS($G325=$G$5,H$5,$G325=$G$6,H$6,$G325=$G$7,H$7,$G325=$G$8,H$8,$G325=$G$9,H$9,$G325=$G$10,H$10,$G325=$G$11,H$11,$G325=$G$12,H$12,$G325=$G$13,H$13,$G325=$G$15,H$15,$G325=$G$16,H$16,$G325=$G$17,H$17,$G325=$G$18,H$18,$G325=$G$19,H$19,$G325=$G$20,H$20,$G325=$G$21,H$21,$G325=$G$22,H$22,$G325=$G$25,H$25,$G325=$G$26,H$26,$G325=$G$27,H$27,$G325=$G$29,H$29,$G325=$G$31,H$31,$G325=$G$32,H$150,$G325=$G$248,H$248,$G325=$G$250,H$250)</f>
        <v>41.428533999999999</v>
      </c>
      <c r="I325" s="78" cm="1">
        <f t="array" ref="I325">_xlfn.IFS($G325=$G$5,I$5,$G325=$G$6,I$6,$G325=$G$7,I$7,$G325=$G$8,I$8,$G325=$G$9,I$9,$G325=$G$10,I$10,$G325=$G$11,I$11,$G325=$G$12,I$12,$G325=$G$13,I$13,$G325=$G$15,I$15,$G325=$G$16,I$16,$G325=$G$17,I$17,$G325=$G$18,I$18,$G325=$G$19,I$19,$G325=$G$20,I$20,$G325=$G$21,I$21,$G325=$G$22,I$22,$G325=$G$25,I$25,$G325=$G$26,I$26,$G325=$G$27,I$27,$G325=$G$29,I$29,$G325=$G$31,I$31,$G325=$G$32,I$150,$G325=$G$248,I$248,$G325=$G$250,I$250)</f>
        <v>2.090954</v>
      </c>
      <c r="J325" cm="1">
        <f t="array" ref="J325">_xlfn.IFS($G325=$G$5,J$5,$G325=$G$6,J$6,$G325=$G$7,J$7,$G325=$G$8,J$8,$G325=$G$9,J$9,$G325=$G$10,J$10,$G325=$G$11,J$11,$G325=$G$12,J$12,$G325=$G$13,J$13,$G325=$G$15,J$15,$G325=$G$16,J$16,$G325=$G$17,J$17,$G325=$G$18,J$18,$G325=$G$19,J$19,$G325=$G$20,J$20,$G325=$G$21,J$21,$G325=$G$22,J$22,$G325=$G$25,J$25,$G325=$G$26,J$26,$G325=$G$27,J$27,$G325=$G$29,J$29,$G325=$G$31,J$31,$G325=$G$32,J$150,$G325=$G$248,J$248,$G325=$G$250,J$250)</f>
        <v>215</v>
      </c>
      <c r="K325" t="str" cm="1">
        <f t="array" ref="K325">_xlfn.IFS($G325=$G$5,K$5,$G325=$G$6,K$6,$G325=$G$7,K$7,$G325=$G$8,K$8,$G325=$G$9,K$9,$G325=$G$10,K$10,$G325=$G$11,K$11,$G325=$G$12,K$12,$G325=$G$13,K$13,$G325=$G$15,K$15,$G325=$G$16,K$16,$G325=$G$17,K$17,$G325=$G$18,K$18,$G325=$G$19,K$19,$G325=$G$20,K$20,$G325=$G$21,K$21,$G325=$G$22,K$22,$G325=$G$25,K$25,$G325=$G$26,K$26,$G325=$G$27,K$27,$G325=$G$29,K$29,$G325=$G$31,K$31,$G325=$G$32,K$150,$G325=$G$248,K$248,$G325=$G$250,K$250)</f>
        <v>BG sentinel + BG lure7</v>
      </c>
      <c r="L325" s="48"/>
      <c r="M325" s="48"/>
      <c r="O325" s="45" t="str">
        <f t="shared" si="24"/>
        <v>A_SP_BCN_14_210630</v>
      </c>
      <c r="P325" s="64">
        <v>44377</v>
      </c>
      <c r="R325" s="72"/>
      <c r="S325" s="64">
        <v>44384</v>
      </c>
      <c r="U325" s="72"/>
      <c r="V325" s="54" t="s">
        <v>66</v>
      </c>
      <c r="X325" s="45">
        <f t="shared" si="23"/>
        <v>7</v>
      </c>
      <c r="Z325" s="45" t="s">
        <v>70</v>
      </c>
      <c r="AA325" s="45">
        <f t="shared" si="16"/>
        <v>1</v>
      </c>
      <c r="AB325" t="str">
        <f t="shared" si="21"/>
        <v>Adult</v>
      </c>
      <c r="AC325" s="69">
        <v>1</v>
      </c>
      <c r="AD325" s="69">
        <v>0</v>
      </c>
      <c r="AE325" s="45" t="str">
        <f t="shared" si="22"/>
        <v>Morphological</v>
      </c>
      <c r="AF325" s="56">
        <v>4</v>
      </c>
    </row>
    <row r="326" spans="1:32" ht="18" customHeight="1" x14ac:dyDescent="0.25">
      <c r="A326" s="45">
        <v>322</v>
      </c>
      <c r="B326" s="45" t="s">
        <v>60</v>
      </c>
      <c r="C326" s="45" t="s">
        <v>61</v>
      </c>
      <c r="D326" s="45" t="s">
        <v>62</v>
      </c>
      <c r="E326" s="45" t="s">
        <v>62</v>
      </c>
      <c r="F326" s="46" cm="1">
        <f t="array" ref="F326">_xlfn.IFS($G326=$G$5,F$5,$G326=$G$6,F$6,$G326=$G$7,F$7,$G326=$G$8,F$8,$G326=$G$9,F$9,$G326=$G$10,F$10,$G326=$G$11,F$11,$G326=$G$12,F$12,$G326=$G$13,F$13,$G326=$G$15,F$15,$G326=$G$16,F$16,$G326=$G$17,F$17,$G326=$G$18,F$18,$G326=$G$19,F$19,$G326=$G$20,F$20,$G326=$G$21,F$21,$G326=$G$22,F$22,$G326=$G$25,F$25,$G326=$G$26,F$26,$G326=$G$27,F$27,$G326=$G$29,F$29,$G326=$G$31,F$31,$G326=$G$32,F$32,$G326=$G$248,F$248,$G326=$G$250,F$250)</f>
        <v>8017</v>
      </c>
      <c r="G326" t="s">
        <v>87</v>
      </c>
      <c r="H326" s="66" cm="1">
        <f t="array" ref="H326">_xlfn.IFS($G326=$G$5,H$5,$G326=$G$6,H$6,$G326=$G$7,H$7,$G326=$G$8,H$8,$G326=$G$9,H$9,$G326=$G$10,H$10,$G326=$G$11,H$11,$G326=$G$12,H$12,$G326=$G$13,H$13,$G326=$G$15,H$15,$G326=$G$16,H$16,$G326=$G$17,H$17,$G326=$G$18,H$18,$G326=$G$19,H$19,$G326=$G$20,H$20,$G326=$G$21,H$21,$G326=$G$22,H$22,$G326=$G$25,H$25,$G326=$G$26,H$26,$G326=$G$27,H$27,$G326=$G$29,H$29,$G326=$G$31,H$31,$G326=$G$32,H$150,$G326=$G$248,H$248,$G326=$G$250,H$250)</f>
        <v>41.419471000000001</v>
      </c>
      <c r="I326" s="78" cm="1">
        <f t="array" ref="I326">_xlfn.IFS($G326=$G$5,I$5,$G326=$G$6,I$6,$G326=$G$7,I$7,$G326=$G$8,I$8,$G326=$G$9,I$9,$G326=$G$10,I$10,$G326=$G$11,I$11,$G326=$G$12,I$12,$G326=$G$13,I$13,$G326=$G$15,I$15,$G326=$G$16,I$16,$G326=$G$17,I$17,$G326=$G$18,I$18,$G326=$G$19,I$19,$G326=$G$20,I$20,$G326=$G$21,I$21,$G326=$G$22,I$22,$G326=$G$25,I$25,$G326=$G$26,I$26,$G326=$G$27,I$27,$G326=$G$29,I$29,$G326=$G$31,I$31,$G326=$G$32,I$150,$G326=$G$248,I$248,$G326=$G$250,I$250)</f>
        <v>2.1010149999999999</v>
      </c>
      <c r="J326" cm="1">
        <f t="array" ref="J326">_xlfn.IFS($G326=$G$5,J$5,$G326=$G$6,J$6,$G326=$G$7,J$7,$G326=$G$8,J$8,$G326=$G$9,J$9,$G326=$G$10,J$10,$G326=$G$11,J$11,$G326=$G$12,J$12,$G326=$G$13,J$13,$G326=$G$15,J$15,$G326=$G$16,J$16,$G326=$G$17,J$17,$G326=$G$18,J$18,$G326=$G$19,J$19,$G326=$G$20,J$20,$G326=$G$21,J$21,$G326=$G$22,J$22,$G326=$G$25,J$25,$G326=$G$26,J$26,$G326=$G$27,J$27,$G326=$G$29,J$29,$G326=$G$31,J$31,$G326=$G$32,J$150,$G326=$G$248,J$248,$G326=$G$250,J$250)</f>
        <v>284</v>
      </c>
      <c r="K326" t="str" cm="1">
        <f t="array" ref="K326">_xlfn.IFS($G326=$G$5,K$5,$G326=$G$6,K$6,$G326=$G$7,K$7,$G326=$G$8,K$8,$G326=$G$9,K$9,$G326=$G$10,K$10,$G326=$G$11,K$11,$G326=$G$12,K$12,$G326=$G$13,K$13,$G326=$G$15,K$15,$G326=$G$16,K$16,$G326=$G$17,K$17,$G326=$G$18,K$18,$G326=$G$19,K$19,$G326=$G$20,K$20,$G326=$G$21,K$21,$G326=$G$22,K$22,$G326=$G$25,K$25,$G326=$G$26,K$26,$G326=$G$27,K$27,$G326=$G$29,K$29,$G326=$G$31,K$31,$G326=$G$32,K$150,$G326=$G$248,K$248,$G326=$G$250,K$250)</f>
        <v>BG sentinel + BG lure7</v>
      </c>
      <c r="L326" s="48"/>
      <c r="M326" s="48"/>
      <c r="O326" s="45" t="str">
        <f t="shared" si="24"/>
        <v>A_SP_BCN_15_210630</v>
      </c>
      <c r="P326" s="64">
        <v>44377</v>
      </c>
      <c r="R326" s="72"/>
      <c r="S326" s="64">
        <v>44384</v>
      </c>
      <c r="U326" s="72"/>
      <c r="V326" s="54" t="s">
        <v>66</v>
      </c>
      <c r="X326" s="45">
        <f t="shared" si="23"/>
        <v>7</v>
      </c>
      <c r="Z326" s="69" t="s">
        <v>69</v>
      </c>
      <c r="AA326" s="45">
        <f t="shared" si="16"/>
        <v>3</v>
      </c>
      <c r="AB326" t="str">
        <f t="shared" si="21"/>
        <v>Adult</v>
      </c>
      <c r="AC326" s="69">
        <v>3</v>
      </c>
      <c r="AD326" s="69">
        <v>0</v>
      </c>
      <c r="AE326" s="45" t="str">
        <f t="shared" si="22"/>
        <v>Morphological</v>
      </c>
      <c r="AF326" s="56">
        <v>4</v>
      </c>
    </row>
    <row r="327" spans="1:32" ht="18" customHeight="1" x14ac:dyDescent="0.25">
      <c r="A327" s="45">
        <v>323</v>
      </c>
      <c r="B327" s="45" t="s">
        <v>60</v>
      </c>
      <c r="C327" s="45" t="s">
        <v>61</v>
      </c>
      <c r="D327" s="45" t="s">
        <v>62</v>
      </c>
      <c r="E327" s="45" t="s">
        <v>62</v>
      </c>
      <c r="F327" s="46" cm="1">
        <f t="array" ref="F327">_xlfn.IFS($G327=$G$5,F$5,$G327=$G$6,F$6,$G327=$G$7,F$7,$G327=$G$8,F$8,$G327=$G$9,F$9,$G327=$G$10,F$10,$G327=$G$11,F$11,$G327=$G$12,F$12,$G327=$G$13,F$13,$G327=$G$15,F$15,$G327=$G$16,F$16,$G327=$G$17,F$17,$G327=$G$18,F$18,$G327=$G$19,F$19,$G327=$G$20,F$20,$G327=$G$21,F$21,$G327=$G$22,F$22,$G327=$G$25,F$25,$G327=$G$26,F$26,$G327=$G$27,F$27,$G327=$G$29,F$29,$G327=$G$31,F$31,$G327=$G$32,F$32,$G327=$G$248,F$248,$G327=$G$250,F$250)</f>
        <v>8017</v>
      </c>
      <c r="G327" t="s">
        <v>88</v>
      </c>
      <c r="H327" s="66" cm="1">
        <f t="array" ref="H327">_xlfn.IFS($G327=$G$5,H$5,$G327=$G$6,H$6,$G327=$G$7,H$7,$G327=$G$8,H$8,$G327=$G$9,H$9,$G327=$G$10,H$10,$G327=$G$11,H$11,$G327=$G$12,H$12,$G327=$G$13,H$13,$G327=$G$15,H$15,$G327=$G$16,H$16,$G327=$G$17,H$17,$G327=$G$18,H$18,$G327=$G$19,H$19,$G327=$G$20,H$20,$G327=$G$21,H$21,$G327=$G$22,H$22,$G327=$G$25,H$25,$G327=$G$26,H$26,$G327=$G$27,H$27,$G327=$G$29,H$29,$G327=$G$31,H$31,$G327=$G$32,H$150,$G327=$G$248,H$248,$G327=$G$250,H$250)</f>
        <v>41.398387</v>
      </c>
      <c r="I327" s="78" cm="1">
        <f t="array" ref="I327">_xlfn.IFS($G327=$G$5,I$5,$G327=$G$6,I$6,$G327=$G$7,I$7,$G327=$G$8,I$8,$G327=$G$9,I$9,$G327=$G$10,I$10,$G327=$G$11,I$11,$G327=$G$12,I$12,$G327=$G$13,I$13,$G327=$G$15,I$15,$G327=$G$16,I$16,$G327=$G$17,I$17,$G327=$G$18,I$18,$G327=$G$19,I$19,$G327=$G$20,I$20,$G327=$G$21,I$21,$G327=$G$22,I$22,$G327=$G$25,I$25,$G327=$G$26,I$26,$G327=$G$27,I$27,$G327=$G$29,I$29,$G327=$G$31,I$31,$G327=$G$32,I$150,$G327=$G$248,I$248,$G327=$G$250,I$250)</f>
        <v>2.1244429999999999</v>
      </c>
      <c r="J327" cm="1">
        <f t="array" ref="J327">_xlfn.IFS($G327=$G$5,J$5,$G327=$G$6,J$6,$G327=$G$7,J$7,$G327=$G$8,J$8,$G327=$G$9,J$9,$G327=$G$10,J$10,$G327=$G$11,J$11,$G327=$G$12,J$12,$G327=$G$13,J$13,$G327=$G$15,J$15,$G327=$G$16,J$16,$G327=$G$17,J$17,$G327=$G$18,J$18,$G327=$G$19,J$19,$G327=$G$20,J$20,$G327=$G$21,J$21,$G327=$G$22,J$22,$G327=$G$25,J$25,$G327=$G$26,J$26,$G327=$G$27,J$27,$G327=$G$29,J$29,$G327=$G$31,J$31,$G327=$G$32,J$150,$G327=$G$248,J$248,$G327=$G$250,J$250)</f>
        <v>106</v>
      </c>
      <c r="K327" t="str" cm="1">
        <f t="array" ref="K327">_xlfn.IFS($G327=$G$5,K$5,$G327=$G$6,K$6,$G327=$G$7,K$7,$G327=$G$8,K$8,$G327=$G$9,K$9,$G327=$G$10,K$10,$G327=$G$11,K$11,$G327=$G$12,K$12,$G327=$G$13,K$13,$G327=$G$15,K$15,$G327=$G$16,K$16,$G327=$G$17,K$17,$G327=$G$18,K$18,$G327=$G$19,K$19,$G327=$G$20,K$20,$G327=$G$21,K$21,$G327=$G$22,K$22,$G327=$G$25,K$25,$G327=$G$26,K$26,$G327=$G$27,K$27,$G327=$G$29,K$29,$G327=$G$31,K$31,$G327=$G$32,K$150,$G327=$G$248,K$248,$G327=$G$250,K$250)</f>
        <v>BG sentinel + BG lure7</v>
      </c>
      <c r="L327" s="48"/>
      <c r="M327" s="48"/>
      <c r="O327" s="45" t="str">
        <f t="shared" si="24"/>
        <v>A_SP_BCN_16_210630</v>
      </c>
      <c r="P327" s="64">
        <v>44377</v>
      </c>
      <c r="R327" s="72"/>
      <c r="S327" s="64">
        <v>44384</v>
      </c>
      <c r="U327" s="72"/>
      <c r="V327" s="54" t="s">
        <v>66</v>
      </c>
      <c r="X327" s="45">
        <f t="shared" si="23"/>
        <v>7</v>
      </c>
      <c r="Z327" s="69" t="s">
        <v>69</v>
      </c>
      <c r="AA327" s="45">
        <f t="shared" si="16"/>
        <v>3</v>
      </c>
      <c r="AB327" t="str">
        <f t="shared" si="21"/>
        <v>Adult</v>
      </c>
      <c r="AC327" s="69">
        <v>3</v>
      </c>
      <c r="AD327" s="69">
        <v>0</v>
      </c>
      <c r="AE327" s="45" t="str">
        <f t="shared" si="22"/>
        <v>Morphological</v>
      </c>
      <c r="AF327" s="56">
        <v>4</v>
      </c>
    </row>
    <row r="328" spans="1:32" ht="18" customHeight="1" x14ac:dyDescent="0.25">
      <c r="A328" s="45">
        <v>324</v>
      </c>
      <c r="B328" s="45" t="s">
        <v>60</v>
      </c>
      <c r="C328" s="45" t="s">
        <v>61</v>
      </c>
      <c r="D328" s="45" t="s">
        <v>62</v>
      </c>
      <c r="E328" s="45" t="s">
        <v>62</v>
      </c>
      <c r="F328" s="46" cm="1">
        <f t="array" ref="F328">_xlfn.IFS($G328=$G$5,F$5,$G328=$G$6,F$6,$G328=$G$7,F$7,$G328=$G$8,F$8,$G328=$G$9,F$9,$G328=$G$10,F$10,$G328=$G$11,F$11,$G328=$G$12,F$12,$G328=$G$13,F$13,$G328=$G$15,F$15,$G328=$G$16,F$16,$G328=$G$17,F$17,$G328=$G$18,F$18,$G328=$G$19,F$19,$G328=$G$20,F$20,$G328=$G$21,F$21,$G328=$G$22,F$22,$G328=$G$25,F$25,$G328=$G$26,F$26,$G328=$G$27,F$27,$G328=$G$29,F$29,$G328=$G$31,F$31,$G328=$G$32,F$32,$G328=$G$248,F$248,$G328=$G$250,F$250)</f>
        <v>8017</v>
      </c>
      <c r="G328" t="s">
        <v>88</v>
      </c>
      <c r="H328" s="66" cm="1">
        <f t="array" ref="H328">_xlfn.IFS($G328=$G$5,H$5,$G328=$G$6,H$6,$G328=$G$7,H$7,$G328=$G$8,H$8,$G328=$G$9,H$9,$G328=$G$10,H$10,$G328=$G$11,H$11,$G328=$G$12,H$12,$G328=$G$13,H$13,$G328=$G$15,H$15,$G328=$G$16,H$16,$G328=$G$17,H$17,$G328=$G$18,H$18,$G328=$G$19,H$19,$G328=$G$20,H$20,$G328=$G$21,H$21,$G328=$G$22,H$22,$G328=$G$25,H$25,$G328=$G$26,H$26,$G328=$G$27,H$27,$G328=$G$29,H$29,$G328=$G$31,H$31,$G328=$G$32,H$150,$G328=$G$248,H$248,$G328=$G$250,H$250)</f>
        <v>41.398387</v>
      </c>
      <c r="I328" s="78" cm="1">
        <f t="array" ref="I328">_xlfn.IFS($G328=$G$5,I$5,$G328=$G$6,I$6,$G328=$G$7,I$7,$G328=$G$8,I$8,$G328=$G$9,I$9,$G328=$G$10,I$10,$G328=$G$11,I$11,$G328=$G$12,I$12,$G328=$G$13,I$13,$G328=$G$15,I$15,$G328=$G$16,I$16,$G328=$G$17,I$17,$G328=$G$18,I$18,$G328=$G$19,I$19,$G328=$G$20,I$20,$G328=$G$21,I$21,$G328=$G$22,I$22,$G328=$G$25,I$25,$G328=$G$26,I$26,$G328=$G$27,I$27,$G328=$G$29,I$29,$G328=$G$31,I$31,$G328=$G$32,I$150,$G328=$G$248,I$248,$G328=$G$250,I$250)</f>
        <v>2.1244429999999999</v>
      </c>
      <c r="J328" cm="1">
        <f t="array" ref="J328">_xlfn.IFS($G328=$G$5,J$5,$G328=$G$6,J$6,$G328=$G$7,J$7,$G328=$G$8,J$8,$G328=$G$9,J$9,$G328=$G$10,J$10,$G328=$G$11,J$11,$G328=$G$12,J$12,$G328=$G$13,J$13,$G328=$G$15,J$15,$G328=$G$16,J$16,$G328=$G$17,J$17,$G328=$G$18,J$18,$G328=$G$19,J$19,$G328=$G$20,J$20,$G328=$G$21,J$21,$G328=$G$22,J$22,$G328=$G$25,J$25,$G328=$G$26,J$26,$G328=$G$27,J$27,$G328=$G$29,J$29,$G328=$G$31,J$31,$G328=$G$32,J$150,$G328=$G$248,J$248,$G328=$G$250,J$250)</f>
        <v>106</v>
      </c>
      <c r="K328" t="str" cm="1">
        <f t="array" ref="K328">_xlfn.IFS($G328=$G$5,K$5,$G328=$G$6,K$6,$G328=$G$7,K$7,$G328=$G$8,K$8,$G328=$G$9,K$9,$G328=$G$10,K$10,$G328=$G$11,K$11,$G328=$G$12,K$12,$G328=$G$13,K$13,$G328=$G$15,K$15,$G328=$G$16,K$16,$G328=$G$17,K$17,$G328=$G$18,K$18,$G328=$G$19,K$19,$G328=$G$20,K$20,$G328=$G$21,K$21,$G328=$G$22,K$22,$G328=$G$25,K$25,$G328=$G$26,K$26,$G328=$G$27,K$27,$G328=$G$29,K$29,$G328=$G$31,K$31,$G328=$G$32,K$150,$G328=$G$248,K$248,$G328=$G$250,K$250)</f>
        <v>BG sentinel + BG lure7</v>
      </c>
      <c r="L328" s="48"/>
      <c r="M328" s="48"/>
      <c r="O328" s="45" t="str">
        <f t="shared" si="24"/>
        <v>A_SP_BCN_16_210630</v>
      </c>
      <c r="P328" s="64">
        <v>44377</v>
      </c>
      <c r="R328" s="72"/>
      <c r="S328" s="64">
        <v>44384</v>
      </c>
      <c r="U328" s="72"/>
      <c r="V328" s="54" t="s">
        <v>66</v>
      </c>
      <c r="X328" s="45">
        <f t="shared" si="23"/>
        <v>7</v>
      </c>
      <c r="Z328" s="45" t="s">
        <v>70</v>
      </c>
      <c r="AA328" s="45">
        <f t="shared" si="16"/>
        <v>7</v>
      </c>
      <c r="AB328" t="str">
        <f t="shared" si="21"/>
        <v>Adult</v>
      </c>
      <c r="AC328" s="69">
        <v>2</v>
      </c>
      <c r="AD328" s="69">
        <v>5</v>
      </c>
      <c r="AE328" s="45" t="str">
        <f t="shared" si="22"/>
        <v>Morphological</v>
      </c>
      <c r="AF328" s="56">
        <v>4</v>
      </c>
    </row>
    <row r="329" spans="1:32" ht="18" customHeight="1" x14ac:dyDescent="0.25">
      <c r="A329" s="45">
        <v>325</v>
      </c>
      <c r="B329" s="45" t="s">
        <v>60</v>
      </c>
      <c r="C329" s="45" t="s">
        <v>61</v>
      </c>
      <c r="D329" s="45" t="s">
        <v>62</v>
      </c>
      <c r="E329" s="45" t="s">
        <v>62</v>
      </c>
      <c r="F329" s="46" cm="1">
        <f t="array" ref="F329">_xlfn.IFS($G329=$G$5,F$5,$G329=$G$6,F$6,$G329=$G$7,F$7,$G329=$G$8,F$8,$G329=$G$9,F$9,$G329=$G$10,F$10,$G329=$G$11,F$11,$G329=$G$12,F$12,$G329=$G$13,F$13,$G329=$G$15,F$15,$G329=$G$16,F$16,$G329=$G$17,F$17,$G329=$G$18,F$18,$G329=$G$19,F$19,$G329=$G$20,F$20,$G329=$G$21,F$21,$G329=$G$22,F$22,$G329=$G$25,F$25,$G329=$G$26,F$26,$G329=$G$27,F$27,$G329=$G$29,F$29,$G329=$G$31,F$31,$G329=$G$32,F$32,$G329=$G$248,F$248,$G329=$G$250,F$250)</f>
        <v>8017</v>
      </c>
      <c r="G329" t="s">
        <v>88</v>
      </c>
      <c r="H329" s="66" cm="1">
        <f t="array" ref="H329">_xlfn.IFS($G329=$G$5,H$5,$G329=$G$6,H$6,$G329=$G$7,H$7,$G329=$G$8,H$8,$G329=$G$9,H$9,$G329=$G$10,H$10,$G329=$G$11,H$11,$G329=$G$12,H$12,$G329=$G$13,H$13,$G329=$G$15,H$15,$G329=$G$16,H$16,$G329=$G$17,H$17,$G329=$G$18,H$18,$G329=$G$19,H$19,$G329=$G$20,H$20,$G329=$G$21,H$21,$G329=$G$22,H$22,$G329=$G$25,H$25,$G329=$G$26,H$26,$G329=$G$27,H$27,$G329=$G$29,H$29,$G329=$G$31,H$31,$G329=$G$32,H$150,$G329=$G$248,H$248,$G329=$G$250,H$250)</f>
        <v>41.398387</v>
      </c>
      <c r="I329" s="78" cm="1">
        <f t="array" ref="I329">_xlfn.IFS($G329=$G$5,I$5,$G329=$G$6,I$6,$G329=$G$7,I$7,$G329=$G$8,I$8,$G329=$G$9,I$9,$G329=$G$10,I$10,$G329=$G$11,I$11,$G329=$G$12,I$12,$G329=$G$13,I$13,$G329=$G$15,I$15,$G329=$G$16,I$16,$G329=$G$17,I$17,$G329=$G$18,I$18,$G329=$G$19,I$19,$G329=$G$20,I$20,$G329=$G$21,I$21,$G329=$G$22,I$22,$G329=$G$25,I$25,$G329=$G$26,I$26,$G329=$G$27,I$27,$G329=$G$29,I$29,$G329=$G$31,I$31,$G329=$G$32,I$150,$G329=$G$248,I$248,$G329=$G$250,I$250)</f>
        <v>2.1244429999999999</v>
      </c>
      <c r="J329" cm="1">
        <f t="array" ref="J329">_xlfn.IFS($G329=$G$5,J$5,$G329=$G$6,J$6,$G329=$G$7,J$7,$G329=$G$8,J$8,$G329=$G$9,J$9,$G329=$G$10,J$10,$G329=$G$11,J$11,$G329=$G$12,J$12,$G329=$G$13,J$13,$G329=$G$15,J$15,$G329=$G$16,J$16,$G329=$G$17,J$17,$G329=$G$18,J$18,$G329=$G$19,J$19,$G329=$G$20,J$20,$G329=$G$21,J$21,$G329=$G$22,J$22,$G329=$G$25,J$25,$G329=$G$26,J$26,$G329=$G$27,J$27,$G329=$G$29,J$29,$G329=$G$31,J$31,$G329=$G$32,J$150,$G329=$G$248,J$248,$G329=$G$250,J$250)</f>
        <v>106</v>
      </c>
      <c r="K329" t="str" cm="1">
        <f t="array" ref="K329">_xlfn.IFS($G329=$G$5,K$5,$G329=$G$6,K$6,$G329=$G$7,K$7,$G329=$G$8,K$8,$G329=$G$9,K$9,$G329=$G$10,K$10,$G329=$G$11,K$11,$G329=$G$12,K$12,$G329=$G$13,K$13,$G329=$G$15,K$15,$G329=$G$16,K$16,$G329=$G$17,K$17,$G329=$G$18,K$18,$G329=$G$19,K$19,$G329=$G$20,K$20,$G329=$G$21,K$21,$G329=$G$22,K$22,$G329=$G$25,K$25,$G329=$G$26,K$26,$G329=$G$27,K$27,$G329=$G$29,K$29,$G329=$G$31,K$31,$G329=$G$32,K$150,$G329=$G$248,K$248,$G329=$G$250,K$250)</f>
        <v>BG sentinel + BG lure7</v>
      </c>
      <c r="L329" s="48"/>
      <c r="M329" s="48"/>
      <c r="O329" s="45" t="str">
        <f t="shared" si="24"/>
        <v>A_SP_BCN_16_210630</v>
      </c>
      <c r="P329" s="64">
        <v>44377</v>
      </c>
      <c r="R329" s="72"/>
      <c r="S329" s="64">
        <v>44384</v>
      </c>
      <c r="U329" s="72"/>
      <c r="V329" s="54" t="s">
        <v>66</v>
      </c>
      <c r="X329" s="45">
        <f t="shared" si="23"/>
        <v>7</v>
      </c>
      <c r="Z329" s="45" t="s">
        <v>80</v>
      </c>
      <c r="AA329" s="45">
        <f t="shared" si="16"/>
        <v>14</v>
      </c>
      <c r="AB329" t="str">
        <f t="shared" si="21"/>
        <v>Adult</v>
      </c>
      <c r="AC329" s="69">
        <v>8</v>
      </c>
      <c r="AD329" s="69">
        <v>6</v>
      </c>
      <c r="AE329" s="45" t="str">
        <f t="shared" si="22"/>
        <v>Morphological</v>
      </c>
      <c r="AF329" s="56">
        <v>4</v>
      </c>
    </row>
    <row r="330" spans="1:32" ht="18" customHeight="1" x14ac:dyDescent="0.25">
      <c r="A330" s="45">
        <v>326</v>
      </c>
      <c r="B330" s="45" t="s">
        <v>60</v>
      </c>
      <c r="C330" s="45" t="s">
        <v>61</v>
      </c>
      <c r="D330" s="45" t="s">
        <v>62</v>
      </c>
      <c r="E330" s="45" t="s">
        <v>62</v>
      </c>
      <c r="F330" s="46" cm="1">
        <f t="array" ref="F330">_xlfn.IFS($G330=$G$5,F$5,$G330=$G$6,F$6,$G330=$G$7,F$7,$G330=$G$8,F$8,$G330=$G$9,F$9,$G330=$G$10,F$10,$G330=$G$11,F$11,$G330=$G$12,F$12,$G330=$G$13,F$13,$G330=$G$15,F$15,$G330=$G$16,F$16,$G330=$G$17,F$17,$G330=$G$18,F$18,$G330=$G$19,F$19,$G330=$G$20,F$20,$G330=$G$21,F$21,$G330=$G$22,F$22,$G330=$G$25,F$25,$G330=$G$26,F$26,$G330=$G$27,F$27,$G330=$G$29,F$29,$G330=$G$31,F$31,$G330=$G$32,F$32,$G330=$G$248,F$248,$G330=$G$250,F$250)</f>
        <v>8023</v>
      </c>
      <c r="G330" t="s">
        <v>89</v>
      </c>
      <c r="H330" s="66" cm="1">
        <f t="array" ref="H330">_xlfn.IFS($G330=$G$5,H$5,$G330=$G$6,H$6,$G330=$G$7,H$7,$G330=$G$8,H$8,$G330=$G$9,H$9,$G330=$G$10,H$10,$G330=$G$11,H$11,$G330=$G$12,H$12,$G330=$G$13,H$13,$G330=$G$15,H$15,$G330=$G$16,H$16,$G330=$G$17,H$17,$G330=$G$18,H$18,$G330=$G$19,H$19,$G330=$G$20,H$20,$G330=$G$21,H$21,$G330=$G$22,H$22,$G330=$G$25,H$25,$G330=$G$26,H$26,$G330=$G$27,H$27,$G330=$G$29,H$29,$G330=$G$31,H$31,$G330=$G$32,H$150,$G330=$G$248,H$248,$G330=$G$250,H$250)</f>
        <v>41.417256000000002</v>
      </c>
      <c r="I330" s="78" cm="1">
        <f t="array" ref="I330">_xlfn.IFS($G330=$G$5,I$5,$G330=$G$6,I$6,$G330=$G$7,I$7,$G330=$G$8,I$8,$G330=$G$9,I$9,$G330=$G$10,I$10,$G330=$G$11,I$11,$G330=$G$12,I$12,$G330=$G$13,I$13,$G330=$G$15,I$15,$G330=$G$16,I$16,$G330=$G$17,I$17,$G330=$G$18,I$18,$G330=$G$19,I$19,$G330=$G$20,I$20,$G330=$G$21,I$21,$G330=$G$22,I$22,$G330=$G$25,I$25,$G330=$G$26,I$26,$G330=$G$27,I$27,$G330=$G$29,I$29,$G330=$G$31,I$31,$G330=$G$32,I$150,$G330=$G$248,I$248,$G330=$G$250,I$250)</f>
        <v>2.1455709999999999</v>
      </c>
      <c r="J330" cm="1">
        <f t="array" ref="J330">_xlfn.IFS($G330=$G$5,J$5,$G330=$G$6,J$6,$G330=$G$7,J$7,$G330=$G$8,J$8,$G330=$G$9,J$9,$G330=$G$10,J$10,$G330=$G$11,J$11,$G330=$G$12,J$12,$G330=$G$13,J$13,$G330=$G$15,J$15,$G330=$G$16,J$16,$G330=$G$17,J$17,$G330=$G$18,J$18,$G330=$G$19,J$19,$G330=$G$20,J$20,$G330=$G$21,J$21,$G330=$G$22,J$22,$G330=$G$25,J$25,$G330=$G$26,J$26,$G330=$G$27,J$27,$G330=$G$29,J$29,$G330=$G$31,J$31,$G330=$G$32,J$150,$G330=$G$248,J$248,$G330=$G$250,J$250)</f>
        <v>186</v>
      </c>
      <c r="K330" t="str" cm="1">
        <f t="array" ref="K330">_xlfn.IFS($G330=$G$5,K$5,$G330=$G$6,K$6,$G330=$G$7,K$7,$G330=$G$8,K$8,$G330=$G$9,K$9,$G330=$G$10,K$10,$G330=$G$11,K$11,$G330=$G$12,K$12,$G330=$G$13,K$13,$G330=$G$15,K$15,$G330=$G$16,K$16,$G330=$G$17,K$17,$G330=$G$18,K$18,$G330=$G$19,K$19,$G330=$G$20,K$20,$G330=$G$21,K$21,$G330=$G$22,K$22,$G330=$G$25,K$25,$G330=$G$26,K$26,$G330=$G$27,K$27,$G330=$G$29,K$29,$G330=$G$31,K$31,$G330=$G$32,K$150,$G330=$G$248,K$248,$G330=$G$250,K$250)</f>
        <v>BG sentinel + BG lure7</v>
      </c>
      <c r="L330" s="48"/>
      <c r="M330" s="48"/>
      <c r="O330" s="45" t="str">
        <f t="shared" si="24"/>
        <v>A_SP_BCN_17_210630</v>
      </c>
      <c r="P330" s="64">
        <v>44377</v>
      </c>
      <c r="R330" s="72"/>
      <c r="S330" s="64">
        <v>44384</v>
      </c>
      <c r="U330" s="72"/>
      <c r="V330" s="54" t="s">
        <v>66</v>
      </c>
      <c r="W330" t="s">
        <v>129</v>
      </c>
      <c r="X330" s="45">
        <f t="shared" si="23"/>
        <v>7</v>
      </c>
      <c r="AA330" s="45">
        <f t="shared" si="16"/>
        <v>0</v>
      </c>
      <c r="AB330" t="str">
        <f t="shared" si="21"/>
        <v/>
      </c>
      <c r="AE330" s="45" t="str">
        <f t="shared" si="22"/>
        <v/>
      </c>
      <c r="AF330" s="56">
        <v>3</v>
      </c>
    </row>
    <row r="331" spans="1:32" ht="18" customHeight="1" x14ac:dyDescent="0.25">
      <c r="A331" s="45">
        <v>327</v>
      </c>
      <c r="B331" s="45" t="s">
        <v>60</v>
      </c>
      <c r="C331" s="45" t="s">
        <v>61</v>
      </c>
      <c r="D331" s="45" t="s">
        <v>62</v>
      </c>
      <c r="E331" s="45" t="s">
        <v>62</v>
      </c>
      <c r="F331" s="46" cm="1">
        <f t="array" ref="F331">_xlfn.IFS($G331=$G$5,F$5,$G331=$G$6,F$6,$G331=$G$7,F$7,$G331=$G$8,F$8,$G331=$G$9,F$9,$G331=$G$10,F$10,$G331=$G$11,F$11,$G331=$G$12,F$12,$G331=$G$13,F$13,$G331=$G$15,F$15,$G331=$G$16,F$16,$G331=$G$17,F$17,$G331=$G$18,F$18,$G331=$G$19,F$19,$G331=$G$20,F$20,$G331=$G$21,F$21,$G331=$G$22,F$22,$G331=$G$25,F$25,$G331=$G$26,F$26,$G331=$G$27,F$27,$G331=$G$29,F$29,$G331=$G$31,F$31,$G331=$G$32,F$32,$G331=$G$248,F$248,$G331=$G$250,F$250)</f>
        <v>8031</v>
      </c>
      <c r="G331" t="s">
        <v>92</v>
      </c>
      <c r="H331" s="66" cm="1">
        <f t="array" ref="H331">_xlfn.IFS($G331=$G$5,H$5,$G331=$G$6,H$6,$G331=$G$7,H$7,$G331=$G$8,H$8,$G331=$G$9,H$9,$G331=$G$10,H$10,$G331=$G$11,H$11,$G331=$G$12,H$12,$G331=$G$13,H$13,$G331=$G$15,H$15,$G331=$G$16,H$16,$G331=$G$17,H$17,$G331=$G$18,H$18,$G331=$G$19,H$19,$G331=$G$20,H$20,$G331=$G$21,H$21,$G331=$G$22,H$22,$G331=$G$25,H$25,$G331=$G$26,H$26,$G331=$G$27,H$27,$G331=$G$29,H$29,$G331=$G$31,H$31,$G331=$G$32,H$150,$G331=$G$248,H$248,$G331=$G$250,H$250)</f>
        <v>41.433618000000003</v>
      </c>
      <c r="I331" s="78" cm="1">
        <f t="array" ref="I331">_xlfn.IFS($G331=$G$5,I$5,$G331=$G$6,I$6,$G331=$G$7,I$7,$G331=$G$8,I$8,$G331=$G$9,I$9,$G331=$G$10,I$10,$G331=$G$11,I$11,$G331=$G$12,I$12,$G331=$G$13,I$13,$G331=$G$15,I$15,$G331=$G$16,I$16,$G331=$G$17,I$17,$G331=$G$18,I$18,$G331=$G$19,I$19,$G331=$G$20,I$20,$G331=$G$21,I$21,$G331=$G$22,I$22,$G331=$G$25,I$25,$G331=$G$26,I$26,$G331=$G$27,I$27,$G331=$G$29,I$29,$G331=$G$31,I$31,$G331=$G$32,I$150,$G331=$G$248,I$248,$G331=$G$250,I$250)</f>
        <v>2.1677469999999999</v>
      </c>
      <c r="J331" cm="1">
        <f t="array" ref="J331">_xlfn.IFS($G331=$G$5,J$5,$G331=$G$6,J$6,$G331=$G$7,J$7,$G331=$G$8,J$8,$G331=$G$9,J$9,$G331=$G$10,J$10,$G331=$G$11,J$11,$G331=$G$12,J$12,$G331=$G$13,J$13,$G331=$G$15,J$15,$G331=$G$16,J$16,$G331=$G$17,J$17,$G331=$G$18,J$18,$G331=$G$19,J$19,$G331=$G$20,J$20,$G331=$G$21,J$21,$G331=$G$22,J$22,$G331=$G$25,J$25,$G331=$G$26,J$26,$G331=$G$27,J$27,$G331=$G$29,J$29,$G331=$G$31,J$31,$G331=$G$32,J$150,$G331=$G$248,J$248,$G331=$G$250,J$250)</f>
        <v>96.85</v>
      </c>
      <c r="K331" t="str" cm="1">
        <f t="array" ref="K331">_xlfn.IFS($G331=$G$5,K$5,$G331=$G$6,K$6,$G331=$G$7,K$7,$G331=$G$8,K$8,$G331=$G$9,K$9,$G331=$G$10,K$10,$G331=$G$11,K$11,$G331=$G$12,K$12,$G331=$G$13,K$13,$G331=$G$15,K$15,$G331=$G$16,K$16,$G331=$G$17,K$17,$G331=$G$18,K$18,$G331=$G$19,K$19,$G331=$G$20,K$20,$G331=$G$21,K$21,$G331=$G$22,K$22,$G331=$G$25,K$25,$G331=$G$26,K$26,$G331=$G$27,K$27,$G331=$G$29,K$29,$G331=$G$31,K$31,$G331=$G$32,K$150,$G331=$G$248,K$248,$G331=$G$250,K$250)</f>
        <v>BG sentinel + BG lure7</v>
      </c>
      <c r="L331" s="48"/>
      <c r="M331" s="48"/>
      <c r="O331" s="45" t="str">
        <f t="shared" si="24"/>
        <v>A_SP_BCN_18_210630</v>
      </c>
      <c r="P331" s="64">
        <v>44377</v>
      </c>
      <c r="R331" s="72"/>
      <c r="S331" s="64">
        <v>44384</v>
      </c>
      <c r="U331" s="72"/>
      <c r="V331" s="54" t="s">
        <v>66</v>
      </c>
      <c r="X331" s="45">
        <f t="shared" si="23"/>
        <v>7</v>
      </c>
      <c r="Z331" s="69" t="s">
        <v>69</v>
      </c>
      <c r="AA331" s="45">
        <f t="shared" si="16"/>
        <v>1</v>
      </c>
      <c r="AB331" t="str">
        <f t="shared" ref="AB331:AB379" si="25">IF(AA331=0,"",IF(AA331="","",IF(AA331&gt;0,"Adult")))</f>
        <v>Adult</v>
      </c>
      <c r="AC331" s="69">
        <v>1</v>
      </c>
      <c r="AD331" s="69">
        <v>0</v>
      </c>
      <c r="AE331" s="45" t="str">
        <f t="shared" ref="AE331:AE379" si="26">IF(AA331=0,"",IF(AA331="","",IF(AA331&gt;0,"Morphological")))</f>
        <v>Morphological</v>
      </c>
      <c r="AF331" s="56">
        <v>4</v>
      </c>
    </row>
    <row r="332" spans="1:32" ht="18" customHeight="1" x14ac:dyDescent="0.25">
      <c r="A332" s="45">
        <v>328</v>
      </c>
      <c r="B332" s="45" t="s">
        <v>60</v>
      </c>
      <c r="C332" s="45" t="s">
        <v>61</v>
      </c>
      <c r="D332" s="45" t="s">
        <v>62</v>
      </c>
      <c r="E332" s="45" t="s">
        <v>62</v>
      </c>
      <c r="F332" s="46" cm="1">
        <f t="array" ref="F332">_xlfn.IFS($G332=$G$5,F$5,$G332=$G$6,F$6,$G332=$G$7,F$7,$G332=$G$8,F$8,$G332=$G$9,F$9,$G332=$G$10,F$10,$G332=$G$11,F$11,$G332=$G$12,F$12,$G332=$G$13,F$13,$G332=$G$15,F$15,$G332=$G$16,F$16,$G332=$G$17,F$17,$G332=$G$18,F$18,$G332=$G$19,F$19,$G332=$G$20,F$20,$G332=$G$21,F$21,$G332=$G$22,F$22,$G332=$G$25,F$25,$G332=$G$26,F$26,$G332=$G$27,F$27,$G332=$G$29,F$29,$G332=$G$31,F$31,$G332=$G$32,F$32,$G332=$G$248,F$248,$G332=$G$250,F$250)</f>
        <v>8031</v>
      </c>
      <c r="G332" t="s">
        <v>92</v>
      </c>
      <c r="H332" s="66" cm="1">
        <f t="array" ref="H332">_xlfn.IFS($G332=$G$5,H$5,$G332=$G$6,H$6,$G332=$G$7,H$7,$G332=$G$8,H$8,$G332=$G$9,H$9,$G332=$G$10,H$10,$G332=$G$11,H$11,$G332=$G$12,H$12,$G332=$G$13,H$13,$G332=$G$15,H$15,$G332=$G$16,H$16,$G332=$G$17,H$17,$G332=$G$18,H$18,$G332=$G$19,H$19,$G332=$G$20,H$20,$G332=$G$21,H$21,$G332=$G$22,H$22,$G332=$G$25,H$25,$G332=$G$26,H$26,$G332=$G$27,H$27,$G332=$G$29,H$29,$G332=$G$31,H$31,$G332=$G$32,H$150,$G332=$G$248,H$248,$G332=$G$250,H$250)</f>
        <v>41.433618000000003</v>
      </c>
      <c r="I332" s="78" cm="1">
        <f t="array" ref="I332">_xlfn.IFS($G332=$G$5,I$5,$G332=$G$6,I$6,$G332=$G$7,I$7,$G332=$G$8,I$8,$G332=$G$9,I$9,$G332=$G$10,I$10,$G332=$G$11,I$11,$G332=$G$12,I$12,$G332=$G$13,I$13,$G332=$G$15,I$15,$G332=$G$16,I$16,$G332=$G$17,I$17,$G332=$G$18,I$18,$G332=$G$19,I$19,$G332=$G$20,I$20,$G332=$G$21,I$21,$G332=$G$22,I$22,$G332=$G$25,I$25,$G332=$G$26,I$26,$G332=$G$27,I$27,$G332=$G$29,I$29,$G332=$G$31,I$31,$G332=$G$32,I$150,$G332=$G$248,I$248,$G332=$G$250,I$250)</f>
        <v>2.1677469999999999</v>
      </c>
      <c r="J332" cm="1">
        <f t="array" ref="J332">_xlfn.IFS($G332=$G$5,J$5,$G332=$G$6,J$6,$G332=$G$7,J$7,$G332=$G$8,J$8,$G332=$G$9,J$9,$G332=$G$10,J$10,$G332=$G$11,J$11,$G332=$G$12,J$12,$G332=$G$13,J$13,$G332=$G$15,J$15,$G332=$G$16,J$16,$G332=$G$17,J$17,$G332=$G$18,J$18,$G332=$G$19,J$19,$G332=$G$20,J$20,$G332=$G$21,J$21,$G332=$G$22,J$22,$G332=$G$25,J$25,$G332=$G$26,J$26,$G332=$G$27,J$27,$G332=$G$29,J$29,$G332=$G$31,J$31,$G332=$G$32,J$150,$G332=$G$248,J$248,$G332=$G$250,J$250)</f>
        <v>96.85</v>
      </c>
      <c r="K332" t="str" cm="1">
        <f t="array" ref="K332">_xlfn.IFS($G332=$G$5,K$5,$G332=$G$6,K$6,$G332=$G$7,K$7,$G332=$G$8,K$8,$G332=$G$9,K$9,$G332=$G$10,K$10,$G332=$G$11,K$11,$G332=$G$12,K$12,$G332=$G$13,K$13,$G332=$G$15,K$15,$G332=$G$16,K$16,$G332=$G$17,K$17,$G332=$G$18,K$18,$G332=$G$19,K$19,$G332=$G$20,K$20,$G332=$G$21,K$21,$G332=$G$22,K$22,$G332=$G$25,K$25,$G332=$G$26,K$26,$G332=$G$27,K$27,$G332=$G$29,K$29,$G332=$G$31,K$31,$G332=$G$32,K$150,$G332=$G$248,K$248,$G332=$G$250,K$250)</f>
        <v>BG sentinel + BG lure7</v>
      </c>
      <c r="L332" s="48"/>
      <c r="M332" s="48"/>
      <c r="O332" s="45" t="str">
        <f t="shared" si="24"/>
        <v>A_SP_BCN_18_210630</v>
      </c>
      <c r="P332" s="64">
        <v>44377</v>
      </c>
      <c r="R332" s="72"/>
      <c r="S332" s="64">
        <v>44384</v>
      </c>
      <c r="U332" s="72"/>
      <c r="V332" s="54" t="s">
        <v>66</v>
      </c>
      <c r="X332" s="45">
        <f t="shared" si="23"/>
        <v>7</v>
      </c>
      <c r="Z332" s="45" t="s">
        <v>80</v>
      </c>
      <c r="AA332" s="45">
        <f t="shared" si="16"/>
        <v>5</v>
      </c>
      <c r="AB332" t="str">
        <f t="shared" si="25"/>
        <v>Adult</v>
      </c>
      <c r="AC332" s="69">
        <v>2</v>
      </c>
      <c r="AD332" s="69">
        <v>3</v>
      </c>
      <c r="AE332" s="45" t="str">
        <f t="shared" si="26"/>
        <v>Morphological</v>
      </c>
      <c r="AF332" s="56">
        <v>4</v>
      </c>
    </row>
    <row r="333" spans="1:32" ht="18" customHeight="1" x14ac:dyDescent="0.25">
      <c r="A333" s="45">
        <v>329</v>
      </c>
      <c r="B333" s="45" t="s">
        <v>60</v>
      </c>
      <c r="C333" s="45" t="s">
        <v>61</v>
      </c>
      <c r="D333" s="45" t="s">
        <v>62</v>
      </c>
      <c r="E333" s="45" t="s">
        <v>62</v>
      </c>
      <c r="F333" s="46" cm="1">
        <f t="array" ref="F333">_xlfn.IFS($G333=$G$5,F$5,$G333=$G$6,F$6,$G333=$G$7,F$7,$G333=$G$8,F$8,$G333=$G$9,F$9,$G333=$G$10,F$10,$G333=$G$11,F$11,$G333=$G$12,F$12,$G333=$G$13,F$13,$G333=$G$15,F$15,$G333=$G$16,F$16,$G333=$G$17,F$17,$G333=$G$18,F$18,$G333=$G$19,F$19,$G333=$G$20,F$20,$G333=$G$21,F$21,$G333=$G$22,F$22,$G333=$G$25,F$25,$G333=$G$26,F$26,$G333=$G$27,F$27,$G333=$G$29,F$29,$G333=$G$31,F$31,$G333=$G$32,F$32,$G333=$G$248,F$248,$G333=$G$250,F$250)</f>
        <v>8038</v>
      </c>
      <c r="G333" t="s">
        <v>93</v>
      </c>
      <c r="H333" s="66" cm="1">
        <f t="array" ref="H333">_xlfn.IFS($G333=$G$5,H$5,$G333=$G$6,H$6,$G333=$G$7,H$7,$G333=$G$8,H$8,$G333=$G$9,H$9,$G333=$G$10,H$10,$G333=$G$11,H$11,$G333=$G$12,H$12,$G333=$G$13,H$13,$G333=$G$15,H$15,$G333=$G$16,H$16,$G333=$G$17,H$17,$G333=$G$18,H$18,$G333=$G$19,H$19,$G333=$G$20,H$20,$G333=$G$21,H$21,$G333=$G$22,H$22,$G333=$G$25,H$25,$G333=$G$26,H$26,$G333=$G$27,H$27,$G333=$G$29,H$29,$G333=$G$31,H$31,$G333=$G$32,H$150,$G333=$G$248,H$248,$G333=$G$250,H$250)</f>
        <v>41.359864999999999</v>
      </c>
      <c r="I333" s="78" cm="1">
        <f t="array" ref="I333">_xlfn.IFS($G333=$G$5,I$5,$G333=$G$6,I$6,$G333=$G$7,I$7,$G333=$G$8,I$8,$G333=$G$9,I$9,$G333=$G$10,I$10,$G333=$G$11,I$11,$G333=$G$12,I$12,$G333=$G$13,I$13,$G333=$G$15,I$15,$G333=$G$16,I$16,$G333=$G$17,I$17,$G333=$G$18,I$18,$G333=$G$19,I$19,$G333=$G$20,I$20,$G333=$G$21,I$21,$G333=$G$22,I$22,$G333=$G$25,I$25,$G333=$G$26,I$26,$G333=$G$27,I$27,$G333=$G$29,I$29,$G333=$G$31,I$31,$G333=$G$32,I$150,$G333=$G$248,I$248,$G333=$G$250,I$250)</f>
        <v>2.1445430000000001</v>
      </c>
      <c r="J333" cm="1">
        <f t="array" ref="J333">_xlfn.IFS($G333=$G$5,J$5,$G333=$G$6,J$6,$G333=$G$7,J$7,$G333=$G$8,J$8,$G333=$G$9,J$9,$G333=$G$10,J$10,$G333=$G$11,J$11,$G333=$G$12,J$12,$G333=$G$13,J$13,$G333=$G$15,J$15,$G333=$G$16,J$16,$G333=$G$17,J$17,$G333=$G$18,J$18,$G333=$G$19,J$19,$G333=$G$20,J$20,$G333=$G$21,J$21,$G333=$G$22,J$22,$G333=$G$25,J$25,$G333=$G$26,J$26,$G333=$G$27,J$27,$G333=$G$29,J$29,$G333=$G$31,J$31,$G333=$G$32,J$150,$G333=$G$248,J$248,$G333=$G$250,J$250)</f>
        <v>11.4</v>
      </c>
      <c r="K333" t="str" cm="1">
        <f t="array" ref="K333">_xlfn.IFS($G333=$G$5,K$5,$G333=$G$6,K$6,$G333=$G$7,K$7,$G333=$G$8,K$8,$G333=$G$9,K$9,$G333=$G$10,K$10,$G333=$G$11,K$11,$G333=$G$12,K$12,$G333=$G$13,K$13,$G333=$G$15,K$15,$G333=$G$16,K$16,$G333=$G$17,K$17,$G333=$G$18,K$18,$G333=$G$19,K$19,$G333=$G$20,K$20,$G333=$G$21,K$21,$G333=$G$22,K$22,$G333=$G$25,K$25,$G333=$G$26,K$26,$G333=$G$27,K$27,$G333=$G$29,K$29,$G333=$G$31,K$31,$G333=$G$32,K$150,$G333=$G$248,K$248,$G333=$G$250,K$250)</f>
        <v>BG sentinel + BG lure7</v>
      </c>
      <c r="L333" s="48"/>
      <c r="M333" s="48"/>
      <c r="O333" s="45" t="str">
        <f t="shared" si="24"/>
        <v>A_SP_BCN_19_210701</v>
      </c>
      <c r="P333" s="64">
        <v>44378</v>
      </c>
      <c r="R333" s="72"/>
      <c r="S333" s="64">
        <v>44385</v>
      </c>
      <c r="U333" s="72"/>
      <c r="V333" s="54" t="s">
        <v>66</v>
      </c>
      <c r="X333" s="45">
        <f t="shared" si="23"/>
        <v>7</v>
      </c>
      <c r="Z333" s="69" t="s">
        <v>69</v>
      </c>
      <c r="AA333" s="45">
        <f t="shared" si="16"/>
        <v>5</v>
      </c>
      <c r="AB333" t="str">
        <f t="shared" si="25"/>
        <v>Adult</v>
      </c>
      <c r="AC333" s="69">
        <v>2</v>
      </c>
      <c r="AD333" s="69">
        <v>3</v>
      </c>
      <c r="AE333" s="45" t="str">
        <f t="shared" si="26"/>
        <v>Morphological</v>
      </c>
      <c r="AF333" s="56">
        <v>4</v>
      </c>
    </row>
    <row r="334" spans="1:32" ht="18" customHeight="1" x14ac:dyDescent="0.25">
      <c r="A334" s="45">
        <v>330</v>
      </c>
      <c r="B334" s="45" t="s">
        <v>60</v>
      </c>
      <c r="C334" s="45" t="s">
        <v>61</v>
      </c>
      <c r="D334" s="45" t="s">
        <v>62</v>
      </c>
      <c r="E334" s="45" t="s">
        <v>62</v>
      </c>
      <c r="F334" s="46" cm="1">
        <f t="array" ref="F334">_xlfn.IFS($G334=$G$5,F$5,$G334=$G$6,F$6,$G334=$G$7,F$7,$G334=$G$8,F$8,$G334=$G$9,F$9,$G334=$G$10,F$10,$G334=$G$11,F$11,$G334=$G$12,F$12,$G334=$G$13,F$13,$G334=$G$15,F$15,$G334=$G$16,F$16,$G334=$G$17,F$17,$G334=$G$18,F$18,$G334=$G$19,F$19,$G334=$G$20,F$20,$G334=$G$21,F$21,$G334=$G$22,F$22,$G334=$G$25,F$25,$G334=$G$26,F$26,$G334=$G$27,F$27,$G334=$G$29,F$29,$G334=$G$31,F$31,$G334=$G$32,F$32,$G334=$G$248,F$248,$G334=$G$250,F$250)</f>
        <v>8038</v>
      </c>
      <c r="G334" t="s">
        <v>93</v>
      </c>
      <c r="H334" s="66" cm="1">
        <f t="array" ref="H334">_xlfn.IFS($G334=$G$5,H$5,$G334=$G$6,H$6,$G334=$G$7,H$7,$G334=$G$8,H$8,$G334=$G$9,H$9,$G334=$G$10,H$10,$G334=$G$11,H$11,$G334=$G$12,H$12,$G334=$G$13,H$13,$G334=$G$15,H$15,$G334=$G$16,H$16,$G334=$G$17,H$17,$G334=$G$18,H$18,$G334=$G$19,H$19,$G334=$G$20,H$20,$G334=$G$21,H$21,$G334=$G$22,H$22,$G334=$G$25,H$25,$G334=$G$26,H$26,$G334=$G$27,H$27,$G334=$G$29,H$29,$G334=$G$31,H$31,$G334=$G$32,H$150,$G334=$G$248,H$248,$G334=$G$250,H$250)</f>
        <v>41.359864999999999</v>
      </c>
      <c r="I334" s="78" cm="1">
        <f t="array" ref="I334">_xlfn.IFS($G334=$G$5,I$5,$G334=$G$6,I$6,$G334=$G$7,I$7,$G334=$G$8,I$8,$G334=$G$9,I$9,$G334=$G$10,I$10,$G334=$G$11,I$11,$G334=$G$12,I$12,$G334=$G$13,I$13,$G334=$G$15,I$15,$G334=$G$16,I$16,$G334=$G$17,I$17,$G334=$G$18,I$18,$G334=$G$19,I$19,$G334=$G$20,I$20,$G334=$G$21,I$21,$G334=$G$22,I$22,$G334=$G$25,I$25,$G334=$G$26,I$26,$G334=$G$27,I$27,$G334=$G$29,I$29,$G334=$G$31,I$31,$G334=$G$32,I$150,$G334=$G$248,I$248,$G334=$G$250,I$250)</f>
        <v>2.1445430000000001</v>
      </c>
      <c r="J334" cm="1">
        <f t="array" ref="J334">_xlfn.IFS($G334=$G$5,J$5,$G334=$G$6,J$6,$G334=$G$7,J$7,$G334=$G$8,J$8,$G334=$G$9,J$9,$G334=$G$10,J$10,$G334=$G$11,J$11,$G334=$G$12,J$12,$G334=$G$13,J$13,$G334=$G$15,J$15,$G334=$G$16,J$16,$G334=$G$17,J$17,$G334=$G$18,J$18,$G334=$G$19,J$19,$G334=$G$20,J$20,$G334=$G$21,J$21,$G334=$G$22,J$22,$G334=$G$25,J$25,$G334=$G$26,J$26,$G334=$G$27,J$27,$G334=$G$29,J$29,$G334=$G$31,J$31,$G334=$G$32,J$150,$G334=$G$248,J$248,$G334=$G$250,J$250)</f>
        <v>11.4</v>
      </c>
      <c r="K334" t="str" cm="1">
        <f t="array" ref="K334">_xlfn.IFS($G334=$G$5,K$5,$G334=$G$6,K$6,$G334=$G$7,K$7,$G334=$G$8,K$8,$G334=$G$9,K$9,$G334=$G$10,K$10,$G334=$G$11,K$11,$G334=$G$12,K$12,$G334=$G$13,K$13,$G334=$G$15,K$15,$G334=$G$16,K$16,$G334=$G$17,K$17,$G334=$G$18,K$18,$G334=$G$19,K$19,$G334=$G$20,K$20,$G334=$G$21,K$21,$G334=$G$22,K$22,$G334=$G$25,K$25,$G334=$G$26,K$26,$G334=$G$27,K$27,$G334=$G$29,K$29,$G334=$G$31,K$31,$G334=$G$32,K$150,$G334=$G$248,K$248,$G334=$G$250,K$250)</f>
        <v>BG sentinel + BG lure7</v>
      </c>
      <c r="L334" s="48"/>
      <c r="M334" s="48"/>
      <c r="O334" s="45" t="str">
        <f t="shared" si="24"/>
        <v>A_SP_BCN_19_210701</v>
      </c>
      <c r="P334" s="64">
        <v>44378</v>
      </c>
      <c r="R334" s="72"/>
      <c r="S334" s="64">
        <v>44385</v>
      </c>
      <c r="U334" s="72"/>
      <c r="V334" s="54" t="s">
        <v>66</v>
      </c>
      <c r="X334" s="45">
        <f t="shared" si="23"/>
        <v>7</v>
      </c>
      <c r="Z334" s="45" t="s">
        <v>70</v>
      </c>
      <c r="AA334" s="45">
        <f t="shared" si="16"/>
        <v>14</v>
      </c>
      <c r="AB334" t="str">
        <f t="shared" si="25"/>
        <v>Adult</v>
      </c>
      <c r="AC334" s="69">
        <v>13</v>
      </c>
      <c r="AD334" s="69">
        <v>1</v>
      </c>
      <c r="AE334" s="45" t="str">
        <f t="shared" si="26"/>
        <v>Morphological</v>
      </c>
      <c r="AF334" s="56">
        <v>4</v>
      </c>
    </row>
    <row r="335" spans="1:32" ht="18" customHeight="1" x14ac:dyDescent="0.25">
      <c r="A335" s="45">
        <v>331</v>
      </c>
      <c r="B335" s="45" t="s">
        <v>60</v>
      </c>
      <c r="C335" s="45" t="s">
        <v>61</v>
      </c>
      <c r="D335" s="45" t="s">
        <v>62</v>
      </c>
      <c r="E335" s="45" t="s">
        <v>62</v>
      </c>
      <c r="F335" s="46" cm="1">
        <f t="array" ref="F335">_xlfn.IFS($G335=$G$5,F$5,$G335=$G$6,F$6,$G335=$G$7,F$7,$G335=$G$8,F$8,$G335=$G$9,F$9,$G335=$G$10,F$10,$G335=$G$11,F$11,$G335=$G$12,F$12,$G335=$G$13,F$13,$G335=$G$15,F$15,$G335=$G$16,F$16,$G335=$G$17,F$17,$G335=$G$18,F$18,$G335=$G$19,F$19,$G335=$G$20,F$20,$G335=$G$21,F$21,$G335=$G$22,F$22,$G335=$G$25,F$25,$G335=$G$26,F$26,$G335=$G$27,F$27,$G335=$G$29,F$29,$G335=$G$31,F$31,$G335=$G$32,F$32,$G335=$G$248,F$248,$G335=$G$250,F$250)</f>
        <v>8002</v>
      </c>
      <c r="G335" t="s">
        <v>94</v>
      </c>
      <c r="H335" s="66" cm="1">
        <f t="array" ref="H335">_xlfn.IFS($G335=$G$5,H$5,$G335=$G$6,H$6,$G335=$G$7,H$7,$G335=$G$8,H$8,$G335=$G$9,H$9,$G335=$G$10,H$10,$G335=$G$11,H$11,$G335=$G$12,H$12,$G335=$G$13,H$13,$G335=$G$15,H$15,$G335=$G$16,H$16,$G335=$G$17,H$17,$G335=$G$18,H$18,$G335=$G$19,H$19,$G335=$G$20,H$20,$G335=$G$21,H$21,$G335=$G$22,H$22,$G335=$G$25,H$25,$G335=$G$26,H$26,$G335=$G$27,H$27,$G335=$G$29,H$29,$G335=$G$31,H$31,$G335=$G$32,H$150,$G335=$G$248,H$248,$G335=$G$250,H$250)</f>
        <v>41.385213</v>
      </c>
      <c r="I335" s="78" cm="1">
        <f t="array" ref="I335">_xlfn.IFS($G335=$G$5,I$5,$G335=$G$6,I$6,$G335=$G$7,I$7,$G335=$G$8,I$8,$G335=$G$9,I$9,$G335=$G$10,I$10,$G335=$G$11,I$11,$G335=$G$12,I$12,$G335=$G$13,I$13,$G335=$G$15,I$15,$G335=$G$16,I$16,$G335=$G$17,I$17,$G335=$G$18,I$18,$G335=$G$19,I$19,$G335=$G$20,I$20,$G335=$G$21,I$21,$G335=$G$22,I$22,$G335=$G$25,I$25,$G335=$G$26,I$26,$G335=$G$27,I$27,$G335=$G$29,I$29,$G335=$G$31,I$31,$G335=$G$32,I$150,$G335=$G$248,I$248,$G335=$G$250,I$250)</f>
        <v>2.174852</v>
      </c>
      <c r="J335" cm="1">
        <f t="array" ref="J335">_xlfn.IFS($G335=$G$5,J$5,$G335=$G$6,J$6,$G335=$G$7,J$7,$G335=$G$8,J$8,$G335=$G$9,J$9,$G335=$G$10,J$10,$G335=$G$11,J$11,$G335=$G$12,J$12,$G335=$G$13,J$13,$G335=$G$15,J$15,$G335=$G$16,J$16,$G335=$G$17,J$17,$G335=$G$18,J$18,$G335=$G$19,J$19,$G335=$G$20,J$20,$G335=$G$21,J$21,$G335=$G$22,J$22,$G335=$G$25,J$25,$G335=$G$26,J$26,$G335=$G$27,J$27,$G335=$G$29,J$29,$G335=$G$31,J$31,$G335=$G$32,J$150,$G335=$G$248,J$248,$G335=$G$250,J$250)</f>
        <v>14</v>
      </c>
      <c r="K335" t="str" cm="1">
        <f t="array" ref="K335">_xlfn.IFS($G335=$G$5,K$5,$G335=$G$6,K$6,$G335=$G$7,K$7,$G335=$G$8,K$8,$G335=$G$9,K$9,$G335=$G$10,K$10,$G335=$G$11,K$11,$G335=$G$12,K$12,$G335=$G$13,K$13,$G335=$G$15,K$15,$G335=$G$16,K$16,$G335=$G$17,K$17,$G335=$G$18,K$18,$G335=$G$19,K$19,$G335=$G$20,K$20,$G335=$G$21,K$21,$G335=$G$22,K$22,$G335=$G$25,K$25,$G335=$G$26,K$26,$G335=$G$27,K$27,$G335=$G$29,K$29,$G335=$G$31,K$31,$G335=$G$32,K$150,$G335=$G$248,K$248,$G335=$G$250,K$250)</f>
        <v>BG sentinel + BG lure7</v>
      </c>
      <c r="L335" s="48"/>
      <c r="M335" s="48"/>
      <c r="O335" s="45" t="str">
        <f t="shared" si="24"/>
        <v>A_SP_BCN_20_210701</v>
      </c>
      <c r="P335" s="64">
        <v>44378</v>
      </c>
      <c r="R335" s="72"/>
      <c r="S335" s="64">
        <v>44385</v>
      </c>
      <c r="U335" s="72"/>
      <c r="V335" s="54" t="s">
        <v>66</v>
      </c>
      <c r="X335" s="45">
        <f t="shared" si="23"/>
        <v>7</v>
      </c>
      <c r="Z335" s="69" t="s">
        <v>69</v>
      </c>
      <c r="AA335" s="45">
        <f t="shared" si="16"/>
        <v>3</v>
      </c>
      <c r="AB335" t="str">
        <f t="shared" si="25"/>
        <v>Adult</v>
      </c>
      <c r="AC335" s="69">
        <v>2</v>
      </c>
      <c r="AD335" s="69">
        <v>1</v>
      </c>
      <c r="AE335" s="45" t="str">
        <f t="shared" si="26"/>
        <v>Morphological</v>
      </c>
      <c r="AF335" s="56">
        <v>4</v>
      </c>
    </row>
    <row r="336" spans="1:32" ht="18" customHeight="1" x14ac:dyDescent="0.25">
      <c r="A336" s="45">
        <v>332</v>
      </c>
      <c r="B336" s="45" t="s">
        <v>60</v>
      </c>
      <c r="C336" s="45" t="s">
        <v>61</v>
      </c>
      <c r="D336" s="45" t="s">
        <v>62</v>
      </c>
      <c r="E336" s="45" t="s">
        <v>62</v>
      </c>
      <c r="F336" s="46" cm="1">
        <f t="array" ref="F336">_xlfn.IFS($G336=$G$5,F$5,$G336=$G$6,F$6,$G336=$G$7,F$7,$G336=$G$8,F$8,$G336=$G$9,F$9,$G336=$G$10,F$10,$G336=$G$11,F$11,$G336=$G$12,F$12,$G336=$G$13,F$13,$G336=$G$15,F$15,$G336=$G$16,F$16,$G336=$G$17,F$17,$G336=$G$18,F$18,$G336=$G$19,F$19,$G336=$G$20,F$20,$G336=$G$21,F$21,$G336=$G$22,F$22,$G336=$G$25,F$25,$G336=$G$26,F$26,$G336=$G$27,F$27,$G336=$G$29,F$29,$G336=$G$31,F$31,$G336=$G$32,F$32,$G336=$G$248,F$248,$G336=$G$250,F$250)</f>
        <v>8002</v>
      </c>
      <c r="G336" t="s">
        <v>94</v>
      </c>
      <c r="H336" s="66" cm="1">
        <f t="array" ref="H336">_xlfn.IFS($G336=$G$5,H$5,$G336=$G$6,H$6,$G336=$G$7,H$7,$G336=$G$8,H$8,$G336=$G$9,H$9,$G336=$G$10,H$10,$G336=$G$11,H$11,$G336=$G$12,H$12,$G336=$G$13,H$13,$G336=$G$15,H$15,$G336=$G$16,H$16,$G336=$G$17,H$17,$G336=$G$18,H$18,$G336=$G$19,H$19,$G336=$G$20,H$20,$G336=$G$21,H$21,$G336=$G$22,H$22,$G336=$G$25,H$25,$G336=$G$26,H$26,$G336=$G$27,H$27,$G336=$G$29,H$29,$G336=$G$31,H$31,$G336=$G$32,H$150,$G336=$G$248,H$248,$G336=$G$250,H$250)</f>
        <v>41.385213</v>
      </c>
      <c r="I336" s="78" cm="1">
        <f t="array" ref="I336">_xlfn.IFS($G336=$G$5,I$5,$G336=$G$6,I$6,$G336=$G$7,I$7,$G336=$G$8,I$8,$G336=$G$9,I$9,$G336=$G$10,I$10,$G336=$G$11,I$11,$G336=$G$12,I$12,$G336=$G$13,I$13,$G336=$G$15,I$15,$G336=$G$16,I$16,$G336=$G$17,I$17,$G336=$G$18,I$18,$G336=$G$19,I$19,$G336=$G$20,I$20,$G336=$G$21,I$21,$G336=$G$22,I$22,$G336=$G$25,I$25,$G336=$G$26,I$26,$G336=$G$27,I$27,$G336=$G$29,I$29,$G336=$G$31,I$31,$G336=$G$32,I$150,$G336=$G$248,I$248,$G336=$G$250,I$250)</f>
        <v>2.174852</v>
      </c>
      <c r="J336" cm="1">
        <f t="array" ref="J336">_xlfn.IFS($G336=$G$5,J$5,$G336=$G$6,J$6,$G336=$G$7,J$7,$G336=$G$8,J$8,$G336=$G$9,J$9,$G336=$G$10,J$10,$G336=$G$11,J$11,$G336=$G$12,J$12,$G336=$G$13,J$13,$G336=$G$15,J$15,$G336=$G$16,J$16,$G336=$G$17,J$17,$G336=$G$18,J$18,$G336=$G$19,J$19,$G336=$G$20,J$20,$G336=$G$21,J$21,$G336=$G$22,J$22,$G336=$G$25,J$25,$G336=$G$26,J$26,$G336=$G$27,J$27,$G336=$G$29,J$29,$G336=$G$31,J$31,$G336=$G$32,J$150,$G336=$G$248,J$248,$G336=$G$250,J$250)</f>
        <v>14</v>
      </c>
      <c r="K336" t="str" cm="1">
        <f t="array" ref="K336">_xlfn.IFS($G336=$G$5,K$5,$G336=$G$6,K$6,$G336=$G$7,K$7,$G336=$G$8,K$8,$G336=$G$9,K$9,$G336=$G$10,K$10,$G336=$G$11,K$11,$G336=$G$12,K$12,$G336=$G$13,K$13,$G336=$G$15,K$15,$G336=$G$16,K$16,$G336=$G$17,K$17,$G336=$G$18,K$18,$G336=$G$19,K$19,$G336=$G$20,K$20,$G336=$G$21,K$21,$G336=$G$22,K$22,$G336=$G$25,K$25,$G336=$G$26,K$26,$G336=$G$27,K$27,$G336=$G$29,K$29,$G336=$G$31,K$31,$G336=$G$32,K$150,$G336=$G$248,K$248,$G336=$G$250,K$250)</f>
        <v>BG sentinel + BG lure7</v>
      </c>
      <c r="L336" s="48"/>
      <c r="M336" s="48"/>
      <c r="O336" s="45" t="str">
        <f t="shared" si="24"/>
        <v>A_SP_BCN_20_210701</v>
      </c>
      <c r="P336" s="64">
        <v>44378</v>
      </c>
      <c r="R336" s="72"/>
      <c r="S336" s="64">
        <v>44385</v>
      </c>
      <c r="U336" s="72"/>
      <c r="V336" s="54" t="s">
        <v>66</v>
      </c>
      <c r="X336" s="45">
        <f t="shared" si="23"/>
        <v>7</v>
      </c>
      <c r="Z336" s="45" t="s">
        <v>70</v>
      </c>
      <c r="AA336" s="45">
        <f t="shared" si="16"/>
        <v>18</v>
      </c>
      <c r="AB336" t="str">
        <f t="shared" si="25"/>
        <v>Adult</v>
      </c>
      <c r="AC336" s="69">
        <v>14</v>
      </c>
      <c r="AD336" s="69">
        <v>4</v>
      </c>
      <c r="AE336" s="45" t="str">
        <f t="shared" si="26"/>
        <v>Morphological</v>
      </c>
      <c r="AF336" s="56">
        <v>4</v>
      </c>
    </row>
    <row r="337" spans="1:32" ht="18" customHeight="1" x14ac:dyDescent="0.25">
      <c r="A337" s="45">
        <v>333</v>
      </c>
      <c r="B337" s="45" t="s">
        <v>60</v>
      </c>
      <c r="C337" s="45" t="s">
        <v>61</v>
      </c>
      <c r="D337" s="45" t="s">
        <v>62</v>
      </c>
      <c r="E337" s="45" t="s">
        <v>62</v>
      </c>
      <c r="F337" s="46" cm="1">
        <f t="array" ref="F337">_xlfn.IFS($G337=$G$5,F$5,$G337=$G$6,F$6,$G337=$G$7,F$7,$G337=$G$8,F$8,$G337=$G$9,F$9,$G337=$G$10,F$10,$G337=$G$11,F$11,$G337=$G$12,F$12,$G337=$G$13,F$13,$G337=$G$15,F$15,$G337=$G$16,F$16,$G337=$G$17,F$17,$G337=$G$18,F$18,$G337=$G$19,F$19,$G337=$G$20,F$20,$G337=$G$21,F$21,$G337=$G$22,F$22,$G337=$G$25,F$25,$G337=$G$26,F$26,$G337=$G$27,F$27,$G337=$G$29,F$29,$G337=$G$31,F$31,$G337=$G$32,F$32,$G337=$G$248,F$248,$G337=$G$250,F$250)</f>
        <v>8002</v>
      </c>
      <c r="G337" t="s">
        <v>94</v>
      </c>
      <c r="H337" s="66" cm="1">
        <f t="array" ref="H337">_xlfn.IFS($G337=$G$5,H$5,$G337=$G$6,H$6,$G337=$G$7,H$7,$G337=$G$8,H$8,$G337=$G$9,H$9,$G337=$G$10,H$10,$G337=$G$11,H$11,$G337=$G$12,H$12,$G337=$G$13,H$13,$G337=$G$15,H$15,$G337=$G$16,H$16,$G337=$G$17,H$17,$G337=$G$18,H$18,$G337=$G$19,H$19,$G337=$G$20,H$20,$G337=$G$21,H$21,$G337=$G$22,H$22,$G337=$G$25,H$25,$G337=$G$26,H$26,$G337=$G$27,H$27,$G337=$G$29,H$29,$G337=$G$31,H$31,$G337=$G$32,H$150,$G337=$G$248,H$248,$G337=$G$250,H$250)</f>
        <v>41.385213</v>
      </c>
      <c r="I337" s="78" cm="1">
        <f t="array" ref="I337">_xlfn.IFS($G337=$G$5,I$5,$G337=$G$6,I$6,$G337=$G$7,I$7,$G337=$G$8,I$8,$G337=$G$9,I$9,$G337=$G$10,I$10,$G337=$G$11,I$11,$G337=$G$12,I$12,$G337=$G$13,I$13,$G337=$G$15,I$15,$G337=$G$16,I$16,$G337=$G$17,I$17,$G337=$G$18,I$18,$G337=$G$19,I$19,$G337=$G$20,I$20,$G337=$G$21,I$21,$G337=$G$22,I$22,$G337=$G$25,I$25,$G337=$G$26,I$26,$G337=$G$27,I$27,$G337=$G$29,I$29,$G337=$G$31,I$31,$G337=$G$32,I$150,$G337=$G$248,I$248,$G337=$G$250,I$250)</f>
        <v>2.174852</v>
      </c>
      <c r="J337" cm="1">
        <f t="array" ref="J337">_xlfn.IFS($G337=$G$5,J$5,$G337=$G$6,J$6,$G337=$G$7,J$7,$G337=$G$8,J$8,$G337=$G$9,J$9,$G337=$G$10,J$10,$G337=$G$11,J$11,$G337=$G$12,J$12,$G337=$G$13,J$13,$G337=$G$15,J$15,$G337=$G$16,J$16,$G337=$G$17,J$17,$G337=$G$18,J$18,$G337=$G$19,J$19,$G337=$G$20,J$20,$G337=$G$21,J$21,$G337=$G$22,J$22,$G337=$G$25,J$25,$G337=$G$26,J$26,$G337=$G$27,J$27,$G337=$G$29,J$29,$G337=$G$31,J$31,$G337=$G$32,J$150,$G337=$G$248,J$248,$G337=$G$250,J$250)</f>
        <v>14</v>
      </c>
      <c r="K337" t="str" cm="1">
        <f t="array" ref="K337">_xlfn.IFS($G337=$G$5,K$5,$G337=$G$6,K$6,$G337=$G$7,K$7,$G337=$G$8,K$8,$G337=$G$9,K$9,$G337=$G$10,K$10,$G337=$G$11,K$11,$G337=$G$12,K$12,$G337=$G$13,K$13,$G337=$G$15,K$15,$G337=$G$16,K$16,$G337=$G$17,K$17,$G337=$G$18,K$18,$G337=$G$19,K$19,$G337=$G$20,K$20,$G337=$G$21,K$21,$G337=$G$22,K$22,$G337=$G$25,K$25,$G337=$G$26,K$26,$G337=$G$27,K$27,$G337=$G$29,K$29,$G337=$G$31,K$31,$G337=$G$32,K$150,$G337=$G$248,K$248,$G337=$G$250,K$250)</f>
        <v>BG sentinel + BG lure7</v>
      </c>
      <c r="L337" s="48"/>
      <c r="M337" s="48"/>
      <c r="O337" s="45" t="str">
        <f t="shared" si="24"/>
        <v>A_SP_BCN_20_210701</v>
      </c>
      <c r="P337" s="64">
        <v>44378</v>
      </c>
      <c r="R337" s="72"/>
      <c r="S337" s="64">
        <v>44385</v>
      </c>
      <c r="U337" s="72"/>
      <c r="V337" s="54" t="s">
        <v>66</v>
      </c>
      <c r="X337" s="45">
        <f t="shared" si="23"/>
        <v>7</v>
      </c>
      <c r="Z337" s="45" t="s">
        <v>80</v>
      </c>
      <c r="AA337" s="45">
        <f t="shared" si="16"/>
        <v>23</v>
      </c>
      <c r="AB337" t="str">
        <f t="shared" si="25"/>
        <v>Adult</v>
      </c>
      <c r="AC337" s="69">
        <v>14</v>
      </c>
      <c r="AD337" s="69">
        <v>9</v>
      </c>
      <c r="AE337" s="45" t="str">
        <f t="shared" si="26"/>
        <v>Morphological</v>
      </c>
      <c r="AF337" s="56">
        <v>4</v>
      </c>
    </row>
    <row r="338" spans="1:32" ht="18" customHeight="1" x14ac:dyDescent="0.25">
      <c r="A338" s="45">
        <v>334</v>
      </c>
      <c r="B338" s="45" t="s">
        <v>60</v>
      </c>
      <c r="C338" s="45" t="s">
        <v>61</v>
      </c>
      <c r="D338" s="45" t="s">
        <v>62</v>
      </c>
      <c r="E338" s="45" t="s">
        <v>62</v>
      </c>
      <c r="F338" s="46" cm="1">
        <f t="array" ref="F338">_xlfn.IFS($G338=$G$5,F$5,$G338=$G$6,F$6,$G338=$G$7,F$7,$G338=$G$8,F$8,$G338=$G$9,F$9,$G338=$G$10,F$10,$G338=$G$11,F$11,$G338=$G$12,F$12,$G338=$G$13,F$13,$G338=$G$15,F$15,$G338=$G$16,F$16,$G338=$G$17,F$17,$G338=$G$18,F$18,$G338=$G$19,F$19,$G338=$G$20,F$20,$G338=$G$21,F$21,$G338=$G$22,F$22,$G338=$G$25,F$25,$G338=$G$26,F$26,$G338=$G$27,F$27,$G338=$G$29,F$29,$G338=$G$31,F$31,$G338=$G$32,F$32,$G338=$G$248,F$248,$G338=$G$250,F$250)</f>
        <v>8017</v>
      </c>
      <c r="G338" t="s">
        <v>98</v>
      </c>
      <c r="H338" s="66" cm="1">
        <f t="array" ref="H338">_xlfn.IFS($G338=$G$5,H$5,$G338=$G$6,H$6,$G338=$G$7,H$7,$G338=$G$8,H$8,$G338=$G$9,H$9,$G338=$G$10,H$10,$G338=$G$11,H$11,$G338=$G$12,H$12,$G338=$G$13,H$13,$G338=$G$15,H$15,$G338=$G$16,H$16,$G338=$G$17,H$17,$G338=$G$18,H$18,$G338=$G$19,H$19,$G338=$G$20,H$20,$G338=$G$21,H$21,$G338=$G$22,H$22,$G338=$G$25,H$25,$G338=$G$26,H$26,$G338=$G$27,H$27,$G338=$G$29,H$29,$G338=$G$31,H$31,$G338=$G$32,H$150,$G338=$G$248,H$248,$G338=$G$250,H$250)</f>
        <v>41.430315999999998</v>
      </c>
      <c r="I338" s="78" cm="1">
        <f t="array" ref="I338">_xlfn.IFS($G338=$G$5,I$5,$G338=$G$6,I$6,$G338=$G$7,I$7,$G338=$G$8,I$8,$G338=$G$9,I$9,$G338=$G$10,I$10,$G338=$G$11,I$11,$G338=$G$12,I$12,$G338=$G$13,I$13,$G338=$G$15,I$15,$G338=$G$16,I$16,$G338=$G$17,I$17,$G338=$G$18,I$18,$G338=$G$19,I$19,$G338=$G$20,I$20,$G338=$G$21,I$21,$G338=$G$22,I$22,$G338=$G$25,I$25,$G338=$G$26,I$26,$G338=$G$27,I$27,$G338=$G$29,I$29,$G338=$G$31,I$31,$G338=$G$32,I$150,$G338=$G$248,I$248,$G338=$G$250,I$250)</f>
        <v>2.077556</v>
      </c>
      <c r="J338" cm="1">
        <f t="array" ref="J338">_xlfn.IFS($G338=$G$5,J$5,$G338=$G$6,J$6,$G338=$G$7,J$7,$G338=$G$8,J$8,$G338=$G$9,J$9,$G338=$G$10,J$10,$G338=$G$11,J$11,$G338=$G$12,J$12,$G338=$G$13,J$13,$G338=$G$15,J$15,$G338=$G$16,J$16,$G338=$G$17,J$17,$G338=$G$18,J$18,$G338=$G$19,J$19,$G338=$G$20,J$20,$G338=$G$21,J$21,$G338=$G$22,J$22,$G338=$G$25,J$25,$G338=$G$26,J$26,$G338=$G$27,J$27,$G338=$G$29,J$29,$G338=$G$31,J$31,$G338=$G$32,J$150,$G338=$G$248,J$248,$G338=$G$250,J$250)</f>
        <v>243.3</v>
      </c>
      <c r="K338" t="str" cm="1">
        <f t="array" ref="K338">_xlfn.IFS($G338=$G$5,K$5,$G338=$G$6,K$6,$G338=$G$7,K$7,$G338=$G$8,K$8,$G338=$G$9,K$9,$G338=$G$10,K$10,$G338=$G$11,K$11,$G338=$G$12,K$12,$G338=$G$13,K$13,$G338=$G$15,K$15,$G338=$G$16,K$16,$G338=$G$17,K$17,$G338=$G$18,K$18,$G338=$G$19,K$19,$G338=$G$20,K$20,$G338=$G$21,K$21,$G338=$G$22,K$22,$G338=$G$25,K$25,$G338=$G$26,K$26,$G338=$G$27,K$27,$G338=$G$29,K$29,$G338=$G$31,K$31,$G338=$G$32,K$150,$G338=$G$248,K$248,$G338=$G$250,K$250)</f>
        <v>BG sentinel + BG lure7</v>
      </c>
      <c r="L338" s="48"/>
      <c r="M338" s="48"/>
      <c r="O338" s="45" t="str">
        <f t="shared" si="24"/>
        <v>A_SP_BCN_22_210630</v>
      </c>
      <c r="P338" s="64">
        <v>44377</v>
      </c>
      <c r="R338" s="72"/>
      <c r="S338" s="64">
        <v>44384</v>
      </c>
      <c r="U338" s="72"/>
      <c r="V338" s="54" t="s">
        <v>66</v>
      </c>
      <c r="W338" t="s">
        <v>130</v>
      </c>
      <c r="X338" s="45">
        <f t="shared" si="23"/>
        <v>7</v>
      </c>
      <c r="Z338" s="45" t="s">
        <v>80</v>
      </c>
      <c r="AA338" s="45">
        <f t="shared" si="16"/>
        <v>1</v>
      </c>
      <c r="AB338" t="str">
        <f t="shared" si="25"/>
        <v>Adult</v>
      </c>
      <c r="AC338" s="69">
        <v>1</v>
      </c>
      <c r="AD338" s="69">
        <v>0</v>
      </c>
      <c r="AE338" s="45" t="str">
        <f t="shared" si="26"/>
        <v>Morphological</v>
      </c>
      <c r="AF338" s="56">
        <v>3</v>
      </c>
    </row>
    <row r="339" spans="1:32" ht="18" customHeight="1" x14ac:dyDescent="0.25">
      <c r="A339" s="45">
        <v>335</v>
      </c>
      <c r="B339" s="45" t="s">
        <v>60</v>
      </c>
      <c r="C339" s="45" t="s">
        <v>61</v>
      </c>
      <c r="D339" s="45" t="s">
        <v>62</v>
      </c>
      <c r="E339" s="45" t="s">
        <v>62</v>
      </c>
      <c r="F339" s="46" cm="1">
        <f t="array" ref="F339">_xlfn.IFS($G339=$G$5,F$5,$G339=$G$6,F$6,$G339=$G$7,F$7,$G339=$G$8,F$8,$G339=$G$9,F$9,$G339=$G$10,F$10,$G339=$G$11,F$11,$G339=$G$12,F$12,$G339=$G$13,F$13,$G339=$G$15,F$15,$G339=$G$16,F$16,$G339=$G$17,F$17,$G339=$G$18,F$18,$G339=$G$19,F$19,$G339=$G$20,F$20,$G339=$G$21,F$21,$G339=$G$22,F$22,$G339=$G$25,F$25,$G339=$G$26,F$26,$G339=$G$27,F$27,$G339=$G$29,F$29,$G339=$G$31,F$31,$G339=$G$32,F$32,$G339=$G$248,F$248,$G339=$G$250,F$250)</f>
        <v>8038</v>
      </c>
      <c r="G339" t="s">
        <v>103</v>
      </c>
      <c r="H339" s="66" cm="1">
        <f t="array" ref="H339">_xlfn.IFS($G339=$G$5,H$5,$G339=$G$6,H$6,$G339=$G$7,H$7,$G339=$G$8,H$8,$G339=$G$9,H$9,$G339=$G$10,H$10,$G339=$G$11,H$11,$G339=$G$12,H$12,$G339=$G$13,H$13,$G339=$G$15,H$15,$G339=$G$16,H$16,$G339=$G$17,H$17,$G339=$G$18,H$18,$G339=$G$19,H$19,$G339=$G$20,H$20,$G339=$G$21,H$21,$G339=$G$22,H$22,$G339=$G$25,H$25,$G339=$G$26,H$26,$G339=$G$27,H$27,$G339=$G$29,H$29,$G339=$G$31,H$31,$G339=$G$32,H$150,$G339=$G$248,H$248,$G339=$G$250,H$250)</f>
        <v>41.367100000000001</v>
      </c>
      <c r="I339" s="78" cm="1">
        <f t="array" ref="I339">_xlfn.IFS($G339=$G$5,I$5,$G339=$G$6,I$6,$G339=$G$7,I$7,$G339=$G$8,I$8,$G339=$G$9,I$9,$G339=$G$10,I$10,$G339=$G$11,I$11,$G339=$G$12,I$12,$G339=$G$13,I$13,$G339=$G$15,I$15,$G339=$G$16,I$16,$G339=$G$17,I$17,$G339=$G$18,I$18,$G339=$G$19,I$19,$G339=$G$20,I$20,$G339=$G$21,I$21,$G339=$G$22,I$22,$G339=$G$25,I$25,$G339=$G$26,I$26,$G339=$G$27,I$27,$G339=$G$29,I$29,$G339=$G$31,I$31,$G339=$G$32,I$150,$G339=$G$248,I$248,$G339=$G$250,I$250)</f>
        <v>2.1539079999999999</v>
      </c>
      <c r="J339" cm="1">
        <f t="array" ref="J339">_xlfn.IFS($G339=$G$5,J$5,$G339=$G$6,J$6,$G339=$G$7,J$7,$G339=$G$8,J$8,$G339=$G$9,J$9,$G339=$G$10,J$10,$G339=$G$11,J$11,$G339=$G$12,J$12,$G339=$G$13,J$13,$G339=$G$15,J$15,$G339=$G$16,J$16,$G339=$G$17,J$17,$G339=$G$18,J$18,$G339=$G$19,J$19,$G339=$G$20,J$20,$G339=$G$21,J$21,$G339=$G$22,J$22,$G339=$G$25,J$25,$G339=$G$26,J$26,$G339=$G$27,J$27,$G339=$G$29,J$29,$G339=$G$31,J$31,$G339=$G$32,J$150,$G339=$G$248,J$248,$G339=$G$250,J$250)</f>
        <v>68</v>
      </c>
      <c r="K339" t="str" cm="1">
        <f t="array" ref="K339">_xlfn.IFS($G339=$G$5,K$5,$G339=$G$6,K$6,$G339=$G$7,K$7,$G339=$G$8,K$8,$G339=$G$9,K$9,$G339=$G$10,K$10,$G339=$G$11,K$11,$G339=$G$12,K$12,$G339=$G$13,K$13,$G339=$G$15,K$15,$G339=$G$16,K$16,$G339=$G$17,K$17,$G339=$G$18,K$18,$G339=$G$19,K$19,$G339=$G$20,K$20,$G339=$G$21,K$21,$G339=$G$22,K$22,$G339=$G$25,K$25,$G339=$G$26,K$26,$G339=$G$27,K$27,$G339=$G$29,K$29,$G339=$G$31,K$31,$G339=$G$32,K$150,$G339=$G$248,K$248,$G339=$G$250,K$250)</f>
        <v>BG sentinel + BG lure7</v>
      </c>
      <c r="L339" s="48"/>
      <c r="M339" s="48"/>
      <c r="O339" s="45" t="str">
        <f t="shared" si="24"/>
        <v>A_SP_BCN_23_210701</v>
      </c>
      <c r="P339" s="64">
        <v>44378</v>
      </c>
      <c r="R339" s="72"/>
      <c r="S339" s="64">
        <v>44385</v>
      </c>
      <c r="U339" s="72"/>
      <c r="V339" s="54" t="s">
        <v>66</v>
      </c>
      <c r="W339" t="s">
        <v>131</v>
      </c>
      <c r="X339" s="45">
        <f t="shared" si="23"/>
        <v>7</v>
      </c>
      <c r="Z339" s="69" t="s">
        <v>69</v>
      </c>
      <c r="AA339" s="45">
        <f t="shared" si="16"/>
        <v>19</v>
      </c>
      <c r="AB339" t="str">
        <f t="shared" si="25"/>
        <v>Adult</v>
      </c>
      <c r="AC339" s="69">
        <v>17</v>
      </c>
      <c r="AD339" s="69">
        <v>2</v>
      </c>
      <c r="AE339" s="45" t="str">
        <f t="shared" si="26"/>
        <v>Morphological</v>
      </c>
      <c r="AF339" s="56">
        <v>3</v>
      </c>
    </row>
    <row r="340" spans="1:32" ht="18" customHeight="1" x14ac:dyDescent="0.25">
      <c r="A340" s="45">
        <v>336</v>
      </c>
      <c r="B340" s="45" t="s">
        <v>60</v>
      </c>
      <c r="C340" s="45" t="s">
        <v>61</v>
      </c>
      <c r="D340" s="45" t="s">
        <v>62</v>
      </c>
      <c r="E340" s="45" t="s">
        <v>62</v>
      </c>
      <c r="F340" s="46" cm="1">
        <f t="array" ref="F340">_xlfn.IFS($G340=$G$5,F$5,$G340=$G$6,F$6,$G340=$G$7,F$7,$G340=$G$8,F$8,$G340=$G$9,F$9,$G340=$G$10,F$10,$G340=$G$11,F$11,$G340=$G$12,F$12,$G340=$G$13,F$13,$G340=$G$15,F$15,$G340=$G$16,F$16,$G340=$G$17,F$17,$G340=$G$18,F$18,$G340=$G$19,F$19,$G340=$G$20,F$20,$G340=$G$21,F$21,$G340=$G$22,F$22,$G340=$G$25,F$25,$G340=$G$26,F$26,$G340=$G$27,F$27,$G340=$G$29,F$29,$G340=$G$31,F$31,$G340=$G$32,F$32,$G340=$G$248,F$248,$G340=$G$250,F$250)</f>
        <v>8038</v>
      </c>
      <c r="G340" t="s">
        <v>103</v>
      </c>
      <c r="H340" s="66" cm="1">
        <f t="array" ref="H340">_xlfn.IFS($G340=$G$5,H$5,$G340=$G$6,H$6,$G340=$G$7,H$7,$G340=$G$8,H$8,$G340=$G$9,H$9,$G340=$G$10,H$10,$G340=$G$11,H$11,$G340=$G$12,H$12,$G340=$G$13,H$13,$G340=$G$15,H$15,$G340=$G$16,H$16,$G340=$G$17,H$17,$G340=$G$18,H$18,$G340=$G$19,H$19,$G340=$G$20,H$20,$G340=$G$21,H$21,$G340=$G$22,H$22,$G340=$G$25,H$25,$G340=$G$26,H$26,$G340=$G$27,H$27,$G340=$G$29,H$29,$G340=$G$31,H$31,$G340=$G$32,H$150,$G340=$G$248,H$248,$G340=$G$250,H$250)</f>
        <v>41.367100000000001</v>
      </c>
      <c r="I340" s="78" cm="1">
        <f t="array" ref="I340">_xlfn.IFS($G340=$G$5,I$5,$G340=$G$6,I$6,$G340=$G$7,I$7,$G340=$G$8,I$8,$G340=$G$9,I$9,$G340=$G$10,I$10,$G340=$G$11,I$11,$G340=$G$12,I$12,$G340=$G$13,I$13,$G340=$G$15,I$15,$G340=$G$16,I$16,$G340=$G$17,I$17,$G340=$G$18,I$18,$G340=$G$19,I$19,$G340=$G$20,I$20,$G340=$G$21,I$21,$G340=$G$22,I$22,$G340=$G$25,I$25,$G340=$G$26,I$26,$G340=$G$27,I$27,$G340=$G$29,I$29,$G340=$G$31,I$31,$G340=$G$32,I$150,$G340=$G$248,I$248,$G340=$G$250,I$250)</f>
        <v>2.1539079999999999</v>
      </c>
      <c r="J340" cm="1">
        <f t="array" ref="J340">_xlfn.IFS($G340=$G$5,J$5,$G340=$G$6,J$6,$G340=$G$7,J$7,$G340=$G$8,J$8,$G340=$G$9,J$9,$G340=$G$10,J$10,$G340=$G$11,J$11,$G340=$G$12,J$12,$G340=$G$13,J$13,$G340=$G$15,J$15,$G340=$G$16,J$16,$G340=$G$17,J$17,$G340=$G$18,J$18,$G340=$G$19,J$19,$G340=$G$20,J$20,$G340=$G$21,J$21,$G340=$G$22,J$22,$G340=$G$25,J$25,$G340=$G$26,J$26,$G340=$G$27,J$27,$G340=$G$29,J$29,$G340=$G$31,J$31,$G340=$G$32,J$150,$G340=$G$248,J$248,$G340=$G$250,J$250)</f>
        <v>68</v>
      </c>
      <c r="K340" t="str" cm="1">
        <f t="array" ref="K340">_xlfn.IFS($G340=$G$5,K$5,$G340=$G$6,K$6,$G340=$G$7,K$7,$G340=$G$8,K$8,$G340=$G$9,K$9,$G340=$G$10,K$10,$G340=$G$11,K$11,$G340=$G$12,K$12,$G340=$G$13,K$13,$G340=$G$15,K$15,$G340=$G$16,K$16,$G340=$G$17,K$17,$G340=$G$18,K$18,$G340=$G$19,K$19,$G340=$G$20,K$20,$G340=$G$21,K$21,$G340=$G$22,K$22,$G340=$G$25,K$25,$G340=$G$26,K$26,$G340=$G$27,K$27,$G340=$G$29,K$29,$G340=$G$31,K$31,$G340=$G$32,K$150,$G340=$G$248,K$248,$G340=$G$250,K$250)</f>
        <v>BG sentinel + BG lure7</v>
      </c>
      <c r="L340" s="48"/>
      <c r="M340" s="48"/>
      <c r="O340" s="45" t="str">
        <f t="shared" si="24"/>
        <v>A_SP_BCN_23_210701</v>
      </c>
      <c r="P340" s="64">
        <v>44378</v>
      </c>
      <c r="R340" s="72"/>
      <c r="S340" s="64">
        <v>44385</v>
      </c>
      <c r="U340" s="72"/>
      <c r="V340" s="54" t="s">
        <v>66</v>
      </c>
      <c r="W340" t="s">
        <v>131</v>
      </c>
      <c r="X340" s="45">
        <f t="shared" si="23"/>
        <v>7</v>
      </c>
      <c r="Z340" s="45" t="s">
        <v>70</v>
      </c>
      <c r="AA340" s="45">
        <f t="shared" si="16"/>
        <v>5</v>
      </c>
      <c r="AB340" t="str">
        <f t="shared" si="25"/>
        <v>Adult</v>
      </c>
      <c r="AC340" s="69">
        <v>3</v>
      </c>
      <c r="AD340" s="69">
        <v>2</v>
      </c>
      <c r="AE340" s="45" t="str">
        <f t="shared" si="26"/>
        <v>Morphological</v>
      </c>
      <c r="AF340" s="56">
        <v>3</v>
      </c>
    </row>
    <row r="341" spans="1:32" ht="18" customHeight="1" x14ac:dyDescent="0.25">
      <c r="A341" s="45">
        <v>337</v>
      </c>
      <c r="B341" s="45" t="s">
        <v>60</v>
      </c>
      <c r="C341" s="45" t="s">
        <v>61</v>
      </c>
      <c r="D341" s="45" t="s">
        <v>62</v>
      </c>
      <c r="E341" s="45" t="s">
        <v>62</v>
      </c>
      <c r="F341" s="46" cm="1">
        <f t="array" ref="F341">_xlfn.IFS($G341=$G$5,F$5,$G341=$G$6,F$6,$G341=$G$7,F$7,$G341=$G$8,F$8,$G341=$G$9,F$9,$G341=$G$10,F$10,$G341=$G$11,F$11,$G341=$G$12,F$12,$G341=$G$13,F$13,$G341=$G$15,F$15,$G341=$G$16,F$16,$G341=$G$17,F$17,$G341=$G$18,F$18,$G341=$G$19,F$19,$G341=$G$20,F$20,$G341=$G$21,F$21,$G341=$G$22,F$22,$G341=$G$25,F$25,$G341=$G$26,F$26,$G341=$G$27,F$27,$G341=$G$29,F$29,$G341=$G$31,F$31,$G341=$G$32,F$32,$G341=$G$248,F$248,$G341=$G$250,F$250)</f>
        <v>8038</v>
      </c>
      <c r="G341" t="s">
        <v>103</v>
      </c>
      <c r="H341" s="66" cm="1">
        <f t="array" ref="H341">_xlfn.IFS($G341=$G$5,H$5,$G341=$G$6,H$6,$G341=$G$7,H$7,$G341=$G$8,H$8,$G341=$G$9,H$9,$G341=$G$10,H$10,$G341=$G$11,H$11,$G341=$G$12,H$12,$G341=$G$13,H$13,$G341=$G$15,H$15,$G341=$G$16,H$16,$G341=$G$17,H$17,$G341=$G$18,H$18,$G341=$G$19,H$19,$G341=$G$20,H$20,$G341=$G$21,H$21,$G341=$G$22,H$22,$G341=$G$25,H$25,$G341=$G$26,H$26,$G341=$G$27,H$27,$G341=$G$29,H$29,$G341=$G$31,H$31,$G341=$G$32,H$150,$G341=$G$248,H$248,$G341=$G$250,H$250)</f>
        <v>41.367100000000001</v>
      </c>
      <c r="I341" s="78" cm="1">
        <f t="array" ref="I341">_xlfn.IFS($G341=$G$5,I$5,$G341=$G$6,I$6,$G341=$G$7,I$7,$G341=$G$8,I$8,$G341=$G$9,I$9,$G341=$G$10,I$10,$G341=$G$11,I$11,$G341=$G$12,I$12,$G341=$G$13,I$13,$G341=$G$15,I$15,$G341=$G$16,I$16,$G341=$G$17,I$17,$G341=$G$18,I$18,$G341=$G$19,I$19,$G341=$G$20,I$20,$G341=$G$21,I$21,$G341=$G$22,I$22,$G341=$G$25,I$25,$G341=$G$26,I$26,$G341=$G$27,I$27,$G341=$G$29,I$29,$G341=$G$31,I$31,$G341=$G$32,I$150,$G341=$G$248,I$248,$G341=$G$250,I$250)</f>
        <v>2.1539079999999999</v>
      </c>
      <c r="J341" cm="1">
        <f t="array" ref="J341">_xlfn.IFS($G341=$G$5,J$5,$G341=$G$6,J$6,$G341=$G$7,J$7,$G341=$G$8,J$8,$G341=$G$9,J$9,$G341=$G$10,J$10,$G341=$G$11,J$11,$G341=$G$12,J$12,$G341=$G$13,J$13,$G341=$G$15,J$15,$G341=$G$16,J$16,$G341=$G$17,J$17,$G341=$G$18,J$18,$G341=$G$19,J$19,$G341=$G$20,J$20,$G341=$G$21,J$21,$G341=$G$22,J$22,$G341=$G$25,J$25,$G341=$G$26,J$26,$G341=$G$27,J$27,$G341=$G$29,J$29,$G341=$G$31,J$31,$G341=$G$32,J$150,$G341=$G$248,J$248,$G341=$G$250,J$250)</f>
        <v>68</v>
      </c>
      <c r="K341" t="str" cm="1">
        <f t="array" ref="K341">_xlfn.IFS($G341=$G$5,K$5,$G341=$G$6,K$6,$G341=$G$7,K$7,$G341=$G$8,K$8,$G341=$G$9,K$9,$G341=$G$10,K$10,$G341=$G$11,K$11,$G341=$G$12,K$12,$G341=$G$13,K$13,$G341=$G$15,K$15,$G341=$G$16,K$16,$G341=$G$17,K$17,$G341=$G$18,K$18,$G341=$G$19,K$19,$G341=$G$20,K$20,$G341=$G$21,K$21,$G341=$G$22,K$22,$G341=$G$25,K$25,$G341=$G$26,K$26,$G341=$G$27,K$27,$G341=$G$29,K$29,$G341=$G$31,K$31,$G341=$G$32,K$150,$G341=$G$248,K$248,$G341=$G$250,K$250)</f>
        <v>BG sentinel + BG lure7</v>
      </c>
      <c r="L341" s="48"/>
      <c r="M341" s="48"/>
      <c r="O341" s="45" t="str">
        <f t="shared" si="24"/>
        <v>A_SP_BCN_23_210701</v>
      </c>
      <c r="P341" s="64">
        <v>44378</v>
      </c>
      <c r="R341" s="72"/>
      <c r="S341" s="64">
        <v>44385</v>
      </c>
      <c r="U341" s="72"/>
      <c r="V341" s="54" t="s">
        <v>66</v>
      </c>
      <c r="W341" t="s">
        <v>131</v>
      </c>
      <c r="X341" s="45">
        <f t="shared" si="23"/>
        <v>7</v>
      </c>
      <c r="Z341" s="45" t="s">
        <v>80</v>
      </c>
      <c r="AA341" s="45">
        <f t="shared" si="16"/>
        <v>2</v>
      </c>
      <c r="AB341" t="str">
        <f t="shared" si="25"/>
        <v>Adult</v>
      </c>
      <c r="AC341" s="69">
        <v>2</v>
      </c>
      <c r="AD341" s="69">
        <v>0</v>
      </c>
      <c r="AE341" s="45" t="str">
        <f t="shared" si="26"/>
        <v>Morphological</v>
      </c>
      <c r="AF341" s="56">
        <v>3</v>
      </c>
    </row>
    <row r="342" spans="1:32" ht="18" customHeight="1" x14ac:dyDescent="0.25">
      <c r="A342" s="45">
        <v>338</v>
      </c>
      <c r="B342" s="45" t="s">
        <v>60</v>
      </c>
      <c r="C342" s="45" t="s">
        <v>61</v>
      </c>
      <c r="D342" s="45" t="s">
        <v>62</v>
      </c>
      <c r="E342" s="45" t="s">
        <v>62</v>
      </c>
      <c r="F342" s="46" cm="1">
        <f t="array" ref="F342">_xlfn.IFS($G342=$G$5,F$5,$G342=$G$6,F$6,$G342=$G$7,F$7,$G342=$G$8,F$8,$G342=$G$9,F$9,$G342=$G$10,F$10,$G342=$G$11,F$11,$G342=$G$12,F$12,$G342=$G$13,F$13,$G342=$G$15,F$15,$G342=$G$16,F$16,$G342=$G$17,F$17,$G342=$G$18,F$18,$G342=$G$19,F$19,$G342=$G$20,F$20,$G342=$G$21,F$21,$G342=$G$22,F$22,$G342=$G$25,F$25,$G342=$G$26,F$26,$G342=$G$27,F$27,$G342=$G$29,F$29,$G342=$G$31,F$31,$G342=$G$32,F$32,$G342=$G$248,F$248,$G342=$G$250,F$250)</f>
        <v>8015</v>
      </c>
      <c r="G342" t="s">
        <v>109</v>
      </c>
      <c r="H342" s="66" cm="1">
        <f t="array" ref="H342">_xlfn.IFS($G342=$G$5,H$5,$G342=$G$6,H$6,$G342=$G$7,H$7,$G342=$G$8,H$8,$G342=$G$9,H$9,$G342=$G$10,H$10,$G342=$G$11,H$11,$G342=$G$12,H$12,$G342=$G$13,H$13,$G342=$G$15,H$15,$G342=$G$16,H$16,$G342=$G$17,H$17,$G342=$G$18,H$18,$G342=$G$19,H$19,$G342=$G$20,H$20,$G342=$G$21,H$21,$G342=$G$22,H$22,$G342=$G$25,H$25,$G342=$G$26,H$26,$G342=$G$27,H$27,$G342=$G$29,H$29,$G342=$G$31,H$31,$G342=$G$32,H$150,$G342=$G$248,H$248,$G342=$G$250,H$250)</f>
        <v>41.381725000000003</v>
      </c>
      <c r="I342" s="78" cm="1">
        <f t="array" ref="I342">_xlfn.IFS($G342=$G$5,I$5,$G342=$G$6,I$6,$G342=$G$7,I$7,$G342=$G$8,I$8,$G342=$G$9,I$9,$G342=$G$10,I$10,$G342=$G$11,I$11,$G342=$G$12,I$12,$G342=$G$13,I$13,$G342=$G$15,I$15,$G342=$G$16,I$16,$G342=$G$17,I$17,$G342=$G$18,I$18,$G342=$G$19,I$19,$G342=$G$20,I$20,$G342=$G$21,I$21,$G342=$G$22,I$22,$G342=$G$25,I$25,$G342=$G$26,I$26,$G342=$G$27,I$27,$G342=$G$29,I$29,$G342=$G$31,I$31,$G342=$G$32,I$150,$G342=$G$248,I$248,$G342=$G$250,I$250)</f>
        <v>2.1543679999999998</v>
      </c>
      <c r="J342" cm="1">
        <f t="array" ref="J342">_xlfn.IFS($G342=$G$5,J$5,$G342=$G$6,J$6,$G342=$G$7,J$7,$G342=$G$8,J$8,$G342=$G$9,J$9,$G342=$G$10,J$10,$G342=$G$11,J$11,$G342=$G$12,J$12,$G342=$G$13,J$13,$G342=$G$15,J$15,$G342=$G$16,J$16,$G342=$G$17,J$17,$G342=$G$18,J$18,$G342=$G$19,J$19,$G342=$G$20,J$20,$G342=$G$21,J$21,$G342=$G$22,J$22,$G342=$G$25,J$25,$G342=$G$26,J$26,$G342=$G$27,J$27,$G342=$G$29,J$29,$G342=$G$31,J$31,$G342=$G$32,J$150,$G342=$G$248,J$248,$G342=$G$250,J$250)</f>
        <v>20.7</v>
      </c>
      <c r="K342" t="str" cm="1">
        <f t="array" ref="K342">_xlfn.IFS($G342=$G$5,K$5,$G342=$G$6,K$6,$G342=$G$7,K$7,$G342=$G$8,K$8,$G342=$G$9,K$9,$G342=$G$10,K$10,$G342=$G$11,K$11,$G342=$G$12,K$12,$G342=$G$13,K$13,$G342=$G$15,K$15,$G342=$G$16,K$16,$G342=$G$17,K$17,$G342=$G$18,K$18,$G342=$G$19,K$19,$G342=$G$20,K$20,$G342=$G$21,K$21,$G342=$G$22,K$22,$G342=$G$25,K$25,$G342=$G$26,K$26,$G342=$G$27,K$27,$G342=$G$29,K$29,$G342=$G$31,K$31,$G342=$G$32,K$150,$G342=$G$248,K$248,$G342=$G$250,K$250)</f>
        <v>BG sentinel + BG lure7</v>
      </c>
      <c r="L342" s="48"/>
      <c r="M342" s="48"/>
      <c r="O342" s="45" t="str">
        <f t="shared" si="24"/>
        <v>A_SP_BCN_24_210701</v>
      </c>
      <c r="P342" s="64">
        <v>44378</v>
      </c>
      <c r="R342" s="72"/>
      <c r="S342" s="64">
        <v>44384</v>
      </c>
      <c r="U342" s="72"/>
      <c r="V342" s="54" t="s">
        <v>66</v>
      </c>
      <c r="X342" s="45">
        <f t="shared" si="23"/>
        <v>6</v>
      </c>
      <c r="Z342" s="45" t="s">
        <v>70</v>
      </c>
      <c r="AA342" s="45">
        <f t="shared" si="16"/>
        <v>1</v>
      </c>
      <c r="AB342" t="str">
        <f t="shared" si="25"/>
        <v>Adult</v>
      </c>
      <c r="AC342" s="69">
        <v>0</v>
      </c>
      <c r="AD342" s="69">
        <v>1</v>
      </c>
      <c r="AE342" s="45" t="str">
        <f t="shared" si="26"/>
        <v>Morphological</v>
      </c>
      <c r="AF342" s="56">
        <v>4</v>
      </c>
    </row>
    <row r="343" spans="1:32" ht="18" customHeight="1" x14ac:dyDescent="0.25">
      <c r="A343" s="45">
        <v>339</v>
      </c>
      <c r="B343" s="45" t="s">
        <v>60</v>
      </c>
      <c r="C343" s="45" t="s">
        <v>61</v>
      </c>
      <c r="D343" s="45" t="s">
        <v>62</v>
      </c>
      <c r="E343" s="45" t="s">
        <v>62</v>
      </c>
      <c r="F343" s="46" cm="1">
        <f t="array" ref="F343">_xlfn.IFS($G343=$G$5,F$5,$G343=$G$6,F$6,$G343=$G$7,F$7,$G343=$G$8,F$8,$G343=$G$9,F$9,$G343=$G$10,F$10,$G343=$G$11,F$11,$G343=$G$12,F$12,$G343=$G$13,F$13,$G343=$G$15,F$15,$G343=$G$16,F$16,$G343=$G$17,F$17,$G343=$G$18,F$18,$G343=$G$19,F$19,$G343=$G$20,F$20,$G343=$G$21,F$21,$G343=$G$22,F$22,$G343=$G$25,F$25,$G343=$G$26,F$26,$G343=$G$27,F$27,$G343=$G$29,F$29,$G343=$G$31,F$31,$G343=$G$32,F$32,$G343=$G$248,F$248,$G343=$G$250,F$250)</f>
        <v>8035</v>
      </c>
      <c r="G343" t="s">
        <v>67</v>
      </c>
      <c r="H343" s="66" cm="1">
        <f t="array" ref="H343">_xlfn.IFS($G343=$G$5,H$5,$G343=$G$6,H$6,$G343=$G$7,H$7,$G343=$G$8,H$8,$G343=$G$9,H$9,$G343=$G$10,H$10,$G343=$G$11,H$11,$G343=$G$12,H$12,$G343=$G$13,H$13,$G343=$G$15,H$15,$G343=$G$16,H$16,$G343=$G$17,H$17,$G343=$G$18,H$18,$G343=$G$19,H$19,$G343=$G$20,H$20,$G343=$G$21,H$21,$G343=$G$22,H$22,$G343=$G$25,H$25,$G343=$G$26,H$26,$G343=$G$27,H$27,$G343=$G$29,H$29,$G343=$G$31,H$31,$G343=$G$32,H$150,$G343=$G$248,H$248,$G343=$G$250,H$250)</f>
        <v>41.424387000000003</v>
      </c>
      <c r="I343" s="78" cm="1">
        <f t="array" ref="I343">_xlfn.IFS($G343=$G$5,I$5,$G343=$G$6,I$6,$G343=$G$7,I$7,$G343=$G$8,I$8,$G343=$G$9,I$9,$G343=$G$10,I$10,$G343=$G$11,I$11,$G343=$G$12,I$12,$G343=$G$13,I$13,$G343=$G$15,I$15,$G343=$G$16,I$16,$G343=$G$17,I$17,$G343=$G$18,I$18,$G343=$G$19,I$19,$G343=$G$20,I$20,$G343=$G$21,I$21,$G343=$G$22,I$22,$G343=$G$25,I$25,$G343=$G$26,I$26,$G343=$G$27,I$27,$G343=$G$29,I$29,$G343=$G$31,I$31,$G343=$G$32,I$150,$G343=$G$248,I$248,$G343=$G$250,I$250)</f>
        <v>2.1431439999999999</v>
      </c>
      <c r="J343" cm="1">
        <f t="array" ref="J343">_xlfn.IFS($G343=$G$5,J$5,$G343=$G$6,J$6,$G343=$G$7,J$7,$G343=$G$8,J$8,$G343=$G$9,J$9,$G343=$G$10,J$10,$G343=$G$11,J$11,$G343=$G$12,J$12,$G343=$G$13,J$13,$G343=$G$15,J$15,$G343=$G$16,J$16,$G343=$G$17,J$17,$G343=$G$18,J$18,$G343=$G$19,J$19,$G343=$G$20,J$20,$G343=$G$21,J$21,$G343=$G$22,J$22,$G343=$G$25,J$25,$G343=$G$26,J$26,$G343=$G$27,J$27,$G343=$G$29,J$29,$G343=$G$31,J$31,$G343=$G$32,J$150,$G343=$G$248,J$248,$G343=$G$250,J$250)</f>
        <v>160</v>
      </c>
      <c r="K343" t="str" cm="1">
        <f t="array" ref="K343">_xlfn.IFS($G343=$G$5,K$5,$G343=$G$6,K$6,$G343=$G$7,K$7,$G343=$G$8,K$8,$G343=$G$9,K$9,$G343=$G$10,K$10,$G343=$G$11,K$11,$G343=$G$12,K$12,$G343=$G$13,K$13,$G343=$G$15,K$15,$G343=$G$16,K$16,$G343=$G$17,K$17,$G343=$G$18,K$18,$G343=$G$19,K$19,$G343=$G$20,K$20,$G343=$G$21,K$21,$G343=$G$22,K$22,$G343=$G$25,K$25,$G343=$G$26,K$26,$G343=$G$27,K$27,$G343=$G$29,K$29,$G343=$G$31,K$31,$G343=$G$32,K$150,$G343=$G$248,K$248,$G343=$G$250,K$250)</f>
        <v>BG sentinel + BG lure7</v>
      </c>
      <c r="L343" t="str" cm="1">
        <f t="array" ref="L343">_xlfn.IFS($G343=$G$5,L$5,$G343=$G$6,L$6,$G343=$G$7,L$7,$G343=$G$8,L$8,$G343=$G$9,L$9,$G343=$G$10,L$10,$G343=$G$11,L$11,$G343=$G$12,L$12,$G343=$G$13,L$13,$G343=$G$15,L$15,$G343=$G$16,L$16,$G343=$G$17,L$17,$G343=$G$18,L$18,$G343=$G$19,L$19,$G343=$G$20,L$20,$G343=$G$21,L$21,$G343=$G$22,L$22,$G343=$G$25,L$25,$G343=$G$26,L$26,$G343=$G$27,L$27,$G343=$G$29,L$29,$G343=$G$31,L$31,$G343=$G$32,L$32,$G343=$G$248,L$248,$G343=$G$250,L$250)</f>
        <v>Urban habitat</v>
      </c>
      <c r="O343" s="45" t="str">
        <f t="shared" si="24"/>
        <v>A_SP_BCN_2_210707</v>
      </c>
      <c r="P343" s="64">
        <v>44384</v>
      </c>
      <c r="R343" s="72"/>
      <c r="S343" s="64">
        <v>44391</v>
      </c>
      <c r="U343" s="72"/>
      <c r="V343" s="54" t="s">
        <v>66</v>
      </c>
      <c r="X343" s="45">
        <f t="shared" si="23"/>
        <v>7</v>
      </c>
      <c r="Z343" s="69" t="s">
        <v>69</v>
      </c>
      <c r="AA343" s="45">
        <f t="shared" ref="AA343:AA379" si="27">SUM(AC343:AD343)</f>
        <v>2</v>
      </c>
      <c r="AB343" t="str">
        <f t="shared" si="25"/>
        <v>Adult</v>
      </c>
      <c r="AC343" s="69">
        <v>2</v>
      </c>
      <c r="AD343" s="69">
        <v>0</v>
      </c>
      <c r="AE343" s="45" t="str">
        <f t="shared" si="26"/>
        <v>Morphological</v>
      </c>
      <c r="AF343" s="56">
        <v>4</v>
      </c>
    </row>
    <row r="344" spans="1:32" ht="18" customHeight="1" x14ac:dyDescent="0.25">
      <c r="A344" s="45">
        <v>340</v>
      </c>
      <c r="B344" s="45" t="s">
        <v>60</v>
      </c>
      <c r="C344" s="45" t="s">
        <v>61</v>
      </c>
      <c r="D344" s="45" t="s">
        <v>62</v>
      </c>
      <c r="E344" s="45" t="s">
        <v>62</v>
      </c>
      <c r="F344" s="46" cm="1">
        <f t="array" ref="F344">_xlfn.IFS($G344=$G$5,F$5,$G344=$G$6,F$6,$G344=$G$7,F$7,$G344=$G$8,F$8,$G344=$G$9,F$9,$G344=$G$10,F$10,$G344=$G$11,F$11,$G344=$G$12,F$12,$G344=$G$13,F$13,$G344=$G$15,F$15,$G344=$G$16,F$16,$G344=$G$17,F$17,$G344=$G$18,F$18,$G344=$G$19,F$19,$G344=$G$20,F$20,$G344=$G$21,F$21,$G344=$G$22,F$22,$G344=$G$25,F$25,$G344=$G$26,F$26,$G344=$G$27,F$27,$G344=$G$29,F$29,$G344=$G$31,F$31,$G344=$G$32,F$32,$G344=$G$248,F$248,$G344=$G$250,F$250)</f>
        <v>8016</v>
      </c>
      <c r="G344" t="s">
        <v>68</v>
      </c>
      <c r="H344" s="66" cm="1">
        <f t="array" ref="H344">_xlfn.IFS($G344=$G$5,H$5,$G344=$G$6,H$6,$G344=$G$7,H$7,$G344=$G$8,H$8,$G344=$G$9,H$9,$G344=$G$10,H$10,$G344=$G$11,H$11,$G344=$G$12,H$12,$G344=$G$13,H$13,$G344=$G$15,H$15,$G344=$G$16,H$16,$G344=$G$17,H$17,$G344=$G$18,H$18,$G344=$G$19,H$19,$G344=$G$20,H$20,$G344=$G$21,H$21,$G344=$G$22,H$22,$G344=$G$25,H$25,$G344=$G$26,H$26,$G344=$G$27,H$27,$G344=$G$29,H$29,$G344=$G$31,H$31,$G344=$G$32,H$150,$G344=$G$248,H$248,$G344=$G$250,H$250)</f>
        <v>41.437435000000001</v>
      </c>
      <c r="I344" s="78" cm="1">
        <f t="array" ref="I344">_xlfn.IFS($G344=$G$5,I$5,$G344=$G$6,I$6,$G344=$G$7,I$7,$G344=$G$8,I$8,$G344=$G$9,I$9,$G344=$G$10,I$10,$G344=$G$11,I$11,$G344=$G$12,I$12,$G344=$G$13,I$13,$G344=$G$15,I$15,$G344=$G$16,I$16,$G344=$G$17,I$17,$G344=$G$18,I$18,$G344=$G$19,I$19,$G344=$G$20,I$20,$G344=$G$21,I$21,$G344=$G$22,I$22,$G344=$G$25,I$25,$G344=$G$26,I$26,$G344=$G$27,I$27,$G344=$G$29,I$29,$G344=$G$31,I$31,$G344=$G$32,I$150,$G344=$G$248,I$248,$G344=$G$250,I$250)</f>
        <v>2.1812779999999998</v>
      </c>
      <c r="J344" cm="1">
        <f t="array" ref="J344">_xlfn.IFS($G344=$G$5,J$5,$G344=$G$6,J$6,$G344=$G$7,J$7,$G344=$G$8,J$8,$G344=$G$9,J$9,$G344=$G$10,J$10,$G344=$G$11,J$11,$G344=$G$12,J$12,$G344=$G$13,J$13,$G344=$G$15,J$15,$G344=$G$16,J$16,$G344=$G$17,J$17,$G344=$G$18,J$18,$G344=$G$19,J$19,$G344=$G$20,J$20,$G344=$G$21,J$21,$G344=$G$22,J$22,$G344=$G$25,J$25,$G344=$G$26,J$26,$G344=$G$27,J$27,$G344=$G$29,J$29,$G344=$G$31,J$31,$G344=$G$32,J$150,$G344=$G$248,J$248,$G344=$G$250,J$250)</f>
        <v>47</v>
      </c>
      <c r="K344" t="str" cm="1">
        <f t="array" ref="K344">_xlfn.IFS($G344=$G$5,K$5,$G344=$G$6,K$6,$G344=$G$7,K$7,$G344=$G$8,K$8,$G344=$G$9,K$9,$G344=$G$10,K$10,$G344=$G$11,K$11,$G344=$G$12,K$12,$G344=$G$13,K$13,$G344=$G$15,K$15,$G344=$G$16,K$16,$G344=$G$17,K$17,$G344=$G$18,K$18,$G344=$G$19,K$19,$G344=$G$20,K$20,$G344=$G$21,K$21,$G344=$G$22,K$22,$G344=$G$25,K$25,$G344=$G$26,K$26,$G344=$G$27,K$27,$G344=$G$29,K$29,$G344=$G$31,K$31,$G344=$G$32,K$150,$G344=$G$248,K$248,$G344=$G$250,K$250)</f>
        <v>BG sentinel + BG lure7</v>
      </c>
      <c r="O344" s="45" t="str">
        <f t="shared" si="24"/>
        <v>A_SP_BCN_3_210707</v>
      </c>
      <c r="P344" s="64">
        <v>44384</v>
      </c>
      <c r="R344" s="72"/>
      <c r="S344" s="64">
        <v>44391</v>
      </c>
      <c r="U344" s="72"/>
      <c r="V344" s="54" t="s">
        <v>66</v>
      </c>
      <c r="X344" s="45">
        <f t="shared" si="23"/>
        <v>7</v>
      </c>
      <c r="Z344" s="69" t="s">
        <v>69</v>
      </c>
      <c r="AA344" s="45">
        <f t="shared" si="27"/>
        <v>2</v>
      </c>
      <c r="AB344" t="str">
        <f t="shared" si="25"/>
        <v>Adult</v>
      </c>
      <c r="AC344" s="69">
        <v>1</v>
      </c>
      <c r="AD344" s="69">
        <v>1</v>
      </c>
      <c r="AE344" s="45" t="str">
        <f t="shared" si="26"/>
        <v>Morphological</v>
      </c>
      <c r="AF344" s="56">
        <v>4</v>
      </c>
    </row>
    <row r="345" spans="1:32" ht="18" customHeight="1" x14ac:dyDescent="0.25">
      <c r="A345" s="45">
        <v>341</v>
      </c>
      <c r="B345" s="45" t="s">
        <v>60</v>
      </c>
      <c r="C345" s="45" t="s">
        <v>61</v>
      </c>
      <c r="D345" s="45" t="s">
        <v>62</v>
      </c>
      <c r="E345" s="45" t="s">
        <v>62</v>
      </c>
      <c r="F345" s="46" cm="1">
        <f t="array" ref="F345">_xlfn.IFS($G345=$G$5,F$5,$G345=$G$6,F$6,$G345=$G$7,F$7,$G345=$G$8,F$8,$G345=$G$9,F$9,$G345=$G$10,F$10,$G345=$G$11,F$11,$G345=$G$12,F$12,$G345=$G$13,F$13,$G345=$G$15,F$15,$G345=$G$16,F$16,$G345=$G$17,F$17,$G345=$G$18,F$18,$G345=$G$19,F$19,$G345=$G$20,F$20,$G345=$G$21,F$21,$G345=$G$22,F$22,$G345=$G$25,F$25,$G345=$G$26,F$26,$G345=$G$27,F$27,$G345=$G$29,F$29,$G345=$G$31,F$31,$G345=$G$32,F$32,$G345=$G$248,F$248,$G345=$G$250,F$250)</f>
        <v>8016</v>
      </c>
      <c r="G345" t="s">
        <v>68</v>
      </c>
      <c r="H345" s="66" cm="1">
        <f t="array" ref="H345">_xlfn.IFS($G345=$G$5,H$5,$G345=$G$6,H$6,$G345=$G$7,H$7,$G345=$G$8,H$8,$G345=$G$9,H$9,$G345=$G$10,H$10,$G345=$G$11,H$11,$G345=$G$12,H$12,$G345=$G$13,H$13,$G345=$G$15,H$15,$G345=$G$16,H$16,$G345=$G$17,H$17,$G345=$G$18,H$18,$G345=$G$19,H$19,$G345=$G$20,H$20,$G345=$G$21,H$21,$G345=$G$22,H$22,$G345=$G$25,H$25,$G345=$G$26,H$26,$G345=$G$27,H$27,$G345=$G$29,H$29,$G345=$G$31,H$31,$G345=$G$32,H$150,$G345=$G$248,H$248,$G345=$G$250,H$250)</f>
        <v>41.437435000000001</v>
      </c>
      <c r="I345" s="78" cm="1">
        <f t="array" ref="I345">_xlfn.IFS($G345=$G$5,I$5,$G345=$G$6,I$6,$G345=$G$7,I$7,$G345=$G$8,I$8,$G345=$G$9,I$9,$G345=$G$10,I$10,$G345=$G$11,I$11,$G345=$G$12,I$12,$G345=$G$13,I$13,$G345=$G$15,I$15,$G345=$G$16,I$16,$G345=$G$17,I$17,$G345=$G$18,I$18,$G345=$G$19,I$19,$G345=$G$20,I$20,$G345=$G$21,I$21,$G345=$G$22,I$22,$G345=$G$25,I$25,$G345=$G$26,I$26,$G345=$G$27,I$27,$G345=$G$29,I$29,$G345=$G$31,I$31,$G345=$G$32,I$150,$G345=$G$248,I$248,$G345=$G$250,I$250)</f>
        <v>2.1812779999999998</v>
      </c>
      <c r="J345" cm="1">
        <f t="array" ref="J345">_xlfn.IFS($G345=$G$5,J$5,$G345=$G$6,J$6,$G345=$G$7,J$7,$G345=$G$8,J$8,$G345=$G$9,J$9,$G345=$G$10,J$10,$G345=$G$11,J$11,$G345=$G$12,J$12,$G345=$G$13,J$13,$G345=$G$15,J$15,$G345=$G$16,J$16,$G345=$G$17,J$17,$G345=$G$18,J$18,$G345=$G$19,J$19,$G345=$G$20,J$20,$G345=$G$21,J$21,$G345=$G$22,J$22,$G345=$G$25,J$25,$G345=$G$26,J$26,$G345=$G$27,J$27,$G345=$G$29,J$29,$G345=$G$31,J$31,$G345=$G$32,J$150,$G345=$G$248,J$248,$G345=$G$250,J$250)</f>
        <v>47</v>
      </c>
      <c r="K345" t="str" cm="1">
        <f t="array" ref="K345">_xlfn.IFS($G345=$G$5,K$5,$G345=$G$6,K$6,$G345=$G$7,K$7,$G345=$G$8,K$8,$G345=$G$9,K$9,$G345=$G$10,K$10,$G345=$G$11,K$11,$G345=$G$12,K$12,$G345=$G$13,K$13,$G345=$G$15,K$15,$G345=$G$16,K$16,$G345=$G$17,K$17,$G345=$G$18,K$18,$G345=$G$19,K$19,$G345=$G$20,K$20,$G345=$G$21,K$21,$G345=$G$22,K$22,$G345=$G$25,K$25,$G345=$G$26,K$26,$G345=$G$27,K$27,$G345=$G$29,K$29,$G345=$G$31,K$31,$G345=$G$32,K$150,$G345=$G$248,K$248,$G345=$G$250,K$250)</f>
        <v>BG sentinel + BG lure7</v>
      </c>
      <c r="O345" s="45" t="str">
        <f t="shared" si="24"/>
        <v>A_SP_BCN_3_210707</v>
      </c>
      <c r="P345" s="64">
        <v>44384</v>
      </c>
      <c r="R345" s="72"/>
      <c r="S345" s="64">
        <v>44391</v>
      </c>
      <c r="U345" s="72"/>
      <c r="V345" s="54" t="s">
        <v>66</v>
      </c>
      <c r="X345" s="45">
        <f t="shared" si="23"/>
        <v>7</v>
      </c>
      <c r="Z345" s="45" t="s">
        <v>80</v>
      </c>
      <c r="AA345" s="45">
        <f t="shared" si="27"/>
        <v>3</v>
      </c>
      <c r="AB345" t="str">
        <f t="shared" si="25"/>
        <v>Adult</v>
      </c>
      <c r="AC345" s="69">
        <v>3</v>
      </c>
      <c r="AD345" s="69">
        <v>0</v>
      </c>
      <c r="AE345" s="45" t="str">
        <f t="shared" si="26"/>
        <v>Morphological</v>
      </c>
      <c r="AF345" s="56">
        <v>4</v>
      </c>
    </row>
    <row r="346" spans="1:32" ht="18" customHeight="1" x14ac:dyDescent="0.25">
      <c r="A346" s="45">
        <v>342</v>
      </c>
      <c r="B346" s="45" t="s">
        <v>60</v>
      </c>
      <c r="C346" s="45" t="s">
        <v>61</v>
      </c>
      <c r="D346" s="45" t="s">
        <v>62</v>
      </c>
      <c r="E346" s="45" t="s">
        <v>62</v>
      </c>
      <c r="F346" s="46" cm="1">
        <f t="array" ref="F346">_xlfn.IFS($G346=$G$5,F$5,$G346=$G$6,F$6,$G346=$G$7,F$7,$G346=$G$8,F$8,$G346=$G$9,F$9,$G346=$G$10,F$10,$G346=$G$11,F$11,$G346=$G$12,F$12,$G346=$G$13,F$13,$G346=$G$15,F$15,$G346=$G$16,F$16,$G346=$G$17,F$17,$G346=$G$18,F$18,$G346=$G$19,F$19,$G346=$G$20,F$20,$G346=$G$21,F$21,$G346=$G$22,F$22,$G346=$G$25,F$25,$G346=$G$26,F$26,$G346=$G$27,F$27,$G346=$G$29,F$29,$G346=$G$31,F$31,$G346=$G$32,F$32,$G346=$G$248,F$248,$G346=$G$250,F$250)</f>
        <v>8018</v>
      </c>
      <c r="G346" t="s">
        <v>71</v>
      </c>
      <c r="H346" s="66" cm="1">
        <f t="array" ref="H346">_xlfn.IFS($G346=$G$5,H$5,$G346=$G$6,H$6,$G346=$G$7,H$7,$G346=$G$8,H$8,$G346=$G$9,H$9,$G346=$G$10,H$10,$G346=$G$11,H$11,$G346=$G$12,H$12,$G346=$G$13,H$13,$G346=$G$15,H$15,$G346=$G$16,H$16,$G346=$G$17,H$17,$G346=$G$18,H$18,$G346=$G$19,H$19,$G346=$G$20,H$20,$G346=$G$21,H$21,$G346=$G$22,H$22,$G346=$G$25,H$25,$G346=$G$26,H$26,$G346=$G$27,H$27,$G346=$G$29,H$29,$G346=$G$31,H$31,$G346=$G$32,H$150,$G346=$G$248,H$248,$G346=$G$250,H$250)</f>
        <v>41.410684000000003</v>
      </c>
      <c r="I346" s="78" cm="1">
        <f t="array" ref="I346">_xlfn.IFS($G346=$G$5,I$5,$G346=$G$6,I$6,$G346=$G$7,I$7,$G346=$G$8,I$8,$G346=$G$9,I$9,$G346=$G$10,I$10,$G346=$G$11,I$11,$G346=$G$12,I$12,$G346=$G$13,I$13,$G346=$G$15,I$15,$G346=$G$16,I$16,$G346=$G$17,I$17,$G346=$G$18,I$18,$G346=$G$19,I$19,$G346=$G$20,I$20,$G346=$G$21,I$21,$G346=$G$22,I$22,$G346=$G$25,I$25,$G346=$G$26,I$26,$G346=$G$27,I$27,$G346=$G$29,I$29,$G346=$G$31,I$31,$G346=$G$32,I$150,$G346=$G$248,I$248,$G346=$G$250,I$250)</f>
        <v>2.2208019999999999</v>
      </c>
      <c r="J346" cm="1">
        <f t="array" ref="J346">_xlfn.IFS($G346=$G$5,J$5,$G346=$G$6,J$6,$G346=$G$7,J$7,$G346=$G$8,J$8,$G346=$G$9,J$9,$G346=$G$10,J$10,$G346=$G$11,J$11,$G346=$G$12,J$12,$G346=$G$13,J$13,$G346=$G$15,J$15,$G346=$G$16,J$16,$G346=$G$17,J$17,$G346=$G$18,J$18,$G346=$G$19,J$19,$G346=$G$20,J$20,$G346=$G$21,J$21,$G346=$G$22,J$22,$G346=$G$25,J$25,$G346=$G$26,J$26,$G346=$G$27,J$27,$G346=$G$29,J$29,$G346=$G$31,J$31,$G346=$G$32,J$150,$G346=$G$248,J$248,$G346=$G$250,J$250)</f>
        <v>4</v>
      </c>
      <c r="K346" t="str" cm="1">
        <f t="array" ref="K346">_xlfn.IFS($G346=$G$5,K$5,$G346=$G$6,K$6,$G346=$G$7,K$7,$G346=$G$8,K$8,$G346=$G$9,K$9,$G346=$G$10,K$10,$G346=$G$11,K$11,$G346=$G$12,K$12,$G346=$G$13,K$13,$G346=$G$15,K$15,$G346=$G$16,K$16,$G346=$G$17,K$17,$G346=$G$18,K$18,$G346=$G$19,K$19,$G346=$G$20,K$20,$G346=$G$21,K$21,$G346=$G$22,K$22,$G346=$G$25,K$25,$G346=$G$26,K$26,$G346=$G$27,K$27,$G346=$G$29,K$29,$G346=$G$31,K$31,$G346=$G$32,K$150,$G346=$G$248,K$248,$G346=$G$250,K$250)</f>
        <v>BG sentinel + BG lure7</v>
      </c>
      <c r="L346" s="48"/>
      <c r="M346" s="48"/>
      <c r="O346" s="45" t="str">
        <f t="shared" si="24"/>
        <v>A_SP_BCN_4_210708</v>
      </c>
      <c r="P346" s="64">
        <v>44385</v>
      </c>
      <c r="R346" s="72"/>
      <c r="S346" s="64">
        <v>44392</v>
      </c>
      <c r="U346" s="72"/>
      <c r="V346" t="s">
        <v>132</v>
      </c>
      <c r="X346" s="45">
        <f t="shared" si="23"/>
        <v>7</v>
      </c>
      <c r="Z346" s="69" t="s">
        <v>69</v>
      </c>
      <c r="AA346" s="45">
        <f t="shared" si="27"/>
        <v>3</v>
      </c>
      <c r="AB346" t="str">
        <f t="shared" si="25"/>
        <v>Adult</v>
      </c>
      <c r="AC346" s="69">
        <v>2</v>
      </c>
      <c r="AD346" s="69">
        <v>1</v>
      </c>
      <c r="AE346" s="45" t="str">
        <f t="shared" si="26"/>
        <v>Morphological</v>
      </c>
      <c r="AF346">
        <v>1</v>
      </c>
    </row>
    <row r="347" spans="1:32" ht="18" customHeight="1" x14ac:dyDescent="0.25">
      <c r="A347" s="45">
        <v>343</v>
      </c>
      <c r="B347" s="45" t="s">
        <v>60</v>
      </c>
      <c r="C347" s="45" t="s">
        <v>61</v>
      </c>
      <c r="D347" s="45" t="s">
        <v>62</v>
      </c>
      <c r="E347" s="45" t="s">
        <v>62</v>
      </c>
      <c r="F347" s="46" cm="1">
        <f t="array" ref="F347">_xlfn.IFS($G347=$G$5,F$5,$G347=$G$6,F$6,$G347=$G$7,F$7,$G347=$G$8,F$8,$G347=$G$9,F$9,$G347=$G$10,F$10,$G347=$G$11,F$11,$G347=$G$12,F$12,$G347=$G$13,F$13,$G347=$G$15,F$15,$G347=$G$16,F$16,$G347=$G$17,F$17,$G347=$G$18,F$18,$G347=$G$19,F$19,$G347=$G$20,F$20,$G347=$G$21,F$21,$G347=$G$22,F$22,$G347=$G$25,F$25,$G347=$G$26,F$26,$G347=$G$27,F$27,$G347=$G$29,F$29,$G347=$G$31,F$31,$G347=$G$32,F$32,$G347=$G$248,F$248,$G347=$G$250,F$250)</f>
        <v>8018</v>
      </c>
      <c r="G347" t="s">
        <v>71</v>
      </c>
      <c r="H347" s="66" cm="1">
        <f t="array" ref="H347">_xlfn.IFS($G347=$G$5,H$5,$G347=$G$6,H$6,$G347=$G$7,H$7,$G347=$G$8,H$8,$G347=$G$9,H$9,$G347=$G$10,H$10,$G347=$G$11,H$11,$G347=$G$12,H$12,$G347=$G$13,H$13,$G347=$G$15,H$15,$G347=$G$16,H$16,$G347=$G$17,H$17,$G347=$G$18,H$18,$G347=$G$19,H$19,$G347=$G$20,H$20,$G347=$G$21,H$21,$G347=$G$22,H$22,$G347=$G$25,H$25,$G347=$G$26,H$26,$G347=$G$27,H$27,$G347=$G$29,H$29,$G347=$G$31,H$31,$G347=$G$32,H$150,$G347=$G$248,H$248,$G347=$G$250,H$250)</f>
        <v>41.410684000000003</v>
      </c>
      <c r="I347" s="78" cm="1">
        <f t="array" ref="I347">_xlfn.IFS($G347=$G$5,I$5,$G347=$G$6,I$6,$G347=$G$7,I$7,$G347=$G$8,I$8,$G347=$G$9,I$9,$G347=$G$10,I$10,$G347=$G$11,I$11,$G347=$G$12,I$12,$G347=$G$13,I$13,$G347=$G$15,I$15,$G347=$G$16,I$16,$G347=$G$17,I$17,$G347=$G$18,I$18,$G347=$G$19,I$19,$G347=$G$20,I$20,$G347=$G$21,I$21,$G347=$G$22,I$22,$G347=$G$25,I$25,$G347=$G$26,I$26,$G347=$G$27,I$27,$G347=$G$29,I$29,$G347=$G$31,I$31,$G347=$G$32,I$150,$G347=$G$248,I$248,$G347=$G$250,I$250)</f>
        <v>2.2208019999999999</v>
      </c>
      <c r="J347" cm="1">
        <f t="array" ref="J347">_xlfn.IFS($G347=$G$5,J$5,$G347=$G$6,J$6,$G347=$G$7,J$7,$G347=$G$8,J$8,$G347=$G$9,J$9,$G347=$G$10,J$10,$G347=$G$11,J$11,$G347=$G$12,J$12,$G347=$G$13,J$13,$G347=$G$15,J$15,$G347=$G$16,J$16,$G347=$G$17,J$17,$G347=$G$18,J$18,$G347=$G$19,J$19,$G347=$G$20,J$20,$G347=$G$21,J$21,$G347=$G$22,J$22,$G347=$G$25,J$25,$G347=$G$26,J$26,$G347=$G$27,J$27,$G347=$G$29,J$29,$G347=$G$31,J$31,$G347=$G$32,J$150,$G347=$G$248,J$248,$G347=$G$250,J$250)</f>
        <v>4</v>
      </c>
      <c r="K347" t="str" cm="1">
        <f t="array" ref="K347">_xlfn.IFS($G347=$G$5,K$5,$G347=$G$6,K$6,$G347=$G$7,K$7,$G347=$G$8,K$8,$G347=$G$9,K$9,$G347=$G$10,K$10,$G347=$G$11,K$11,$G347=$G$12,K$12,$G347=$G$13,K$13,$G347=$G$15,K$15,$G347=$G$16,K$16,$G347=$G$17,K$17,$G347=$G$18,K$18,$G347=$G$19,K$19,$G347=$G$20,K$20,$G347=$G$21,K$21,$G347=$G$22,K$22,$G347=$G$25,K$25,$G347=$G$26,K$26,$G347=$G$27,K$27,$G347=$G$29,K$29,$G347=$G$31,K$31,$G347=$G$32,K$150,$G347=$G$248,K$248,$G347=$G$250,K$250)</f>
        <v>BG sentinel + BG lure7</v>
      </c>
      <c r="L347" s="48"/>
      <c r="M347" s="48"/>
      <c r="O347" s="45" t="str">
        <f t="shared" si="24"/>
        <v>A_SP_BCN_4_210708</v>
      </c>
      <c r="P347" s="64">
        <v>44385</v>
      </c>
      <c r="R347" s="72"/>
      <c r="S347" s="64">
        <v>44392</v>
      </c>
      <c r="U347" s="72"/>
      <c r="V347" t="s">
        <v>132</v>
      </c>
      <c r="X347" s="45">
        <f t="shared" si="23"/>
        <v>7</v>
      </c>
      <c r="Z347" s="45" t="s">
        <v>70</v>
      </c>
      <c r="AA347" s="45">
        <f t="shared" si="27"/>
        <v>1</v>
      </c>
      <c r="AB347" t="str">
        <f t="shared" si="25"/>
        <v>Adult</v>
      </c>
      <c r="AC347" s="69">
        <v>1</v>
      </c>
      <c r="AD347" s="69">
        <v>0</v>
      </c>
      <c r="AE347" s="45" t="str">
        <f t="shared" si="26"/>
        <v>Morphological</v>
      </c>
      <c r="AF347">
        <v>1</v>
      </c>
    </row>
    <row r="348" spans="1:32" ht="18" customHeight="1" x14ac:dyDescent="0.25">
      <c r="A348" s="45">
        <v>344</v>
      </c>
      <c r="B348" s="45" t="s">
        <v>60</v>
      </c>
      <c r="C348" s="45" t="s">
        <v>61</v>
      </c>
      <c r="D348" s="45" t="s">
        <v>62</v>
      </c>
      <c r="E348" s="45" t="s">
        <v>62</v>
      </c>
      <c r="F348" s="46" cm="1">
        <f t="array" ref="F348">_xlfn.IFS($G348=$G$5,F$5,$G348=$G$6,F$6,$G348=$G$7,F$7,$G348=$G$8,F$8,$G348=$G$9,F$9,$G348=$G$10,F$10,$G348=$G$11,F$11,$G348=$G$12,F$12,$G348=$G$13,F$13,$G348=$G$15,F$15,$G348=$G$16,F$16,$G348=$G$17,F$17,$G348=$G$18,F$18,$G348=$G$19,F$19,$G348=$G$20,F$20,$G348=$G$21,F$21,$G348=$G$22,F$22,$G348=$G$25,F$25,$G348=$G$26,F$26,$G348=$G$27,F$27,$G348=$G$29,F$29,$G348=$G$31,F$31,$G348=$G$32,F$32,$G348=$G$248,F$248,$G348=$G$250,F$250)</f>
        <v>8019</v>
      </c>
      <c r="G348" t="s">
        <v>72</v>
      </c>
      <c r="H348" s="66" cm="1">
        <f t="array" ref="H348">_xlfn.IFS($G348=$G$5,H$5,$G348=$G$6,H$6,$G348=$G$7,H$7,$G348=$G$8,H$8,$G348=$G$9,H$9,$G348=$G$10,H$10,$G348=$G$11,H$11,$G348=$G$12,H$12,$G348=$G$13,H$13,$G348=$G$15,H$15,$G348=$G$16,H$16,$G348=$G$17,H$17,$G348=$G$18,H$18,$G348=$G$19,H$19,$G348=$G$20,H$20,$G348=$G$21,H$21,$G348=$G$22,H$22,$G348=$G$25,H$25,$G348=$G$26,H$26,$G348=$G$27,H$27,$G348=$G$29,H$29,$G348=$G$31,H$31,$G348=$G$32,H$150,$G348=$G$248,H$248,$G348=$G$250,H$250)</f>
        <v>41.382339999999999</v>
      </c>
      <c r="I348" s="78" cm="1">
        <f t="array" ref="I348">_xlfn.IFS($G348=$G$5,I$5,$G348=$G$6,I$6,$G348=$G$7,I$7,$G348=$G$8,I$8,$G348=$G$9,I$9,$G348=$G$10,I$10,$G348=$G$11,I$11,$G348=$G$12,I$12,$G348=$G$13,I$13,$G348=$G$15,I$15,$G348=$G$16,I$16,$G348=$G$17,I$17,$G348=$G$18,I$18,$G348=$G$19,I$19,$G348=$G$20,I$20,$G348=$G$21,I$21,$G348=$G$22,I$22,$G348=$G$25,I$25,$G348=$G$26,I$26,$G348=$G$27,I$27,$G348=$G$29,I$29,$G348=$G$31,I$31,$G348=$G$32,I$150,$G348=$G$248,I$248,$G348=$G$250,I$250)</f>
        <v>2.1714790000000002</v>
      </c>
      <c r="J348" cm="1">
        <f t="array" ref="J348">_xlfn.IFS($G348=$G$5,J$5,$G348=$G$6,J$6,$G348=$G$7,J$7,$G348=$G$8,J$8,$G348=$G$9,J$9,$G348=$G$10,J$10,$G348=$G$11,J$11,$G348=$G$12,J$12,$G348=$G$13,J$13,$G348=$G$15,J$15,$G348=$G$16,J$16,$G348=$G$17,J$17,$G348=$G$18,J$18,$G348=$G$19,J$19,$G348=$G$20,J$20,$G348=$G$21,J$21,$G348=$G$22,J$22,$G348=$G$25,J$25,$G348=$G$26,J$26,$G348=$G$27,J$27,$G348=$G$29,J$29,$G348=$G$31,J$31,$G348=$G$32,J$150,$G348=$G$248,J$248,$G348=$G$250,J$250)</f>
        <v>18</v>
      </c>
      <c r="K348" t="str" cm="1">
        <f t="array" ref="K348">_xlfn.IFS($G348=$G$5,K$5,$G348=$G$6,K$6,$G348=$G$7,K$7,$G348=$G$8,K$8,$G348=$G$9,K$9,$G348=$G$10,K$10,$G348=$G$11,K$11,$G348=$G$12,K$12,$G348=$G$13,K$13,$G348=$G$15,K$15,$G348=$G$16,K$16,$G348=$G$17,K$17,$G348=$G$18,K$18,$G348=$G$19,K$19,$G348=$G$20,K$20,$G348=$G$21,K$21,$G348=$G$22,K$22,$G348=$G$25,K$25,$G348=$G$26,K$26,$G348=$G$27,K$27,$G348=$G$29,K$29,$G348=$G$31,K$31,$G348=$G$32,K$150,$G348=$G$248,K$248,$G348=$G$250,K$250)</f>
        <v>BG sentinel + BG lure7</v>
      </c>
      <c r="L348" s="48"/>
      <c r="M348" s="48"/>
      <c r="O348" s="45" t="str">
        <f t="shared" si="24"/>
        <v>A_SP_BCN_5_210708</v>
      </c>
      <c r="P348" s="64">
        <v>44385</v>
      </c>
      <c r="R348" s="72"/>
      <c r="S348" s="64">
        <v>44392</v>
      </c>
      <c r="U348" s="72"/>
      <c r="V348" s="54" t="s">
        <v>66</v>
      </c>
      <c r="X348" s="45">
        <f t="shared" si="23"/>
        <v>7</v>
      </c>
      <c r="Z348" s="45" t="s">
        <v>70</v>
      </c>
      <c r="AA348" s="45">
        <f t="shared" si="27"/>
        <v>13</v>
      </c>
      <c r="AB348" t="str">
        <f t="shared" si="25"/>
        <v>Adult</v>
      </c>
      <c r="AC348" s="69">
        <v>12</v>
      </c>
      <c r="AD348" s="69">
        <v>1</v>
      </c>
      <c r="AE348" s="45" t="str">
        <f t="shared" si="26"/>
        <v>Morphological</v>
      </c>
      <c r="AF348" s="56">
        <v>4</v>
      </c>
    </row>
    <row r="349" spans="1:32" ht="18" customHeight="1" x14ac:dyDescent="0.25">
      <c r="A349" s="45">
        <v>345</v>
      </c>
      <c r="B349" s="45" t="s">
        <v>60</v>
      </c>
      <c r="C349" s="45" t="s">
        <v>61</v>
      </c>
      <c r="D349" s="45" t="s">
        <v>62</v>
      </c>
      <c r="E349" s="45" t="s">
        <v>62</v>
      </c>
      <c r="F349" s="46" cm="1">
        <f t="array" ref="F349">_xlfn.IFS($G349=$G$5,F$5,$G349=$G$6,F$6,$G349=$G$7,F$7,$G349=$G$8,F$8,$G349=$G$9,F$9,$G349=$G$10,F$10,$G349=$G$11,F$11,$G349=$G$12,F$12,$G349=$G$13,F$13,$G349=$G$15,F$15,$G349=$G$16,F$16,$G349=$G$17,F$17,$G349=$G$18,F$18,$G349=$G$19,F$19,$G349=$G$20,F$20,$G349=$G$21,F$21,$G349=$G$22,F$22,$G349=$G$25,F$25,$G349=$G$26,F$26,$G349=$G$27,F$27,$G349=$G$29,F$29,$G349=$G$31,F$31,$G349=$G$32,F$32,$G349=$G$248,F$248,$G349=$G$250,F$250)</f>
        <v>8002</v>
      </c>
      <c r="G349" t="s">
        <v>73</v>
      </c>
      <c r="H349" s="66" cm="1">
        <f t="array" ref="H349">_xlfn.IFS($G349=$G$5,H$5,$G349=$G$6,H$6,$G349=$G$7,H$7,$G349=$G$8,H$8,$G349=$G$9,H$9,$G349=$G$10,H$10,$G349=$G$11,H$11,$G349=$G$12,H$12,$G349=$G$13,H$13,$G349=$G$15,H$15,$G349=$G$16,H$16,$G349=$G$17,H$17,$G349=$G$18,H$18,$G349=$G$19,H$19,$G349=$G$20,H$20,$G349=$G$21,H$21,$G349=$G$22,H$22,$G349=$G$25,H$25,$G349=$G$26,H$26,$G349=$G$27,H$27,$G349=$G$29,H$29,$G349=$G$31,H$31,$G349=$G$32,H$150,$G349=$G$248,H$248,$G349=$G$250,H$250)</f>
        <v>41.371864000000002</v>
      </c>
      <c r="I349" s="78" cm="1">
        <f t="array" ref="I349">_xlfn.IFS($G349=$G$5,I$5,$G349=$G$6,I$6,$G349=$G$7,I$7,$G349=$G$8,I$8,$G349=$G$9,I$9,$G349=$G$10,I$10,$G349=$G$11,I$11,$G349=$G$12,I$12,$G349=$G$13,I$13,$G349=$G$15,I$15,$G349=$G$16,I$16,$G349=$G$17,I$17,$G349=$G$18,I$18,$G349=$G$19,I$19,$G349=$G$20,I$20,$G349=$G$21,I$21,$G349=$G$22,I$22,$G349=$G$25,I$25,$G349=$G$26,I$26,$G349=$G$27,I$27,$G349=$G$29,I$29,$G349=$G$31,I$31,$G349=$G$32,I$150,$G349=$G$248,I$248,$G349=$G$250,I$250)</f>
        <v>2.173899</v>
      </c>
      <c r="J349" cm="1">
        <f t="array" ref="J349">_xlfn.IFS($G349=$G$5,J$5,$G349=$G$6,J$6,$G349=$G$7,J$7,$G349=$G$8,J$8,$G349=$G$9,J$9,$G349=$G$10,J$10,$G349=$G$11,J$11,$G349=$G$12,J$12,$G349=$G$13,J$13,$G349=$G$15,J$15,$G349=$G$16,J$16,$G349=$G$17,J$17,$G349=$G$18,J$18,$G349=$G$19,J$19,$G349=$G$20,J$20,$G349=$G$21,J$21,$G349=$G$22,J$22,$G349=$G$25,J$25,$G349=$G$26,J$26,$G349=$G$27,J$27,$G349=$G$29,J$29,$G349=$G$31,J$31,$G349=$G$32,J$150,$G349=$G$248,J$248,$G349=$G$250,J$250)</f>
        <v>19</v>
      </c>
      <c r="K349" t="str" cm="1">
        <f t="array" ref="K349">_xlfn.IFS($G349=$G$5,K$5,$G349=$G$6,K$6,$G349=$G$7,K$7,$G349=$G$8,K$8,$G349=$G$9,K$9,$G349=$G$10,K$10,$G349=$G$11,K$11,$G349=$G$12,K$12,$G349=$G$13,K$13,$G349=$G$15,K$15,$G349=$G$16,K$16,$G349=$G$17,K$17,$G349=$G$18,K$18,$G349=$G$19,K$19,$G349=$G$20,K$20,$G349=$G$21,K$21,$G349=$G$22,K$22,$G349=$G$25,K$25,$G349=$G$26,K$26,$G349=$G$27,K$27,$G349=$G$29,K$29,$G349=$G$31,K$31,$G349=$G$32,K$150,$G349=$G$248,K$248,$G349=$G$250,K$250)</f>
        <v>BG sentinel + BG lure7</v>
      </c>
      <c r="L349" s="48"/>
      <c r="M349" s="48"/>
      <c r="O349" s="45" t="str">
        <f t="shared" si="24"/>
        <v>A_SP_BCN_6_210708</v>
      </c>
      <c r="P349" s="64">
        <v>44385</v>
      </c>
      <c r="R349" s="72"/>
      <c r="S349" s="64">
        <v>44392</v>
      </c>
      <c r="U349" s="72"/>
      <c r="V349" s="54" t="s">
        <v>66</v>
      </c>
      <c r="X349" s="45">
        <f t="shared" si="23"/>
        <v>7</v>
      </c>
      <c r="Z349" s="45" t="s">
        <v>70</v>
      </c>
      <c r="AA349" s="45">
        <f t="shared" si="27"/>
        <v>1</v>
      </c>
      <c r="AB349" t="str">
        <f t="shared" si="25"/>
        <v>Adult</v>
      </c>
      <c r="AC349" s="69">
        <v>1</v>
      </c>
      <c r="AD349" s="69">
        <v>0</v>
      </c>
      <c r="AE349" s="45" t="str">
        <f t="shared" si="26"/>
        <v>Morphological</v>
      </c>
      <c r="AF349" s="56">
        <v>4</v>
      </c>
    </row>
    <row r="350" spans="1:32" ht="18" customHeight="1" x14ac:dyDescent="0.25">
      <c r="A350" s="45">
        <v>346</v>
      </c>
      <c r="B350" s="45" t="s">
        <v>60</v>
      </c>
      <c r="C350" s="45" t="s">
        <v>61</v>
      </c>
      <c r="D350" s="45" t="s">
        <v>62</v>
      </c>
      <c r="E350" s="45" t="s">
        <v>62</v>
      </c>
      <c r="F350" s="46" cm="1">
        <f t="array" ref="F350">_xlfn.IFS($G350=$G$5,F$5,$G350=$G$6,F$6,$G350=$G$7,F$7,$G350=$G$8,F$8,$G350=$G$9,F$9,$G350=$G$10,F$10,$G350=$G$11,F$11,$G350=$G$12,F$12,$G350=$G$13,F$13,$G350=$G$15,F$15,$G350=$G$16,F$16,$G350=$G$17,F$17,$G350=$G$18,F$18,$G350=$G$19,F$19,$G350=$G$20,F$20,$G350=$G$21,F$21,$G350=$G$22,F$22,$G350=$G$25,F$25,$G350=$G$26,F$26,$G350=$G$27,F$27,$G350=$G$29,F$29,$G350=$G$31,F$31,$G350=$G$32,F$32,$G350=$G$248,F$248,$G350=$G$250,F$250)</f>
        <v>8038</v>
      </c>
      <c r="G350" t="s">
        <v>74</v>
      </c>
      <c r="H350" s="66" cm="1">
        <f t="array" ref="H350">_xlfn.IFS($G350=$G$5,H$5,$G350=$G$6,H$6,$G350=$G$7,H$7,$G350=$G$8,H$8,$G350=$G$9,H$9,$G350=$G$10,H$10,$G350=$G$11,H$11,$G350=$G$12,H$12,$G350=$G$13,H$13,$G350=$G$15,H$15,$G350=$G$16,H$16,$G350=$G$17,H$17,$G350=$G$18,H$18,$G350=$G$19,H$19,$G350=$G$20,H$20,$G350=$G$21,H$21,$G350=$G$22,H$22,$G350=$G$25,H$25,$G350=$G$26,H$26,$G350=$G$27,H$27,$G350=$G$29,H$29,$G350=$G$31,H$31,$G350=$G$32,H$150,$G350=$G$248,H$248,$G350=$G$250,H$250)</f>
        <v>41.371864000000002</v>
      </c>
      <c r="I350" s="78" cm="1">
        <f t="array" ref="I350">_xlfn.IFS($G350=$G$5,I$5,$G350=$G$6,I$6,$G350=$G$7,I$7,$G350=$G$8,I$8,$G350=$G$9,I$9,$G350=$G$10,I$10,$G350=$G$11,I$11,$G350=$G$12,I$12,$G350=$G$13,I$13,$G350=$G$15,I$15,$G350=$G$16,I$16,$G350=$G$17,I$17,$G350=$G$18,I$18,$G350=$G$19,I$19,$G350=$G$20,I$20,$G350=$G$21,I$21,$G350=$G$22,I$22,$G350=$G$25,I$25,$G350=$G$26,I$26,$G350=$G$27,I$27,$G350=$G$29,I$29,$G350=$G$31,I$31,$G350=$G$32,I$150,$G350=$G$248,I$248,$G350=$G$250,I$250)</f>
        <v>2.173899</v>
      </c>
      <c r="J350" cm="1">
        <f t="array" ref="J350">_xlfn.IFS($G350=$G$5,J$5,$G350=$G$6,J$6,$G350=$G$7,J$7,$G350=$G$8,J$8,$G350=$G$9,J$9,$G350=$G$10,J$10,$G350=$G$11,J$11,$G350=$G$12,J$12,$G350=$G$13,J$13,$G350=$G$15,J$15,$G350=$G$16,J$16,$G350=$G$17,J$17,$G350=$G$18,J$18,$G350=$G$19,J$19,$G350=$G$20,J$20,$G350=$G$21,J$21,$G350=$G$22,J$22,$G350=$G$25,J$25,$G350=$G$26,J$26,$G350=$G$27,J$27,$G350=$G$29,J$29,$G350=$G$31,J$31,$G350=$G$32,J$150,$G350=$G$248,J$248,$G350=$G$250,J$250)</f>
        <v>5</v>
      </c>
      <c r="K350" t="str" cm="1">
        <f t="array" ref="K350">_xlfn.IFS($G350=$G$5,K$5,$G350=$G$6,K$6,$G350=$G$7,K$7,$G350=$G$8,K$8,$G350=$G$9,K$9,$G350=$G$10,K$10,$G350=$G$11,K$11,$G350=$G$12,K$12,$G350=$G$13,K$13,$G350=$G$15,K$15,$G350=$G$16,K$16,$G350=$G$17,K$17,$G350=$G$18,K$18,$G350=$G$19,K$19,$G350=$G$20,K$20,$G350=$G$21,K$21,$G350=$G$22,K$22,$G350=$G$25,K$25,$G350=$G$26,K$26,$G350=$G$27,K$27,$G350=$G$29,K$29,$G350=$G$31,K$31,$G350=$G$32,K$150,$G350=$G$248,K$248,$G350=$G$250,K$250)</f>
        <v>BG sentinel + BG lure7</v>
      </c>
      <c r="L350" s="48"/>
      <c r="M350" s="48"/>
      <c r="O350" s="45" t="str">
        <f t="shared" si="24"/>
        <v>A_SP_BCN_7_210708</v>
      </c>
      <c r="P350" s="64">
        <v>44385</v>
      </c>
      <c r="R350" s="72"/>
      <c r="S350" s="64">
        <v>44392</v>
      </c>
      <c r="U350" s="72"/>
      <c r="V350" s="54" t="s">
        <v>66</v>
      </c>
      <c r="X350" s="45">
        <f t="shared" si="23"/>
        <v>7</v>
      </c>
      <c r="Z350" s="69" t="s">
        <v>69</v>
      </c>
      <c r="AA350" s="45">
        <f t="shared" si="27"/>
        <v>4</v>
      </c>
      <c r="AB350" t="str">
        <f t="shared" si="25"/>
        <v>Adult</v>
      </c>
      <c r="AC350" s="69">
        <v>4</v>
      </c>
      <c r="AD350" s="69">
        <v>0</v>
      </c>
      <c r="AE350" s="45" t="str">
        <f t="shared" si="26"/>
        <v>Morphological</v>
      </c>
      <c r="AF350" s="56">
        <v>4</v>
      </c>
    </row>
    <row r="351" spans="1:32" ht="18" customHeight="1" x14ac:dyDescent="0.25">
      <c r="A351" s="45">
        <v>347</v>
      </c>
      <c r="B351" s="45" t="s">
        <v>60</v>
      </c>
      <c r="C351" s="45" t="s">
        <v>61</v>
      </c>
      <c r="D351" s="45" t="s">
        <v>62</v>
      </c>
      <c r="E351" s="45" t="s">
        <v>62</v>
      </c>
      <c r="F351" s="46" cm="1">
        <f t="array" ref="F351">_xlfn.IFS($G351=$G$5,F$5,$G351=$G$6,F$6,$G351=$G$7,F$7,$G351=$G$8,F$8,$G351=$G$9,F$9,$G351=$G$10,F$10,$G351=$G$11,F$11,$G351=$G$12,F$12,$G351=$G$13,F$13,$G351=$G$15,F$15,$G351=$G$16,F$16,$G351=$G$17,F$17,$G351=$G$18,F$18,$G351=$G$19,F$19,$G351=$G$20,F$20,$G351=$G$21,F$21,$G351=$G$22,F$22,$G351=$G$25,F$25,$G351=$G$26,F$26,$G351=$G$27,F$27,$G351=$G$29,F$29,$G351=$G$31,F$31,$G351=$G$32,F$32,$G351=$G$248,F$248,$G351=$G$250,F$250)</f>
        <v>8038</v>
      </c>
      <c r="G351" t="s">
        <v>74</v>
      </c>
      <c r="H351" s="66" cm="1">
        <f t="array" ref="H351">_xlfn.IFS($G351=$G$5,H$5,$G351=$G$6,H$6,$G351=$G$7,H$7,$G351=$G$8,H$8,$G351=$G$9,H$9,$G351=$G$10,H$10,$G351=$G$11,H$11,$G351=$G$12,H$12,$G351=$G$13,H$13,$G351=$G$15,H$15,$G351=$G$16,H$16,$G351=$G$17,H$17,$G351=$G$18,H$18,$G351=$G$19,H$19,$G351=$G$20,H$20,$G351=$G$21,H$21,$G351=$G$22,H$22,$G351=$G$25,H$25,$G351=$G$26,H$26,$G351=$G$27,H$27,$G351=$G$29,H$29,$G351=$G$31,H$31,$G351=$G$32,H$150,$G351=$G$248,H$248,$G351=$G$250,H$250)</f>
        <v>41.371864000000002</v>
      </c>
      <c r="I351" s="78" cm="1">
        <f t="array" ref="I351">_xlfn.IFS($G351=$G$5,I$5,$G351=$G$6,I$6,$G351=$G$7,I$7,$G351=$G$8,I$8,$G351=$G$9,I$9,$G351=$G$10,I$10,$G351=$G$11,I$11,$G351=$G$12,I$12,$G351=$G$13,I$13,$G351=$G$15,I$15,$G351=$G$16,I$16,$G351=$G$17,I$17,$G351=$G$18,I$18,$G351=$G$19,I$19,$G351=$G$20,I$20,$G351=$G$21,I$21,$G351=$G$22,I$22,$G351=$G$25,I$25,$G351=$G$26,I$26,$G351=$G$27,I$27,$G351=$G$29,I$29,$G351=$G$31,I$31,$G351=$G$32,I$150,$G351=$G$248,I$248,$G351=$G$250,I$250)</f>
        <v>2.173899</v>
      </c>
      <c r="J351" cm="1">
        <f t="array" ref="J351">_xlfn.IFS($G351=$G$5,J$5,$G351=$G$6,J$6,$G351=$G$7,J$7,$G351=$G$8,J$8,$G351=$G$9,J$9,$G351=$G$10,J$10,$G351=$G$11,J$11,$G351=$G$12,J$12,$G351=$G$13,J$13,$G351=$G$15,J$15,$G351=$G$16,J$16,$G351=$G$17,J$17,$G351=$G$18,J$18,$G351=$G$19,J$19,$G351=$G$20,J$20,$G351=$G$21,J$21,$G351=$G$22,J$22,$G351=$G$25,J$25,$G351=$G$26,J$26,$G351=$G$27,J$27,$G351=$G$29,J$29,$G351=$G$31,J$31,$G351=$G$32,J$150,$G351=$G$248,J$248,$G351=$G$250,J$250)</f>
        <v>5</v>
      </c>
      <c r="K351" t="str" cm="1">
        <f t="array" ref="K351">_xlfn.IFS($G351=$G$5,K$5,$G351=$G$6,K$6,$G351=$G$7,K$7,$G351=$G$8,K$8,$G351=$G$9,K$9,$G351=$G$10,K$10,$G351=$G$11,K$11,$G351=$G$12,K$12,$G351=$G$13,K$13,$G351=$G$15,K$15,$G351=$G$16,K$16,$G351=$G$17,K$17,$G351=$G$18,K$18,$G351=$G$19,K$19,$G351=$G$20,K$20,$G351=$G$21,K$21,$G351=$G$22,K$22,$G351=$G$25,K$25,$G351=$G$26,K$26,$G351=$G$27,K$27,$G351=$G$29,K$29,$G351=$G$31,K$31,$G351=$G$32,K$150,$G351=$G$248,K$248,$G351=$G$250,K$250)</f>
        <v>BG sentinel + BG lure7</v>
      </c>
      <c r="L351" s="48"/>
      <c r="M351" s="48"/>
      <c r="O351" s="45" t="str">
        <f t="shared" si="24"/>
        <v>A_SP_BCN_7_210708</v>
      </c>
      <c r="P351" s="64">
        <v>44385</v>
      </c>
      <c r="R351" s="72"/>
      <c r="S351" s="64">
        <v>44392</v>
      </c>
      <c r="U351" s="72"/>
      <c r="V351" s="54" t="s">
        <v>66</v>
      </c>
      <c r="X351" s="45">
        <f t="shared" si="23"/>
        <v>7</v>
      </c>
      <c r="Z351" s="45" t="s">
        <v>70</v>
      </c>
      <c r="AA351" s="45">
        <f t="shared" si="27"/>
        <v>5</v>
      </c>
      <c r="AB351" t="str">
        <f t="shared" si="25"/>
        <v>Adult</v>
      </c>
      <c r="AC351" s="69">
        <v>5</v>
      </c>
      <c r="AD351" s="69">
        <v>0</v>
      </c>
      <c r="AE351" s="45" t="str">
        <f t="shared" si="26"/>
        <v>Morphological</v>
      </c>
      <c r="AF351" s="56">
        <v>4</v>
      </c>
    </row>
    <row r="352" spans="1:32" ht="18" customHeight="1" x14ac:dyDescent="0.25">
      <c r="A352" s="45">
        <v>348</v>
      </c>
      <c r="B352" s="45" t="s">
        <v>60</v>
      </c>
      <c r="C352" s="45" t="s">
        <v>61</v>
      </c>
      <c r="D352" s="45" t="s">
        <v>62</v>
      </c>
      <c r="E352" s="45" t="s">
        <v>62</v>
      </c>
      <c r="F352" s="46" cm="1">
        <f t="array" ref="F352">_xlfn.IFS($G352=$G$5,F$5,$G352=$G$6,F$6,$G352=$G$7,F$7,$G352=$G$8,F$8,$G352=$G$9,F$9,$G352=$G$10,F$10,$G352=$G$11,F$11,$G352=$G$12,F$12,$G352=$G$13,F$13,$G352=$G$15,F$15,$G352=$G$16,F$16,$G352=$G$17,F$17,$G352=$G$18,F$18,$G352=$G$19,F$19,$G352=$G$20,F$20,$G352=$G$21,F$21,$G352=$G$22,F$22,$G352=$G$25,F$25,$G352=$G$26,F$26,$G352=$G$27,F$27,$G352=$G$29,F$29,$G352=$G$31,F$31,$G352=$G$32,F$32,$G352=$G$248,F$248,$G352=$G$250,F$250)</f>
        <v>8038</v>
      </c>
      <c r="G352" t="s">
        <v>74</v>
      </c>
      <c r="H352" s="66" cm="1">
        <f t="array" ref="H352">_xlfn.IFS($G352=$G$5,H$5,$G352=$G$6,H$6,$G352=$G$7,H$7,$G352=$G$8,H$8,$G352=$G$9,H$9,$G352=$G$10,H$10,$G352=$G$11,H$11,$G352=$G$12,H$12,$G352=$G$13,H$13,$G352=$G$15,H$15,$G352=$G$16,H$16,$G352=$G$17,H$17,$G352=$G$18,H$18,$G352=$G$19,H$19,$G352=$G$20,H$20,$G352=$G$21,H$21,$G352=$G$22,H$22,$G352=$G$25,H$25,$G352=$G$26,H$26,$G352=$G$27,H$27,$G352=$G$29,H$29,$G352=$G$31,H$31,$G352=$G$32,H$150,$G352=$G$248,H$248,$G352=$G$250,H$250)</f>
        <v>41.371864000000002</v>
      </c>
      <c r="I352" s="78" cm="1">
        <f t="array" ref="I352">_xlfn.IFS($G352=$G$5,I$5,$G352=$G$6,I$6,$G352=$G$7,I$7,$G352=$G$8,I$8,$G352=$G$9,I$9,$G352=$G$10,I$10,$G352=$G$11,I$11,$G352=$G$12,I$12,$G352=$G$13,I$13,$G352=$G$15,I$15,$G352=$G$16,I$16,$G352=$G$17,I$17,$G352=$G$18,I$18,$G352=$G$19,I$19,$G352=$G$20,I$20,$G352=$G$21,I$21,$G352=$G$22,I$22,$G352=$G$25,I$25,$G352=$G$26,I$26,$G352=$G$27,I$27,$G352=$G$29,I$29,$G352=$G$31,I$31,$G352=$G$32,I$150,$G352=$G$248,I$248,$G352=$G$250,I$250)</f>
        <v>2.173899</v>
      </c>
      <c r="J352" cm="1">
        <f t="array" ref="J352">_xlfn.IFS($G352=$G$5,J$5,$G352=$G$6,J$6,$G352=$G$7,J$7,$G352=$G$8,J$8,$G352=$G$9,J$9,$G352=$G$10,J$10,$G352=$G$11,J$11,$G352=$G$12,J$12,$G352=$G$13,J$13,$G352=$G$15,J$15,$G352=$G$16,J$16,$G352=$G$17,J$17,$G352=$G$18,J$18,$G352=$G$19,J$19,$G352=$G$20,J$20,$G352=$G$21,J$21,$G352=$G$22,J$22,$G352=$G$25,J$25,$G352=$G$26,J$26,$G352=$G$27,J$27,$G352=$G$29,J$29,$G352=$G$31,J$31,$G352=$G$32,J$150,$G352=$G$248,J$248,$G352=$G$250,J$250)</f>
        <v>5</v>
      </c>
      <c r="K352" t="str" cm="1">
        <f t="array" ref="K352">_xlfn.IFS($G352=$G$5,K$5,$G352=$G$6,K$6,$G352=$G$7,K$7,$G352=$G$8,K$8,$G352=$G$9,K$9,$G352=$G$10,K$10,$G352=$G$11,K$11,$G352=$G$12,K$12,$G352=$G$13,K$13,$G352=$G$15,K$15,$G352=$G$16,K$16,$G352=$G$17,K$17,$G352=$G$18,K$18,$G352=$G$19,K$19,$G352=$G$20,K$20,$G352=$G$21,K$21,$G352=$G$22,K$22,$G352=$G$25,K$25,$G352=$G$26,K$26,$G352=$G$27,K$27,$G352=$G$29,K$29,$G352=$G$31,K$31,$G352=$G$32,K$150,$G352=$G$248,K$248,$G352=$G$250,K$250)</f>
        <v>BG sentinel + BG lure7</v>
      </c>
      <c r="L352" s="48"/>
      <c r="M352" s="48"/>
      <c r="O352" s="45" t="str">
        <f t="shared" si="24"/>
        <v>A_SP_BCN_7_210708</v>
      </c>
      <c r="P352" s="64">
        <v>44385</v>
      </c>
      <c r="R352" s="72"/>
      <c r="S352" s="64">
        <v>44392</v>
      </c>
      <c r="U352" s="72"/>
      <c r="V352" s="54" t="s">
        <v>66</v>
      </c>
      <c r="X352" s="45">
        <f t="shared" si="23"/>
        <v>7</v>
      </c>
      <c r="Z352" s="45" t="s">
        <v>80</v>
      </c>
      <c r="AA352" s="45">
        <f t="shared" si="27"/>
        <v>1</v>
      </c>
      <c r="AB352" t="str">
        <f t="shared" si="25"/>
        <v>Adult</v>
      </c>
      <c r="AC352" s="69">
        <v>1</v>
      </c>
      <c r="AD352" s="69">
        <v>0</v>
      </c>
      <c r="AE352" s="45" t="str">
        <f t="shared" si="26"/>
        <v>Morphological</v>
      </c>
      <c r="AF352" s="56">
        <v>4</v>
      </c>
    </row>
    <row r="353" spans="1:32" ht="18" customHeight="1" x14ac:dyDescent="0.25">
      <c r="A353" s="45">
        <v>349</v>
      </c>
      <c r="B353" s="45" t="s">
        <v>60</v>
      </c>
      <c r="C353" s="45" t="s">
        <v>61</v>
      </c>
      <c r="D353" s="45" t="s">
        <v>62</v>
      </c>
      <c r="E353" s="45" t="s">
        <v>62</v>
      </c>
      <c r="F353" s="46" cm="1">
        <f t="array" ref="F353">_xlfn.IFS($G353=$G$5,F$5,$G353=$G$6,F$6,$G353=$G$7,F$7,$G353=$G$8,F$8,$G353=$G$9,F$9,$G353=$G$10,F$10,$G353=$G$11,F$11,$G353=$G$12,F$12,$G353=$G$13,F$13,$G353=$G$15,F$15,$G353=$G$16,F$16,$G353=$G$17,F$17,$G353=$G$18,F$18,$G353=$G$19,F$19,$G353=$G$20,F$20,$G353=$G$21,F$21,$G353=$G$22,F$22,$G353=$G$25,F$25,$G353=$G$26,F$26,$G353=$G$27,F$27,$G353=$G$29,F$29,$G353=$G$31,F$31,$G353=$G$32,F$32,$G353=$G$248,F$248,$G353=$G$250,F$250)</f>
        <v>8038</v>
      </c>
      <c r="G353" t="s">
        <v>75</v>
      </c>
      <c r="H353" s="66" cm="1">
        <f t="array" ref="H353">_xlfn.IFS($G353=$G$5,H$5,$G353=$G$6,H$6,$G353=$G$7,H$7,$G353=$G$8,H$8,$G353=$G$9,H$9,$G353=$G$10,H$10,$G353=$G$11,H$11,$G353=$G$12,H$12,$G353=$G$13,H$13,$G353=$G$15,H$15,$G353=$G$16,H$16,$G353=$G$17,H$17,$G353=$G$18,H$18,$G353=$G$19,H$19,$G353=$G$20,H$20,$G353=$G$21,H$21,$G353=$G$22,H$22,$G353=$G$25,H$25,$G353=$G$26,H$26,$G353=$G$27,H$27,$G353=$G$29,H$29,$G353=$G$31,H$31,$G353=$G$32,H$150,$G353=$G$248,H$248,$G353=$G$250,H$250)</f>
        <v>41.368589</v>
      </c>
      <c r="I353" s="78" cm="1">
        <f t="array" ref="I353">_xlfn.IFS($G353=$G$5,I$5,$G353=$G$6,I$6,$G353=$G$7,I$7,$G353=$G$8,I$8,$G353=$G$9,I$9,$G353=$G$10,I$10,$G353=$G$11,I$11,$G353=$G$12,I$12,$G353=$G$13,I$13,$G353=$G$15,I$15,$G353=$G$16,I$16,$G353=$G$17,I$17,$G353=$G$18,I$18,$G353=$G$19,I$19,$G353=$G$20,I$20,$G353=$G$21,I$21,$G353=$G$22,I$22,$G353=$G$25,I$25,$G353=$G$26,I$26,$G353=$G$27,I$27,$G353=$G$29,I$29,$G353=$G$31,I$31,$G353=$G$32,I$150,$G353=$G$248,I$248,$G353=$G$250,I$250)</f>
        <v>2.1620900000000001</v>
      </c>
      <c r="J353" cm="1">
        <f t="array" ref="J353">_xlfn.IFS($G353=$G$5,J$5,$G353=$G$6,J$6,$G353=$G$7,J$7,$G353=$G$8,J$8,$G353=$G$9,J$9,$G353=$G$10,J$10,$G353=$G$11,J$11,$G353=$G$12,J$12,$G353=$G$13,J$13,$G353=$G$15,J$15,$G353=$G$16,J$16,$G353=$G$17,J$17,$G353=$G$18,J$18,$G353=$G$19,J$19,$G353=$G$20,J$20,$G353=$G$21,J$21,$G353=$G$22,J$22,$G353=$G$25,J$25,$G353=$G$26,J$26,$G353=$G$27,J$27,$G353=$G$29,J$29,$G353=$G$31,J$31,$G353=$G$32,J$150,$G353=$G$248,J$248,$G353=$G$250,J$250)</f>
        <v>95</v>
      </c>
      <c r="K353" t="str" cm="1">
        <f t="array" ref="K353">_xlfn.IFS($G353=$G$5,K$5,$G353=$G$6,K$6,$G353=$G$7,K$7,$G353=$G$8,K$8,$G353=$G$9,K$9,$G353=$G$10,K$10,$G353=$G$11,K$11,$G353=$G$12,K$12,$G353=$G$13,K$13,$G353=$G$15,K$15,$G353=$G$16,K$16,$G353=$G$17,K$17,$G353=$G$18,K$18,$G353=$G$19,K$19,$G353=$G$20,K$20,$G353=$G$21,K$21,$G353=$G$22,K$22,$G353=$G$25,K$25,$G353=$G$26,K$26,$G353=$G$27,K$27,$G353=$G$29,K$29,$G353=$G$31,K$31,$G353=$G$32,K$150,$G353=$G$248,K$248,$G353=$G$250,K$250)</f>
        <v>BG sentinel + BG lure7</v>
      </c>
      <c r="L353" s="48"/>
      <c r="M353" s="48"/>
      <c r="O353" s="45" t="str">
        <f t="shared" si="24"/>
        <v>A_SP_BCN_8_210708</v>
      </c>
      <c r="P353" s="64">
        <v>44385</v>
      </c>
      <c r="R353" s="72"/>
      <c r="S353" s="64">
        <v>44392</v>
      </c>
      <c r="U353" s="72"/>
      <c r="V353" s="54" t="s">
        <v>66</v>
      </c>
      <c r="X353" s="45">
        <f t="shared" ref="X353:X379" si="28">S353-P353</f>
        <v>7</v>
      </c>
      <c r="Z353" s="69" t="s">
        <v>69</v>
      </c>
      <c r="AA353" s="45">
        <f t="shared" si="27"/>
        <v>18</v>
      </c>
      <c r="AB353" t="str">
        <f t="shared" si="25"/>
        <v>Adult</v>
      </c>
      <c r="AC353" s="69">
        <v>17</v>
      </c>
      <c r="AD353" s="69">
        <v>1</v>
      </c>
      <c r="AE353" s="45" t="str">
        <f t="shared" si="26"/>
        <v>Morphological</v>
      </c>
      <c r="AF353" s="56">
        <v>4</v>
      </c>
    </row>
    <row r="354" spans="1:32" ht="18" customHeight="1" x14ac:dyDescent="0.25">
      <c r="A354" s="45">
        <v>350</v>
      </c>
      <c r="B354" s="45" t="s">
        <v>60</v>
      </c>
      <c r="C354" s="45" t="s">
        <v>61</v>
      </c>
      <c r="D354" s="45" t="s">
        <v>62</v>
      </c>
      <c r="E354" s="45" t="s">
        <v>62</v>
      </c>
      <c r="F354" s="46" cm="1">
        <f t="array" ref="F354">_xlfn.IFS($G354=$G$5,F$5,$G354=$G$6,F$6,$G354=$G$7,F$7,$G354=$G$8,F$8,$G354=$G$9,F$9,$G354=$G$10,F$10,$G354=$G$11,F$11,$G354=$G$12,F$12,$G354=$G$13,F$13,$G354=$G$15,F$15,$G354=$G$16,F$16,$G354=$G$17,F$17,$G354=$G$18,F$18,$G354=$G$19,F$19,$G354=$G$20,F$20,$G354=$G$21,F$21,$G354=$G$22,F$22,$G354=$G$25,F$25,$G354=$G$26,F$26,$G354=$G$27,F$27,$G354=$G$29,F$29,$G354=$G$31,F$31,$G354=$G$32,F$32,$G354=$G$248,F$248,$G354=$G$250,F$250)</f>
        <v>8038</v>
      </c>
      <c r="G354" t="s">
        <v>75</v>
      </c>
      <c r="H354" s="66" cm="1">
        <f t="array" ref="H354">_xlfn.IFS($G354=$G$5,H$5,$G354=$G$6,H$6,$G354=$G$7,H$7,$G354=$G$8,H$8,$G354=$G$9,H$9,$G354=$G$10,H$10,$G354=$G$11,H$11,$G354=$G$12,H$12,$G354=$G$13,H$13,$G354=$G$15,H$15,$G354=$G$16,H$16,$G354=$G$17,H$17,$G354=$G$18,H$18,$G354=$G$19,H$19,$G354=$G$20,H$20,$G354=$G$21,H$21,$G354=$G$22,H$22,$G354=$G$25,H$25,$G354=$G$26,H$26,$G354=$G$27,H$27,$G354=$G$29,H$29,$G354=$G$31,H$31,$G354=$G$32,H$150,$G354=$G$248,H$248,$G354=$G$250,H$250)</f>
        <v>41.368589</v>
      </c>
      <c r="I354" s="78" cm="1">
        <f t="array" ref="I354">_xlfn.IFS($G354=$G$5,I$5,$G354=$G$6,I$6,$G354=$G$7,I$7,$G354=$G$8,I$8,$G354=$G$9,I$9,$G354=$G$10,I$10,$G354=$G$11,I$11,$G354=$G$12,I$12,$G354=$G$13,I$13,$G354=$G$15,I$15,$G354=$G$16,I$16,$G354=$G$17,I$17,$G354=$G$18,I$18,$G354=$G$19,I$19,$G354=$G$20,I$20,$G354=$G$21,I$21,$G354=$G$22,I$22,$G354=$G$25,I$25,$G354=$G$26,I$26,$G354=$G$27,I$27,$G354=$G$29,I$29,$G354=$G$31,I$31,$G354=$G$32,I$150,$G354=$G$248,I$248,$G354=$G$250,I$250)</f>
        <v>2.1620900000000001</v>
      </c>
      <c r="J354" cm="1">
        <f t="array" ref="J354">_xlfn.IFS($G354=$G$5,J$5,$G354=$G$6,J$6,$G354=$G$7,J$7,$G354=$G$8,J$8,$G354=$G$9,J$9,$G354=$G$10,J$10,$G354=$G$11,J$11,$G354=$G$12,J$12,$G354=$G$13,J$13,$G354=$G$15,J$15,$G354=$G$16,J$16,$G354=$G$17,J$17,$G354=$G$18,J$18,$G354=$G$19,J$19,$G354=$G$20,J$20,$G354=$G$21,J$21,$G354=$G$22,J$22,$G354=$G$25,J$25,$G354=$G$26,J$26,$G354=$G$27,J$27,$G354=$G$29,J$29,$G354=$G$31,J$31,$G354=$G$32,J$150,$G354=$G$248,J$248,$G354=$G$250,J$250)</f>
        <v>95</v>
      </c>
      <c r="K354" t="str" cm="1">
        <f t="array" ref="K354">_xlfn.IFS($G354=$G$5,K$5,$G354=$G$6,K$6,$G354=$G$7,K$7,$G354=$G$8,K$8,$G354=$G$9,K$9,$G354=$G$10,K$10,$G354=$G$11,K$11,$G354=$G$12,K$12,$G354=$G$13,K$13,$G354=$G$15,K$15,$G354=$G$16,K$16,$G354=$G$17,K$17,$G354=$G$18,K$18,$G354=$G$19,K$19,$G354=$G$20,K$20,$G354=$G$21,K$21,$G354=$G$22,K$22,$G354=$G$25,K$25,$G354=$G$26,K$26,$G354=$G$27,K$27,$G354=$G$29,K$29,$G354=$G$31,K$31,$G354=$G$32,K$150,$G354=$G$248,K$248,$G354=$G$250,K$250)</f>
        <v>BG sentinel + BG lure7</v>
      </c>
      <c r="L354" s="48"/>
      <c r="M354" s="48"/>
      <c r="O354" s="45" t="str">
        <f t="shared" si="24"/>
        <v>A_SP_BCN_8_210708</v>
      </c>
      <c r="P354" s="64">
        <v>44385</v>
      </c>
      <c r="R354" s="72"/>
      <c r="S354" s="64">
        <v>44392</v>
      </c>
      <c r="U354" s="72"/>
      <c r="V354" s="54" t="s">
        <v>66</v>
      </c>
      <c r="X354" s="45">
        <f t="shared" si="28"/>
        <v>7</v>
      </c>
      <c r="Z354" s="45" t="s">
        <v>70</v>
      </c>
      <c r="AA354" s="45">
        <f t="shared" si="27"/>
        <v>13</v>
      </c>
      <c r="AB354" t="str">
        <f t="shared" si="25"/>
        <v>Adult</v>
      </c>
      <c r="AC354" s="69">
        <v>12</v>
      </c>
      <c r="AD354" s="69">
        <v>1</v>
      </c>
      <c r="AE354" s="45" t="str">
        <f t="shared" si="26"/>
        <v>Morphological</v>
      </c>
      <c r="AF354" s="56">
        <v>4</v>
      </c>
    </row>
    <row r="355" spans="1:32" ht="18" customHeight="1" x14ac:dyDescent="0.25">
      <c r="A355" s="45">
        <v>351</v>
      </c>
      <c r="B355" s="45" t="s">
        <v>60</v>
      </c>
      <c r="C355" s="45" t="s">
        <v>61</v>
      </c>
      <c r="D355" s="45" t="s">
        <v>62</v>
      </c>
      <c r="E355" s="45" t="s">
        <v>62</v>
      </c>
      <c r="F355" s="46" cm="1">
        <f t="array" ref="F355">_xlfn.IFS($G355=$G$5,F$5,$G355=$G$6,F$6,$G355=$G$7,F$7,$G355=$G$8,F$8,$G355=$G$9,F$9,$G355=$G$10,F$10,$G355=$G$11,F$11,$G355=$G$12,F$12,$G355=$G$13,F$13,$G355=$G$15,F$15,$G355=$G$16,F$16,$G355=$G$17,F$17,$G355=$G$18,F$18,$G355=$G$19,F$19,$G355=$G$20,F$20,$G355=$G$21,F$21,$G355=$G$22,F$22,$G355=$G$25,F$25,$G355=$G$26,F$26,$G355=$G$27,F$27,$G355=$G$29,F$29,$G355=$G$31,F$31,$G355=$G$32,F$32,$G355=$G$248,F$248,$G355=$G$250,F$250)</f>
        <v>8038</v>
      </c>
      <c r="G355" t="s">
        <v>75</v>
      </c>
      <c r="H355" s="66" cm="1">
        <f t="array" ref="H355">_xlfn.IFS($G355=$G$5,H$5,$G355=$G$6,H$6,$G355=$G$7,H$7,$G355=$G$8,H$8,$G355=$G$9,H$9,$G355=$G$10,H$10,$G355=$G$11,H$11,$G355=$G$12,H$12,$G355=$G$13,H$13,$G355=$G$15,H$15,$G355=$G$16,H$16,$G355=$G$17,H$17,$G355=$G$18,H$18,$G355=$G$19,H$19,$G355=$G$20,H$20,$G355=$G$21,H$21,$G355=$G$22,H$22,$G355=$G$25,H$25,$G355=$G$26,H$26,$G355=$G$27,H$27,$G355=$G$29,H$29,$G355=$G$31,H$31,$G355=$G$32,H$150,$G355=$G$248,H$248,$G355=$G$250,H$250)</f>
        <v>41.368589</v>
      </c>
      <c r="I355" s="78" cm="1">
        <f t="array" ref="I355">_xlfn.IFS($G355=$G$5,I$5,$G355=$G$6,I$6,$G355=$G$7,I$7,$G355=$G$8,I$8,$G355=$G$9,I$9,$G355=$G$10,I$10,$G355=$G$11,I$11,$G355=$G$12,I$12,$G355=$G$13,I$13,$G355=$G$15,I$15,$G355=$G$16,I$16,$G355=$G$17,I$17,$G355=$G$18,I$18,$G355=$G$19,I$19,$G355=$G$20,I$20,$G355=$G$21,I$21,$G355=$G$22,I$22,$G355=$G$25,I$25,$G355=$G$26,I$26,$G355=$G$27,I$27,$G355=$G$29,I$29,$G355=$G$31,I$31,$G355=$G$32,I$150,$G355=$G$248,I$248,$G355=$G$250,I$250)</f>
        <v>2.1620900000000001</v>
      </c>
      <c r="J355" cm="1">
        <f t="array" ref="J355">_xlfn.IFS($G355=$G$5,J$5,$G355=$G$6,J$6,$G355=$G$7,J$7,$G355=$G$8,J$8,$G355=$G$9,J$9,$G355=$G$10,J$10,$G355=$G$11,J$11,$G355=$G$12,J$12,$G355=$G$13,J$13,$G355=$G$15,J$15,$G355=$G$16,J$16,$G355=$G$17,J$17,$G355=$G$18,J$18,$G355=$G$19,J$19,$G355=$G$20,J$20,$G355=$G$21,J$21,$G355=$G$22,J$22,$G355=$G$25,J$25,$G355=$G$26,J$26,$G355=$G$27,J$27,$G355=$G$29,J$29,$G355=$G$31,J$31,$G355=$G$32,J$150,$G355=$G$248,J$248,$G355=$G$250,J$250)</f>
        <v>95</v>
      </c>
      <c r="K355" t="str" cm="1">
        <f t="array" ref="K355">_xlfn.IFS($G355=$G$5,K$5,$G355=$G$6,K$6,$G355=$G$7,K$7,$G355=$G$8,K$8,$G355=$G$9,K$9,$G355=$G$10,K$10,$G355=$G$11,K$11,$G355=$G$12,K$12,$G355=$G$13,K$13,$G355=$G$15,K$15,$G355=$G$16,K$16,$G355=$G$17,K$17,$G355=$G$18,K$18,$G355=$G$19,K$19,$G355=$G$20,K$20,$G355=$G$21,K$21,$G355=$G$22,K$22,$G355=$G$25,K$25,$G355=$G$26,K$26,$G355=$G$27,K$27,$G355=$G$29,K$29,$G355=$G$31,K$31,$G355=$G$32,K$150,$G355=$G$248,K$248,$G355=$G$250,K$250)</f>
        <v>BG sentinel + BG lure7</v>
      </c>
      <c r="L355" s="48"/>
      <c r="M355" s="48"/>
      <c r="O355" s="45" t="str">
        <f t="shared" si="24"/>
        <v>A_SP_BCN_8_210708</v>
      </c>
      <c r="P355" s="64">
        <v>44385</v>
      </c>
      <c r="R355" s="72"/>
      <c r="S355" s="64">
        <v>44392</v>
      </c>
      <c r="U355" s="72"/>
      <c r="V355" s="54" t="s">
        <v>66</v>
      </c>
      <c r="X355" s="45">
        <f t="shared" si="28"/>
        <v>7</v>
      </c>
      <c r="Z355" s="45" t="s">
        <v>80</v>
      </c>
      <c r="AA355" s="45">
        <f t="shared" si="27"/>
        <v>4</v>
      </c>
      <c r="AB355" t="str">
        <f t="shared" si="25"/>
        <v>Adult</v>
      </c>
      <c r="AC355" s="69">
        <v>2</v>
      </c>
      <c r="AD355" s="69">
        <v>2</v>
      </c>
      <c r="AE355" s="45" t="str">
        <f t="shared" si="26"/>
        <v>Morphological</v>
      </c>
      <c r="AF355" s="56">
        <v>4</v>
      </c>
    </row>
    <row r="356" spans="1:32" ht="18" customHeight="1" x14ac:dyDescent="0.25">
      <c r="A356" s="45">
        <v>352</v>
      </c>
      <c r="B356" s="45" t="s">
        <v>60</v>
      </c>
      <c r="C356" s="45" t="s">
        <v>61</v>
      </c>
      <c r="D356" s="45" t="s">
        <v>62</v>
      </c>
      <c r="E356" s="45" t="s">
        <v>62</v>
      </c>
      <c r="F356" s="46" cm="1">
        <f t="array" ref="F356">_xlfn.IFS($G356=$G$5,F$5,$G356=$G$6,F$6,$G356=$G$7,F$7,$G356=$G$8,F$8,$G356=$G$9,F$9,$G356=$G$10,F$10,$G356=$G$11,F$11,$G356=$G$12,F$12,$G356=$G$13,F$13,$G356=$G$15,F$15,$G356=$G$16,F$16,$G356=$G$17,F$17,$G356=$G$18,F$18,$G356=$G$19,F$19,$G356=$G$20,F$20,$G356=$G$21,F$21,$G356=$G$22,F$22,$G356=$G$25,F$25,$G356=$G$26,F$26,$G356=$G$27,F$27,$G356=$G$29,F$29,$G356=$G$31,F$31,$G356=$G$32,F$32,$G356=$G$248,F$248,$G356=$G$250,F$250)</f>
        <v>8034</v>
      </c>
      <c r="G356" t="s">
        <v>78</v>
      </c>
      <c r="H356" s="66" cm="1">
        <f t="array" ref="H356">_xlfn.IFS($G356=$G$5,H$5,$G356=$G$6,H$6,$G356=$G$7,H$7,$G356=$G$8,H$8,$G356=$G$9,H$9,$G356=$G$10,H$10,$G356=$G$11,H$11,$G356=$G$12,H$12,$G356=$G$13,H$13,$G356=$G$15,H$15,$G356=$G$16,H$16,$G356=$G$17,H$17,$G356=$G$18,H$18,$G356=$G$19,H$19,$G356=$G$20,H$20,$G356=$G$21,H$21,$G356=$G$22,H$22,$G356=$G$25,H$25,$G356=$G$26,H$26,$G356=$G$27,H$27,$G356=$G$29,H$29,$G356=$G$31,H$31,$G356=$G$32,H$150,$G356=$G$248,H$248,$G356=$G$250,H$250)</f>
        <v>41.393644999999999</v>
      </c>
      <c r="I356" s="78" cm="1">
        <f t="array" ref="I356">_xlfn.IFS($G356=$G$5,I$5,$G356=$G$6,I$6,$G356=$G$7,I$7,$G356=$G$8,I$8,$G356=$G$9,I$9,$G356=$G$10,I$10,$G356=$G$11,I$11,$G356=$G$12,I$12,$G356=$G$13,I$13,$G356=$G$15,I$15,$G356=$G$16,I$16,$G356=$G$17,I$17,$G356=$G$18,I$18,$G356=$G$19,I$19,$G356=$G$20,I$20,$G356=$G$21,I$21,$G356=$G$22,I$22,$G356=$G$25,I$25,$G356=$G$26,I$26,$G356=$G$27,I$27,$G356=$G$29,I$29,$G356=$G$31,I$31,$G356=$G$32,I$150,$G356=$G$248,I$248,$G356=$G$250,I$250)</f>
        <v>2.1216780000000002</v>
      </c>
      <c r="J356" cm="1">
        <f t="array" ref="J356">_xlfn.IFS($G356=$G$5,J$5,$G356=$G$6,J$6,$G356=$G$7,J$7,$G356=$G$8,J$8,$G356=$G$9,J$9,$G356=$G$10,J$10,$G356=$G$11,J$11,$G356=$G$12,J$12,$G356=$G$13,J$13,$G356=$G$15,J$15,$G356=$G$16,J$16,$G356=$G$17,J$17,$G356=$G$18,J$18,$G356=$G$19,J$19,$G356=$G$20,J$20,$G356=$G$21,J$21,$G356=$G$22,J$22,$G356=$G$25,J$25,$G356=$G$26,J$26,$G356=$G$27,J$27,$G356=$G$29,J$29,$G356=$G$31,J$31,$G356=$G$32,J$150,$G356=$G$248,J$248,$G356=$G$250,J$250)</f>
        <v>98</v>
      </c>
      <c r="K356" t="str" cm="1">
        <f t="array" ref="K356">_xlfn.IFS($G356=$G$5,K$5,$G356=$G$6,K$6,$G356=$G$7,K$7,$G356=$G$8,K$8,$G356=$G$9,K$9,$G356=$G$10,K$10,$G356=$G$11,K$11,$G356=$G$12,K$12,$G356=$G$13,K$13,$G356=$G$15,K$15,$G356=$G$16,K$16,$G356=$G$17,K$17,$G356=$G$18,K$18,$G356=$G$19,K$19,$G356=$G$20,K$20,$G356=$G$21,K$21,$G356=$G$22,K$22,$G356=$G$25,K$25,$G356=$G$26,K$26,$G356=$G$27,K$27,$G356=$G$29,K$29,$G356=$G$31,K$31,$G356=$G$32,K$150,$G356=$G$248,K$248,$G356=$G$250,K$250)</f>
        <v>BG sentinel + BG lure7</v>
      </c>
      <c r="L356" s="48"/>
      <c r="M356" s="48"/>
      <c r="O356" s="45" t="str">
        <f t="shared" si="24"/>
        <v>A_SP_BCN_9_210707</v>
      </c>
      <c r="P356" s="64">
        <v>44384</v>
      </c>
      <c r="R356" s="72"/>
      <c r="S356" s="64">
        <v>44391</v>
      </c>
      <c r="U356" s="72"/>
      <c r="V356" s="54" t="s">
        <v>66</v>
      </c>
      <c r="X356" s="45">
        <f t="shared" si="28"/>
        <v>7</v>
      </c>
      <c r="Z356" s="45" t="s">
        <v>70</v>
      </c>
      <c r="AA356" s="45">
        <f t="shared" si="27"/>
        <v>2</v>
      </c>
      <c r="AB356" t="str">
        <f t="shared" si="25"/>
        <v>Adult</v>
      </c>
      <c r="AC356" s="69">
        <v>2</v>
      </c>
      <c r="AD356" s="69">
        <v>0</v>
      </c>
      <c r="AE356" s="45" t="str">
        <f t="shared" si="26"/>
        <v>Morphological</v>
      </c>
      <c r="AF356" s="56">
        <v>4</v>
      </c>
    </row>
    <row r="357" spans="1:32" ht="18" customHeight="1" x14ac:dyDescent="0.25">
      <c r="A357" s="45">
        <v>353</v>
      </c>
      <c r="B357" s="45" t="s">
        <v>60</v>
      </c>
      <c r="C357" s="45" t="s">
        <v>61</v>
      </c>
      <c r="D357" s="45" t="s">
        <v>62</v>
      </c>
      <c r="E357" s="45" t="s">
        <v>62</v>
      </c>
      <c r="F357" s="46" cm="1">
        <f t="array" ref="F357">_xlfn.IFS($G357=$G$5,F$5,$G357=$G$6,F$6,$G357=$G$7,F$7,$G357=$G$8,F$8,$G357=$G$9,F$9,$G357=$G$10,F$10,$G357=$G$11,F$11,$G357=$G$12,F$12,$G357=$G$13,F$13,$G357=$G$15,F$15,$G357=$G$16,F$16,$G357=$G$17,F$17,$G357=$G$18,F$18,$G357=$G$19,F$19,$G357=$G$20,F$20,$G357=$G$21,F$21,$G357=$G$22,F$22,$G357=$G$25,F$25,$G357=$G$26,F$26,$G357=$G$27,F$27,$G357=$G$29,F$29,$G357=$G$31,F$31,$G357=$G$32,F$32,$G357=$G$248,F$248,$G357=$G$250,F$250)</f>
        <v>8034</v>
      </c>
      <c r="G357" t="s">
        <v>78</v>
      </c>
      <c r="H357" s="66" cm="1">
        <f t="array" ref="H357">_xlfn.IFS($G357=$G$5,H$5,$G357=$G$6,H$6,$G357=$G$7,H$7,$G357=$G$8,H$8,$G357=$G$9,H$9,$G357=$G$10,H$10,$G357=$G$11,H$11,$G357=$G$12,H$12,$G357=$G$13,H$13,$G357=$G$15,H$15,$G357=$G$16,H$16,$G357=$G$17,H$17,$G357=$G$18,H$18,$G357=$G$19,H$19,$G357=$G$20,H$20,$G357=$G$21,H$21,$G357=$G$22,H$22,$G357=$G$25,H$25,$G357=$G$26,H$26,$G357=$G$27,H$27,$G357=$G$29,H$29,$G357=$G$31,H$31,$G357=$G$32,H$150,$G357=$G$248,H$248,$G357=$G$250,H$250)</f>
        <v>41.393644999999999</v>
      </c>
      <c r="I357" s="78" cm="1">
        <f t="array" ref="I357">_xlfn.IFS($G357=$G$5,I$5,$G357=$G$6,I$6,$G357=$G$7,I$7,$G357=$G$8,I$8,$G357=$G$9,I$9,$G357=$G$10,I$10,$G357=$G$11,I$11,$G357=$G$12,I$12,$G357=$G$13,I$13,$G357=$G$15,I$15,$G357=$G$16,I$16,$G357=$G$17,I$17,$G357=$G$18,I$18,$G357=$G$19,I$19,$G357=$G$20,I$20,$G357=$G$21,I$21,$G357=$G$22,I$22,$G357=$G$25,I$25,$G357=$G$26,I$26,$G357=$G$27,I$27,$G357=$G$29,I$29,$G357=$G$31,I$31,$G357=$G$32,I$150,$G357=$G$248,I$248,$G357=$G$250,I$250)</f>
        <v>2.1216780000000002</v>
      </c>
      <c r="J357" cm="1">
        <f t="array" ref="J357">_xlfn.IFS($G357=$G$5,J$5,$G357=$G$6,J$6,$G357=$G$7,J$7,$G357=$G$8,J$8,$G357=$G$9,J$9,$G357=$G$10,J$10,$G357=$G$11,J$11,$G357=$G$12,J$12,$G357=$G$13,J$13,$G357=$G$15,J$15,$G357=$G$16,J$16,$G357=$G$17,J$17,$G357=$G$18,J$18,$G357=$G$19,J$19,$G357=$G$20,J$20,$G357=$G$21,J$21,$G357=$G$22,J$22,$G357=$G$25,J$25,$G357=$G$26,J$26,$G357=$G$27,J$27,$G357=$G$29,J$29,$G357=$G$31,J$31,$G357=$G$32,J$150,$G357=$G$248,J$248,$G357=$G$250,J$250)</f>
        <v>98</v>
      </c>
      <c r="K357" t="str" cm="1">
        <f t="array" ref="K357">_xlfn.IFS($G357=$G$5,K$5,$G357=$G$6,K$6,$G357=$G$7,K$7,$G357=$G$8,K$8,$G357=$G$9,K$9,$G357=$G$10,K$10,$G357=$G$11,K$11,$G357=$G$12,K$12,$G357=$G$13,K$13,$G357=$G$15,K$15,$G357=$G$16,K$16,$G357=$G$17,K$17,$G357=$G$18,K$18,$G357=$G$19,K$19,$G357=$G$20,K$20,$G357=$G$21,K$21,$G357=$G$22,K$22,$G357=$G$25,K$25,$G357=$G$26,K$26,$G357=$G$27,K$27,$G357=$G$29,K$29,$G357=$G$31,K$31,$G357=$G$32,K$150,$G357=$G$248,K$248,$G357=$G$250,K$250)</f>
        <v>BG sentinel + BG lure7</v>
      </c>
      <c r="L357" s="48" t="str" cm="1">
        <f t="array" ref="L357">_xlfn.IFS($G357=$G$5,L$5,$G357=$G$6,L$6,$G357=$G$7,L$7,$G357=$G$8,L$8,$G357=$G$9,L$9,$G357=$G$10,L$10,$G357=$G$11,L$11,$G357=$G$12,L$12,$G357=$G$13,L$13,$G357=$G$15,L$15,$G357=$G$16,L$16,$G357=$G$17,L$17,$G357=$G$18,L$18,$G357=$G$19,L$19,$G357=$G$20,L$20,$G357=$G$21,L$21,$G357=$G$22,L$22,$G357=$G$25,L$25,$G357=$G$26,L$26,$G357=$G$27,L$27,$G357=$G$29,L$29,$G357=$G$31,L$31,$G357=$G$32,L$32,$G357=$G$248,L$248,$G357=$G$250,L$250)</f>
        <v>Other</v>
      </c>
      <c r="M357" s="48"/>
      <c r="O357" s="45" t="str">
        <f t="shared" si="24"/>
        <v>A_SP_BCN_9_210707</v>
      </c>
      <c r="P357" s="64">
        <v>44384</v>
      </c>
      <c r="R357" s="72"/>
      <c r="S357" s="64">
        <v>44391</v>
      </c>
      <c r="U357" s="72"/>
      <c r="V357" s="54" t="s">
        <v>66</v>
      </c>
      <c r="X357" s="45">
        <f t="shared" si="28"/>
        <v>7</v>
      </c>
      <c r="Z357" s="45" t="s">
        <v>80</v>
      </c>
      <c r="AA357" s="45">
        <f t="shared" si="27"/>
        <v>9</v>
      </c>
      <c r="AB357" t="str">
        <f t="shared" si="25"/>
        <v>Adult</v>
      </c>
      <c r="AC357" s="69">
        <v>6</v>
      </c>
      <c r="AD357" s="69">
        <v>3</v>
      </c>
      <c r="AE357" s="45" t="str">
        <f t="shared" si="26"/>
        <v>Morphological</v>
      </c>
      <c r="AF357" s="56">
        <v>4</v>
      </c>
    </row>
    <row r="358" spans="1:32" ht="18" customHeight="1" x14ac:dyDescent="0.25">
      <c r="A358" s="45">
        <v>354</v>
      </c>
      <c r="B358" s="45" t="s">
        <v>60</v>
      </c>
      <c r="C358" s="45" t="s">
        <v>61</v>
      </c>
      <c r="D358" s="45" t="s">
        <v>62</v>
      </c>
      <c r="E358" s="45" t="s">
        <v>62</v>
      </c>
      <c r="F358" s="46" cm="1">
        <f t="array" ref="F358">_xlfn.IFS($G358=$G$5,F$5,$G358=$G$6,F$6,$G358=$G$7,F$7,$G358=$G$8,F$8,$G358=$G$9,F$9,$G358=$G$10,F$10,$G358=$G$11,F$11,$G358=$G$12,F$12,$G358=$G$13,F$13,$G358=$G$15,F$15,$G358=$G$16,F$16,$G358=$G$17,F$17,$G358=$G$18,F$18,$G358=$G$19,F$19,$G358=$G$20,F$20,$G358=$G$21,F$21,$G358=$G$22,F$22,$G358=$G$25,F$25,$G358=$G$26,F$26,$G358=$G$27,F$27,$G358=$G$29,F$29,$G358=$G$31,F$31,$G358=$G$32,F$32,$G358=$G$248,F$248,$G358=$G$250,F$250)</f>
        <v>8040</v>
      </c>
      <c r="G358" t="s">
        <v>81</v>
      </c>
      <c r="H358" s="66" cm="1">
        <f t="array" ref="H358">_xlfn.IFS($G358=$G$5,H$5,$G358=$G$6,H$6,$G358=$G$7,H$7,$G358=$G$8,H$8,$G358=$G$9,H$9,$G358=$G$10,H$10,$G358=$G$11,H$11,$G358=$G$12,H$12,$G358=$G$13,H$13,$G358=$G$15,H$15,$G358=$G$16,H$16,$G358=$G$17,H$17,$G358=$G$18,H$18,$G358=$G$19,H$19,$G358=$G$20,H$20,$G358=$G$21,H$21,$G358=$G$22,H$22,$G358=$G$25,H$25,$G358=$G$26,H$26,$G358=$G$27,H$27,$G358=$G$29,H$29,$G358=$G$31,H$31,$G358=$G$32,H$150,$G358=$G$248,H$248,$G358=$G$250,H$250)</f>
        <v>41.343685000000001</v>
      </c>
      <c r="I358" s="78" cm="1">
        <f t="array" ref="I358">_xlfn.IFS($G358=$G$5,I$5,$G358=$G$6,I$6,$G358=$G$7,I$7,$G358=$G$8,I$8,$G358=$G$9,I$9,$G358=$G$10,I$10,$G358=$G$11,I$11,$G358=$G$12,I$12,$G358=$G$13,I$13,$G358=$G$15,I$15,$G358=$G$16,I$16,$G358=$G$17,I$17,$G358=$G$18,I$18,$G358=$G$19,I$19,$G358=$G$20,I$20,$G358=$G$21,I$21,$G358=$G$22,I$22,$G358=$G$25,I$25,$G358=$G$26,I$26,$G358=$G$27,I$27,$G358=$G$29,I$29,$G358=$G$31,I$31,$G358=$G$32,I$150,$G358=$G$248,I$248,$G358=$G$250,I$250)</f>
        <v>2.1441490000000001</v>
      </c>
      <c r="J358" cm="1">
        <f t="array" ref="J358">_xlfn.IFS($G358=$G$5,J$5,$G358=$G$6,J$6,$G358=$G$7,J$7,$G358=$G$8,J$8,$G358=$G$9,J$9,$G358=$G$10,J$10,$G358=$G$11,J$11,$G358=$G$12,J$12,$G358=$G$13,J$13,$G358=$G$15,J$15,$G358=$G$16,J$16,$G358=$G$17,J$17,$G358=$G$18,J$18,$G358=$G$19,J$19,$G358=$G$20,J$20,$G358=$G$21,J$21,$G358=$G$22,J$22,$G358=$G$25,J$25,$G358=$G$26,J$26,$G358=$G$27,J$27,$G358=$G$29,J$29,$G358=$G$31,J$31,$G358=$G$32,J$150,$G358=$G$248,J$248,$G358=$G$250,J$250)</f>
        <v>4</v>
      </c>
      <c r="K358" t="str" cm="1">
        <f t="array" ref="K358">_xlfn.IFS($G358=$G$5,K$5,$G358=$G$6,K$6,$G358=$G$7,K$7,$G358=$G$8,K$8,$G358=$G$9,K$9,$G358=$G$10,K$10,$G358=$G$11,K$11,$G358=$G$12,K$12,$G358=$G$13,K$13,$G358=$G$15,K$15,$G358=$G$16,K$16,$G358=$G$17,K$17,$G358=$G$18,K$18,$G358=$G$19,K$19,$G358=$G$20,K$20,$G358=$G$21,K$21,$G358=$G$22,K$22,$G358=$G$25,K$25,$G358=$G$26,K$26,$G358=$G$27,K$27,$G358=$G$29,K$29,$G358=$G$31,K$31,$G358=$G$32,K$150,$G358=$G$248,K$248,$G358=$G$250,K$250)</f>
        <v>BG sentinel + BG lure7</v>
      </c>
      <c r="L358" s="48"/>
      <c r="M358" s="48"/>
      <c r="O358" s="45" t="str">
        <f t="shared" ref="O358:O379" si="29">G358&amp;"_"&amp;TEXT(P358, "AAMMDD")</f>
        <v>A_SP_BCN_10_210708</v>
      </c>
      <c r="P358" s="64">
        <v>44385</v>
      </c>
      <c r="R358" s="72"/>
      <c r="S358" s="64">
        <v>44392</v>
      </c>
      <c r="U358" s="72"/>
      <c r="V358" s="54" t="s">
        <v>66</v>
      </c>
      <c r="X358" s="45">
        <f t="shared" si="28"/>
        <v>7</v>
      </c>
      <c r="Z358" s="69" t="s">
        <v>69</v>
      </c>
      <c r="AA358" s="45">
        <f t="shared" si="27"/>
        <v>33</v>
      </c>
      <c r="AB358" t="str">
        <f t="shared" si="25"/>
        <v>Adult</v>
      </c>
      <c r="AC358" s="69">
        <v>21</v>
      </c>
      <c r="AD358" s="69">
        <v>12</v>
      </c>
      <c r="AE358" s="45" t="str">
        <f t="shared" si="26"/>
        <v>Morphological</v>
      </c>
      <c r="AF358" s="56">
        <v>4</v>
      </c>
    </row>
    <row r="359" spans="1:32" ht="18" customHeight="1" x14ac:dyDescent="0.25">
      <c r="A359" s="45">
        <v>355</v>
      </c>
      <c r="B359" s="45" t="s">
        <v>60</v>
      </c>
      <c r="C359" s="45" t="s">
        <v>61</v>
      </c>
      <c r="D359" s="45" t="s">
        <v>62</v>
      </c>
      <c r="E359" s="45" t="s">
        <v>62</v>
      </c>
      <c r="F359" s="46" cm="1">
        <f t="array" ref="F359">_xlfn.IFS($G359=$G$5,F$5,$G359=$G$6,F$6,$G359=$G$7,F$7,$G359=$G$8,F$8,$G359=$G$9,F$9,$G359=$G$10,F$10,$G359=$G$11,F$11,$G359=$G$12,F$12,$G359=$G$13,F$13,$G359=$G$15,F$15,$G359=$G$16,F$16,$G359=$G$17,F$17,$G359=$G$18,F$18,$G359=$G$19,F$19,$G359=$G$20,F$20,$G359=$G$21,F$21,$G359=$G$22,F$22,$G359=$G$25,F$25,$G359=$G$26,F$26,$G359=$G$27,F$27,$G359=$G$29,F$29,$G359=$G$31,F$31,$G359=$G$32,F$32,$G359=$G$248,F$248,$G359=$G$250,F$250)</f>
        <v>8040</v>
      </c>
      <c r="G359" t="s">
        <v>81</v>
      </c>
      <c r="H359" s="66" cm="1">
        <f t="array" ref="H359">_xlfn.IFS($G359=$G$5,H$5,$G359=$G$6,H$6,$G359=$G$7,H$7,$G359=$G$8,H$8,$G359=$G$9,H$9,$G359=$G$10,H$10,$G359=$G$11,H$11,$G359=$G$12,H$12,$G359=$G$13,H$13,$G359=$G$15,H$15,$G359=$G$16,H$16,$G359=$G$17,H$17,$G359=$G$18,H$18,$G359=$G$19,H$19,$G359=$G$20,H$20,$G359=$G$21,H$21,$G359=$G$22,H$22,$G359=$G$25,H$25,$G359=$G$26,H$26,$G359=$G$27,H$27,$G359=$G$29,H$29,$G359=$G$31,H$31,$G359=$G$32,H$150,$G359=$G$248,H$248,$G359=$G$250,H$250)</f>
        <v>41.343685000000001</v>
      </c>
      <c r="I359" s="78" cm="1">
        <f t="array" ref="I359">_xlfn.IFS($G359=$G$5,I$5,$G359=$G$6,I$6,$G359=$G$7,I$7,$G359=$G$8,I$8,$G359=$G$9,I$9,$G359=$G$10,I$10,$G359=$G$11,I$11,$G359=$G$12,I$12,$G359=$G$13,I$13,$G359=$G$15,I$15,$G359=$G$16,I$16,$G359=$G$17,I$17,$G359=$G$18,I$18,$G359=$G$19,I$19,$G359=$G$20,I$20,$G359=$G$21,I$21,$G359=$G$22,I$22,$G359=$G$25,I$25,$G359=$G$26,I$26,$G359=$G$27,I$27,$G359=$G$29,I$29,$G359=$G$31,I$31,$G359=$G$32,I$150,$G359=$G$248,I$248,$G359=$G$250,I$250)</f>
        <v>2.1441490000000001</v>
      </c>
      <c r="J359" cm="1">
        <f t="array" ref="J359">_xlfn.IFS($G359=$G$5,J$5,$G359=$G$6,J$6,$G359=$G$7,J$7,$G359=$G$8,J$8,$G359=$G$9,J$9,$G359=$G$10,J$10,$G359=$G$11,J$11,$G359=$G$12,J$12,$G359=$G$13,J$13,$G359=$G$15,J$15,$G359=$G$16,J$16,$G359=$G$17,J$17,$G359=$G$18,J$18,$G359=$G$19,J$19,$G359=$G$20,J$20,$G359=$G$21,J$21,$G359=$G$22,J$22,$G359=$G$25,J$25,$G359=$G$26,J$26,$G359=$G$27,J$27,$G359=$G$29,J$29,$G359=$G$31,J$31,$G359=$G$32,J$150,$G359=$G$248,J$248,$G359=$G$250,J$250)</f>
        <v>4</v>
      </c>
      <c r="K359" t="str" cm="1">
        <f t="array" ref="K359">_xlfn.IFS($G359=$G$5,K$5,$G359=$G$6,K$6,$G359=$G$7,K$7,$G359=$G$8,K$8,$G359=$G$9,K$9,$G359=$G$10,K$10,$G359=$G$11,K$11,$G359=$G$12,K$12,$G359=$G$13,K$13,$G359=$G$15,K$15,$G359=$G$16,K$16,$G359=$G$17,K$17,$G359=$G$18,K$18,$G359=$G$19,K$19,$G359=$G$20,K$20,$G359=$G$21,K$21,$G359=$G$22,K$22,$G359=$G$25,K$25,$G359=$G$26,K$26,$G359=$G$27,K$27,$G359=$G$29,K$29,$G359=$G$31,K$31,$G359=$G$32,K$150,$G359=$G$248,K$248,$G359=$G$250,K$250)</f>
        <v>BG sentinel + BG lure7</v>
      </c>
      <c r="L359" s="48"/>
      <c r="M359" s="48"/>
      <c r="O359" s="45" t="str">
        <f t="shared" si="29"/>
        <v>A_SP_BCN_10_210708</v>
      </c>
      <c r="P359" s="64">
        <v>44385</v>
      </c>
      <c r="R359" s="72"/>
      <c r="S359" s="64">
        <v>44392</v>
      </c>
      <c r="U359" s="72"/>
      <c r="V359" s="54" t="s">
        <v>66</v>
      </c>
      <c r="X359" s="45">
        <f t="shared" si="28"/>
        <v>7</v>
      </c>
      <c r="Z359" s="45" t="s">
        <v>70</v>
      </c>
      <c r="AA359" s="45">
        <f t="shared" si="27"/>
        <v>29</v>
      </c>
      <c r="AB359" t="str">
        <f t="shared" si="25"/>
        <v>Adult</v>
      </c>
      <c r="AC359" s="69">
        <v>27</v>
      </c>
      <c r="AD359" s="69">
        <v>2</v>
      </c>
      <c r="AE359" s="45" t="str">
        <f t="shared" si="26"/>
        <v>Morphological</v>
      </c>
      <c r="AF359" s="56">
        <v>4</v>
      </c>
    </row>
    <row r="360" spans="1:32" ht="18" customHeight="1" x14ac:dyDescent="0.25">
      <c r="A360" s="45">
        <v>356</v>
      </c>
      <c r="B360" s="45" t="s">
        <v>60</v>
      </c>
      <c r="C360" s="45" t="s">
        <v>61</v>
      </c>
      <c r="D360" s="45" t="s">
        <v>62</v>
      </c>
      <c r="E360" s="45" t="s">
        <v>62</v>
      </c>
      <c r="F360" s="46" cm="1">
        <f t="array" ref="F360">_xlfn.IFS($G360=$G$5,F$5,$G360=$G$6,F$6,$G360=$G$7,F$7,$G360=$G$8,F$8,$G360=$G$9,F$9,$G360=$G$10,F$10,$G360=$G$11,F$11,$G360=$G$12,F$12,$G360=$G$13,F$13,$G360=$G$15,F$15,$G360=$G$16,F$16,$G360=$G$17,F$17,$G360=$G$18,F$18,$G360=$G$19,F$19,$G360=$G$20,F$20,$G360=$G$21,F$21,$G360=$G$22,F$22,$G360=$G$25,F$25,$G360=$G$26,F$26,$G360=$G$27,F$27,$G360=$G$29,F$29,$G360=$G$31,F$31,$G360=$G$32,F$32,$G360=$G$248,F$248,$G360=$G$250,F$250)</f>
        <v>8040</v>
      </c>
      <c r="G360" t="s">
        <v>81</v>
      </c>
      <c r="H360" s="66" cm="1">
        <f t="array" ref="H360">_xlfn.IFS($G360=$G$5,H$5,$G360=$G$6,H$6,$G360=$G$7,H$7,$G360=$G$8,H$8,$G360=$G$9,H$9,$G360=$G$10,H$10,$G360=$G$11,H$11,$G360=$G$12,H$12,$G360=$G$13,H$13,$G360=$G$15,H$15,$G360=$G$16,H$16,$G360=$G$17,H$17,$G360=$G$18,H$18,$G360=$G$19,H$19,$G360=$G$20,H$20,$G360=$G$21,H$21,$G360=$G$22,H$22,$G360=$G$25,H$25,$G360=$G$26,H$26,$G360=$G$27,H$27,$G360=$G$29,H$29,$G360=$G$31,H$31,$G360=$G$32,H$150,$G360=$G$248,H$248,$G360=$G$250,H$250)</f>
        <v>41.343685000000001</v>
      </c>
      <c r="I360" s="78" cm="1">
        <f t="array" ref="I360">_xlfn.IFS($G360=$G$5,I$5,$G360=$G$6,I$6,$G360=$G$7,I$7,$G360=$G$8,I$8,$G360=$G$9,I$9,$G360=$G$10,I$10,$G360=$G$11,I$11,$G360=$G$12,I$12,$G360=$G$13,I$13,$G360=$G$15,I$15,$G360=$G$16,I$16,$G360=$G$17,I$17,$G360=$G$18,I$18,$G360=$G$19,I$19,$G360=$G$20,I$20,$G360=$G$21,I$21,$G360=$G$22,I$22,$G360=$G$25,I$25,$G360=$G$26,I$26,$G360=$G$27,I$27,$G360=$G$29,I$29,$G360=$G$31,I$31,$G360=$G$32,I$150,$G360=$G$248,I$248,$G360=$G$250,I$250)</f>
        <v>2.1441490000000001</v>
      </c>
      <c r="J360" cm="1">
        <f t="array" ref="J360">_xlfn.IFS($G360=$G$5,J$5,$G360=$G$6,J$6,$G360=$G$7,J$7,$G360=$G$8,J$8,$G360=$G$9,J$9,$G360=$G$10,J$10,$G360=$G$11,J$11,$G360=$G$12,J$12,$G360=$G$13,J$13,$G360=$G$15,J$15,$G360=$G$16,J$16,$G360=$G$17,J$17,$G360=$G$18,J$18,$G360=$G$19,J$19,$G360=$G$20,J$20,$G360=$G$21,J$21,$G360=$G$22,J$22,$G360=$G$25,J$25,$G360=$G$26,J$26,$G360=$G$27,J$27,$G360=$G$29,J$29,$G360=$G$31,J$31,$G360=$G$32,J$150,$G360=$G$248,J$248,$G360=$G$250,J$250)</f>
        <v>4</v>
      </c>
      <c r="K360" t="str" cm="1">
        <f t="array" ref="K360">_xlfn.IFS($G360=$G$5,K$5,$G360=$G$6,K$6,$G360=$G$7,K$7,$G360=$G$8,K$8,$G360=$G$9,K$9,$G360=$G$10,K$10,$G360=$G$11,K$11,$G360=$G$12,K$12,$G360=$G$13,K$13,$G360=$G$15,K$15,$G360=$G$16,K$16,$G360=$G$17,K$17,$G360=$G$18,K$18,$G360=$G$19,K$19,$G360=$G$20,K$20,$G360=$G$21,K$21,$G360=$G$22,K$22,$G360=$G$25,K$25,$G360=$G$26,K$26,$G360=$G$27,K$27,$G360=$G$29,K$29,$G360=$G$31,K$31,$G360=$G$32,K$150,$G360=$G$248,K$248,$G360=$G$250,K$250)</f>
        <v>BG sentinel + BG lure7</v>
      </c>
      <c r="L360" s="48"/>
      <c r="M360" s="48"/>
      <c r="O360" s="45" t="str">
        <f t="shared" si="29"/>
        <v>A_SP_BCN_10_210708</v>
      </c>
      <c r="P360" s="64">
        <v>44385</v>
      </c>
      <c r="R360" s="72"/>
      <c r="S360" s="64">
        <v>44392</v>
      </c>
      <c r="U360" s="72"/>
      <c r="V360" s="54" t="s">
        <v>66</v>
      </c>
      <c r="X360" s="45">
        <f t="shared" si="28"/>
        <v>7</v>
      </c>
      <c r="Z360" s="45" t="s">
        <v>80</v>
      </c>
      <c r="AA360" s="45">
        <f t="shared" si="27"/>
        <v>5</v>
      </c>
      <c r="AB360" t="str">
        <f t="shared" si="25"/>
        <v>Adult</v>
      </c>
      <c r="AC360" s="69">
        <v>2</v>
      </c>
      <c r="AD360" s="69">
        <v>3</v>
      </c>
      <c r="AE360" s="45" t="str">
        <f t="shared" si="26"/>
        <v>Morphological</v>
      </c>
      <c r="AF360" s="56">
        <v>4</v>
      </c>
    </row>
    <row r="361" spans="1:32" ht="18" customHeight="1" x14ac:dyDescent="0.25">
      <c r="A361" s="45">
        <v>357</v>
      </c>
      <c r="B361" s="45" t="s">
        <v>60</v>
      </c>
      <c r="C361" s="45" t="s">
        <v>61</v>
      </c>
      <c r="D361" s="45" t="s">
        <v>62</v>
      </c>
      <c r="E361" s="45" t="s">
        <v>62</v>
      </c>
      <c r="F361" s="46" cm="1">
        <f t="array" ref="F361">_xlfn.IFS($G361=$G$5,F$5,$G361=$G$6,F$6,$G361=$G$7,F$7,$G361=$G$8,F$8,$G361=$G$9,F$9,$G361=$G$10,F$10,$G361=$G$11,F$11,$G361=$G$12,F$12,$G361=$G$13,F$13,$G361=$G$15,F$15,$G361=$G$16,F$16,$G361=$G$17,F$17,$G361=$G$18,F$18,$G361=$G$19,F$19,$G361=$G$20,F$20,$G361=$G$21,F$21,$G361=$G$22,F$22,$G361=$G$25,F$25,$G361=$G$26,F$26,$G361=$G$27,F$27,$G361=$G$29,F$29,$G361=$G$31,F$31,$G361=$G$32,F$32,$G361=$G$248,F$248,$G361=$G$250,F$250)</f>
        <v>8038</v>
      </c>
      <c r="G361" t="s">
        <v>82</v>
      </c>
      <c r="H361" s="66" cm="1">
        <f t="array" ref="H361">_xlfn.IFS($G361=$G$5,H$5,$G361=$G$6,H$6,$G361=$G$7,H$7,$G361=$G$8,H$8,$G361=$G$9,H$9,$G361=$G$10,H$10,$G361=$G$11,H$11,$G361=$G$12,H$12,$G361=$G$13,H$13,$G361=$G$15,H$15,$G361=$G$16,H$16,$G361=$G$17,H$17,$G361=$G$18,H$18,$G361=$G$19,H$19,$G361=$G$20,H$20,$G361=$G$21,H$21,$G361=$G$22,H$22,$G361=$G$25,H$25,$G361=$G$26,H$26,$G361=$G$27,H$27,$G361=$G$29,H$29,$G361=$G$31,H$31,$G361=$G$32,H$150,$G361=$G$248,H$248,$G361=$G$250,H$250)</f>
        <v>41.367429999999999</v>
      </c>
      <c r="I361" s="78" cm="1">
        <f t="array" ref="I361">_xlfn.IFS($G361=$G$5,I$5,$G361=$G$6,I$6,$G361=$G$7,I$7,$G361=$G$8,I$8,$G361=$G$9,I$9,$G361=$G$10,I$10,$G361=$G$11,I$11,$G361=$G$12,I$12,$G361=$G$13,I$13,$G361=$G$15,I$15,$G361=$G$16,I$16,$G361=$G$17,I$17,$G361=$G$18,I$18,$G361=$G$19,I$19,$G361=$G$20,I$20,$G361=$G$21,I$21,$G361=$G$22,I$22,$G361=$G$25,I$25,$G361=$G$26,I$26,$G361=$G$27,I$27,$G361=$G$29,I$29,$G361=$G$31,I$31,$G361=$G$32,I$150,$G361=$G$248,I$248,$G361=$G$250,I$250)</f>
        <v>2.1569609999999999</v>
      </c>
      <c r="J361" cm="1">
        <f t="array" ref="J361">_xlfn.IFS($G361=$G$5,J$5,$G361=$G$6,J$6,$G361=$G$7,J$7,$G361=$G$8,J$8,$G361=$G$9,J$9,$G361=$G$10,J$10,$G361=$G$11,J$11,$G361=$G$12,J$12,$G361=$G$13,J$13,$G361=$G$15,J$15,$G361=$G$16,J$16,$G361=$G$17,J$17,$G361=$G$18,J$18,$G361=$G$19,J$19,$G361=$G$20,J$20,$G361=$G$21,J$21,$G361=$G$22,J$22,$G361=$G$25,J$25,$G361=$G$26,J$26,$G361=$G$27,J$27,$G361=$G$29,J$29,$G361=$G$31,J$31,$G361=$G$32,J$150,$G361=$G$248,J$248,$G361=$G$250,J$250)</f>
        <v>91</v>
      </c>
      <c r="K361" t="str" cm="1">
        <f t="array" ref="K361">_xlfn.IFS($G361=$G$5,K$5,$G361=$G$6,K$6,$G361=$G$7,K$7,$G361=$G$8,K$8,$G361=$G$9,K$9,$G361=$G$10,K$10,$G361=$G$11,K$11,$G361=$G$12,K$12,$G361=$G$13,K$13,$G361=$G$15,K$15,$G361=$G$16,K$16,$G361=$G$17,K$17,$G361=$G$18,K$18,$G361=$G$19,K$19,$G361=$G$20,K$20,$G361=$G$21,K$21,$G361=$G$22,K$22,$G361=$G$25,K$25,$G361=$G$26,K$26,$G361=$G$27,K$27,$G361=$G$29,K$29,$G361=$G$31,K$31,$G361=$G$32,K$150,$G361=$G$248,K$248,$G361=$G$250,K$250)</f>
        <v>BG sentinel + BG lure7</v>
      </c>
      <c r="L361" s="48"/>
      <c r="M361" s="48"/>
      <c r="O361" s="45" t="str">
        <f t="shared" si="29"/>
        <v>A_SP_BCN_11_210708</v>
      </c>
      <c r="P361" s="64">
        <v>44385</v>
      </c>
      <c r="R361" s="72"/>
      <c r="S361" s="64">
        <v>44392</v>
      </c>
      <c r="U361" s="72"/>
      <c r="V361" s="54" t="s">
        <v>66</v>
      </c>
      <c r="X361" s="45">
        <f t="shared" si="28"/>
        <v>7</v>
      </c>
      <c r="Z361" s="69" t="s">
        <v>69</v>
      </c>
      <c r="AA361" s="45">
        <f t="shared" si="27"/>
        <v>14</v>
      </c>
      <c r="AB361" t="str">
        <f t="shared" si="25"/>
        <v>Adult</v>
      </c>
      <c r="AC361" s="69">
        <v>11</v>
      </c>
      <c r="AD361" s="69">
        <v>3</v>
      </c>
      <c r="AE361" s="45" t="str">
        <f t="shared" si="26"/>
        <v>Morphological</v>
      </c>
      <c r="AF361" s="56">
        <v>4</v>
      </c>
    </row>
    <row r="362" spans="1:32" ht="18" customHeight="1" x14ac:dyDescent="0.25">
      <c r="A362" s="45">
        <v>358</v>
      </c>
      <c r="B362" s="45" t="s">
        <v>60</v>
      </c>
      <c r="C362" s="45" t="s">
        <v>61</v>
      </c>
      <c r="D362" s="45" t="s">
        <v>62</v>
      </c>
      <c r="E362" s="45" t="s">
        <v>62</v>
      </c>
      <c r="F362" s="46" cm="1">
        <f t="array" ref="F362">_xlfn.IFS($G362=$G$5,F$5,$G362=$G$6,F$6,$G362=$G$7,F$7,$G362=$G$8,F$8,$G362=$G$9,F$9,$G362=$G$10,F$10,$G362=$G$11,F$11,$G362=$G$12,F$12,$G362=$G$13,F$13,$G362=$G$15,F$15,$G362=$G$16,F$16,$G362=$G$17,F$17,$G362=$G$18,F$18,$G362=$G$19,F$19,$G362=$G$20,F$20,$G362=$G$21,F$21,$G362=$G$22,F$22,$G362=$G$25,F$25,$G362=$G$26,F$26,$G362=$G$27,F$27,$G362=$G$29,F$29,$G362=$G$31,F$31,$G362=$G$32,F$32,$G362=$G$248,F$248,$G362=$G$250,F$250)</f>
        <v>8038</v>
      </c>
      <c r="G362" t="s">
        <v>82</v>
      </c>
      <c r="H362" s="66" cm="1">
        <f t="array" ref="H362">_xlfn.IFS($G362=$G$5,H$5,$G362=$G$6,H$6,$G362=$G$7,H$7,$G362=$G$8,H$8,$G362=$G$9,H$9,$G362=$G$10,H$10,$G362=$G$11,H$11,$G362=$G$12,H$12,$G362=$G$13,H$13,$G362=$G$15,H$15,$G362=$G$16,H$16,$G362=$G$17,H$17,$G362=$G$18,H$18,$G362=$G$19,H$19,$G362=$G$20,H$20,$G362=$G$21,H$21,$G362=$G$22,H$22,$G362=$G$25,H$25,$G362=$G$26,H$26,$G362=$G$27,H$27,$G362=$G$29,H$29,$G362=$G$31,H$31,$G362=$G$32,H$150,$G362=$G$248,H$248,$G362=$G$250,H$250)</f>
        <v>41.367429999999999</v>
      </c>
      <c r="I362" s="78" cm="1">
        <f t="array" ref="I362">_xlfn.IFS($G362=$G$5,I$5,$G362=$G$6,I$6,$G362=$G$7,I$7,$G362=$G$8,I$8,$G362=$G$9,I$9,$G362=$G$10,I$10,$G362=$G$11,I$11,$G362=$G$12,I$12,$G362=$G$13,I$13,$G362=$G$15,I$15,$G362=$G$16,I$16,$G362=$G$17,I$17,$G362=$G$18,I$18,$G362=$G$19,I$19,$G362=$G$20,I$20,$G362=$G$21,I$21,$G362=$G$22,I$22,$G362=$G$25,I$25,$G362=$G$26,I$26,$G362=$G$27,I$27,$G362=$G$29,I$29,$G362=$G$31,I$31,$G362=$G$32,I$150,$G362=$G$248,I$248,$G362=$G$250,I$250)</f>
        <v>2.1569609999999999</v>
      </c>
      <c r="J362" cm="1">
        <f t="array" ref="J362">_xlfn.IFS($G362=$G$5,J$5,$G362=$G$6,J$6,$G362=$G$7,J$7,$G362=$G$8,J$8,$G362=$G$9,J$9,$G362=$G$10,J$10,$G362=$G$11,J$11,$G362=$G$12,J$12,$G362=$G$13,J$13,$G362=$G$15,J$15,$G362=$G$16,J$16,$G362=$G$17,J$17,$G362=$G$18,J$18,$G362=$G$19,J$19,$G362=$G$20,J$20,$G362=$G$21,J$21,$G362=$G$22,J$22,$G362=$G$25,J$25,$G362=$G$26,J$26,$G362=$G$27,J$27,$G362=$G$29,J$29,$G362=$G$31,J$31,$G362=$G$32,J$150,$G362=$G$248,J$248,$G362=$G$250,J$250)</f>
        <v>91</v>
      </c>
      <c r="K362" t="str" cm="1">
        <f t="array" ref="K362">_xlfn.IFS($G362=$G$5,K$5,$G362=$G$6,K$6,$G362=$G$7,K$7,$G362=$G$8,K$8,$G362=$G$9,K$9,$G362=$G$10,K$10,$G362=$G$11,K$11,$G362=$G$12,K$12,$G362=$G$13,K$13,$G362=$G$15,K$15,$G362=$G$16,K$16,$G362=$G$17,K$17,$G362=$G$18,K$18,$G362=$G$19,K$19,$G362=$G$20,K$20,$G362=$G$21,K$21,$G362=$G$22,K$22,$G362=$G$25,K$25,$G362=$G$26,K$26,$G362=$G$27,K$27,$G362=$G$29,K$29,$G362=$G$31,K$31,$G362=$G$32,K$150,$G362=$G$248,K$248,$G362=$G$250,K$250)</f>
        <v>BG sentinel + BG lure7</v>
      </c>
      <c r="L362" s="48"/>
      <c r="M362" s="48"/>
      <c r="O362" s="45" t="str">
        <f t="shared" si="29"/>
        <v>A_SP_BCN_11_210708</v>
      </c>
      <c r="P362" s="64">
        <v>44385</v>
      </c>
      <c r="R362" s="72"/>
      <c r="S362" s="64">
        <v>44392</v>
      </c>
      <c r="U362" s="72"/>
      <c r="V362" s="54" t="s">
        <v>66</v>
      </c>
      <c r="X362" s="45">
        <f t="shared" si="28"/>
        <v>7</v>
      </c>
      <c r="Z362" s="45" t="s">
        <v>70</v>
      </c>
      <c r="AA362" s="45">
        <f t="shared" si="27"/>
        <v>2</v>
      </c>
      <c r="AB362" t="str">
        <f t="shared" si="25"/>
        <v>Adult</v>
      </c>
      <c r="AC362" s="69">
        <v>2</v>
      </c>
      <c r="AD362" s="69">
        <v>0</v>
      </c>
      <c r="AE362" s="45" t="str">
        <f t="shared" si="26"/>
        <v>Morphological</v>
      </c>
      <c r="AF362" s="56">
        <v>4</v>
      </c>
    </row>
    <row r="363" spans="1:32" ht="18" customHeight="1" x14ac:dyDescent="0.25">
      <c r="A363" s="45">
        <v>359</v>
      </c>
      <c r="B363" s="45" t="s">
        <v>60</v>
      </c>
      <c r="C363" s="45" t="s">
        <v>61</v>
      </c>
      <c r="D363" s="45" t="s">
        <v>62</v>
      </c>
      <c r="E363" s="45" t="s">
        <v>62</v>
      </c>
      <c r="F363" s="46" cm="1">
        <f t="array" ref="F363">_xlfn.IFS($G363=$G$5,F$5,$G363=$G$6,F$6,$G363=$G$7,F$7,$G363=$G$8,F$8,$G363=$G$9,F$9,$G363=$G$10,F$10,$G363=$G$11,F$11,$G363=$G$12,F$12,$G363=$G$13,F$13,$G363=$G$15,F$15,$G363=$G$16,F$16,$G363=$G$17,F$17,$G363=$G$18,F$18,$G363=$G$19,F$19,$G363=$G$20,F$20,$G363=$G$21,F$21,$G363=$G$22,F$22,$G363=$G$25,F$25,$G363=$G$26,F$26,$G363=$G$27,F$27,$G363=$G$29,F$29,$G363=$G$31,F$31,$G363=$G$32,F$32,$G363=$G$248,F$248,$G363=$G$250,F$250)</f>
        <v>8038</v>
      </c>
      <c r="G363" t="s">
        <v>84</v>
      </c>
      <c r="H363" s="66" cm="1">
        <f t="array" ref="H363">_xlfn.IFS($G363=$G$5,H$5,$G363=$G$6,H$6,$G363=$G$7,H$7,$G363=$G$8,H$8,$G363=$G$9,H$9,$G363=$G$10,H$10,$G363=$G$11,H$11,$G363=$G$12,H$12,$G363=$G$13,H$13,$G363=$G$15,H$15,$G363=$G$16,H$16,$G363=$G$17,H$17,$G363=$G$18,H$18,$G363=$G$19,H$19,$G363=$G$20,H$20,$G363=$G$21,H$21,$G363=$G$22,H$22,$G363=$G$25,H$25,$G363=$G$26,H$26,$G363=$G$27,H$27,$G363=$G$29,H$29,$G363=$G$31,H$31,$G363=$G$32,H$150,$G363=$G$248,H$248,$G363=$G$250,H$250)</f>
        <v>41.363377999999997</v>
      </c>
      <c r="I363" s="78" cm="1">
        <f t="array" ref="I363">_xlfn.IFS($G363=$G$5,I$5,$G363=$G$6,I$6,$G363=$G$7,I$7,$G363=$G$8,I$8,$G363=$G$9,I$9,$G363=$G$10,I$10,$G363=$G$11,I$11,$G363=$G$12,I$12,$G363=$G$13,I$13,$G363=$G$15,I$15,$G363=$G$16,I$16,$G363=$G$17,I$17,$G363=$G$18,I$18,$G363=$G$19,I$19,$G363=$G$20,I$20,$G363=$G$21,I$21,$G363=$G$22,I$22,$G363=$G$25,I$25,$G363=$G$26,I$26,$G363=$G$27,I$27,$G363=$G$29,I$29,$G363=$G$31,I$31,$G363=$G$32,I$150,$G363=$G$248,I$248,$G363=$G$250,I$250)</f>
        <v>2.164879</v>
      </c>
      <c r="J363" cm="1">
        <f t="array" ref="J363">_xlfn.IFS($G363=$G$5,J$5,$G363=$G$6,J$6,$G363=$G$7,J$7,$G363=$G$8,J$8,$G363=$G$9,J$9,$G363=$G$10,J$10,$G363=$G$11,J$11,$G363=$G$12,J$12,$G363=$G$13,J$13,$G363=$G$15,J$15,$G363=$G$16,J$16,$G363=$G$17,J$17,$G363=$G$18,J$18,$G363=$G$19,J$19,$G363=$G$20,J$20,$G363=$G$21,J$21,$G363=$G$22,J$22,$G363=$G$25,J$25,$G363=$G$26,J$26,$G363=$G$27,J$27,$G363=$G$29,J$29,$G363=$G$31,J$31,$G363=$G$32,J$150,$G363=$G$248,J$248,$G363=$G$250,J$250)</f>
        <v>185</v>
      </c>
      <c r="K363" t="str" cm="1">
        <f t="array" ref="K363">_xlfn.IFS($G363=$G$5,K$5,$G363=$G$6,K$6,$G363=$G$7,K$7,$G363=$G$8,K$8,$G363=$G$9,K$9,$G363=$G$10,K$10,$G363=$G$11,K$11,$G363=$G$12,K$12,$G363=$G$13,K$13,$G363=$G$15,K$15,$G363=$G$16,K$16,$G363=$G$17,K$17,$G363=$G$18,K$18,$G363=$G$19,K$19,$G363=$G$20,K$20,$G363=$G$21,K$21,$G363=$G$22,K$22,$G363=$G$25,K$25,$G363=$G$26,K$26,$G363=$G$27,K$27,$G363=$G$29,K$29,$G363=$G$31,K$31,$G363=$G$32,K$150,$G363=$G$248,K$248,$G363=$G$250,K$250)</f>
        <v>BG sentinel + BG lure7</v>
      </c>
      <c r="L363" s="48"/>
      <c r="M363" s="48"/>
      <c r="O363" s="45" t="str">
        <f t="shared" si="29"/>
        <v>A_SP_BCN_12_210708</v>
      </c>
      <c r="P363" s="64">
        <v>44385</v>
      </c>
      <c r="R363" s="72"/>
      <c r="S363" s="64">
        <v>44392</v>
      </c>
      <c r="U363" s="72"/>
      <c r="V363" s="54" t="s">
        <v>66</v>
      </c>
      <c r="X363" s="45">
        <f t="shared" si="28"/>
        <v>7</v>
      </c>
      <c r="Z363" s="69" t="s">
        <v>69</v>
      </c>
      <c r="AA363" s="45">
        <f t="shared" si="27"/>
        <v>6</v>
      </c>
      <c r="AB363" t="str">
        <f t="shared" si="25"/>
        <v>Adult</v>
      </c>
      <c r="AC363" s="69">
        <v>5</v>
      </c>
      <c r="AD363" s="69">
        <v>1</v>
      </c>
      <c r="AE363" s="45" t="str">
        <f t="shared" si="26"/>
        <v>Morphological</v>
      </c>
      <c r="AF363" s="56">
        <v>4</v>
      </c>
    </row>
    <row r="364" spans="1:32" ht="18" customHeight="1" x14ac:dyDescent="0.25">
      <c r="A364" s="45">
        <v>360</v>
      </c>
      <c r="B364" s="45" t="s">
        <v>60</v>
      </c>
      <c r="C364" s="45" t="s">
        <v>61</v>
      </c>
      <c r="D364" s="45" t="s">
        <v>62</v>
      </c>
      <c r="E364" s="45" t="s">
        <v>62</v>
      </c>
      <c r="F364" s="46" cm="1">
        <f t="array" ref="F364">_xlfn.IFS($G364=$G$5,F$5,$G364=$G$6,F$6,$G364=$G$7,F$7,$G364=$G$8,F$8,$G364=$G$9,F$9,$G364=$G$10,F$10,$G364=$G$11,F$11,$G364=$G$12,F$12,$G364=$G$13,F$13,$G364=$G$15,F$15,$G364=$G$16,F$16,$G364=$G$17,F$17,$G364=$G$18,F$18,$G364=$G$19,F$19,$G364=$G$20,F$20,$G364=$G$21,F$21,$G364=$G$22,F$22,$G364=$G$25,F$25,$G364=$G$26,F$26,$G364=$G$27,F$27,$G364=$G$29,F$29,$G364=$G$31,F$31,$G364=$G$32,F$32,$G364=$G$248,F$248,$G364=$G$250,F$250)</f>
        <v>8038</v>
      </c>
      <c r="G364" t="s">
        <v>84</v>
      </c>
      <c r="H364" s="66" cm="1">
        <f t="array" ref="H364">_xlfn.IFS($G364=$G$5,H$5,$G364=$G$6,H$6,$G364=$G$7,H$7,$G364=$G$8,H$8,$G364=$G$9,H$9,$G364=$G$10,H$10,$G364=$G$11,H$11,$G364=$G$12,H$12,$G364=$G$13,H$13,$G364=$G$15,H$15,$G364=$G$16,H$16,$G364=$G$17,H$17,$G364=$G$18,H$18,$G364=$G$19,H$19,$G364=$G$20,H$20,$G364=$G$21,H$21,$G364=$G$22,H$22,$G364=$G$25,H$25,$G364=$G$26,H$26,$G364=$G$27,H$27,$G364=$G$29,H$29,$G364=$G$31,H$31,$G364=$G$32,H$150,$G364=$G$248,H$248,$G364=$G$250,H$250)</f>
        <v>41.363377999999997</v>
      </c>
      <c r="I364" s="78" cm="1">
        <f t="array" ref="I364">_xlfn.IFS($G364=$G$5,I$5,$G364=$G$6,I$6,$G364=$G$7,I$7,$G364=$G$8,I$8,$G364=$G$9,I$9,$G364=$G$10,I$10,$G364=$G$11,I$11,$G364=$G$12,I$12,$G364=$G$13,I$13,$G364=$G$15,I$15,$G364=$G$16,I$16,$G364=$G$17,I$17,$G364=$G$18,I$18,$G364=$G$19,I$19,$G364=$G$20,I$20,$G364=$G$21,I$21,$G364=$G$22,I$22,$G364=$G$25,I$25,$G364=$G$26,I$26,$G364=$G$27,I$27,$G364=$G$29,I$29,$G364=$G$31,I$31,$G364=$G$32,I$150,$G364=$G$248,I$248,$G364=$G$250,I$250)</f>
        <v>2.164879</v>
      </c>
      <c r="J364" cm="1">
        <f t="array" ref="J364">_xlfn.IFS($G364=$G$5,J$5,$G364=$G$6,J$6,$G364=$G$7,J$7,$G364=$G$8,J$8,$G364=$G$9,J$9,$G364=$G$10,J$10,$G364=$G$11,J$11,$G364=$G$12,J$12,$G364=$G$13,J$13,$G364=$G$15,J$15,$G364=$G$16,J$16,$G364=$G$17,J$17,$G364=$G$18,J$18,$G364=$G$19,J$19,$G364=$G$20,J$20,$G364=$G$21,J$21,$G364=$G$22,J$22,$G364=$G$25,J$25,$G364=$G$26,J$26,$G364=$G$27,J$27,$G364=$G$29,J$29,$G364=$G$31,J$31,$G364=$G$32,J$150,$G364=$G$248,J$248,$G364=$G$250,J$250)</f>
        <v>185</v>
      </c>
      <c r="K364" t="str" cm="1">
        <f t="array" ref="K364">_xlfn.IFS($G364=$G$5,K$5,$G364=$G$6,K$6,$G364=$G$7,K$7,$G364=$G$8,K$8,$G364=$G$9,K$9,$G364=$G$10,K$10,$G364=$G$11,K$11,$G364=$G$12,K$12,$G364=$G$13,K$13,$G364=$G$15,K$15,$G364=$G$16,K$16,$G364=$G$17,K$17,$G364=$G$18,K$18,$G364=$G$19,K$19,$G364=$G$20,K$20,$G364=$G$21,K$21,$G364=$G$22,K$22,$G364=$G$25,K$25,$G364=$G$26,K$26,$G364=$G$27,K$27,$G364=$G$29,K$29,$G364=$G$31,K$31,$G364=$G$32,K$150,$G364=$G$248,K$248,$G364=$G$250,K$250)</f>
        <v>BG sentinel + BG lure7</v>
      </c>
      <c r="L364" s="48"/>
      <c r="M364" s="48"/>
      <c r="O364" s="45" t="str">
        <f t="shared" si="29"/>
        <v>A_SP_BCN_12_210708</v>
      </c>
      <c r="P364" s="64">
        <v>44385</v>
      </c>
      <c r="R364" s="72"/>
      <c r="S364" s="64">
        <v>44392</v>
      </c>
      <c r="U364" s="72"/>
      <c r="V364" s="54" t="s">
        <v>66</v>
      </c>
      <c r="X364" s="45">
        <f t="shared" si="28"/>
        <v>7</v>
      </c>
      <c r="Z364" s="45" t="s">
        <v>70</v>
      </c>
      <c r="AA364" s="45">
        <f t="shared" si="27"/>
        <v>31</v>
      </c>
      <c r="AB364" t="str">
        <f t="shared" si="25"/>
        <v>Adult</v>
      </c>
      <c r="AC364" s="69">
        <v>27</v>
      </c>
      <c r="AD364" s="69">
        <v>4</v>
      </c>
      <c r="AE364" s="45" t="str">
        <f t="shared" si="26"/>
        <v>Morphological</v>
      </c>
      <c r="AF364" s="56">
        <v>4</v>
      </c>
    </row>
    <row r="365" spans="1:32" ht="18" customHeight="1" x14ac:dyDescent="0.25">
      <c r="A365" s="45">
        <v>361</v>
      </c>
      <c r="B365" s="45" t="s">
        <v>60</v>
      </c>
      <c r="C365" s="45" t="s">
        <v>61</v>
      </c>
      <c r="D365" s="45" t="s">
        <v>62</v>
      </c>
      <c r="E365" s="45" t="s">
        <v>62</v>
      </c>
      <c r="F365" s="46" cm="1">
        <f t="array" ref="F365">_xlfn.IFS($G365=$G$5,F$5,$G365=$G$6,F$6,$G365=$G$7,F$7,$G365=$G$8,F$8,$G365=$G$9,F$9,$G365=$G$10,F$10,$G365=$G$11,F$11,$G365=$G$12,F$12,$G365=$G$13,F$13,$G365=$G$15,F$15,$G365=$G$16,F$16,$G365=$G$17,F$17,$G365=$G$18,F$18,$G365=$G$19,F$19,$G365=$G$20,F$20,$G365=$G$21,F$21,$G365=$G$22,F$22,$G365=$G$25,F$25,$G365=$G$26,F$26,$G365=$G$27,F$27,$G365=$G$29,F$29,$G365=$G$31,F$31,$G365=$G$32,F$32,$G365=$G$248,F$248,$G365=$G$250,F$250)</f>
        <v>8038</v>
      </c>
      <c r="G365" t="s">
        <v>84</v>
      </c>
      <c r="H365" s="66" cm="1">
        <f t="array" ref="H365">_xlfn.IFS($G365=$G$5,H$5,$G365=$G$6,H$6,$G365=$G$7,H$7,$G365=$G$8,H$8,$G365=$G$9,H$9,$G365=$G$10,H$10,$G365=$G$11,H$11,$G365=$G$12,H$12,$G365=$G$13,H$13,$G365=$G$15,H$15,$G365=$G$16,H$16,$G365=$G$17,H$17,$G365=$G$18,H$18,$G365=$G$19,H$19,$G365=$G$20,H$20,$G365=$G$21,H$21,$G365=$G$22,H$22,$G365=$G$25,H$25,$G365=$G$26,H$26,$G365=$G$27,H$27,$G365=$G$29,H$29,$G365=$G$31,H$31,$G365=$G$32,H$150,$G365=$G$248,H$248,$G365=$G$250,H$250)</f>
        <v>41.363377999999997</v>
      </c>
      <c r="I365" s="78" cm="1">
        <f t="array" ref="I365">_xlfn.IFS($G365=$G$5,I$5,$G365=$G$6,I$6,$G365=$G$7,I$7,$G365=$G$8,I$8,$G365=$G$9,I$9,$G365=$G$10,I$10,$G365=$G$11,I$11,$G365=$G$12,I$12,$G365=$G$13,I$13,$G365=$G$15,I$15,$G365=$G$16,I$16,$G365=$G$17,I$17,$G365=$G$18,I$18,$G365=$G$19,I$19,$G365=$G$20,I$20,$G365=$G$21,I$21,$G365=$G$22,I$22,$G365=$G$25,I$25,$G365=$G$26,I$26,$G365=$G$27,I$27,$G365=$G$29,I$29,$G365=$G$31,I$31,$G365=$G$32,I$150,$G365=$G$248,I$248,$G365=$G$250,I$250)</f>
        <v>2.164879</v>
      </c>
      <c r="J365" cm="1">
        <f t="array" ref="J365">_xlfn.IFS($G365=$G$5,J$5,$G365=$G$6,J$6,$G365=$G$7,J$7,$G365=$G$8,J$8,$G365=$G$9,J$9,$G365=$G$10,J$10,$G365=$G$11,J$11,$G365=$G$12,J$12,$G365=$G$13,J$13,$G365=$G$15,J$15,$G365=$G$16,J$16,$G365=$G$17,J$17,$G365=$G$18,J$18,$G365=$G$19,J$19,$G365=$G$20,J$20,$G365=$G$21,J$21,$G365=$G$22,J$22,$G365=$G$25,J$25,$G365=$G$26,J$26,$G365=$G$27,J$27,$G365=$G$29,J$29,$G365=$G$31,J$31,$G365=$G$32,J$150,$G365=$G$248,J$248,$G365=$G$250,J$250)</f>
        <v>185</v>
      </c>
      <c r="K365" t="str" cm="1">
        <f t="array" ref="K365">_xlfn.IFS($G365=$G$5,K$5,$G365=$G$6,K$6,$G365=$G$7,K$7,$G365=$G$8,K$8,$G365=$G$9,K$9,$G365=$G$10,K$10,$G365=$G$11,K$11,$G365=$G$12,K$12,$G365=$G$13,K$13,$G365=$G$15,K$15,$G365=$G$16,K$16,$G365=$G$17,K$17,$G365=$G$18,K$18,$G365=$G$19,K$19,$G365=$G$20,K$20,$G365=$G$21,K$21,$G365=$G$22,K$22,$G365=$G$25,K$25,$G365=$G$26,K$26,$G365=$G$27,K$27,$G365=$G$29,K$29,$G365=$G$31,K$31,$G365=$G$32,K$150,$G365=$G$248,K$248,$G365=$G$250,K$250)</f>
        <v>BG sentinel + BG lure7</v>
      </c>
      <c r="L365" s="48"/>
      <c r="M365" s="48"/>
      <c r="O365" s="45" t="str">
        <f t="shared" si="29"/>
        <v>A_SP_BCN_12_210708</v>
      </c>
      <c r="P365" s="64">
        <v>44385</v>
      </c>
      <c r="R365" s="72"/>
      <c r="S365" s="64">
        <v>44392</v>
      </c>
      <c r="U365" s="72"/>
      <c r="V365" s="54" t="s">
        <v>66</v>
      </c>
      <c r="X365" s="45">
        <f t="shared" si="28"/>
        <v>7</v>
      </c>
      <c r="Z365" s="45" t="s">
        <v>80</v>
      </c>
      <c r="AA365" s="45">
        <f t="shared" si="27"/>
        <v>6</v>
      </c>
      <c r="AB365" t="str">
        <f t="shared" si="25"/>
        <v>Adult</v>
      </c>
      <c r="AC365" s="69">
        <v>4</v>
      </c>
      <c r="AD365" s="69">
        <v>2</v>
      </c>
      <c r="AE365" s="45" t="str">
        <f t="shared" si="26"/>
        <v>Morphological</v>
      </c>
      <c r="AF365" s="56">
        <v>4</v>
      </c>
    </row>
    <row r="366" spans="1:32" ht="18" customHeight="1" x14ac:dyDescent="0.25">
      <c r="A366" s="45">
        <v>362</v>
      </c>
      <c r="B366" s="45" t="s">
        <v>60</v>
      </c>
      <c r="C366" s="45" t="s">
        <v>61</v>
      </c>
      <c r="D366" s="45" t="s">
        <v>62</v>
      </c>
      <c r="E366" s="45" t="s">
        <v>62</v>
      </c>
      <c r="F366" s="46" cm="1">
        <f t="array" ref="F366">_xlfn.IFS($G366=$G$5,F$5,$G366=$G$6,F$6,$G366=$G$7,F$7,$G366=$G$8,F$8,$G366=$G$9,F$9,$G366=$G$10,F$10,$G366=$G$11,F$11,$G366=$G$12,F$12,$G366=$G$13,F$13,$G366=$G$15,F$15,$G366=$G$16,F$16,$G366=$G$17,F$17,$G366=$G$18,F$18,$G366=$G$19,F$19,$G366=$G$20,F$20,$G366=$G$21,F$21,$G366=$G$22,F$22,$G366=$G$25,F$25,$G366=$G$26,F$26,$G366=$G$27,F$27,$G366=$G$29,F$29,$G366=$G$31,F$31,$G366=$G$32,F$32,$G366=$G$248,F$248,$G366=$G$250,F$250)</f>
        <v>8035</v>
      </c>
      <c r="G366" t="s">
        <v>85</v>
      </c>
      <c r="H366" s="66" cm="1">
        <f t="array" ref="H366">_xlfn.IFS($G366=$G$5,H$5,$G366=$G$6,H$6,$G366=$G$7,H$7,$G366=$G$8,H$8,$G366=$G$9,H$9,$G366=$G$10,H$10,$G366=$G$11,H$11,$G366=$G$12,H$12,$G366=$G$13,H$13,$G366=$G$15,H$15,$G366=$G$16,H$16,$G366=$G$17,H$17,$G366=$G$18,H$18,$G366=$G$19,H$19,$G366=$G$20,H$20,$G366=$G$21,H$21,$G366=$G$22,H$22,$G366=$G$25,H$25,$G366=$G$26,H$26,$G366=$G$27,H$27,$G366=$G$29,H$29,$G366=$G$31,H$31,$G366=$G$32,H$150,$G366=$G$248,H$248,$G366=$G$250,H$250)</f>
        <v>41.434472</v>
      </c>
      <c r="I366" s="78" cm="1">
        <f t="array" ref="I366">_xlfn.IFS($G366=$G$5,I$5,$G366=$G$6,I$6,$G366=$G$7,I$7,$G366=$G$8,I$8,$G366=$G$9,I$9,$G366=$G$10,I$10,$G366=$G$11,I$11,$G366=$G$12,I$12,$G366=$G$13,I$13,$G366=$G$15,I$15,$G366=$G$16,I$16,$G366=$G$17,I$17,$G366=$G$18,I$18,$G366=$G$19,I$19,$G366=$G$20,I$20,$G366=$G$21,I$21,$G366=$G$22,I$22,$G366=$G$25,I$25,$G366=$G$26,I$26,$G366=$G$27,I$27,$G366=$G$29,I$29,$G366=$G$31,I$31,$G366=$G$32,I$150,$G366=$G$248,I$248,$G366=$G$250,I$250)</f>
        <v>2.1315789999999999</v>
      </c>
      <c r="J366" cm="1">
        <f t="array" ref="J366">_xlfn.IFS($G366=$G$5,J$5,$G366=$G$6,J$6,$G366=$G$7,J$7,$G366=$G$8,J$8,$G366=$G$9,J$9,$G366=$G$10,J$10,$G366=$G$11,J$11,$G366=$G$12,J$12,$G366=$G$13,J$13,$G366=$G$15,J$15,$G366=$G$16,J$16,$G366=$G$17,J$17,$G366=$G$18,J$18,$G366=$G$19,J$19,$G366=$G$20,J$20,$G366=$G$21,J$21,$G366=$G$22,J$22,$G366=$G$25,J$25,$G366=$G$26,J$26,$G366=$G$27,J$27,$G366=$G$29,J$29,$G366=$G$31,J$31,$G366=$G$32,J$150,$G366=$G$248,J$248,$G366=$G$250,J$250)</f>
        <v>365</v>
      </c>
      <c r="K366" t="str" cm="1">
        <f t="array" ref="K366">_xlfn.IFS($G366=$G$5,K$5,$G366=$G$6,K$6,$G366=$G$7,K$7,$G366=$G$8,K$8,$G366=$G$9,K$9,$G366=$G$10,K$10,$G366=$G$11,K$11,$G366=$G$12,K$12,$G366=$G$13,K$13,$G366=$G$15,K$15,$G366=$G$16,K$16,$G366=$G$17,K$17,$G366=$G$18,K$18,$G366=$G$19,K$19,$G366=$G$20,K$20,$G366=$G$21,K$21,$G366=$G$22,K$22,$G366=$G$25,K$25,$G366=$G$26,K$26,$G366=$G$27,K$27,$G366=$G$29,K$29,$G366=$G$31,K$31,$G366=$G$32,K$150,$G366=$G$248,K$248,$G366=$G$250,K$250)</f>
        <v>BG sentinel + BG lure7</v>
      </c>
      <c r="L366" s="48"/>
      <c r="M366" s="48"/>
      <c r="O366" s="45" t="str">
        <f t="shared" si="29"/>
        <v>A_SP_BCN_13_210707</v>
      </c>
      <c r="P366" s="64">
        <v>44384</v>
      </c>
      <c r="R366" s="72"/>
      <c r="S366" s="64">
        <v>44391</v>
      </c>
      <c r="U366" s="72"/>
      <c r="V366" s="54" t="s">
        <v>66</v>
      </c>
      <c r="X366" s="45">
        <f t="shared" si="28"/>
        <v>7</v>
      </c>
      <c r="Z366" s="45" t="s">
        <v>70</v>
      </c>
      <c r="AA366" s="45">
        <f t="shared" si="27"/>
        <v>2</v>
      </c>
      <c r="AB366" t="str">
        <f t="shared" si="25"/>
        <v>Adult</v>
      </c>
      <c r="AC366" s="69">
        <v>2</v>
      </c>
      <c r="AD366" s="69">
        <v>0</v>
      </c>
      <c r="AE366" s="45" t="str">
        <f t="shared" si="26"/>
        <v>Morphological</v>
      </c>
      <c r="AF366" s="56">
        <v>4</v>
      </c>
    </row>
    <row r="367" spans="1:32" ht="18" customHeight="1" x14ac:dyDescent="0.25">
      <c r="A367" s="45">
        <v>363</v>
      </c>
      <c r="B367" s="45" t="s">
        <v>60</v>
      </c>
      <c r="C367" s="45" t="s">
        <v>61</v>
      </c>
      <c r="D367" s="45" t="s">
        <v>62</v>
      </c>
      <c r="E367" s="45" t="s">
        <v>62</v>
      </c>
      <c r="F367" s="46" cm="1">
        <f t="array" ref="F367">_xlfn.IFS($G367=$G$5,F$5,$G367=$G$6,F$6,$G367=$G$7,F$7,$G367=$G$8,F$8,$G367=$G$9,F$9,$G367=$G$10,F$10,$G367=$G$11,F$11,$G367=$G$12,F$12,$G367=$G$13,F$13,$G367=$G$15,F$15,$G367=$G$16,F$16,$G367=$G$17,F$17,$G367=$G$18,F$18,$G367=$G$19,F$19,$G367=$G$20,F$20,$G367=$G$21,F$21,$G367=$G$22,F$22,$G367=$G$25,F$25,$G367=$G$26,F$26,$G367=$G$27,F$27,$G367=$G$29,F$29,$G367=$G$31,F$31,$G367=$G$32,F$32,$G367=$G$248,F$248,$G367=$G$250,F$250)</f>
        <v>8035</v>
      </c>
      <c r="G367" t="s">
        <v>85</v>
      </c>
      <c r="H367" s="66" cm="1">
        <f t="array" ref="H367">_xlfn.IFS($G367=$G$5,H$5,$G367=$G$6,H$6,$G367=$G$7,H$7,$G367=$G$8,H$8,$G367=$G$9,H$9,$G367=$G$10,H$10,$G367=$G$11,H$11,$G367=$G$12,H$12,$G367=$G$13,H$13,$G367=$G$15,H$15,$G367=$G$16,H$16,$G367=$G$17,H$17,$G367=$G$18,H$18,$G367=$G$19,H$19,$G367=$G$20,H$20,$G367=$G$21,H$21,$G367=$G$22,H$22,$G367=$G$25,H$25,$G367=$G$26,H$26,$G367=$G$27,H$27,$G367=$G$29,H$29,$G367=$G$31,H$31,$G367=$G$32,H$150,$G367=$G$248,H$248,$G367=$G$250,H$250)</f>
        <v>41.434472</v>
      </c>
      <c r="I367" s="78" cm="1">
        <f t="array" ref="I367">_xlfn.IFS($G367=$G$5,I$5,$G367=$G$6,I$6,$G367=$G$7,I$7,$G367=$G$8,I$8,$G367=$G$9,I$9,$G367=$G$10,I$10,$G367=$G$11,I$11,$G367=$G$12,I$12,$G367=$G$13,I$13,$G367=$G$15,I$15,$G367=$G$16,I$16,$G367=$G$17,I$17,$G367=$G$18,I$18,$G367=$G$19,I$19,$G367=$G$20,I$20,$G367=$G$21,I$21,$G367=$G$22,I$22,$G367=$G$25,I$25,$G367=$G$26,I$26,$G367=$G$27,I$27,$G367=$G$29,I$29,$G367=$G$31,I$31,$G367=$G$32,I$150,$G367=$G$248,I$248,$G367=$G$250,I$250)</f>
        <v>2.1315789999999999</v>
      </c>
      <c r="J367" cm="1">
        <f t="array" ref="J367">_xlfn.IFS($G367=$G$5,J$5,$G367=$G$6,J$6,$G367=$G$7,J$7,$G367=$G$8,J$8,$G367=$G$9,J$9,$G367=$G$10,J$10,$G367=$G$11,J$11,$G367=$G$12,J$12,$G367=$G$13,J$13,$G367=$G$15,J$15,$G367=$G$16,J$16,$G367=$G$17,J$17,$G367=$G$18,J$18,$G367=$G$19,J$19,$G367=$G$20,J$20,$G367=$G$21,J$21,$G367=$G$22,J$22,$G367=$G$25,J$25,$G367=$G$26,J$26,$G367=$G$27,J$27,$G367=$G$29,J$29,$G367=$G$31,J$31,$G367=$G$32,J$150,$G367=$G$248,J$248,$G367=$G$250,J$250)</f>
        <v>365</v>
      </c>
      <c r="K367" t="str" cm="1">
        <f t="array" ref="K367">_xlfn.IFS($G367=$G$5,K$5,$G367=$G$6,K$6,$G367=$G$7,K$7,$G367=$G$8,K$8,$G367=$G$9,K$9,$G367=$G$10,K$10,$G367=$G$11,K$11,$G367=$G$12,K$12,$G367=$G$13,K$13,$G367=$G$15,K$15,$G367=$G$16,K$16,$G367=$G$17,K$17,$G367=$G$18,K$18,$G367=$G$19,K$19,$G367=$G$20,K$20,$G367=$G$21,K$21,$G367=$G$22,K$22,$G367=$G$25,K$25,$G367=$G$26,K$26,$G367=$G$27,K$27,$G367=$G$29,K$29,$G367=$G$31,K$31,$G367=$G$32,K$150,$G367=$G$248,K$248,$G367=$G$250,K$250)</f>
        <v>BG sentinel + BG lure7</v>
      </c>
      <c r="L367" s="48" t="str" cm="1">
        <f t="array" ref="L367">_xlfn.IFS($G367=$G$5,L$5,$G367=$G$6,L$6,$G367=$G$7,L$7,$G367=$G$8,L$8,$G367=$G$9,L$9,$G367=$G$10,L$10,$G367=$G$11,L$11,$G367=$G$12,L$12,$G367=$G$13,L$13,$G367=$G$15,L$15,$G367=$G$16,L$16,$G367=$G$17,L$17,$G367=$G$18,L$18,$G367=$G$19,L$19,$G367=$G$20,L$20,$G367=$G$21,L$21,$G367=$G$22,L$22,$G367=$G$25,L$25,$G367=$G$26,L$26,$G367=$G$27,L$27,$G367=$G$29,L$29,$G367=$G$31,L$31,$G367=$G$32,L$32,$G367=$G$248,L$248,$G367=$G$250,L$250)</f>
        <v>Other</v>
      </c>
      <c r="M367" s="48"/>
      <c r="O367" s="45" t="str">
        <f t="shared" si="29"/>
        <v>A_SP_BCN_13_210707</v>
      </c>
      <c r="P367" s="64">
        <v>44384</v>
      </c>
      <c r="R367" s="72"/>
      <c r="S367" s="64">
        <v>44391</v>
      </c>
      <c r="U367" s="72"/>
      <c r="V367" s="54" t="s">
        <v>66</v>
      </c>
      <c r="X367" s="45">
        <f t="shared" si="28"/>
        <v>7</v>
      </c>
      <c r="Z367" s="45" t="s">
        <v>80</v>
      </c>
      <c r="AA367" s="45">
        <f t="shared" si="27"/>
        <v>4</v>
      </c>
      <c r="AB367" t="str">
        <f t="shared" si="25"/>
        <v>Adult</v>
      </c>
      <c r="AC367" s="69">
        <v>3</v>
      </c>
      <c r="AD367" s="69">
        <v>1</v>
      </c>
      <c r="AE367" s="45" t="str">
        <f t="shared" si="26"/>
        <v>Morphological</v>
      </c>
      <c r="AF367" s="56">
        <v>4</v>
      </c>
    </row>
    <row r="368" spans="1:32" ht="18" customHeight="1" x14ac:dyDescent="0.25">
      <c r="A368" s="45">
        <v>364</v>
      </c>
      <c r="B368" s="45" t="s">
        <v>60</v>
      </c>
      <c r="C368" s="45" t="s">
        <v>61</v>
      </c>
      <c r="D368" s="45" t="s">
        <v>62</v>
      </c>
      <c r="E368" s="45" t="s">
        <v>62</v>
      </c>
      <c r="F368" s="46" cm="1">
        <f t="array" ref="F368">_xlfn.IFS($G368=$G$5,F$5,$G368=$G$6,F$6,$G368=$G$7,F$7,$G368=$G$8,F$8,$G368=$G$9,F$9,$G368=$G$10,F$10,$G368=$G$11,F$11,$G368=$G$12,F$12,$G368=$G$13,F$13,$G368=$G$15,F$15,$G368=$G$16,F$16,$G368=$G$17,F$17,$G368=$G$18,F$18,$G368=$G$19,F$19,$G368=$G$20,F$20,$G368=$G$21,F$21,$G368=$G$22,F$22,$G368=$G$25,F$25,$G368=$G$26,F$26,$G368=$G$27,F$27,$G368=$G$29,F$29,$G368=$G$31,F$31,$G368=$G$32,F$32,$G368=$G$248,F$248,$G368=$G$250,F$250)</f>
        <v>8017</v>
      </c>
      <c r="G368" t="s">
        <v>86</v>
      </c>
      <c r="H368" s="66" cm="1">
        <f t="array" ref="H368">_xlfn.IFS($G368=$G$5,H$5,$G368=$G$6,H$6,$G368=$G$7,H$7,$G368=$G$8,H$8,$G368=$G$9,H$9,$G368=$G$10,H$10,$G368=$G$11,H$11,$G368=$G$12,H$12,$G368=$G$13,H$13,$G368=$G$15,H$15,$G368=$G$16,H$16,$G368=$G$17,H$17,$G368=$G$18,H$18,$G368=$G$19,H$19,$G368=$G$20,H$20,$G368=$G$21,H$21,$G368=$G$22,H$22,$G368=$G$25,H$25,$G368=$G$26,H$26,$G368=$G$27,H$27,$G368=$G$29,H$29,$G368=$G$31,H$31,$G368=$G$32,H$150,$G368=$G$248,H$248,$G368=$G$250,H$250)</f>
        <v>41.428533999999999</v>
      </c>
      <c r="I368" s="78" cm="1">
        <f t="array" ref="I368">_xlfn.IFS($G368=$G$5,I$5,$G368=$G$6,I$6,$G368=$G$7,I$7,$G368=$G$8,I$8,$G368=$G$9,I$9,$G368=$G$10,I$10,$G368=$G$11,I$11,$G368=$G$12,I$12,$G368=$G$13,I$13,$G368=$G$15,I$15,$G368=$G$16,I$16,$G368=$G$17,I$17,$G368=$G$18,I$18,$G368=$G$19,I$19,$G368=$G$20,I$20,$G368=$G$21,I$21,$G368=$G$22,I$22,$G368=$G$25,I$25,$G368=$G$26,I$26,$G368=$G$27,I$27,$G368=$G$29,I$29,$G368=$G$31,I$31,$G368=$G$32,I$150,$G368=$G$248,I$248,$G368=$G$250,I$250)</f>
        <v>2.090954</v>
      </c>
      <c r="J368" cm="1">
        <f t="array" ref="J368">_xlfn.IFS($G368=$G$5,J$5,$G368=$G$6,J$6,$G368=$G$7,J$7,$G368=$G$8,J$8,$G368=$G$9,J$9,$G368=$G$10,J$10,$G368=$G$11,J$11,$G368=$G$12,J$12,$G368=$G$13,J$13,$G368=$G$15,J$15,$G368=$G$16,J$16,$G368=$G$17,J$17,$G368=$G$18,J$18,$G368=$G$19,J$19,$G368=$G$20,J$20,$G368=$G$21,J$21,$G368=$G$22,J$22,$G368=$G$25,J$25,$G368=$G$26,J$26,$G368=$G$27,J$27,$G368=$G$29,J$29,$G368=$G$31,J$31,$G368=$G$32,J$150,$G368=$G$248,J$248,$G368=$G$250,J$250)</f>
        <v>215</v>
      </c>
      <c r="K368" t="str" cm="1">
        <f t="array" ref="K368">_xlfn.IFS($G368=$G$5,K$5,$G368=$G$6,K$6,$G368=$G$7,K$7,$G368=$G$8,K$8,$G368=$G$9,K$9,$G368=$G$10,K$10,$G368=$G$11,K$11,$G368=$G$12,K$12,$G368=$G$13,K$13,$G368=$G$15,K$15,$G368=$G$16,K$16,$G368=$G$17,K$17,$G368=$G$18,K$18,$G368=$G$19,K$19,$G368=$G$20,K$20,$G368=$G$21,K$21,$G368=$G$22,K$22,$G368=$G$25,K$25,$G368=$G$26,K$26,$G368=$G$27,K$27,$G368=$G$29,K$29,$G368=$G$31,K$31,$G368=$G$32,K$150,$G368=$G$248,K$248,$G368=$G$250,K$250)</f>
        <v>BG sentinel + BG lure7</v>
      </c>
      <c r="L368" s="48"/>
      <c r="M368" s="48"/>
      <c r="O368" s="45" t="str">
        <f t="shared" si="29"/>
        <v>A_SP_BCN_14_210707</v>
      </c>
      <c r="P368" s="64">
        <v>44384</v>
      </c>
      <c r="R368" s="72"/>
      <c r="S368" s="64">
        <v>44391</v>
      </c>
      <c r="U368" s="72"/>
      <c r="V368" s="54" t="s">
        <v>66</v>
      </c>
      <c r="X368" s="45">
        <f t="shared" si="28"/>
        <v>7</v>
      </c>
      <c r="Z368" s="45" t="s">
        <v>70</v>
      </c>
      <c r="AA368" s="45">
        <f t="shared" si="27"/>
        <v>1</v>
      </c>
      <c r="AB368" t="str">
        <f t="shared" si="25"/>
        <v>Adult</v>
      </c>
      <c r="AC368" s="69">
        <v>1</v>
      </c>
      <c r="AD368" s="69">
        <v>0</v>
      </c>
      <c r="AE368" s="45" t="str">
        <f t="shared" si="26"/>
        <v>Morphological</v>
      </c>
      <c r="AF368" s="56">
        <v>4</v>
      </c>
    </row>
    <row r="369" spans="1:32" ht="18" customHeight="1" x14ac:dyDescent="0.25">
      <c r="A369" s="45">
        <v>365</v>
      </c>
      <c r="B369" s="45" t="s">
        <v>60</v>
      </c>
      <c r="C369" s="45" t="s">
        <v>61</v>
      </c>
      <c r="D369" s="45" t="s">
        <v>62</v>
      </c>
      <c r="E369" s="45" t="s">
        <v>62</v>
      </c>
      <c r="F369" s="46" cm="1">
        <f t="array" ref="F369">_xlfn.IFS($G369=$G$5,F$5,$G369=$G$6,F$6,$G369=$G$7,F$7,$G369=$G$8,F$8,$G369=$G$9,F$9,$G369=$G$10,F$10,$G369=$G$11,F$11,$G369=$G$12,F$12,$G369=$G$13,F$13,$G369=$G$15,F$15,$G369=$G$16,F$16,$G369=$G$17,F$17,$G369=$G$18,F$18,$G369=$G$19,F$19,$G369=$G$20,F$20,$G369=$G$21,F$21,$G369=$G$22,F$22,$G369=$G$25,F$25,$G369=$G$26,F$26,$G369=$G$27,F$27,$G369=$G$29,F$29,$G369=$G$31,F$31,$G369=$G$32,F$32,$G369=$G$248,F$248,$G369=$G$250,F$250)</f>
        <v>8017</v>
      </c>
      <c r="G369" t="s">
        <v>87</v>
      </c>
      <c r="H369" s="66" cm="1">
        <f t="array" ref="H369">_xlfn.IFS($G369=$G$5,H$5,$G369=$G$6,H$6,$G369=$G$7,H$7,$G369=$G$8,H$8,$G369=$G$9,H$9,$G369=$G$10,H$10,$G369=$G$11,H$11,$G369=$G$12,H$12,$G369=$G$13,H$13,$G369=$G$15,H$15,$G369=$G$16,H$16,$G369=$G$17,H$17,$G369=$G$18,H$18,$G369=$G$19,H$19,$G369=$G$20,H$20,$G369=$G$21,H$21,$G369=$G$22,H$22,$G369=$G$25,H$25,$G369=$G$26,H$26,$G369=$G$27,H$27,$G369=$G$29,H$29,$G369=$G$31,H$31,$G369=$G$32,H$150,$G369=$G$248,H$248,$G369=$G$250,H$250)</f>
        <v>41.419471000000001</v>
      </c>
      <c r="I369" s="78" cm="1">
        <f t="array" ref="I369">_xlfn.IFS($G369=$G$5,I$5,$G369=$G$6,I$6,$G369=$G$7,I$7,$G369=$G$8,I$8,$G369=$G$9,I$9,$G369=$G$10,I$10,$G369=$G$11,I$11,$G369=$G$12,I$12,$G369=$G$13,I$13,$G369=$G$15,I$15,$G369=$G$16,I$16,$G369=$G$17,I$17,$G369=$G$18,I$18,$G369=$G$19,I$19,$G369=$G$20,I$20,$G369=$G$21,I$21,$G369=$G$22,I$22,$G369=$G$25,I$25,$G369=$G$26,I$26,$G369=$G$27,I$27,$G369=$G$29,I$29,$G369=$G$31,I$31,$G369=$G$32,I$150,$G369=$G$248,I$248,$G369=$G$250,I$250)</f>
        <v>2.1010149999999999</v>
      </c>
      <c r="J369" cm="1">
        <f t="array" ref="J369">_xlfn.IFS($G369=$G$5,J$5,$G369=$G$6,J$6,$G369=$G$7,J$7,$G369=$G$8,J$8,$G369=$G$9,J$9,$G369=$G$10,J$10,$G369=$G$11,J$11,$G369=$G$12,J$12,$G369=$G$13,J$13,$G369=$G$15,J$15,$G369=$G$16,J$16,$G369=$G$17,J$17,$G369=$G$18,J$18,$G369=$G$19,J$19,$G369=$G$20,J$20,$G369=$G$21,J$21,$G369=$G$22,J$22,$G369=$G$25,J$25,$G369=$G$26,J$26,$G369=$G$27,J$27,$G369=$G$29,J$29,$G369=$G$31,J$31,$G369=$G$32,J$150,$G369=$G$248,J$248,$G369=$G$250,J$250)</f>
        <v>284</v>
      </c>
      <c r="K369" t="str" cm="1">
        <f t="array" ref="K369">_xlfn.IFS($G369=$G$5,K$5,$G369=$G$6,K$6,$G369=$G$7,K$7,$G369=$G$8,K$8,$G369=$G$9,K$9,$G369=$G$10,K$10,$G369=$G$11,K$11,$G369=$G$12,K$12,$G369=$G$13,K$13,$G369=$G$15,K$15,$G369=$G$16,K$16,$G369=$G$17,K$17,$G369=$G$18,K$18,$G369=$G$19,K$19,$G369=$G$20,K$20,$G369=$G$21,K$21,$G369=$G$22,K$22,$G369=$G$25,K$25,$G369=$G$26,K$26,$G369=$G$27,K$27,$G369=$G$29,K$29,$G369=$G$31,K$31,$G369=$G$32,K$150,$G369=$G$248,K$248,$G369=$G$250,K$250)</f>
        <v>BG sentinel + BG lure7</v>
      </c>
      <c r="L369" s="48"/>
      <c r="M369" s="48"/>
      <c r="O369" s="45" t="str">
        <f t="shared" si="29"/>
        <v>A_SP_BCN_15_210707</v>
      </c>
      <c r="P369" s="64">
        <v>44384</v>
      </c>
      <c r="R369" s="72"/>
      <c r="S369" s="64">
        <v>44391</v>
      </c>
      <c r="U369" s="72"/>
      <c r="V369" s="54" t="s">
        <v>66</v>
      </c>
      <c r="X369" s="45">
        <f t="shared" si="28"/>
        <v>7</v>
      </c>
      <c r="AA369" s="45">
        <f t="shared" si="27"/>
        <v>0</v>
      </c>
      <c r="AB369" t="str">
        <f t="shared" si="25"/>
        <v/>
      </c>
      <c r="AE369" s="45" t="str">
        <f t="shared" si="26"/>
        <v/>
      </c>
      <c r="AF369" s="56">
        <v>4</v>
      </c>
    </row>
    <row r="370" spans="1:32" ht="18" customHeight="1" x14ac:dyDescent="0.25">
      <c r="A370" s="45">
        <v>366</v>
      </c>
      <c r="B370" s="45" t="s">
        <v>60</v>
      </c>
      <c r="C370" s="45" t="s">
        <v>61</v>
      </c>
      <c r="D370" s="45" t="s">
        <v>62</v>
      </c>
      <c r="E370" s="45" t="s">
        <v>62</v>
      </c>
      <c r="F370" s="46" cm="1">
        <f t="array" ref="F370">_xlfn.IFS($G370=$G$5,F$5,$G370=$G$6,F$6,$G370=$G$7,F$7,$G370=$G$8,F$8,$G370=$G$9,F$9,$G370=$G$10,F$10,$G370=$G$11,F$11,$G370=$G$12,F$12,$G370=$G$13,F$13,$G370=$G$15,F$15,$G370=$G$16,F$16,$G370=$G$17,F$17,$G370=$G$18,F$18,$G370=$G$19,F$19,$G370=$G$20,F$20,$G370=$G$21,F$21,$G370=$G$22,F$22,$G370=$G$25,F$25,$G370=$G$26,F$26,$G370=$G$27,F$27,$G370=$G$29,F$29,$G370=$G$31,F$31,$G370=$G$32,F$32,$G370=$G$248,F$248,$G370=$G$250,F$250)</f>
        <v>8017</v>
      </c>
      <c r="G370" t="s">
        <v>88</v>
      </c>
      <c r="H370" s="66" cm="1">
        <f t="array" ref="H370">_xlfn.IFS($G370=$G$5,H$5,$G370=$G$6,H$6,$G370=$G$7,H$7,$G370=$G$8,H$8,$G370=$G$9,H$9,$G370=$G$10,H$10,$G370=$G$11,H$11,$G370=$G$12,H$12,$G370=$G$13,H$13,$G370=$G$15,H$15,$G370=$G$16,H$16,$G370=$G$17,H$17,$G370=$G$18,H$18,$G370=$G$19,H$19,$G370=$G$20,H$20,$G370=$G$21,H$21,$G370=$G$22,H$22,$G370=$G$25,H$25,$G370=$G$26,H$26,$G370=$G$27,H$27,$G370=$G$29,H$29,$G370=$G$31,H$31,$G370=$G$32,H$150,$G370=$G$248,H$248,$G370=$G$250,H$250)</f>
        <v>41.398387</v>
      </c>
      <c r="I370" s="78" cm="1">
        <f t="array" ref="I370">_xlfn.IFS($G370=$G$5,I$5,$G370=$G$6,I$6,$G370=$G$7,I$7,$G370=$G$8,I$8,$G370=$G$9,I$9,$G370=$G$10,I$10,$G370=$G$11,I$11,$G370=$G$12,I$12,$G370=$G$13,I$13,$G370=$G$15,I$15,$G370=$G$16,I$16,$G370=$G$17,I$17,$G370=$G$18,I$18,$G370=$G$19,I$19,$G370=$G$20,I$20,$G370=$G$21,I$21,$G370=$G$22,I$22,$G370=$G$25,I$25,$G370=$G$26,I$26,$G370=$G$27,I$27,$G370=$G$29,I$29,$G370=$G$31,I$31,$G370=$G$32,I$150,$G370=$G$248,I$248,$G370=$G$250,I$250)</f>
        <v>2.1244429999999999</v>
      </c>
      <c r="J370" cm="1">
        <f t="array" ref="J370">_xlfn.IFS($G370=$G$5,J$5,$G370=$G$6,J$6,$G370=$G$7,J$7,$G370=$G$8,J$8,$G370=$G$9,J$9,$G370=$G$10,J$10,$G370=$G$11,J$11,$G370=$G$12,J$12,$G370=$G$13,J$13,$G370=$G$15,J$15,$G370=$G$16,J$16,$G370=$G$17,J$17,$G370=$G$18,J$18,$G370=$G$19,J$19,$G370=$G$20,J$20,$G370=$G$21,J$21,$G370=$G$22,J$22,$G370=$G$25,J$25,$G370=$G$26,J$26,$G370=$G$27,J$27,$G370=$G$29,J$29,$G370=$G$31,J$31,$G370=$G$32,J$150,$G370=$G$248,J$248,$G370=$G$250,J$250)</f>
        <v>106</v>
      </c>
      <c r="K370" t="str" cm="1">
        <f t="array" ref="K370">_xlfn.IFS($G370=$G$5,K$5,$G370=$G$6,K$6,$G370=$G$7,K$7,$G370=$G$8,K$8,$G370=$G$9,K$9,$G370=$G$10,K$10,$G370=$G$11,K$11,$G370=$G$12,K$12,$G370=$G$13,K$13,$G370=$G$15,K$15,$G370=$G$16,K$16,$G370=$G$17,K$17,$G370=$G$18,K$18,$G370=$G$19,K$19,$G370=$G$20,K$20,$G370=$G$21,K$21,$G370=$G$22,K$22,$G370=$G$25,K$25,$G370=$G$26,K$26,$G370=$G$27,K$27,$G370=$G$29,K$29,$G370=$G$31,K$31,$G370=$G$32,K$150,$G370=$G$248,K$248,$G370=$G$250,K$250)</f>
        <v>BG sentinel + BG lure7</v>
      </c>
      <c r="L370" s="48"/>
      <c r="M370" s="48"/>
      <c r="O370" s="45" t="str">
        <f t="shared" si="29"/>
        <v>A_SP_BCN_16_210707</v>
      </c>
      <c r="P370" s="64">
        <v>44384</v>
      </c>
      <c r="R370" s="72"/>
      <c r="S370" s="64">
        <v>44391</v>
      </c>
      <c r="U370" s="72"/>
      <c r="V370" s="54" t="s">
        <v>66</v>
      </c>
      <c r="X370" s="45">
        <f t="shared" si="28"/>
        <v>7</v>
      </c>
      <c r="Z370" s="69" t="s">
        <v>69</v>
      </c>
      <c r="AA370" s="45">
        <f t="shared" si="27"/>
        <v>16</v>
      </c>
      <c r="AB370" t="str">
        <f t="shared" si="25"/>
        <v>Adult</v>
      </c>
      <c r="AC370" s="69">
        <v>8</v>
      </c>
      <c r="AD370" s="69">
        <v>8</v>
      </c>
      <c r="AE370" s="45" t="str">
        <f t="shared" si="26"/>
        <v>Morphological</v>
      </c>
      <c r="AF370" s="56">
        <v>4</v>
      </c>
    </row>
    <row r="371" spans="1:32" ht="18" customHeight="1" x14ac:dyDescent="0.25">
      <c r="A371" s="45">
        <v>367</v>
      </c>
      <c r="B371" s="45" t="s">
        <v>60</v>
      </c>
      <c r="C371" s="45" t="s">
        <v>61</v>
      </c>
      <c r="D371" s="45" t="s">
        <v>62</v>
      </c>
      <c r="E371" s="45" t="s">
        <v>62</v>
      </c>
      <c r="F371" s="46" cm="1">
        <f t="array" ref="F371">_xlfn.IFS($G371=$G$5,F$5,$G371=$G$6,F$6,$G371=$G$7,F$7,$G371=$G$8,F$8,$G371=$G$9,F$9,$G371=$G$10,F$10,$G371=$G$11,F$11,$G371=$G$12,F$12,$G371=$G$13,F$13,$G371=$G$15,F$15,$G371=$G$16,F$16,$G371=$G$17,F$17,$G371=$G$18,F$18,$G371=$G$19,F$19,$G371=$G$20,F$20,$G371=$G$21,F$21,$G371=$G$22,F$22,$G371=$G$25,F$25,$G371=$G$26,F$26,$G371=$G$27,F$27,$G371=$G$29,F$29,$G371=$G$31,F$31,$G371=$G$32,F$32,$G371=$G$248,F$248,$G371=$G$250,F$250)</f>
        <v>8017</v>
      </c>
      <c r="G371" t="s">
        <v>88</v>
      </c>
      <c r="H371" s="66" cm="1">
        <f t="array" ref="H371">_xlfn.IFS($G371=$G$5,H$5,$G371=$G$6,H$6,$G371=$G$7,H$7,$G371=$G$8,H$8,$G371=$G$9,H$9,$G371=$G$10,H$10,$G371=$G$11,H$11,$G371=$G$12,H$12,$G371=$G$13,H$13,$G371=$G$15,H$15,$G371=$G$16,H$16,$G371=$G$17,H$17,$G371=$G$18,H$18,$G371=$G$19,H$19,$G371=$G$20,H$20,$G371=$G$21,H$21,$G371=$G$22,H$22,$G371=$G$25,H$25,$G371=$G$26,H$26,$G371=$G$27,H$27,$G371=$G$29,H$29,$G371=$G$31,H$31,$G371=$G$32,H$150,$G371=$G$248,H$248,$G371=$G$250,H$250)</f>
        <v>41.398387</v>
      </c>
      <c r="I371" s="78" cm="1">
        <f t="array" ref="I371">_xlfn.IFS($G371=$G$5,I$5,$G371=$G$6,I$6,$G371=$G$7,I$7,$G371=$G$8,I$8,$G371=$G$9,I$9,$G371=$G$10,I$10,$G371=$G$11,I$11,$G371=$G$12,I$12,$G371=$G$13,I$13,$G371=$G$15,I$15,$G371=$G$16,I$16,$G371=$G$17,I$17,$G371=$G$18,I$18,$G371=$G$19,I$19,$G371=$G$20,I$20,$G371=$G$21,I$21,$G371=$G$22,I$22,$G371=$G$25,I$25,$G371=$G$26,I$26,$G371=$G$27,I$27,$G371=$G$29,I$29,$G371=$G$31,I$31,$G371=$G$32,I$150,$G371=$G$248,I$248,$G371=$G$250,I$250)</f>
        <v>2.1244429999999999</v>
      </c>
      <c r="J371" cm="1">
        <f t="array" ref="J371">_xlfn.IFS($G371=$G$5,J$5,$G371=$G$6,J$6,$G371=$G$7,J$7,$G371=$G$8,J$8,$G371=$G$9,J$9,$G371=$G$10,J$10,$G371=$G$11,J$11,$G371=$G$12,J$12,$G371=$G$13,J$13,$G371=$G$15,J$15,$G371=$G$16,J$16,$G371=$G$17,J$17,$G371=$G$18,J$18,$G371=$G$19,J$19,$G371=$G$20,J$20,$G371=$G$21,J$21,$G371=$G$22,J$22,$G371=$G$25,J$25,$G371=$G$26,J$26,$G371=$G$27,J$27,$G371=$G$29,J$29,$G371=$G$31,J$31,$G371=$G$32,J$150,$G371=$G$248,J$248,$G371=$G$250,J$250)</f>
        <v>106</v>
      </c>
      <c r="K371" t="str" cm="1">
        <f t="array" ref="K371">_xlfn.IFS($G371=$G$5,K$5,$G371=$G$6,K$6,$G371=$G$7,K$7,$G371=$G$8,K$8,$G371=$G$9,K$9,$G371=$G$10,K$10,$G371=$G$11,K$11,$G371=$G$12,K$12,$G371=$G$13,K$13,$G371=$G$15,K$15,$G371=$G$16,K$16,$G371=$G$17,K$17,$G371=$G$18,K$18,$G371=$G$19,K$19,$G371=$G$20,K$20,$G371=$G$21,K$21,$G371=$G$22,K$22,$G371=$G$25,K$25,$G371=$G$26,K$26,$G371=$G$27,K$27,$G371=$G$29,K$29,$G371=$G$31,K$31,$G371=$G$32,K$150,$G371=$G$248,K$248,$G371=$G$250,K$250)</f>
        <v>BG sentinel + BG lure7</v>
      </c>
      <c r="L371" s="48"/>
      <c r="M371" s="48"/>
      <c r="O371" s="45" t="str">
        <f t="shared" si="29"/>
        <v>A_SP_BCN_16_210707</v>
      </c>
      <c r="P371" s="64">
        <v>44384</v>
      </c>
      <c r="R371" s="72"/>
      <c r="S371" s="64">
        <v>44391</v>
      </c>
      <c r="U371" s="72"/>
      <c r="V371" s="54" t="s">
        <v>66</v>
      </c>
      <c r="X371" s="45">
        <f t="shared" si="28"/>
        <v>7</v>
      </c>
      <c r="Z371" s="45" t="s">
        <v>70</v>
      </c>
      <c r="AA371" s="45">
        <f t="shared" si="27"/>
        <v>7</v>
      </c>
      <c r="AB371" t="str">
        <f t="shared" si="25"/>
        <v>Adult</v>
      </c>
      <c r="AC371" s="69">
        <v>4</v>
      </c>
      <c r="AD371" s="69">
        <v>3</v>
      </c>
      <c r="AE371" s="45" t="str">
        <f t="shared" si="26"/>
        <v>Morphological</v>
      </c>
      <c r="AF371" s="56">
        <v>4</v>
      </c>
    </row>
    <row r="372" spans="1:32" ht="18" customHeight="1" x14ac:dyDescent="0.25">
      <c r="A372" s="45">
        <v>368</v>
      </c>
      <c r="B372" s="45" t="s">
        <v>60</v>
      </c>
      <c r="C372" s="45" t="s">
        <v>61</v>
      </c>
      <c r="D372" s="45" t="s">
        <v>62</v>
      </c>
      <c r="E372" s="45" t="s">
        <v>62</v>
      </c>
      <c r="F372" s="46" cm="1">
        <f t="array" ref="F372">_xlfn.IFS($G372=$G$5,F$5,$G372=$G$6,F$6,$G372=$G$7,F$7,$G372=$G$8,F$8,$G372=$G$9,F$9,$G372=$G$10,F$10,$G372=$G$11,F$11,$G372=$G$12,F$12,$G372=$G$13,F$13,$G372=$G$15,F$15,$G372=$G$16,F$16,$G372=$G$17,F$17,$G372=$G$18,F$18,$G372=$G$19,F$19,$G372=$G$20,F$20,$G372=$G$21,F$21,$G372=$G$22,F$22,$G372=$G$25,F$25,$G372=$G$26,F$26,$G372=$G$27,F$27,$G372=$G$29,F$29,$G372=$G$31,F$31,$G372=$G$32,F$32,$G372=$G$248,F$248,$G372=$G$250,F$250)</f>
        <v>8017</v>
      </c>
      <c r="G372" t="s">
        <v>88</v>
      </c>
      <c r="H372" s="66" cm="1">
        <f t="array" ref="H372">_xlfn.IFS($G372=$G$5,H$5,$G372=$G$6,H$6,$G372=$G$7,H$7,$G372=$G$8,H$8,$G372=$G$9,H$9,$G372=$G$10,H$10,$G372=$G$11,H$11,$G372=$G$12,H$12,$G372=$G$13,H$13,$G372=$G$15,H$15,$G372=$G$16,H$16,$G372=$G$17,H$17,$G372=$G$18,H$18,$G372=$G$19,H$19,$G372=$G$20,H$20,$G372=$G$21,H$21,$G372=$G$22,H$22,$G372=$G$25,H$25,$G372=$G$26,H$26,$G372=$G$27,H$27,$G372=$G$29,H$29,$G372=$G$31,H$31,$G372=$G$32,H$150,$G372=$G$248,H$248,$G372=$G$250,H$250)</f>
        <v>41.398387</v>
      </c>
      <c r="I372" s="78" cm="1">
        <f t="array" ref="I372">_xlfn.IFS($G372=$G$5,I$5,$G372=$G$6,I$6,$G372=$G$7,I$7,$G372=$G$8,I$8,$G372=$G$9,I$9,$G372=$G$10,I$10,$G372=$G$11,I$11,$G372=$G$12,I$12,$G372=$G$13,I$13,$G372=$G$15,I$15,$G372=$G$16,I$16,$G372=$G$17,I$17,$G372=$G$18,I$18,$G372=$G$19,I$19,$G372=$G$20,I$20,$G372=$G$21,I$21,$G372=$G$22,I$22,$G372=$G$25,I$25,$G372=$G$26,I$26,$G372=$G$27,I$27,$G372=$G$29,I$29,$G372=$G$31,I$31,$G372=$G$32,I$150,$G372=$G$248,I$248,$G372=$G$250,I$250)</f>
        <v>2.1244429999999999</v>
      </c>
      <c r="J372" cm="1">
        <f t="array" ref="J372">_xlfn.IFS($G372=$G$5,J$5,$G372=$G$6,J$6,$G372=$G$7,J$7,$G372=$G$8,J$8,$G372=$G$9,J$9,$G372=$G$10,J$10,$G372=$G$11,J$11,$G372=$G$12,J$12,$G372=$G$13,J$13,$G372=$G$15,J$15,$G372=$G$16,J$16,$G372=$G$17,J$17,$G372=$G$18,J$18,$G372=$G$19,J$19,$G372=$G$20,J$20,$G372=$G$21,J$21,$G372=$G$22,J$22,$G372=$G$25,J$25,$G372=$G$26,J$26,$G372=$G$27,J$27,$G372=$G$29,J$29,$G372=$G$31,J$31,$G372=$G$32,J$150,$G372=$G$248,J$248,$G372=$G$250,J$250)</f>
        <v>106</v>
      </c>
      <c r="K372" t="str" cm="1">
        <f t="array" ref="K372">_xlfn.IFS($G372=$G$5,K$5,$G372=$G$6,K$6,$G372=$G$7,K$7,$G372=$G$8,K$8,$G372=$G$9,K$9,$G372=$G$10,K$10,$G372=$G$11,K$11,$G372=$G$12,K$12,$G372=$G$13,K$13,$G372=$G$15,K$15,$G372=$G$16,K$16,$G372=$G$17,K$17,$G372=$G$18,K$18,$G372=$G$19,K$19,$G372=$G$20,K$20,$G372=$G$21,K$21,$G372=$G$22,K$22,$G372=$G$25,K$25,$G372=$G$26,K$26,$G372=$G$27,K$27,$G372=$G$29,K$29,$G372=$G$31,K$31,$G372=$G$32,K$150,$G372=$G$248,K$248,$G372=$G$250,K$250)</f>
        <v>BG sentinel + BG lure7</v>
      </c>
      <c r="L372" s="48"/>
      <c r="M372" s="48"/>
      <c r="O372" s="45" t="str">
        <f t="shared" si="29"/>
        <v>A_SP_BCN_16_210707</v>
      </c>
      <c r="P372" s="64">
        <v>44384</v>
      </c>
      <c r="R372" s="72"/>
      <c r="S372" s="64">
        <v>44391</v>
      </c>
      <c r="U372" s="72"/>
      <c r="V372" s="54" t="s">
        <v>66</v>
      </c>
      <c r="X372" s="45">
        <f t="shared" si="28"/>
        <v>7</v>
      </c>
      <c r="Z372" s="45" t="s">
        <v>80</v>
      </c>
      <c r="AA372" s="45">
        <f t="shared" si="27"/>
        <v>9</v>
      </c>
      <c r="AB372" t="str">
        <f t="shared" si="25"/>
        <v>Adult</v>
      </c>
      <c r="AC372" s="69">
        <v>4</v>
      </c>
      <c r="AD372" s="69">
        <v>5</v>
      </c>
      <c r="AE372" s="45" t="str">
        <f t="shared" si="26"/>
        <v>Morphological</v>
      </c>
      <c r="AF372" s="56">
        <v>4</v>
      </c>
    </row>
    <row r="373" spans="1:32" ht="18" customHeight="1" x14ac:dyDescent="0.25">
      <c r="A373" s="45">
        <v>369</v>
      </c>
      <c r="B373" s="45" t="s">
        <v>60</v>
      </c>
      <c r="C373" s="45" t="s">
        <v>61</v>
      </c>
      <c r="D373" s="45" t="s">
        <v>62</v>
      </c>
      <c r="E373" s="45" t="s">
        <v>62</v>
      </c>
      <c r="F373" s="46" cm="1">
        <f t="array" ref="F373">_xlfn.IFS($G373=$G$5,F$5,$G373=$G$6,F$6,$G373=$G$7,F$7,$G373=$G$8,F$8,$G373=$G$9,F$9,$G373=$G$10,F$10,$G373=$G$11,F$11,$G373=$G$12,F$12,$G373=$G$13,F$13,$G373=$G$15,F$15,$G373=$G$16,F$16,$G373=$G$17,F$17,$G373=$G$18,F$18,$G373=$G$19,F$19,$G373=$G$20,F$20,$G373=$G$21,F$21,$G373=$G$22,F$22,$G373=$G$25,F$25,$G373=$G$26,F$26,$G373=$G$27,F$27,$G373=$G$29,F$29,$G373=$G$31,F$31,$G373=$G$32,F$32,$G373=$G$248,F$248,$G373=$G$250,F$250)</f>
        <v>8023</v>
      </c>
      <c r="G373" t="s">
        <v>89</v>
      </c>
      <c r="H373" s="66" cm="1">
        <f t="array" ref="H373">_xlfn.IFS($G373=$G$5,H$5,$G373=$G$6,H$6,$G373=$G$7,H$7,$G373=$G$8,H$8,$G373=$G$9,H$9,$G373=$G$10,H$10,$G373=$G$11,H$11,$G373=$G$12,H$12,$G373=$G$13,H$13,$G373=$G$15,H$15,$G373=$G$16,H$16,$G373=$G$17,H$17,$G373=$G$18,H$18,$G373=$G$19,H$19,$G373=$G$20,H$20,$G373=$G$21,H$21,$G373=$G$22,H$22,$G373=$G$25,H$25,$G373=$G$26,H$26,$G373=$G$27,H$27,$G373=$G$29,H$29,$G373=$G$31,H$31,$G373=$G$32,H$150,$G373=$G$248,H$248,$G373=$G$250,H$250)</f>
        <v>41.417256000000002</v>
      </c>
      <c r="I373" s="78" cm="1">
        <f t="array" ref="I373">_xlfn.IFS($G373=$G$5,I$5,$G373=$G$6,I$6,$G373=$G$7,I$7,$G373=$G$8,I$8,$G373=$G$9,I$9,$G373=$G$10,I$10,$G373=$G$11,I$11,$G373=$G$12,I$12,$G373=$G$13,I$13,$G373=$G$15,I$15,$G373=$G$16,I$16,$G373=$G$17,I$17,$G373=$G$18,I$18,$G373=$G$19,I$19,$G373=$G$20,I$20,$G373=$G$21,I$21,$G373=$G$22,I$22,$G373=$G$25,I$25,$G373=$G$26,I$26,$G373=$G$27,I$27,$G373=$G$29,I$29,$G373=$G$31,I$31,$G373=$G$32,I$150,$G373=$G$248,I$248,$G373=$G$250,I$250)</f>
        <v>2.1455709999999999</v>
      </c>
      <c r="J373" cm="1">
        <f t="array" ref="J373">_xlfn.IFS($G373=$G$5,J$5,$G373=$G$6,J$6,$G373=$G$7,J$7,$G373=$G$8,J$8,$G373=$G$9,J$9,$G373=$G$10,J$10,$G373=$G$11,J$11,$G373=$G$12,J$12,$G373=$G$13,J$13,$G373=$G$15,J$15,$G373=$G$16,J$16,$G373=$G$17,J$17,$G373=$G$18,J$18,$G373=$G$19,J$19,$G373=$G$20,J$20,$G373=$G$21,J$21,$G373=$G$22,J$22,$G373=$G$25,J$25,$G373=$G$26,J$26,$G373=$G$27,J$27,$G373=$G$29,J$29,$G373=$G$31,J$31,$G373=$G$32,J$150,$G373=$G$248,J$248,$G373=$G$250,J$250)</f>
        <v>186</v>
      </c>
      <c r="K373" t="str" cm="1">
        <f t="array" ref="K373">_xlfn.IFS($G373=$G$5,K$5,$G373=$G$6,K$6,$G373=$G$7,K$7,$G373=$G$8,K$8,$G373=$G$9,K$9,$G373=$G$10,K$10,$G373=$G$11,K$11,$G373=$G$12,K$12,$G373=$G$13,K$13,$G373=$G$15,K$15,$G373=$G$16,K$16,$G373=$G$17,K$17,$G373=$G$18,K$18,$G373=$G$19,K$19,$G373=$G$20,K$20,$G373=$G$21,K$21,$G373=$G$22,K$22,$G373=$G$25,K$25,$G373=$G$26,K$26,$G373=$G$27,K$27,$G373=$G$29,K$29,$G373=$G$31,K$31,$G373=$G$32,K$150,$G373=$G$248,K$248,$G373=$G$250,K$250)</f>
        <v>BG sentinel + BG lure7</v>
      </c>
      <c r="L373" s="48"/>
      <c r="M373" s="48"/>
      <c r="O373" s="45" t="str">
        <f t="shared" si="29"/>
        <v>A_SP_BCN_17_210707</v>
      </c>
      <c r="P373" s="64">
        <v>44384</v>
      </c>
      <c r="R373" s="72"/>
      <c r="S373" s="64">
        <v>44391</v>
      </c>
      <c r="U373" s="72"/>
      <c r="V373" s="54" t="s">
        <v>66</v>
      </c>
      <c r="X373" s="45">
        <f t="shared" si="28"/>
        <v>7</v>
      </c>
      <c r="AA373" s="45">
        <f t="shared" si="27"/>
        <v>0</v>
      </c>
      <c r="AB373" t="str">
        <f t="shared" si="25"/>
        <v/>
      </c>
      <c r="AE373" s="45" t="str">
        <f t="shared" si="26"/>
        <v/>
      </c>
      <c r="AF373" s="56">
        <v>4</v>
      </c>
    </row>
    <row r="374" spans="1:32" ht="18" customHeight="1" x14ac:dyDescent="0.25">
      <c r="A374" s="45">
        <v>370</v>
      </c>
      <c r="B374" s="45" t="s">
        <v>60</v>
      </c>
      <c r="C374" s="45" t="s">
        <v>61</v>
      </c>
      <c r="D374" s="45" t="s">
        <v>62</v>
      </c>
      <c r="E374" s="45" t="s">
        <v>62</v>
      </c>
      <c r="F374" s="46" cm="1">
        <f t="array" ref="F374">_xlfn.IFS($G374=$G$5,F$5,$G374=$G$6,F$6,$G374=$G$7,F$7,$G374=$G$8,F$8,$G374=$G$9,F$9,$G374=$G$10,F$10,$G374=$G$11,F$11,$G374=$G$12,F$12,$G374=$G$13,F$13,$G374=$G$15,F$15,$G374=$G$16,F$16,$G374=$G$17,F$17,$G374=$G$18,F$18,$G374=$G$19,F$19,$G374=$G$20,F$20,$G374=$G$21,F$21,$G374=$G$22,F$22,$G374=$G$25,F$25,$G374=$G$26,F$26,$G374=$G$27,F$27,$G374=$G$29,F$29,$G374=$G$31,F$31,$G374=$G$32,F$32,$G374=$G$248,F$248,$G374=$G$250,F$250)</f>
        <v>8031</v>
      </c>
      <c r="G374" t="s">
        <v>92</v>
      </c>
      <c r="H374" s="66" cm="1">
        <f t="array" ref="H374">_xlfn.IFS($G374=$G$5,H$5,$G374=$G$6,H$6,$G374=$G$7,H$7,$G374=$G$8,H$8,$G374=$G$9,H$9,$G374=$G$10,H$10,$G374=$G$11,H$11,$G374=$G$12,H$12,$G374=$G$13,H$13,$G374=$G$15,H$15,$G374=$G$16,H$16,$G374=$G$17,H$17,$G374=$G$18,H$18,$G374=$G$19,H$19,$G374=$G$20,H$20,$G374=$G$21,H$21,$G374=$G$22,H$22,$G374=$G$25,H$25,$G374=$G$26,H$26,$G374=$G$27,H$27,$G374=$G$29,H$29,$G374=$G$31,H$31,$G374=$G$32,H$150,$G374=$G$248,H$248,$G374=$G$250,H$250)</f>
        <v>41.433618000000003</v>
      </c>
      <c r="I374" s="78" cm="1">
        <f t="array" ref="I374">_xlfn.IFS($G374=$G$5,I$5,$G374=$G$6,I$6,$G374=$G$7,I$7,$G374=$G$8,I$8,$G374=$G$9,I$9,$G374=$G$10,I$10,$G374=$G$11,I$11,$G374=$G$12,I$12,$G374=$G$13,I$13,$G374=$G$15,I$15,$G374=$G$16,I$16,$G374=$G$17,I$17,$G374=$G$18,I$18,$G374=$G$19,I$19,$G374=$G$20,I$20,$G374=$G$21,I$21,$G374=$G$22,I$22,$G374=$G$25,I$25,$G374=$G$26,I$26,$G374=$G$27,I$27,$G374=$G$29,I$29,$G374=$G$31,I$31,$G374=$G$32,I$150,$G374=$G$248,I$248,$G374=$G$250,I$250)</f>
        <v>2.1677469999999999</v>
      </c>
      <c r="J374" cm="1">
        <f t="array" ref="J374">_xlfn.IFS($G374=$G$5,J$5,$G374=$G$6,J$6,$G374=$G$7,J$7,$G374=$G$8,J$8,$G374=$G$9,J$9,$G374=$G$10,J$10,$G374=$G$11,J$11,$G374=$G$12,J$12,$G374=$G$13,J$13,$G374=$G$15,J$15,$G374=$G$16,J$16,$G374=$G$17,J$17,$G374=$G$18,J$18,$G374=$G$19,J$19,$G374=$G$20,J$20,$G374=$G$21,J$21,$G374=$G$22,J$22,$G374=$G$25,J$25,$G374=$G$26,J$26,$G374=$G$27,J$27,$G374=$G$29,J$29,$G374=$G$31,J$31,$G374=$G$32,J$150,$G374=$G$248,J$248,$G374=$G$250,J$250)</f>
        <v>96.85</v>
      </c>
      <c r="K374" t="str" cm="1">
        <f t="array" ref="K374">_xlfn.IFS($G374=$G$5,K$5,$G374=$G$6,K$6,$G374=$G$7,K$7,$G374=$G$8,K$8,$G374=$G$9,K$9,$G374=$G$10,K$10,$G374=$G$11,K$11,$G374=$G$12,K$12,$G374=$G$13,K$13,$G374=$G$15,K$15,$G374=$G$16,K$16,$G374=$G$17,K$17,$G374=$G$18,K$18,$G374=$G$19,K$19,$G374=$G$20,K$20,$G374=$G$21,K$21,$G374=$G$22,K$22,$G374=$G$25,K$25,$G374=$G$26,K$26,$G374=$G$27,K$27,$G374=$G$29,K$29,$G374=$G$31,K$31,$G374=$G$32,K$150,$G374=$G$248,K$248,$G374=$G$250,K$250)</f>
        <v>BG sentinel + BG lure7</v>
      </c>
      <c r="L374" s="48"/>
      <c r="M374" s="48"/>
      <c r="O374" s="45" t="str">
        <f t="shared" si="29"/>
        <v>A_SP_BCN_18_210707</v>
      </c>
      <c r="P374" s="64">
        <v>44384</v>
      </c>
      <c r="R374" s="72"/>
      <c r="S374" s="64">
        <v>44391</v>
      </c>
      <c r="U374" s="72"/>
      <c r="V374" s="54" t="s">
        <v>66</v>
      </c>
      <c r="X374" s="45">
        <f t="shared" si="28"/>
        <v>7</v>
      </c>
      <c r="Z374" s="69" t="s">
        <v>69</v>
      </c>
      <c r="AA374" s="45">
        <f t="shared" si="27"/>
        <v>1</v>
      </c>
      <c r="AB374" t="str">
        <f t="shared" si="25"/>
        <v>Adult</v>
      </c>
      <c r="AC374" s="69">
        <v>1</v>
      </c>
      <c r="AD374" s="69">
        <v>0</v>
      </c>
      <c r="AE374" s="45" t="str">
        <f t="shared" si="26"/>
        <v>Morphological</v>
      </c>
      <c r="AF374" s="56">
        <v>4</v>
      </c>
    </row>
    <row r="375" spans="1:32" ht="18" customHeight="1" x14ac:dyDescent="0.25">
      <c r="A375" s="45">
        <v>371</v>
      </c>
      <c r="B375" s="45" t="s">
        <v>60</v>
      </c>
      <c r="C375" s="45" t="s">
        <v>61</v>
      </c>
      <c r="D375" s="45" t="s">
        <v>62</v>
      </c>
      <c r="E375" s="45" t="s">
        <v>62</v>
      </c>
      <c r="F375" s="46" cm="1">
        <f t="array" ref="F375">_xlfn.IFS($G375=$G$5,F$5,$G375=$G$6,F$6,$G375=$G$7,F$7,$G375=$G$8,F$8,$G375=$G$9,F$9,$G375=$G$10,F$10,$G375=$G$11,F$11,$G375=$G$12,F$12,$G375=$G$13,F$13,$G375=$G$15,F$15,$G375=$G$16,F$16,$G375=$G$17,F$17,$G375=$G$18,F$18,$G375=$G$19,F$19,$G375=$G$20,F$20,$G375=$G$21,F$21,$G375=$G$22,F$22,$G375=$G$25,F$25,$G375=$G$26,F$26,$G375=$G$27,F$27,$G375=$G$29,F$29,$G375=$G$31,F$31,$G375=$G$32,F$32,$G375=$G$248,F$248,$G375=$G$250,F$250)</f>
        <v>8031</v>
      </c>
      <c r="G375" t="s">
        <v>92</v>
      </c>
      <c r="H375" s="66" cm="1">
        <f t="array" ref="H375">_xlfn.IFS($G375=$G$5,H$5,$G375=$G$6,H$6,$G375=$G$7,H$7,$G375=$G$8,H$8,$G375=$G$9,H$9,$G375=$G$10,H$10,$G375=$G$11,H$11,$G375=$G$12,H$12,$G375=$G$13,H$13,$G375=$G$15,H$15,$G375=$G$16,H$16,$G375=$G$17,H$17,$G375=$G$18,H$18,$G375=$G$19,H$19,$G375=$G$20,H$20,$G375=$G$21,H$21,$G375=$G$22,H$22,$G375=$G$25,H$25,$G375=$G$26,H$26,$G375=$G$27,H$27,$G375=$G$29,H$29,$G375=$G$31,H$31,$G375=$G$32,H$150,$G375=$G$248,H$248,$G375=$G$250,H$250)</f>
        <v>41.433618000000003</v>
      </c>
      <c r="I375" s="78" cm="1">
        <f t="array" ref="I375">_xlfn.IFS($G375=$G$5,I$5,$G375=$G$6,I$6,$G375=$G$7,I$7,$G375=$G$8,I$8,$G375=$G$9,I$9,$G375=$G$10,I$10,$G375=$G$11,I$11,$G375=$G$12,I$12,$G375=$G$13,I$13,$G375=$G$15,I$15,$G375=$G$16,I$16,$G375=$G$17,I$17,$G375=$G$18,I$18,$G375=$G$19,I$19,$G375=$G$20,I$20,$G375=$G$21,I$21,$G375=$G$22,I$22,$G375=$G$25,I$25,$G375=$G$26,I$26,$G375=$G$27,I$27,$G375=$G$29,I$29,$G375=$G$31,I$31,$G375=$G$32,I$150,$G375=$G$248,I$248,$G375=$G$250,I$250)</f>
        <v>2.1677469999999999</v>
      </c>
      <c r="J375" cm="1">
        <f t="array" ref="J375">_xlfn.IFS($G375=$G$5,J$5,$G375=$G$6,J$6,$G375=$G$7,J$7,$G375=$G$8,J$8,$G375=$G$9,J$9,$G375=$G$10,J$10,$G375=$G$11,J$11,$G375=$G$12,J$12,$G375=$G$13,J$13,$G375=$G$15,J$15,$G375=$G$16,J$16,$G375=$G$17,J$17,$G375=$G$18,J$18,$G375=$G$19,J$19,$G375=$G$20,J$20,$G375=$G$21,J$21,$G375=$G$22,J$22,$G375=$G$25,J$25,$G375=$G$26,J$26,$G375=$G$27,J$27,$G375=$G$29,J$29,$G375=$G$31,J$31,$G375=$G$32,J$150,$G375=$G$248,J$248,$G375=$G$250,J$250)</f>
        <v>96.85</v>
      </c>
      <c r="K375" t="str" cm="1">
        <f t="array" ref="K375">_xlfn.IFS($G375=$G$5,K$5,$G375=$G$6,K$6,$G375=$G$7,K$7,$G375=$G$8,K$8,$G375=$G$9,K$9,$G375=$G$10,K$10,$G375=$G$11,K$11,$G375=$G$12,K$12,$G375=$G$13,K$13,$G375=$G$15,K$15,$G375=$G$16,K$16,$G375=$G$17,K$17,$G375=$G$18,K$18,$G375=$G$19,K$19,$G375=$G$20,K$20,$G375=$G$21,K$21,$G375=$G$22,K$22,$G375=$G$25,K$25,$G375=$G$26,K$26,$G375=$G$27,K$27,$G375=$G$29,K$29,$G375=$G$31,K$31,$G375=$G$32,K$150,$G375=$G$248,K$248,$G375=$G$250,K$250)</f>
        <v>BG sentinel + BG lure7</v>
      </c>
      <c r="L375" s="48"/>
      <c r="M375" s="48"/>
      <c r="O375" s="45" t="str">
        <f t="shared" si="29"/>
        <v>A_SP_BCN_18_210707</v>
      </c>
      <c r="P375" s="64">
        <v>44384</v>
      </c>
      <c r="R375" s="72"/>
      <c r="S375" s="64">
        <v>44391</v>
      </c>
      <c r="U375" s="72"/>
      <c r="V375" s="54" t="s">
        <v>66</v>
      </c>
      <c r="X375" s="45">
        <f t="shared" si="28"/>
        <v>7</v>
      </c>
      <c r="Z375" s="45" t="s">
        <v>70</v>
      </c>
      <c r="AA375" s="45">
        <f t="shared" si="27"/>
        <v>1</v>
      </c>
      <c r="AB375" t="str">
        <f t="shared" si="25"/>
        <v>Adult</v>
      </c>
      <c r="AC375" s="69">
        <v>1</v>
      </c>
      <c r="AD375" s="69">
        <v>0</v>
      </c>
      <c r="AE375" s="45" t="str">
        <f t="shared" si="26"/>
        <v>Morphological</v>
      </c>
      <c r="AF375" s="56">
        <v>4</v>
      </c>
    </row>
    <row r="376" spans="1:32" ht="18" customHeight="1" x14ac:dyDescent="0.25">
      <c r="A376" s="45">
        <v>372</v>
      </c>
      <c r="B376" s="45" t="s">
        <v>60</v>
      </c>
      <c r="C376" s="45" t="s">
        <v>61</v>
      </c>
      <c r="D376" s="45" t="s">
        <v>62</v>
      </c>
      <c r="E376" s="45" t="s">
        <v>62</v>
      </c>
      <c r="F376" s="46" cm="1">
        <f t="array" ref="F376">_xlfn.IFS($G376=$G$5,F$5,$G376=$G$6,F$6,$G376=$G$7,F$7,$G376=$G$8,F$8,$G376=$G$9,F$9,$G376=$G$10,F$10,$G376=$G$11,F$11,$G376=$G$12,F$12,$G376=$G$13,F$13,$G376=$G$15,F$15,$G376=$G$16,F$16,$G376=$G$17,F$17,$G376=$G$18,F$18,$G376=$G$19,F$19,$G376=$G$20,F$20,$G376=$G$21,F$21,$G376=$G$22,F$22,$G376=$G$25,F$25,$G376=$G$26,F$26,$G376=$G$27,F$27,$G376=$G$29,F$29,$G376=$G$31,F$31,$G376=$G$32,F$32,$G376=$G$248,F$248,$G376=$G$250,F$250)</f>
        <v>8031</v>
      </c>
      <c r="G376" t="s">
        <v>92</v>
      </c>
      <c r="H376" s="66" cm="1">
        <f t="array" ref="H376">_xlfn.IFS($G376=$G$5,H$5,$G376=$G$6,H$6,$G376=$G$7,H$7,$G376=$G$8,H$8,$G376=$G$9,H$9,$G376=$G$10,H$10,$G376=$G$11,H$11,$G376=$G$12,H$12,$G376=$G$13,H$13,$G376=$G$15,H$15,$G376=$G$16,H$16,$G376=$G$17,H$17,$G376=$G$18,H$18,$G376=$G$19,H$19,$G376=$G$20,H$20,$G376=$G$21,H$21,$G376=$G$22,H$22,$G376=$G$25,H$25,$G376=$G$26,H$26,$G376=$G$27,H$27,$G376=$G$29,H$29,$G376=$G$31,H$31,$G376=$G$32,H$150,$G376=$G$248,H$248,$G376=$G$250,H$250)</f>
        <v>41.433618000000003</v>
      </c>
      <c r="I376" s="78" cm="1">
        <f t="array" ref="I376">_xlfn.IFS($G376=$G$5,I$5,$G376=$G$6,I$6,$G376=$G$7,I$7,$G376=$G$8,I$8,$G376=$G$9,I$9,$G376=$G$10,I$10,$G376=$G$11,I$11,$G376=$G$12,I$12,$G376=$G$13,I$13,$G376=$G$15,I$15,$G376=$G$16,I$16,$G376=$G$17,I$17,$G376=$G$18,I$18,$G376=$G$19,I$19,$G376=$G$20,I$20,$G376=$G$21,I$21,$G376=$G$22,I$22,$G376=$G$25,I$25,$G376=$G$26,I$26,$G376=$G$27,I$27,$G376=$G$29,I$29,$G376=$G$31,I$31,$G376=$G$32,I$150,$G376=$G$248,I$248,$G376=$G$250,I$250)</f>
        <v>2.1677469999999999</v>
      </c>
      <c r="J376" cm="1">
        <f t="array" ref="J376">_xlfn.IFS($G376=$G$5,J$5,$G376=$G$6,J$6,$G376=$G$7,J$7,$G376=$G$8,J$8,$G376=$G$9,J$9,$G376=$G$10,J$10,$G376=$G$11,J$11,$G376=$G$12,J$12,$G376=$G$13,J$13,$G376=$G$15,J$15,$G376=$G$16,J$16,$G376=$G$17,J$17,$G376=$G$18,J$18,$G376=$G$19,J$19,$G376=$G$20,J$20,$G376=$G$21,J$21,$G376=$G$22,J$22,$G376=$G$25,J$25,$G376=$G$26,J$26,$G376=$G$27,J$27,$G376=$G$29,J$29,$G376=$G$31,J$31,$G376=$G$32,J$150,$G376=$G$248,J$248,$G376=$G$250,J$250)</f>
        <v>96.85</v>
      </c>
      <c r="K376" t="str" cm="1">
        <f t="array" ref="K376">_xlfn.IFS($G376=$G$5,K$5,$G376=$G$6,K$6,$G376=$G$7,K$7,$G376=$G$8,K$8,$G376=$G$9,K$9,$G376=$G$10,K$10,$G376=$G$11,K$11,$G376=$G$12,K$12,$G376=$G$13,K$13,$G376=$G$15,K$15,$G376=$G$16,K$16,$G376=$G$17,K$17,$G376=$G$18,K$18,$G376=$G$19,K$19,$G376=$G$20,K$20,$G376=$G$21,K$21,$G376=$G$22,K$22,$G376=$G$25,K$25,$G376=$G$26,K$26,$G376=$G$27,K$27,$G376=$G$29,K$29,$G376=$G$31,K$31,$G376=$G$32,K$150,$G376=$G$248,K$248,$G376=$G$250,K$250)</f>
        <v>BG sentinel + BG lure7</v>
      </c>
      <c r="L376" s="48"/>
      <c r="M376" s="48"/>
      <c r="O376" s="45" t="str">
        <f t="shared" si="29"/>
        <v>A_SP_BCN_18_210707</v>
      </c>
      <c r="P376" s="64">
        <v>44384</v>
      </c>
      <c r="R376" s="72"/>
      <c r="S376" s="64">
        <v>44391</v>
      </c>
      <c r="U376" s="72"/>
      <c r="V376" s="54" t="s">
        <v>66</v>
      </c>
      <c r="X376" s="45">
        <f t="shared" si="28"/>
        <v>7</v>
      </c>
      <c r="Z376" s="45" t="s">
        <v>80</v>
      </c>
      <c r="AA376" s="45">
        <f t="shared" si="27"/>
        <v>3</v>
      </c>
      <c r="AB376" t="str">
        <f t="shared" si="25"/>
        <v>Adult</v>
      </c>
      <c r="AC376" s="69">
        <v>2</v>
      </c>
      <c r="AD376" s="69">
        <v>1</v>
      </c>
      <c r="AE376" s="45" t="str">
        <f t="shared" si="26"/>
        <v>Morphological</v>
      </c>
      <c r="AF376" s="56">
        <v>4</v>
      </c>
    </row>
    <row r="377" spans="1:32" ht="18" customHeight="1" x14ac:dyDescent="0.25">
      <c r="A377" s="45">
        <v>373</v>
      </c>
      <c r="B377" s="45" t="s">
        <v>60</v>
      </c>
      <c r="C377" s="45" t="s">
        <v>61</v>
      </c>
      <c r="D377" s="45" t="s">
        <v>62</v>
      </c>
      <c r="E377" s="45" t="s">
        <v>62</v>
      </c>
      <c r="F377" s="46" cm="1">
        <f t="array" ref="F377">_xlfn.IFS($G377=$G$5,F$5,$G377=$G$6,F$6,$G377=$G$7,F$7,$G377=$G$8,F$8,$G377=$G$9,F$9,$G377=$G$10,F$10,$G377=$G$11,F$11,$G377=$G$12,F$12,$G377=$G$13,F$13,$G377=$G$15,F$15,$G377=$G$16,F$16,$G377=$G$17,F$17,$G377=$G$18,F$18,$G377=$G$19,F$19,$G377=$G$20,F$20,$G377=$G$21,F$21,$G377=$G$22,F$22,$G377=$G$25,F$25,$G377=$G$26,F$26,$G377=$G$27,F$27,$G377=$G$29,F$29,$G377=$G$31,F$31,$G377=$G$32,F$32,$G377=$G$248,F$248,$G377=$G$250,F$250)</f>
        <v>8038</v>
      </c>
      <c r="G377" t="s">
        <v>93</v>
      </c>
      <c r="H377" s="66" cm="1">
        <f t="array" ref="H377">_xlfn.IFS($G377=$G$5,H$5,$G377=$G$6,H$6,$G377=$G$7,H$7,$G377=$G$8,H$8,$G377=$G$9,H$9,$G377=$G$10,H$10,$G377=$G$11,H$11,$G377=$G$12,H$12,$G377=$G$13,H$13,$G377=$G$15,H$15,$G377=$G$16,H$16,$G377=$G$17,H$17,$G377=$G$18,H$18,$G377=$G$19,H$19,$G377=$G$20,H$20,$G377=$G$21,H$21,$G377=$G$22,H$22,$G377=$G$25,H$25,$G377=$G$26,H$26,$G377=$G$27,H$27,$G377=$G$29,H$29,$G377=$G$31,H$31,$G377=$G$32,H$150,$G377=$G$248,H$248,$G377=$G$250,H$250)</f>
        <v>41.359864999999999</v>
      </c>
      <c r="I377" s="78" cm="1">
        <f t="array" ref="I377">_xlfn.IFS($G377=$G$5,I$5,$G377=$G$6,I$6,$G377=$G$7,I$7,$G377=$G$8,I$8,$G377=$G$9,I$9,$G377=$G$10,I$10,$G377=$G$11,I$11,$G377=$G$12,I$12,$G377=$G$13,I$13,$G377=$G$15,I$15,$G377=$G$16,I$16,$G377=$G$17,I$17,$G377=$G$18,I$18,$G377=$G$19,I$19,$G377=$G$20,I$20,$G377=$G$21,I$21,$G377=$G$22,I$22,$G377=$G$25,I$25,$G377=$G$26,I$26,$G377=$G$27,I$27,$G377=$G$29,I$29,$G377=$G$31,I$31,$G377=$G$32,I$150,$G377=$G$248,I$248,$G377=$G$250,I$250)</f>
        <v>2.1445430000000001</v>
      </c>
      <c r="J377" cm="1">
        <f t="array" ref="J377">_xlfn.IFS($G377=$G$5,J$5,$G377=$G$6,J$6,$G377=$G$7,J$7,$G377=$G$8,J$8,$G377=$G$9,J$9,$G377=$G$10,J$10,$G377=$G$11,J$11,$G377=$G$12,J$12,$G377=$G$13,J$13,$G377=$G$15,J$15,$G377=$G$16,J$16,$G377=$G$17,J$17,$G377=$G$18,J$18,$G377=$G$19,J$19,$G377=$G$20,J$20,$G377=$G$21,J$21,$G377=$G$22,J$22,$G377=$G$25,J$25,$G377=$G$26,J$26,$G377=$G$27,J$27,$G377=$G$29,J$29,$G377=$G$31,J$31,$G377=$G$32,J$150,$G377=$G$248,J$248,$G377=$G$250,J$250)</f>
        <v>11.4</v>
      </c>
      <c r="K377" t="str" cm="1">
        <f t="array" ref="K377">_xlfn.IFS($G377=$G$5,K$5,$G377=$G$6,K$6,$G377=$G$7,K$7,$G377=$G$8,K$8,$G377=$G$9,K$9,$G377=$G$10,K$10,$G377=$G$11,K$11,$G377=$G$12,K$12,$G377=$G$13,K$13,$G377=$G$15,K$15,$G377=$G$16,K$16,$G377=$G$17,K$17,$G377=$G$18,K$18,$G377=$G$19,K$19,$G377=$G$20,K$20,$G377=$G$21,K$21,$G377=$G$22,K$22,$G377=$G$25,K$25,$G377=$G$26,K$26,$G377=$G$27,K$27,$G377=$G$29,K$29,$G377=$G$31,K$31,$G377=$G$32,K$150,$G377=$G$248,K$248,$G377=$G$250,K$250)</f>
        <v>BG sentinel + BG lure7</v>
      </c>
      <c r="L377" s="48"/>
      <c r="M377" s="48"/>
      <c r="O377" s="45" t="str">
        <f t="shared" si="29"/>
        <v>A_SP_BCN_19_210708</v>
      </c>
      <c r="P377" s="64">
        <v>44385</v>
      </c>
      <c r="R377" s="72"/>
      <c r="S377" s="64">
        <v>44392</v>
      </c>
      <c r="U377" s="72"/>
      <c r="V377" s="54" t="s">
        <v>66</v>
      </c>
      <c r="X377" s="45">
        <f t="shared" si="28"/>
        <v>7</v>
      </c>
      <c r="Z377" s="69" t="s">
        <v>69</v>
      </c>
      <c r="AA377" s="45">
        <f t="shared" si="27"/>
        <v>89</v>
      </c>
      <c r="AB377" t="str">
        <f t="shared" si="25"/>
        <v>Adult</v>
      </c>
      <c r="AC377" s="69">
        <v>61</v>
      </c>
      <c r="AD377" s="69">
        <v>28</v>
      </c>
      <c r="AE377" s="45" t="str">
        <f t="shared" si="26"/>
        <v>Morphological</v>
      </c>
      <c r="AF377" s="56">
        <v>4</v>
      </c>
    </row>
    <row r="378" spans="1:32" ht="18" customHeight="1" x14ac:dyDescent="0.25">
      <c r="A378" s="45">
        <v>374</v>
      </c>
      <c r="B378" s="45" t="s">
        <v>60</v>
      </c>
      <c r="C378" s="45" t="s">
        <v>61</v>
      </c>
      <c r="D378" s="45" t="s">
        <v>62</v>
      </c>
      <c r="E378" s="45" t="s">
        <v>62</v>
      </c>
      <c r="F378" s="46" cm="1">
        <f t="array" ref="F378">_xlfn.IFS($G378=$G$5,F$5,$G378=$G$6,F$6,$G378=$G$7,F$7,$G378=$G$8,F$8,$G378=$G$9,F$9,$G378=$G$10,F$10,$G378=$G$11,F$11,$G378=$G$12,F$12,$G378=$G$13,F$13,$G378=$G$15,F$15,$G378=$G$16,F$16,$G378=$G$17,F$17,$G378=$G$18,F$18,$G378=$G$19,F$19,$G378=$G$20,F$20,$G378=$G$21,F$21,$G378=$G$22,F$22,$G378=$G$25,F$25,$G378=$G$26,F$26,$G378=$G$27,F$27,$G378=$G$29,F$29,$G378=$G$31,F$31,$G378=$G$32,F$32,$G378=$G$248,F$248,$G378=$G$250,F$250)</f>
        <v>8038</v>
      </c>
      <c r="G378" t="s">
        <v>93</v>
      </c>
      <c r="H378" s="66" cm="1">
        <f t="array" ref="H378">_xlfn.IFS($G378=$G$5,H$5,$G378=$G$6,H$6,$G378=$G$7,H$7,$G378=$G$8,H$8,$G378=$G$9,H$9,$G378=$G$10,H$10,$G378=$G$11,H$11,$G378=$G$12,H$12,$G378=$G$13,H$13,$G378=$G$15,H$15,$G378=$G$16,H$16,$G378=$G$17,H$17,$G378=$G$18,H$18,$G378=$G$19,H$19,$G378=$G$20,H$20,$G378=$G$21,H$21,$G378=$G$22,H$22,$G378=$G$25,H$25,$G378=$G$26,H$26,$G378=$G$27,H$27,$G378=$G$29,H$29,$G378=$G$31,H$31,$G378=$G$32,H$150,$G378=$G$248,H$248,$G378=$G$250,H$250)</f>
        <v>41.359864999999999</v>
      </c>
      <c r="I378" s="78" cm="1">
        <f t="array" ref="I378">_xlfn.IFS($G378=$G$5,I$5,$G378=$G$6,I$6,$G378=$G$7,I$7,$G378=$G$8,I$8,$G378=$G$9,I$9,$G378=$G$10,I$10,$G378=$G$11,I$11,$G378=$G$12,I$12,$G378=$G$13,I$13,$G378=$G$15,I$15,$G378=$G$16,I$16,$G378=$G$17,I$17,$G378=$G$18,I$18,$G378=$G$19,I$19,$G378=$G$20,I$20,$G378=$G$21,I$21,$G378=$G$22,I$22,$G378=$G$25,I$25,$G378=$G$26,I$26,$G378=$G$27,I$27,$G378=$G$29,I$29,$G378=$G$31,I$31,$G378=$G$32,I$150,$G378=$G$248,I$248,$G378=$G$250,I$250)</f>
        <v>2.1445430000000001</v>
      </c>
      <c r="J378" cm="1">
        <f t="array" ref="J378">_xlfn.IFS($G378=$G$5,J$5,$G378=$G$6,J$6,$G378=$G$7,J$7,$G378=$G$8,J$8,$G378=$G$9,J$9,$G378=$G$10,J$10,$G378=$G$11,J$11,$G378=$G$12,J$12,$G378=$G$13,J$13,$G378=$G$15,J$15,$G378=$G$16,J$16,$G378=$G$17,J$17,$G378=$G$18,J$18,$G378=$G$19,J$19,$G378=$G$20,J$20,$G378=$G$21,J$21,$G378=$G$22,J$22,$G378=$G$25,J$25,$G378=$G$26,J$26,$G378=$G$27,J$27,$G378=$G$29,J$29,$G378=$G$31,J$31,$G378=$G$32,J$150,$G378=$G$248,J$248,$G378=$G$250,J$250)</f>
        <v>11.4</v>
      </c>
      <c r="K378" t="str" cm="1">
        <f t="array" ref="K378">_xlfn.IFS($G378=$G$5,K$5,$G378=$G$6,K$6,$G378=$G$7,K$7,$G378=$G$8,K$8,$G378=$G$9,K$9,$G378=$G$10,K$10,$G378=$G$11,K$11,$G378=$G$12,K$12,$G378=$G$13,K$13,$G378=$G$15,K$15,$G378=$G$16,K$16,$G378=$G$17,K$17,$G378=$G$18,K$18,$G378=$G$19,K$19,$G378=$G$20,K$20,$G378=$G$21,K$21,$G378=$G$22,K$22,$G378=$G$25,K$25,$G378=$G$26,K$26,$G378=$G$27,K$27,$G378=$G$29,K$29,$G378=$G$31,K$31,$G378=$G$32,K$150,$G378=$G$248,K$248,$G378=$G$250,K$250)</f>
        <v>BG sentinel + BG lure7</v>
      </c>
      <c r="L378" s="48"/>
      <c r="M378" s="48"/>
      <c r="O378" s="45" t="str">
        <f t="shared" si="29"/>
        <v>A_SP_BCN_19_210708</v>
      </c>
      <c r="P378" s="64">
        <v>44385</v>
      </c>
      <c r="R378" s="72"/>
      <c r="S378" s="64">
        <v>44392</v>
      </c>
      <c r="U378" s="72"/>
      <c r="V378" s="54" t="s">
        <v>66</v>
      </c>
      <c r="X378" s="45">
        <f t="shared" si="28"/>
        <v>7</v>
      </c>
      <c r="Z378" s="45" t="s">
        <v>70</v>
      </c>
      <c r="AA378" s="45">
        <f t="shared" si="27"/>
        <v>111</v>
      </c>
      <c r="AB378" t="str">
        <f t="shared" si="25"/>
        <v>Adult</v>
      </c>
      <c r="AC378" s="69">
        <v>107</v>
      </c>
      <c r="AD378" s="69">
        <v>4</v>
      </c>
      <c r="AE378" s="45" t="str">
        <f t="shared" si="26"/>
        <v>Morphological</v>
      </c>
      <c r="AF378" s="56">
        <v>4</v>
      </c>
    </row>
    <row r="379" spans="1:32" ht="18" customHeight="1" x14ac:dyDescent="0.25">
      <c r="A379" s="45">
        <v>375</v>
      </c>
      <c r="B379" s="45" t="s">
        <v>60</v>
      </c>
      <c r="C379" s="45" t="s">
        <v>61</v>
      </c>
      <c r="D379" s="45" t="s">
        <v>62</v>
      </c>
      <c r="E379" s="45" t="s">
        <v>62</v>
      </c>
      <c r="F379" s="46" cm="1">
        <f t="array" ref="F379">_xlfn.IFS($G379=$G$5,F$5,$G379=$G$6,F$6,$G379=$G$7,F$7,$G379=$G$8,F$8,$G379=$G$9,F$9,$G379=$G$10,F$10,$G379=$G$11,F$11,$G379=$G$12,F$12,$G379=$G$13,F$13,$G379=$G$15,F$15,$G379=$G$16,F$16,$G379=$G$17,F$17,$G379=$G$18,F$18,$G379=$G$19,F$19,$G379=$G$20,F$20,$G379=$G$21,F$21,$G379=$G$22,F$22,$G379=$G$25,F$25,$G379=$G$26,F$26,$G379=$G$27,F$27,$G379=$G$29,F$29,$G379=$G$31,F$31,$G379=$G$32,F$32,$G379=$G$248,F$248,$G379=$G$250,F$250)</f>
        <v>8038</v>
      </c>
      <c r="G379" t="s">
        <v>93</v>
      </c>
      <c r="H379" s="66" cm="1">
        <f t="array" ref="H379">_xlfn.IFS($G379=$G$5,H$5,$G379=$G$6,H$6,$G379=$G$7,H$7,$G379=$G$8,H$8,$G379=$G$9,H$9,$G379=$G$10,H$10,$G379=$G$11,H$11,$G379=$G$12,H$12,$G379=$G$13,H$13,$G379=$G$15,H$15,$G379=$G$16,H$16,$G379=$G$17,H$17,$G379=$G$18,H$18,$G379=$G$19,H$19,$G379=$G$20,H$20,$G379=$G$21,H$21,$G379=$G$22,H$22,$G379=$G$25,H$25,$G379=$G$26,H$26,$G379=$G$27,H$27,$G379=$G$29,H$29,$G379=$G$31,H$31,$G379=$G$32,H$150,$G379=$G$248,H$248,$G379=$G$250,H$250)</f>
        <v>41.359864999999999</v>
      </c>
      <c r="I379" s="78" cm="1">
        <f t="array" ref="I379">_xlfn.IFS($G379=$G$5,I$5,$G379=$G$6,I$6,$G379=$G$7,I$7,$G379=$G$8,I$8,$G379=$G$9,I$9,$G379=$G$10,I$10,$G379=$G$11,I$11,$G379=$G$12,I$12,$G379=$G$13,I$13,$G379=$G$15,I$15,$G379=$G$16,I$16,$G379=$G$17,I$17,$G379=$G$18,I$18,$G379=$G$19,I$19,$G379=$G$20,I$20,$G379=$G$21,I$21,$G379=$G$22,I$22,$G379=$G$25,I$25,$G379=$G$26,I$26,$G379=$G$27,I$27,$G379=$G$29,I$29,$G379=$G$31,I$31,$G379=$G$32,I$150,$G379=$G$248,I$248,$G379=$G$250,I$250)</f>
        <v>2.1445430000000001</v>
      </c>
      <c r="J379" cm="1">
        <f t="array" ref="J379">_xlfn.IFS($G379=$G$5,J$5,$G379=$G$6,J$6,$G379=$G$7,J$7,$G379=$G$8,J$8,$G379=$G$9,J$9,$G379=$G$10,J$10,$G379=$G$11,J$11,$G379=$G$12,J$12,$G379=$G$13,J$13,$G379=$G$15,J$15,$G379=$G$16,J$16,$G379=$G$17,J$17,$G379=$G$18,J$18,$G379=$G$19,J$19,$G379=$G$20,J$20,$G379=$G$21,J$21,$G379=$G$22,J$22,$G379=$G$25,J$25,$G379=$G$26,J$26,$G379=$G$27,J$27,$G379=$G$29,J$29,$G379=$G$31,J$31,$G379=$G$32,J$150,$G379=$G$248,J$248,$G379=$G$250,J$250)</f>
        <v>11.4</v>
      </c>
      <c r="K379" t="str" cm="1">
        <f t="array" ref="K379">_xlfn.IFS($G379=$G$5,K$5,$G379=$G$6,K$6,$G379=$G$7,K$7,$G379=$G$8,K$8,$G379=$G$9,K$9,$G379=$G$10,K$10,$G379=$G$11,K$11,$G379=$G$12,K$12,$G379=$G$13,K$13,$G379=$G$15,K$15,$G379=$G$16,K$16,$G379=$G$17,K$17,$G379=$G$18,K$18,$G379=$G$19,K$19,$G379=$G$20,K$20,$G379=$G$21,K$21,$G379=$G$22,K$22,$G379=$G$25,K$25,$G379=$G$26,K$26,$G379=$G$27,K$27,$G379=$G$29,K$29,$G379=$G$31,K$31,$G379=$G$32,K$150,$G379=$G$248,K$248,$G379=$G$250,K$250)</f>
        <v>BG sentinel + BG lure7</v>
      </c>
      <c r="L379" s="48"/>
      <c r="M379" s="48"/>
      <c r="O379" s="45" t="str">
        <f t="shared" si="29"/>
        <v>A_SP_BCN_19_210708</v>
      </c>
      <c r="P379" s="64">
        <v>44385</v>
      </c>
      <c r="R379" s="72"/>
      <c r="S379" s="64">
        <v>44392</v>
      </c>
      <c r="U379" s="72"/>
      <c r="V379" s="54" t="s">
        <v>66</v>
      </c>
      <c r="X379" s="45">
        <f t="shared" si="28"/>
        <v>7</v>
      </c>
      <c r="Z379" s="45" t="s">
        <v>80</v>
      </c>
      <c r="AA379" s="45">
        <f t="shared" si="27"/>
        <v>1</v>
      </c>
      <c r="AB379" t="str">
        <f t="shared" si="25"/>
        <v>Adult</v>
      </c>
      <c r="AC379" s="69">
        <v>1</v>
      </c>
      <c r="AD379" s="69">
        <v>0</v>
      </c>
      <c r="AE379" s="45" t="str">
        <f t="shared" si="26"/>
        <v>Morphological</v>
      </c>
      <c r="AF379" s="56">
        <v>4</v>
      </c>
    </row>
    <row r="380" spans="1:32" ht="18" customHeight="1" x14ac:dyDescent="0.25">
      <c r="A380" s="45">
        <v>376</v>
      </c>
      <c r="B380" s="45" t="s">
        <v>60</v>
      </c>
      <c r="C380" s="45" t="s">
        <v>61</v>
      </c>
      <c r="D380" s="45" t="s">
        <v>62</v>
      </c>
      <c r="E380" s="45" t="s">
        <v>62</v>
      </c>
      <c r="F380" s="46" cm="1">
        <f t="array" ref="F380">_xlfn.IFS($G380=$G$5,F$5,$G380=$G$6,F$6,$G380=$G$7,F$7,$G380=$G$8,F$8,$G380=$G$9,F$9,$G380=$G$10,F$10,$G380=$G$11,F$11,$G380=$G$12,F$12,$G380=$G$13,F$13,$G380=$G$15,F$15,$G380=$G$16,F$16,$G380=$G$17,F$17,$G380=$G$18,F$18,$G380=$G$19,F$19,$G380=$G$20,F$20,$G380=$G$21,F$21,$G380=$G$22,F$22,$G380=$G$25,F$25,$G380=$G$26,F$26,$G380=$G$27,F$27,$G380=$G$29,F$29,$G380=$G$31,F$31,$G380=$G$32,F$32,$G380=$G$248,F$248,$G380=$G$250,F$250)</f>
        <v>8017</v>
      </c>
      <c r="G380" t="s">
        <v>98</v>
      </c>
      <c r="H380" s="66" cm="1">
        <f t="array" ref="H380">_xlfn.IFS($G380=$G$5,H$5,$G380=$G$6,H$6,$G380=$G$7,H$7,$G380=$G$8,H$8,$G380=$G$9,H$9,$G380=$G$10,H$10,$G380=$G$11,H$11,$G380=$G$12,H$12,$G380=$G$13,H$13,$G380=$G$15,H$15,$G380=$G$16,H$16,$G380=$G$17,H$17,$G380=$G$18,H$18,$G380=$G$19,H$19,$G380=$G$20,H$20,$G380=$G$21,H$21,$G380=$G$22,H$22,$G380=$G$25,H$25,$G380=$G$26,H$26,$G380=$G$27,H$27,$G380=$G$29,H$29,$G380=$G$31,H$31,$G380=$G$32,H$150,$G380=$G$248,H$248,$G380=$G$250,H$250)</f>
        <v>41.430315999999998</v>
      </c>
      <c r="I380" s="78" cm="1">
        <f t="array" ref="I380">_xlfn.IFS($G380=$G$5,I$5,$G380=$G$6,I$6,$G380=$G$7,I$7,$G380=$G$8,I$8,$G380=$G$9,I$9,$G380=$G$10,I$10,$G380=$G$11,I$11,$G380=$G$12,I$12,$G380=$G$13,I$13,$G380=$G$15,I$15,$G380=$G$16,I$16,$G380=$G$17,I$17,$G380=$G$18,I$18,$G380=$G$19,I$19,$G380=$G$20,I$20,$G380=$G$21,I$21,$G380=$G$22,I$22,$G380=$G$25,I$25,$G380=$G$26,I$26,$G380=$G$27,I$27,$G380=$G$29,I$29,$G380=$G$31,I$31,$G380=$G$32,I$150,$G380=$G$248,I$248,$G380=$G$250,I$250)</f>
        <v>2.077556</v>
      </c>
      <c r="J380" cm="1">
        <f t="array" ref="J380">_xlfn.IFS($G380=$G$5,J$5,$G380=$G$6,J$6,$G380=$G$7,J$7,$G380=$G$8,J$8,$G380=$G$9,J$9,$G380=$G$10,J$10,$G380=$G$11,J$11,$G380=$G$12,J$12,$G380=$G$13,J$13,$G380=$G$15,J$15,$G380=$G$16,J$16,$G380=$G$17,J$17,$G380=$G$18,J$18,$G380=$G$19,J$19,$G380=$G$20,J$20,$G380=$G$21,J$21,$G380=$G$22,J$22,$G380=$G$25,J$25,$G380=$G$26,J$26,$G380=$G$27,J$27,$G380=$G$29,J$29,$G380=$G$31,J$31,$G380=$G$32,J$150,$G380=$G$248,J$248,$G380=$G$250,J$250)</f>
        <v>243.3</v>
      </c>
      <c r="K380" t="str" cm="1">
        <f t="array" ref="K380">_xlfn.IFS($G380=$G$5,K$5,$G380=$G$6,K$6,$G380=$G$7,K$7,$G380=$G$8,K$8,$G380=$G$9,K$9,$G380=$G$10,K$10,$G380=$G$11,K$11,$G380=$G$12,K$12,$G380=$G$13,K$13,$G380=$G$15,K$15,$G380=$G$16,K$16,$G380=$G$17,K$17,$G380=$G$18,K$18,$G380=$G$19,K$19,$G380=$G$20,K$20,$G380=$G$21,K$21,$G380=$G$22,K$22,$G380=$G$25,K$25,$G380=$G$26,K$26,$G380=$G$27,K$27,$G380=$G$29,K$29,$G380=$G$31,K$31,$G380=$G$32,K$150,$G380=$G$248,K$248,$G380=$G$250,K$250)</f>
        <v>BG sentinel + BG lure7</v>
      </c>
      <c r="L380" s="48"/>
      <c r="M380" s="48"/>
      <c r="O380" s="45" t="str">
        <f t="shared" ref="O380:O444" si="30">G380&amp;"_"&amp;TEXT(P380, "AAMMDD")</f>
        <v>A_SP_BCN_22_210707</v>
      </c>
      <c r="P380" s="64">
        <v>44384</v>
      </c>
      <c r="R380" s="72"/>
      <c r="S380" s="64">
        <v>44391</v>
      </c>
      <c r="U380" s="72"/>
      <c r="V380" s="54" t="s">
        <v>66</v>
      </c>
      <c r="X380" s="45">
        <f t="shared" ref="X380:X444" si="31">S380-P380</f>
        <v>7</v>
      </c>
      <c r="Z380" s="69" t="s">
        <v>69</v>
      </c>
      <c r="AA380" s="45">
        <f t="shared" ref="AA380:AA435" si="32">SUM(AC380:AD380)</f>
        <v>2</v>
      </c>
      <c r="AB380" t="str">
        <f t="shared" ref="AB380:AB444" si="33">IF(AA380=0,"",IF(AA380="","",IF(AA380&gt;0,"Adult")))</f>
        <v>Adult</v>
      </c>
      <c r="AC380" s="69">
        <v>2</v>
      </c>
      <c r="AD380" s="69">
        <v>0</v>
      </c>
      <c r="AE380" s="45" t="str">
        <f t="shared" ref="AE380:AE444" si="34">IF(AA380=0,"",IF(AA380="","",IF(AA380&gt;0,"Morphological")))</f>
        <v>Morphological</v>
      </c>
      <c r="AF380" s="56">
        <v>4</v>
      </c>
    </row>
    <row r="381" spans="1:32" ht="18" customHeight="1" x14ac:dyDescent="0.25">
      <c r="A381" s="45">
        <v>377</v>
      </c>
      <c r="B381" s="45" t="s">
        <v>60</v>
      </c>
      <c r="C381" s="45" t="s">
        <v>61</v>
      </c>
      <c r="D381" s="45" t="s">
        <v>62</v>
      </c>
      <c r="E381" s="45" t="s">
        <v>62</v>
      </c>
      <c r="F381" s="46" cm="1">
        <f t="array" ref="F381">_xlfn.IFS($G381=$G$5,F$5,$G381=$G$6,F$6,$G381=$G$7,F$7,$G381=$G$8,F$8,$G381=$G$9,F$9,$G381=$G$10,F$10,$G381=$G$11,F$11,$G381=$G$12,F$12,$G381=$G$13,F$13,$G381=$G$15,F$15,$G381=$G$16,F$16,$G381=$G$17,F$17,$G381=$G$18,F$18,$G381=$G$19,F$19,$G381=$G$20,F$20,$G381=$G$21,F$21,$G381=$G$22,F$22,$G381=$G$25,F$25,$G381=$G$26,F$26,$G381=$G$27,F$27,$G381=$G$29,F$29,$G381=$G$31,F$31,$G381=$G$32,F$32,$G381=$G$248,F$248,$G381=$G$250,F$250)</f>
        <v>8038</v>
      </c>
      <c r="G381" t="s">
        <v>103</v>
      </c>
      <c r="H381" s="66" cm="1">
        <f t="array" ref="H381">_xlfn.IFS($G381=$G$5,H$5,$G381=$G$6,H$6,$G381=$G$7,H$7,$G381=$G$8,H$8,$G381=$G$9,H$9,$G381=$G$10,H$10,$G381=$G$11,H$11,$G381=$G$12,H$12,$G381=$G$13,H$13,$G381=$G$15,H$15,$G381=$G$16,H$16,$G381=$G$17,H$17,$G381=$G$18,H$18,$G381=$G$19,H$19,$G381=$G$20,H$20,$G381=$G$21,H$21,$G381=$G$22,H$22,$G381=$G$25,H$25,$G381=$G$26,H$26,$G381=$G$27,H$27,$G381=$G$29,H$29,$G381=$G$31,H$31,$G381=$G$32,H$150,$G381=$G$248,H$248,$G381=$G$250,H$250)</f>
        <v>41.367100000000001</v>
      </c>
      <c r="I381" s="78" cm="1">
        <f t="array" ref="I381">_xlfn.IFS($G381=$G$5,I$5,$G381=$G$6,I$6,$G381=$G$7,I$7,$G381=$G$8,I$8,$G381=$G$9,I$9,$G381=$G$10,I$10,$G381=$G$11,I$11,$G381=$G$12,I$12,$G381=$G$13,I$13,$G381=$G$15,I$15,$G381=$G$16,I$16,$G381=$G$17,I$17,$G381=$G$18,I$18,$G381=$G$19,I$19,$G381=$G$20,I$20,$G381=$G$21,I$21,$G381=$G$22,I$22,$G381=$G$25,I$25,$G381=$G$26,I$26,$G381=$G$27,I$27,$G381=$G$29,I$29,$G381=$G$31,I$31,$G381=$G$32,I$150,$G381=$G$248,I$248,$G381=$G$250,I$250)</f>
        <v>2.1539079999999999</v>
      </c>
      <c r="J381" cm="1">
        <f t="array" ref="J381">_xlfn.IFS($G381=$G$5,J$5,$G381=$G$6,J$6,$G381=$G$7,J$7,$G381=$G$8,J$8,$G381=$G$9,J$9,$G381=$G$10,J$10,$G381=$G$11,J$11,$G381=$G$12,J$12,$G381=$G$13,J$13,$G381=$G$15,J$15,$G381=$G$16,J$16,$G381=$G$17,J$17,$G381=$G$18,J$18,$G381=$G$19,J$19,$G381=$G$20,J$20,$G381=$G$21,J$21,$G381=$G$22,J$22,$G381=$G$25,J$25,$G381=$G$26,J$26,$G381=$G$27,J$27,$G381=$G$29,J$29,$G381=$G$31,J$31,$G381=$G$32,J$150,$G381=$G$248,J$248,$G381=$G$250,J$250)</f>
        <v>68</v>
      </c>
      <c r="K381" t="str" cm="1">
        <f t="array" ref="K381">_xlfn.IFS($G381=$G$5,K$5,$G381=$G$6,K$6,$G381=$G$7,K$7,$G381=$G$8,K$8,$G381=$G$9,K$9,$G381=$G$10,K$10,$G381=$G$11,K$11,$G381=$G$12,K$12,$G381=$G$13,K$13,$G381=$G$15,K$15,$G381=$G$16,K$16,$G381=$G$17,K$17,$G381=$G$18,K$18,$G381=$G$19,K$19,$G381=$G$20,K$20,$G381=$G$21,K$21,$G381=$G$22,K$22,$G381=$G$25,K$25,$G381=$G$26,K$26,$G381=$G$27,K$27,$G381=$G$29,K$29,$G381=$G$31,K$31,$G381=$G$32,K$150,$G381=$G$248,K$248,$G381=$G$250,K$250)</f>
        <v>BG sentinel + BG lure7</v>
      </c>
      <c r="L381" s="48"/>
      <c r="M381" s="48"/>
      <c r="O381" s="45" t="str">
        <f t="shared" si="30"/>
        <v>A_SP_BCN_23_210708</v>
      </c>
      <c r="P381" s="64">
        <v>44385</v>
      </c>
      <c r="R381" s="72"/>
      <c r="S381" s="64">
        <v>44392</v>
      </c>
      <c r="U381" s="72"/>
      <c r="V381" s="54" t="s">
        <v>66</v>
      </c>
      <c r="X381" s="45">
        <f t="shared" si="31"/>
        <v>7</v>
      </c>
      <c r="Z381" s="69" t="s">
        <v>69</v>
      </c>
      <c r="AA381" s="45">
        <f t="shared" si="32"/>
        <v>16</v>
      </c>
      <c r="AB381" t="str">
        <f t="shared" si="33"/>
        <v>Adult</v>
      </c>
      <c r="AC381" s="69">
        <v>12</v>
      </c>
      <c r="AD381" s="69">
        <v>4</v>
      </c>
      <c r="AE381" s="45" t="str">
        <f t="shared" si="34"/>
        <v>Morphological</v>
      </c>
      <c r="AF381" s="56">
        <v>4</v>
      </c>
    </row>
    <row r="382" spans="1:32" ht="18" customHeight="1" x14ac:dyDescent="0.25">
      <c r="A382" s="45">
        <v>378</v>
      </c>
      <c r="B382" s="45" t="s">
        <v>60</v>
      </c>
      <c r="C382" s="45" t="s">
        <v>61</v>
      </c>
      <c r="D382" s="45" t="s">
        <v>62</v>
      </c>
      <c r="E382" s="45" t="s">
        <v>62</v>
      </c>
      <c r="F382" s="46" cm="1">
        <f t="array" ref="F382">_xlfn.IFS($G382=$G$5,F$5,$G382=$G$6,F$6,$G382=$G$7,F$7,$G382=$G$8,F$8,$G382=$G$9,F$9,$G382=$G$10,F$10,$G382=$G$11,F$11,$G382=$G$12,F$12,$G382=$G$13,F$13,$G382=$G$15,F$15,$G382=$G$16,F$16,$G382=$G$17,F$17,$G382=$G$18,F$18,$G382=$G$19,F$19,$G382=$G$20,F$20,$G382=$G$21,F$21,$G382=$G$22,F$22,$G382=$G$25,F$25,$G382=$G$26,F$26,$G382=$G$27,F$27,$G382=$G$29,F$29,$G382=$G$31,F$31,$G382=$G$32,F$32,$G382=$G$248,F$248,$G382=$G$250,F$250)</f>
        <v>8038</v>
      </c>
      <c r="G382" t="s">
        <v>103</v>
      </c>
      <c r="H382" s="66" cm="1">
        <f t="array" ref="H382">_xlfn.IFS($G382=$G$5,H$5,$G382=$G$6,H$6,$G382=$G$7,H$7,$G382=$G$8,H$8,$G382=$G$9,H$9,$G382=$G$10,H$10,$G382=$G$11,H$11,$G382=$G$12,H$12,$G382=$G$13,H$13,$G382=$G$15,H$15,$G382=$G$16,H$16,$G382=$G$17,H$17,$G382=$G$18,H$18,$G382=$G$19,H$19,$G382=$G$20,H$20,$G382=$G$21,H$21,$G382=$G$22,H$22,$G382=$G$25,H$25,$G382=$G$26,H$26,$G382=$G$27,H$27,$G382=$G$29,H$29,$G382=$G$31,H$31,$G382=$G$32,H$150,$G382=$G$248,H$248,$G382=$G$250,H$250)</f>
        <v>41.367100000000001</v>
      </c>
      <c r="I382" s="78" cm="1">
        <f t="array" ref="I382">_xlfn.IFS($G382=$G$5,I$5,$G382=$G$6,I$6,$G382=$G$7,I$7,$G382=$G$8,I$8,$G382=$G$9,I$9,$G382=$G$10,I$10,$G382=$G$11,I$11,$G382=$G$12,I$12,$G382=$G$13,I$13,$G382=$G$15,I$15,$G382=$G$16,I$16,$G382=$G$17,I$17,$G382=$G$18,I$18,$G382=$G$19,I$19,$G382=$G$20,I$20,$G382=$G$21,I$21,$G382=$G$22,I$22,$G382=$G$25,I$25,$G382=$G$26,I$26,$G382=$G$27,I$27,$G382=$G$29,I$29,$G382=$G$31,I$31,$G382=$G$32,I$150,$G382=$G$248,I$248,$G382=$G$250,I$250)</f>
        <v>2.1539079999999999</v>
      </c>
      <c r="J382" cm="1">
        <f t="array" ref="J382">_xlfn.IFS($G382=$G$5,J$5,$G382=$G$6,J$6,$G382=$G$7,J$7,$G382=$G$8,J$8,$G382=$G$9,J$9,$G382=$G$10,J$10,$G382=$G$11,J$11,$G382=$G$12,J$12,$G382=$G$13,J$13,$G382=$G$15,J$15,$G382=$G$16,J$16,$G382=$G$17,J$17,$G382=$G$18,J$18,$G382=$G$19,J$19,$G382=$G$20,J$20,$G382=$G$21,J$21,$G382=$G$22,J$22,$G382=$G$25,J$25,$G382=$G$26,J$26,$G382=$G$27,J$27,$G382=$G$29,J$29,$G382=$G$31,J$31,$G382=$G$32,J$150,$G382=$G$248,J$248,$G382=$G$250,J$250)</f>
        <v>68</v>
      </c>
      <c r="K382" t="str" cm="1">
        <f t="array" ref="K382">_xlfn.IFS($G382=$G$5,K$5,$G382=$G$6,K$6,$G382=$G$7,K$7,$G382=$G$8,K$8,$G382=$G$9,K$9,$G382=$G$10,K$10,$G382=$G$11,K$11,$G382=$G$12,K$12,$G382=$G$13,K$13,$G382=$G$15,K$15,$G382=$G$16,K$16,$G382=$G$17,K$17,$G382=$G$18,K$18,$G382=$G$19,K$19,$G382=$G$20,K$20,$G382=$G$21,K$21,$G382=$G$22,K$22,$G382=$G$25,K$25,$G382=$G$26,K$26,$G382=$G$27,K$27,$G382=$G$29,K$29,$G382=$G$31,K$31,$G382=$G$32,K$150,$G382=$G$248,K$248,$G382=$G$250,K$250)</f>
        <v>BG sentinel + BG lure7</v>
      </c>
      <c r="L382" s="48"/>
      <c r="M382" s="48"/>
      <c r="O382" s="45" t="str">
        <f t="shared" si="30"/>
        <v>A_SP_BCN_23_210708</v>
      </c>
      <c r="P382" s="64">
        <v>44385</v>
      </c>
      <c r="R382" s="72"/>
      <c r="S382" s="64">
        <v>44392</v>
      </c>
      <c r="U382" s="72"/>
      <c r="V382" s="54" t="s">
        <v>66</v>
      </c>
      <c r="X382" s="45">
        <f t="shared" si="31"/>
        <v>7</v>
      </c>
      <c r="Z382" s="45" t="s">
        <v>70</v>
      </c>
      <c r="AA382" s="45">
        <f t="shared" si="32"/>
        <v>7</v>
      </c>
      <c r="AB382" t="str">
        <f t="shared" si="33"/>
        <v>Adult</v>
      </c>
      <c r="AC382" s="69">
        <v>2</v>
      </c>
      <c r="AD382" s="69">
        <v>5</v>
      </c>
      <c r="AE382" s="45" t="str">
        <f t="shared" si="34"/>
        <v>Morphological</v>
      </c>
      <c r="AF382" s="56">
        <v>4</v>
      </c>
    </row>
    <row r="383" spans="1:32" ht="18" customHeight="1" x14ac:dyDescent="0.25">
      <c r="A383" s="45">
        <v>379</v>
      </c>
      <c r="B383" s="45" t="s">
        <v>60</v>
      </c>
      <c r="C383" s="45" t="s">
        <v>61</v>
      </c>
      <c r="D383" s="45" t="s">
        <v>62</v>
      </c>
      <c r="E383" s="45" t="s">
        <v>62</v>
      </c>
      <c r="F383" s="46" cm="1">
        <f t="array" ref="F383">_xlfn.IFS($G383=$G$5,F$5,$G383=$G$6,F$6,$G383=$G$7,F$7,$G383=$G$8,F$8,$G383=$G$9,F$9,$G383=$G$10,F$10,$G383=$G$11,F$11,$G383=$G$12,F$12,$G383=$G$13,F$13,$G383=$G$15,F$15,$G383=$G$16,F$16,$G383=$G$17,F$17,$G383=$G$18,F$18,$G383=$G$19,F$19,$G383=$G$20,F$20,$G383=$G$21,F$21,$G383=$G$22,F$22,$G383=$G$25,F$25,$G383=$G$26,F$26,$G383=$G$27,F$27,$G383=$G$29,F$29,$G383=$G$31,F$31,$G383=$G$32,F$32,$G383=$G$248,F$248,$G383=$G$250,F$250)</f>
        <v>8038</v>
      </c>
      <c r="G383" t="s">
        <v>103</v>
      </c>
      <c r="H383" s="66" cm="1">
        <f t="array" ref="H383">_xlfn.IFS($G383=$G$5,H$5,$G383=$G$6,H$6,$G383=$G$7,H$7,$G383=$G$8,H$8,$G383=$G$9,H$9,$G383=$G$10,H$10,$G383=$G$11,H$11,$G383=$G$12,H$12,$G383=$G$13,H$13,$G383=$G$15,H$15,$G383=$G$16,H$16,$G383=$G$17,H$17,$G383=$G$18,H$18,$G383=$G$19,H$19,$G383=$G$20,H$20,$G383=$G$21,H$21,$G383=$G$22,H$22,$G383=$G$25,H$25,$G383=$G$26,H$26,$G383=$G$27,H$27,$G383=$G$29,H$29,$G383=$G$31,H$31,$G383=$G$32,H$150,$G383=$G$248,H$248,$G383=$G$250,H$250)</f>
        <v>41.367100000000001</v>
      </c>
      <c r="I383" s="78" cm="1">
        <f t="array" ref="I383">_xlfn.IFS($G383=$G$5,I$5,$G383=$G$6,I$6,$G383=$G$7,I$7,$G383=$G$8,I$8,$G383=$G$9,I$9,$G383=$G$10,I$10,$G383=$G$11,I$11,$G383=$G$12,I$12,$G383=$G$13,I$13,$G383=$G$15,I$15,$G383=$G$16,I$16,$G383=$G$17,I$17,$G383=$G$18,I$18,$G383=$G$19,I$19,$G383=$G$20,I$20,$G383=$G$21,I$21,$G383=$G$22,I$22,$G383=$G$25,I$25,$G383=$G$26,I$26,$G383=$G$27,I$27,$G383=$G$29,I$29,$G383=$G$31,I$31,$G383=$G$32,I$150,$G383=$G$248,I$248,$G383=$G$250,I$250)</f>
        <v>2.1539079999999999</v>
      </c>
      <c r="J383" cm="1">
        <f t="array" ref="J383">_xlfn.IFS($G383=$G$5,J$5,$G383=$G$6,J$6,$G383=$G$7,J$7,$G383=$G$8,J$8,$G383=$G$9,J$9,$G383=$G$10,J$10,$G383=$G$11,J$11,$G383=$G$12,J$12,$G383=$G$13,J$13,$G383=$G$15,J$15,$G383=$G$16,J$16,$G383=$G$17,J$17,$G383=$G$18,J$18,$G383=$G$19,J$19,$G383=$G$20,J$20,$G383=$G$21,J$21,$G383=$G$22,J$22,$G383=$G$25,J$25,$G383=$G$26,J$26,$G383=$G$27,J$27,$G383=$G$29,J$29,$G383=$G$31,J$31,$G383=$G$32,J$150,$G383=$G$248,J$248,$G383=$G$250,J$250)</f>
        <v>68</v>
      </c>
      <c r="K383" t="str" cm="1">
        <f t="array" ref="K383">_xlfn.IFS($G383=$G$5,K$5,$G383=$G$6,K$6,$G383=$G$7,K$7,$G383=$G$8,K$8,$G383=$G$9,K$9,$G383=$G$10,K$10,$G383=$G$11,K$11,$G383=$G$12,K$12,$G383=$G$13,K$13,$G383=$G$15,K$15,$G383=$G$16,K$16,$G383=$G$17,K$17,$G383=$G$18,K$18,$G383=$G$19,K$19,$G383=$G$20,K$20,$G383=$G$21,K$21,$G383=$G$22,K$22,$G383=$G$25,K$25,$G383=$G$26,K$26,$G383=$G$27,K$27,$G383=$G$29,K$29,$G383=$G$31,K$31,$G383=$G$32,K$150,$G383=$G$248,K$248,$G383=$G$250,K$250)</f>
        <v>BG sentinel + BG lure7</v>
      </c>
      <c r="L383" s="48"/>
      <c r="M383" s="48"/>
      <c r="O383" s="45" t="str">
        <f t="shared" si="30"/>
        <v>A_SP_BCN_23_210708</v>
      </c>
      <c r="P383" s="64">
        <v>44385</v>
      </c>
      <c r="R383" s="72"/>
      <c r="S383" s="64">
        <v>44392</v>
      </c>
      <c r="U383" s="72"/>
      <c r="V383" s="54" t="s">
        <v>66</v>
      </c>
      <c r="X383" s="45">
        <f t="shared" si="31"/>
        <v>7</v>
      </c>
      <c r="Z383" s="45" t="s">
        <v>80</v>
      </c>
      <c r="AA383" s="45">
        <f t="shared" si="32"/>
        <v>1</v>
      </c>
      <c r="AB383" t="str">
        <f t="shared" si="33"/>
        <v>Adult</v>
      </c>
      <c r="AC383" s="69">
        <v>0</v>
      </c>
      <c r="AD383" s="69">
        <v>1</v>
      </c>
      <c r="AE383" s="45" t="str">
        <f t="shared" si="34"/>
        <v>Morphological</v>
      </c>
      <c r="AF383" s="56">
        <v>4</v>
      </c>
    </row>
    <row r="384" spans="1:32" ht="18" customHeight="1" x14ac:dyDescent="0.25">
      <c r="A384" s="45">
        <v>380</v>
      </c>
      <c r="B384" s="45" t="s">
        <v>60</v>
      </c>
      <c r="C384" s="45" t="s">
        <v>61</v>
      </c>
      <c r="D384" s="45" t="s">
        <v>62</v>
      </c>
      <c r="E384" s="45" t="s">
        <v>62</v>
      </c>
      <c r="F384" s="46" cm="1">
        <f t="array" ref="F384">_xlfn.IFS($G384=$G$5,F$5,$G384=$G$6,F$6,$G384=$G$7,F$7,$G384=$G$8,F$8,$G384=$G$9,F$9,$G384=$G$10,F$10,$G384=$G$11,F$11,$G384=$G$12,F$12,$G384=$G$13,F$13,$G384=$G$15,F$15,$G384=$G$16,F$16,$G384=$G$17,F$17,$G384=$G$18,F$18,$G384=$G$19,F$19,$G384=$G$20,F$20,$G384=$G$21,F$21,$G384=$G$22,F$22,$G384=$G$25,F$25,$G384=$G$26,F$26,$G384=$G$27,F$27,$G384=$G$29,F$29,$G384=$G$31,F$31,$G384=$G$32,F$32,$G384=$G$248,F$248,$G384=$G$250,F$250)</f>
        <v>8015</v>
      </c>
      <c r="G384" t="s">
        <v>109</v>
      </c>
      <c r="H384" s="66" cm="1">
        <f t="array" ref="H384">_xlfn.IFS($G384=$G$5,H$5,$G384=$G$6,H$6,$G384=$G$7,H$7,$G384=$G$8,H$8,$G384=$G$9,H$9,$G384=$G$10,H$10,$G384=$G$11,H$11,$G384=$G$12,H$12,$G384=$G$13,H$13,$G384=$G$15,H$15,$G384=$G$16,H$16,$G384=$G$17,H$17,$G384=$G$18,H$18,$G384=$G$19,H$19,$G384=$G$20,H$20,$G384=$G$21,H$21,$G384=$G$22,H$22,$G384=$G$25,H$25,$G384=$G$26,H$26,$G384=$G$27,H$27,$G384=$G$29,H$29,$G384=$G$31,H$31,$G384=$G$32,H$150,$G384=$G$248,H$248,$G384=$G$250,H$250)</f>
        <v>41.381725000000003</v>
      </c>
      <c r="I384" s="78" cm="1">
        <f t="array" ref="I384">_xlfn.IFS($G384=$G$5,I$5,$G384=$G$6,I$6,$G384=$G$7,I$7,$G384=$G$8,I$8,$G384=$G$9,I$9,$G384=$G$10,I$10,$G384=$G$11,I$11,$G384=$G$12,I$12,$G384=$G$13,I$13,$G384=$G$15,I$15,$G384=$G$16,I$16,$G384=$G$17,I$17,$G384=$G$18,I$18,$G384=$G$19,I$19,$G384=$G$20,I$20,$G384=$G$21,I$21,$G384=$G$22,I$22,$G384=$G$25,I$25,$G384=$G$26,I$26,$G384=$G$27,I$27,$G384=$G$29,I$29,$G384=$G$31,I$31,$G384=$G$32,I$150,$G384=$G$248,I$248,$G384=$G$250,I$250)</f>
        <v>2.1543679999999998</v>
      </c>
      <c r="J384" cm="1">
        <f t="array" ref="J384">_xlfn.IFS($G384=$G$5,J$5,$G384=$G$6,J$6,$G384=$G$7,J$7,$G384=$G$8,J$8,$G384=$G$9,J$9,$G384=$G$10,J$10,$G384=$G$11,J$11,$G384=$G$12,J$12,$G384=$G$13,J$13,$G384=$G$15,J$15,$G384=$G$16,J$16,$G384=$G$17,J$17,$G384=$G$18,J$18,$G384=$G$19,J$19,$G384=$G$20,J$20,$G384=$G$21,J$21,$G384=$G$22,J$22,$G384=$G$25,J$25,$G384=$G$26,J$26,$G384=$G$27,J$27,$G384=$G$29,J$29,$G384=$G$31,J$31,$G384=$G$32,J$150,$G384=$G$248,J$248,$G384=$G$250,J$250)</f>
        <v>20.7</v>
      </c>
      <c r="K384" t="str" cm="1">
        <f t="array" ref="K384">_xlfn.IFS($G384=$G$5,K$5,$G384=$G$6,K$6,$G384=$G$7,K$7,$G384=$G$8,K$8,$G384=$G$9,K$9,$G384=$G$10,K$10,$G384=$G$11,K$11,$G384=$G$12,K$12,$G384=$G$13,K$13,$G384=$G$15,K$15,$G384=$G$16,K$16,$G384=$G$17,K$17,$G384=$G$18,K$18,$G384=$G$19,K$19,$G384=$G$20,K$20,$G384=$G$21,K$21,$G384=$G$22,K$22,$G384=$G$25,K$25,$G384=$G$26,K$26,$G384=$G$27,K$27,$G384=$G$29,K$29,$G384=$G$31,K$31,$G384=$G$32,K$150,$G384=$G$248,K$248,$G384=$G$250,K$250)</f>
        <v>BG sentinel + BG lure7</v>
      </c>
      <c r="L384" s="48"/>
      <c r="M384" s="48"/>
      <c r="O384" s="45" t="str">
        <f t="shared" si="30"/>
        <v>A_SP_BCN_24_210707</v>
      </c>
      <c r="P384" s="64">
        <v>44384</v>
      </c>
      <c r="R384" s="72"/>
      <c r="S384" s="64">
        <v>44391</v>
      </c>
      <c r="U384" s="72"/>
      <c r="V384" s="54" t="s">
        <v>66</v>
      </c>
      <c r="X384" s="45">
        <f t="shared" si="31"/>
        <v>7</v>
      </c>
      <c r="Z384" s="69" t="s">
        <v>69</v>
      </c>
      <c r="AA384" s="45">
        <f t="shared" si="32"/>
        <v>3</v>
      </c>
      <c r="AB384" t="str">
        <f t="shared" si="33"/>
        <v>Adult</v>
      </c>
      <c r="AC384" s="69">
        <v>2</v>
      </c>
      <c r="AD384" s="69">
        <v>1</v>
      </c>
      <c r="AE384" s="45" t="str">
        <f t="shared" si="34"/>
        <v>Morphological</v>
      </c>
      <c r="AF384" s="56">
        <v>4</v>
      </c>
    </row>
    <row r="385" spans="1:32" ht="18" customHeight="1" x14ac:dyDescent="0.25">
      <c r="A385" s="45">
        <v>381</v>
      </c>
      <c r="B385" s="45" t="s">
        <v>60</v>
      </c>
      <c r="C385" s="45" t="s">
        <v>61</v>
      </c>
      <c r="D385" s="45" t="s">
        <v>62</v>
      </c>
      <c r="E385" s="45" t="s">
        <v>62</v>
      </c>
      <c r="F385" s="46" cm="1">
        <f t="array" ref="F385">_xlfn.IFS($G385=$G$5,F$5,$G385=$G$6,F$6,$G385=$G$7,F$7,$G385=$G$8,F$8,$G385=$G$9,F$9,$G385=$G$10,F$10,$G385=$G$11,F$11,$G385=$G$12,F$12,$G385=$G$13,F$13,$G385=$G$15,F$15,$G385=$G$16,F$16,$G385=$G$17,F$17,$G385=$G$18,F$18,$G385=$G$19,F$19,$G385=$G$20,F$20,$G385=$G$21,F$21,$G385=$G$22,F$22,$G385=$G$25,F$25,$G385=$G$26,F$26,$G385=$G$27,F$27,$G385=$G$29,F$29,$G385=$G$31,F$31,$G385=$G$32,F$32,$G385=$G$248,F$248,$G385=$G$250,F$250)</f>
        <v>8015</v>
      </c>
      <c r="G385" t="s">
        <v>109</v>
      </c>
      <c r="H385" s="66" cm="1">
        <f t="array" ref="H385">_xlfn.IFS($G385=$G$5,H$5,$G385=$G$6,H$6,$G385=$G$7,H$7,$G385=$G$8,H$8,$G385=$G$9,H$9,$G385=$G$10,H$10,$G385=$G$11,H$11,$G385=$G$12,H$12,$G385=$G$13,H$13,$G385=$G$15,H$15,$G385=$G$16,H$16,$G385=$G$17,H$17,$G385=$G$18,H$18,$G385=$G$19,H$19,$G385=$G$20,H$20,$G385=$G$21,H$21,$G385=$G$22,H$22,$G385=$G$25,H$25,$G385=$G$26,H$26,$G385=$G$27,H$27,$G385=$G$29,H$29,$G385=$G$31,H$31,$G385=$G$32,H$150,$G385=$G$248,H$248,$G385=$G$250,H$250)</f>
        <v>41.381725000000003</v>
      </c>
      <c r="I385" s="78" cm="1">
        <f t="array" ref="I385">_xlfn.IFS($G385=$G$5,I$5,$G385=$G$6,I$6,$G385=$G$7,I$7,$G385=$G$8,I$8,$G385=$G$9,I$9,$G385=$G$10,I$10,$G385=$G$11,I$11,$G385=$G$12,I$12,$G385=$G$13,I$13,$G385=$G$15,I$15,$G385=$G$16,I$16,$G385=$G$17,I$17,$G385=$G$18,I$18,$G385=$G$19,I$19,$G385=$G$20,I$20,$G385=$G$21,I$21,$G385=$G$22,I$22,$G385=$G$25,I$25,$G385=$G$26,I$26,$G385=$G$27,I$27,$G385=$G$29,I$29,$G385=$G$31,I$31,$G385=$G$32,I$150,$G385=$G$248,I$248,$G385=$G$250,I$250)</f>
        <v>2.1543679999999998</v>
      </c>
      <c r="J385" cm="1">
        <f t="array" ref="J385">_xlfn.IFS($G385=$G$5,J$5,$G385=$G$6,J$6,$G385=$G$7,J$7,$G385=$G$8,J$8,$G385=$G$9,J$9,$G385=$G$10,J$10,$G385=$G$11,J$11,$G385=$G$12,J$12,$G385=$G$13,J$13,$G385=$G$15,J$15,$G385=$G$16,J$16,$G385=$G$17,J$17,$G385=$G$18,J$18,$G385=$G$19,J$19,$G385=$G$20,J$20,$G385=$G$21,J$21,$G385=$G$22,J$22,$G385=$G$25,J$25,$G385=$G$26,J$26,$G385=$G$27,J$27,$G385=$G$29,J$29,$G385=$G$31,J$31,$G385=$G$32,J$150,$G385=$G$248,J$248,$G385=$G$250,J$250)</f>
        <v>20.7</v>
      </c>
      <c r="K385" t="str" cm="1">
        <f t="array" ref="K385">_xlfn.IFS($G385=$G$5,K$5,$G385=$G$6,K$6,$G385=$G$7,K$7,$G385=$G$8,K$8,$G385=$G$9,K$9,$G385=$G$10,K$10,$G385=$G$11,K$11,$G385=$G$12,K$12,$G385=$G$13,K$13,$G385=$G$15,K$15,$G385=$G$16,K$16,$G385=$G$17,K$17,$G385=$G$18,K$18,$G385=$G$19,K$19,$G385=$G$20,K$20,$G385=$G$21,K$21,$G385=$G$22,K$22,$G385=$G$25,K$25,$G385=$G$26,K$26,$G385=$G$27,K$27,$G385=$G$29,K$29,$G385=$G$31,K$31,$G385=$G$32,K$150,$G385=$G$248,K$248,$G385=$G$250,K$250)</f>
        <v>BG sentinel + BG lure7</v>
      </c>
      <c r="L385" s="48"/>
      <c r="M385" s="48"/>
      <c r="O385" s="45" t="str">
        <f t="shared" si="30"/>
        <v>A_SP_BCN_24_210707</v>
      </c>
      <c r="P385" s="64">
        <v>44384</v>
      </c>
      <c r="R385" s="72"/>
      <c r="S385" s="64">
        <v>44391</v>
      </c>
      <c r="U385" s="72"/>
      <c r="V385" s="54" t="s">
        <v>66</v>
      </c>
      <c r="X385" s="45">
        <f t="shared" si="31"/>
        <v>7</v>
      </c>
      <c r="Z385" s="45" t="s">
        <v>70</v>
      </c>
      <c r="AA385" s="45">
        <f t="shared" si="32"/>
        <v>4</v>
      </c>
      <c r="AB385" t="str">
        <f t="shared" si="33"/>
        <v>Adult</v>
      </c>
      <c r="AC385" s="69">
        <v>3</v>
      </c>
      <c r="AD385" s="69">
        <v>1</v>
      </c>
      <c r="AE385" s="45" t="str">
        <f t="shared" si="34"/>
        <v>Morphological</v>
      </c>
      <c r="AF385" s="56">
        <v>4</v>
      </c>
    </row>
    <row r="386" spans="1:32" ht="18" customHeight="1" x14ac:dyDescent="0.25">
      <c r="A386" s="45">
        <v>382</v>
      </c>
      <c r="B386" s="45" t="s">
        <v>60</v>
      </c>
      <c r="C386" s="45" t="s">
        <v>61</v>
      </c>
      <c r="D386" s="45" t="s">
        <v>62</v>
      </c>
      <c r="E386" s="45" t="s">
        <v>62</v>
      </c>
      <c r="F386" s="46" cm="1">
        <f t="array" ref="F386">_xlfn.IFS($G386=$G$5,F$5,$G386=$G$6,F$6,$G386=$G$7,F$7,$G386=$G$8,F$8,$G386=$G$9,F$9,$G386=$G$10,F$10,$G386=$G$11,F$11,$G386=$G$12,F$12,$G386=$G$13,F$13,$G386=$G$15,F$15,$G386=$G$16,F$16,$G386=$G$17,F$17,$G386=$G$18,F$18,$G386=$G$19,F$19,$G386=$G$20,F$20,$G386=$G$21,F$21,$G386=$G$22,F$22,$G386=$G$25,F$25,$G386=$G$26,F$26,$G386=$G$27,F$27,$G386=$G$29,F$29,$G386=$G$31,F$31,$G386=$G$32,F$32,$G386=$G$248,F$248,$G386=$G$250,F$250)</f>
        <v>8015</v>
      </c>
      <c r="G386" t="s">
        <v>109</v>
      </c>
      <c r="H386" s="66" cm="1">
        <f t="array" ref="H386">_xlfn.IFS($G386=$G$5,H$5,$G386=$G$6,H$6,$G386=$G$7,H$7,$G386=$G$8,H$8,$G386=$G$9,H$9,$G386=$G$10,H$10,$G386=$G$11,H$11,$G386=$G$12,H$12,$G386=$G$13,H$13,$G386=$G$15,H$15,$G386=$G$16,H$16,$G386=$G$17,H$17,$G386=$G$18,H$18,$G386=$G$19,H$19,$G386=$G$20,H$20,$G386=$G$21,H$21,$G386=$G$22,H$22,$G386=$G$25,H$25,$G386=$G$26,H$26,$G386=$G$27,H$27,$G386=$G$29,H$29,$G386=$G$31,H$31,$G386=$G$32,H$150,$G386=$G$248,H$248,$G386=$G$250,H$250)</f>
        <v>41.381725000000003</v>
      </c>
      <c r="I386" s="78" cm="1">
        <f t="array" ref="I386">_xlfn.IFS($G386=$G$5,I$5,$G386=$G$6,I$6,$G386=$G$7,I$7,$G386=$G$8,I$8,$G386=$G$9,I$9,$G386=$G$10,I$10,$G386=$G$11,I$11,$G386=$G$12,I$12,$G386=$G$13,I$13,$G386=$G$15,I$15,$G386=$G$16,I$16,$G386=$G$17,I$17,$G386=$G$18,I$18,$G386=$G$19,I$19,$G386=$G$20,I$20,$G386=$G$21,I$21,$G386=$G$22,I$22,$G386=$G$25,I$25,$G386=$G$26,I$26,$G386=$G$27,I$27,$G386=$G$29,I$29,$G386=$G$31,I$31,$G386=$G$32,I$150,$G386=$G$248,I$248,$G386=$G$250,I$250)</f>
        <v>2.1543679999999998</v>
      </c>
      <c r="J386" cm="1">
        <f t="array" ref="J386">_xlfn.IFS($G386=$G$5,J$5,$G386=$G$6,J$6,$G386=$G$7,J$7,$G386=$G$8,J$8,$G386=$G$9,J$9,$G386=$G$10,J$10,$G386=$G$11,J$11,$G386=$G$12,J$12,$G386=$G$13,J$13,$G386=$G$15,J$15,$G386=$G$16,J$16,$G386=$G$17,J$17,$G386=$G$18,J$18,$G386=$G$19,J$19,$G386=$G$20,J$20,$G386=$G$21,J$21,$G386=$G$22,J$22,$G386=$G$25,J$25,$G386=$G$26,J$26,$G386=$G$27,J$27,$G386=$G$29,J$29,$G386=$G$31,J$31,$G386=$G$32,J$150,$G386=$G$248,J$248,$G386=$G$250,J$250)</f>
        <v>20.7</v>
      </c>
      <c r="K386" t="str" cm="1">
        <f t="array" ref="K386">_xlfn.IFS($G386=$G$5,K$5,$G386=$G$6,K$6,$G386=$G$7,K$7,$G386=$G$8,K$8,$G386=$G$9,K$9,$G386=$G$10,K$10,$G386=$G$11,K$11,$G386=$G$12,K$12,$G386=$G$13,K$13,$G386=$G$15,K$15,$G386=$G$16,K$16,$G386=$G$17,K$17,$G386=$G$18,K$18,$G386=$G$19,K$19,$G386=$G$20,K$20,$G386=$G$21,K$21,$G386=$G$22,K$22,$G386=$G$25,K$25,$G386=$G$26,K$26,$G386=$G$27,K$27,$G386=$G$29,K$29,$G386=$G$31,K$31,$G386=$G$32,K$150,$G386=$G$248,K$248,$G386=$G$250,K$250)</f>
        <v>BG sentinel + BG lure7</v>
      </c>
      <c r="L386" s="48"/>
      <c r="M386" s="48"/>
      <c r="O386" s="45" t="str">
        <f t="shared" si="30"/>
        <v>A_SP_BCN_24_210707</v>
      </c>
      <c r="P386" s="64">
        <v>44384</v>
      </c>
      <c r="R386" s="72"/>
      <c r="S386" s="64">
        <v>44391</v>
      </c>
      <c r="U386" s="72"/>
      <c r="V386" s="54" t="s">
        <v>66</v>
      </c>
      <c r="X386" s="45">
        <f t="shared" si="31"/>
        <v>7</v>
      </c>
      <c r="Z386" s="45" t="s">
        <v>80</v>
      </c>
      <c r="AA386" s="45">
        <f t="shared" si="32"/>
        <v>1</v>
      </c>
      <c r="AB386" t="str">
        <f t="shared" si="33"/>
        <v>Adult</v>
      </c>
      <c r="AC386" s="69">
        <v>1</v>
      </c>
      <c r="AD386" s="69">
        <v>0</v>
      </c>
      <c r="AE386" s="45" t="str">
        <f t="shared" si="34"/>
        <v>Morphological</v>
      </c>
      <c r="AF386" s="56">
        <v>4</v>
      </c>
    </row>
    <row r="387" spans="1:32" ht="18" customHeight="1" x14ac:dyDescent="0.25">
      <c r="A387" s="45">
        <v>383</v>
      </c>
      <c r="B387" s="45" t="s">
        <v>60</v>
      </c>
      <c r="C387" s="45" t="s">
        <v>61</v>
      </c>
      <c r="D387" s="45" t="s">
        <v>62</v>
      </c>
      <c r="E387" s="45" t="s">
        <v>62</v>
      </c>
      <c r="F387" s="46" cm="1">
        <f t="array" ref="F387">_xlfn.IFS($G387=$G$5,F$5,$G387=$G$6,F$6,$G387=$G$7,F$7,$G387=$G$8,F$8,$G387=$G$9,F$9,$G387=$G$10,F$10,$G387=$G$11,F$11,$G387=$G$12,F$12,$G387=$G$13,F$13,$G387=$G$15,F$15,$G387=$G$16,F$16,$G387=$G$17,F$17,$G387=$G$18,F$18,$G387=$G$19,F$19,$G387=$G$20,F$20,$G387=$G$21,F$21,$G387=$G$22,F$22,$G387=$G$25,F$25,$G387=$G$26,F$26,$G387=$G$27,F$27,$G387=$G$29,F$29,$G387=$G$31,F$31,$G387=$G$32,F$32,$G387=$G$248,F$248,$G387=$G$250,F$250)</f>
        <v>8024</v>
      </c>
      <c r="G387" t="s">
        <v>63</v>
      </c>
      <c r="H387" s="66" cm="1">
        <f t="array" ref="H387">_xlfn.IFS($G387=$G$5,H$5,$G387=$G$6,H$6,$G387=$G$7,H$7,$G387=$G$8,H$8,$G387=$G$9,H$9,$G387=$G$10,H$10,$G387=$G$11,H$11,$G387=$G$12,H$12,$G387=$G$13,H$13,$G387=$G$15,H$15,$G387=$G$16,H$16,$G387=$G$17,H$17,$G387=$G$18,H$18,$G387=$G$19,H$19,$G387=$G$20,H$20,$G387=$G$21,H$21,$G387=$G$22,H$22,$G387=$G$25,H$25,$G387=$G$26,H$26,$G387=$G$27,H$27,$G387=$G$29,H$29,$G387=$G$31,H$31,$G387=$G$32,H$150,$G387=$G$248,H$248,$G387=$G$250,H$250)</f>
        <v>41.413573999999997</v>
      </c>
      <c r="I387" s="78" cm="1">
        <f t="array" ref="I387">_xlfn.IFS($G387=$G$5,I$5,$G387=$G$6,I$6,$G387=$G$7,I$7,$G387=$G$8,I$8,$G387=$G$9,I$9,$G387=$G$10,I$10,$G387=$G$11,I$11,$G387=$G$12,I$12,$G387=$G$13,I$13,$G387=$G$15,I$15,$G387=$G$16,I$16,$G387=$G$17,I$17,$G387=$G$18,I$18,$G387=$G$19,I$19,$G387=$G$20,I$20,$G387=$G$21,I$21,$G387=$G$22,I$22,$G387=$G$25,I$25,$G387=$G$26,I$26,$G387=$G$27,I$27,$G387=$G$29,I$29,$G387=$G$31,I$31,$G387=$G$32,I$150,$G387=$G$248,I$248,$G387=$G$250,I$250)</f>
        <v>2.1520730000000001</v>
      </c>
      <c r="J387" cm="1">
        <f t="array" ref="J387">_xlfn.IFS($G387=$G$5,J$5,$G387=$G$6,J$6,$G387=$G$7,J$7,$G387=$G$8,J$8,$G387=$G$9,J$9,$G387=$G$10,J$10,$G387=$G$11,J$11,$G387=$G$12,J$12,$G387=$G$13,J$13,$G387=$G$15,J$15,$G387=$G$16,J$16,$G387=$G$17,J$17,$G387=$G$18,J$18,$G387=$G$19,J$19,$G387=$G$20,J$20,$G387=$G$21,J$21,$G387=$G$22,J$22,$G387=$G$25,J$25,$G387=$G$26,J$26,$G387=$G$27,J$27,$G387=$G$29,J$29,$G387=$G$31,J$31,$G387=$G$32,J$150,$G387=$G$248,J$248,$G387=$G$250,J$250)</f>
        <v>141</v>
      </c>
      <c r="K387" t="str" cm="1">
        <f t="array" ref="K387">_xlfn.IFS($G387=$G$5,K$5,$G387=$G$6,K$6,$G387=$G$7,K$7,$G387=$G$8,K$8,$G387=$G$9,K$9,$G387=$G$10,K$10,$G387=$G$11,K$11,$G387=$G$12,K$12,$G387=$G$13,K$13,$G387=$G$15,K$15,$G387=$G$16,K$16,$G387=$G$17,K$17,$G387=$G$18,K$18,$G387=$G$19,K$19,$G387=$G$20,K$20,$G387=$G$21,K$21,$G387=$G$22,K$22,$G387=$G$25,K$25,$G387=$G$26,K$26,$G387=$G$27,K$27,$G387=$G$29,K$29,$G387=$G$31,K$31,$G387=$G$32,K$150,$G387=$G$248,K$248,$G387=$G$250,K$250)</f>
        <v>BG sentinel + BG lure7</v>
      </c>
      <c r="L387" s="48" t="str" cm="1">
        <f t="array" ref="L387">_xlfn.IFS($G387=$G$5,L$5,$G387=$G$6,L$6,$G387=$G$7,L$7,$G387=$G$8,L$8,$G387=$G$9,L$9,$G387=$G$10,L$10,$G387=$G$11,L$11,$G387=$G$12,L$12,$G387=$G$13,L$13,$G387=$G$15,L$15,$G387=$G$16,L$16,$G387=$G$17,L$17,$G387=$G$18,L$18,$G387=$G$19,L$19,$G387=$G$20,L$20,$G387=$G$21,L$21,$G387=$G$22,L$22,$G387=$G$25,L$25,$G387=$G$26,L$26,$G387=$G$27,L$27,$G387=$G$29,L$29,$G387=$G$31,L$31,$G387=$G$32,L$32,$G387=$G$248,L$248,$G387=$G$250,L$250)</f>
        <v>Urban habitat</v>
      </c>
      <c r="M387" s="48"/>
      <c r="O387" s="45" t="str">
        <f t="shared" si="30"/>
        <v>A_SP_BCN_1_210714</v>
      </c>
      <c r="P387" s="64">
        <v>44391</v>
      </c>
      <c r="R387" s="72"/>
      <c r="S387" s="64">
        <v>44398</v>
      </c>
      <c r="U387" s="72"/>
      <c r="V387" s="54" t="s">
        <v>66</v>
      </c>
      <c r="X387" s="45">
        <f t="shared" si="31"/>
        <v>7</v>
      </c>
      <c r="Z387" s="69" t="s">
        <v>69</v>
      </c>
      <c r="AA387" s="45">
        <f t="shared" si="32"/>
        <v>1</v>
      </c>
      <c r="AB387" t="str">
        <f t="shared" si="33"/>
        <v>Adult</v>
      </c>
      <c r="AC387" s="69">
        <v>1</v>
      </c>
      <c r="AD387" s="69">
        <v>0</v>
      </c>
      <c r="AE387" s="45" t="str">
        <f t="shared" si="34"/>
        <v>Morphological</v>
      </c>
      <c r="AF387" s="56">
        <v>4</v>
      </c>
    </row>
    <row r="388" spans="1:32" ht="18" customHeight="1" x14ac:dyDescent="0.25">
      <c r="A388" s="45">
        <v>384</v>
      </c>
      <c r="B388" s="45" t="s">
        <v>60</v>
      </c>
      <c r="C388" s="45" t="s">
        <v>61</v>
      </c>
      <c r="D388" s="45" t="s">
        <v>62</v>
      </c>
      <c r="E388" s="45" t="s">
        <v>62</v>
      </c>
      <c r="F388" s="46" cm="1">
        <f t="array" ref="F388">_xlfn.IFS($G388=$G$5,F$5,$G388=$G$6,F$6,$G388=$G$7,F$7,$G388=$G$8,F$8,$G388=$G$9,F$9,$G388=$G$10,F$10,$G388=$G$11,F$11,$G388=$G$12,F$12,$G388=$G$13,F$13,$G388=$G$15,F$15,$G388=$G$16,F$16,$G388=$G$17,F$17,$G388=$G$18,F$18,$G388=$G$19,F$19,$G388=$G$20,F$20,$G388=$G$21,F$21,$G388=$G$22,F$22,$G388=$G$25,F$25,$G388=$G$26,F$26,$G388=$G$27,F$27,$G388=$G$29,F$29,$G388=$G$31,F$31,$G388=$G$32,F$32,$G388=$G$248,F$248,$G388=$G$250,F$250)</f>
        <v>8035</v>
      </c>
      <c r="G388" t="s">
        <v>67</v>
      </c>
      <c r="H388" s="66" cm="1">
        <f t="array" ref="H388">_xlfn.IFS($G388=$G$5,H$5,$G388=$G$6,H$6,$G388=$G$7,H$7,$G388=$G$8,H$8,$G388=$G$9,H$9,$G388=$G$10,H$10,$G388=$G$11,H$11,$G388=$G$12,H$12,$G388=$G$13,H$13,$G388=$G$15,H$15,$G388=$G$16,H$16,$G388=$G$17,H$17,$G388=$G$18,H$18,$G388=$G$19,H$19,$G388=$G$20,H$20,$G388=$G$21,H$21,$G388=$G$22,H$22,$G388=$G$25,H$25,$G388=$G$26,H$26,$G388=$G$27,H$27,$G388=$G$29,H$29,$G388=$G$31,H$31,$G388=$G$32,H$150,$G388=$G$248,H$248,$G388=$G$250,H$250)</f>
        <v>41.424387000000003</v>
      </c>
      <c r="I388" s="78" cm="1">
        <f t="array" ref="I388">_xlfn.IFS($G388=$G$5,I$5,$G388=$G$6,I$6,$G388=$G$7,I$7,$G388=$G$8,I$8,$G388=$G$9,I$9,$G388=$G$10,I$10,$G388=$G$11,I$11,$G388=$G$12,I$12,$G388=$G$13,I$13,$G388=$G$15,I$15,$G388=$G$16,I$16,$G388=$G$17,I$17,$G388=$G$18,I$18,$G388=$G$19,I$19,$G388=$G$20,I$20,$G388=$G$21,I$21,$G388=$G$22,I$22,$G388=$G$25,I$25,$G388=$G$26,I$26,$G388=$G$27,I$27,$G388=$G$29,I$29,$G388=$G$31,I$31,$G388=$G$32,I$150,$G388=$G$248,I$248,$G388=$G$250,I$250)</f>
        <v>2.1431439999999999</v>
      </c>
      <c r="J388" cm="1">
        <f t="array" ref="J388">_xlfn.IFS($G388=$G$5,J$5,$G388=$G$6,J$6,$G388=$G$7,J$7,$G388=$G$8,J$8,$G388=$G$9,J$9,$G388=$G$10,J$10,$G388=$G$11,J$11,$G388=$G$12,J$12,$G388=$G$13,J$13,$G388=$G$15,J$15,$G388=$G$16,J$16,$G388=$G$17,J$17,$G388=$G$18,J$18,$G388=$G$19,J$19,$G388=$G$20,J$20,$G388=$G$21,J$21,$G388=$G$22,J$22,$G388=$G$25,J$25,$G388=$G$26,J$26,$G388=$G$27,J$27,$G388=$G$29,J$29,$G388=$G$31,J$31,$G388=$G$32,J$150,$G388=$G$248,J$248,$G388=$G$250,J$250)</f>
        <v>160</v>
      </c>
      <c r="K388" t="str" cm="1">
        <f t="array" ref="K388">_xlfn.IFS($G388=$G$5,K$5,$G388=$G$6,K$6,$G388=$G$7,K$7,$G388=$G$8,K$8,$G388=$G$9,K$9,$G388=$G$10,K$10,$G388=$G$11,K$11,$G388=$G$12,K$12,$G388=$G$13,K$13,$G388=$G$15,K$15,$G388=$G$16,K$16,$G388=$G$17,K$17,$G388=$G$18,K$18,$G388=$G$19,K$19,$G388=$G$20,K$20,$G388=$G$21,K$21,$G388=$G$22,K$22,$G388=$G$25,K$25,$G388=$G$26,K$26,$G388=$G$27,K$27,$G388=$G$29,K$29,$G388=$G$31,K$31,$G388=$G$32,K$150,$G388=$G$248,K$248,$G388=$G$250,K$250)</f>
        <v>BG sentinel + BG lure7</v>
      </c>
      <c r="L388" s="48" t="str" cm="1">
        <f t="array" ref="L388">_xlfn.IFS($G388=$G$5,L$5,$G388=$G$6,L$6,$G388=$G$7,L$7,$G388=$G$8,L$8,$G388=$G$9,L$9,$G388=$G$10,L$10,$G388=$G$11,L$11,$G388=$G$12,L$12,$G388=$G$13,L$13,$G388=$G$15,L$15,$G388=$G$16,L$16,$G388=$G$17,L$17,$G388=$G$18,L$18,$G388=$G$19,L$19,$G388=$G$20,L$20,$G388=$G$21,L$21,$G388=$G$22,L$22,$G388=$G$25,L$25,$G388=$G$26,L$26,$G388=$G$27,L$27,$G388=$G$29,L$29,$G388=$G$31,L$31,$G388=$G$32,L$32,$G388=$G$248,L$248,$G388=$G$250,L$250)</f>
        <v>Urban habitat</v>
      </c>
      <c r="M388" s="48"/>
      <c r="O388" s="45" t="str">
        <f t="shared" si="30"/>
        <v>A_SP_BCN_2_210714</v>
      </c>
      <c r="P388" s="64">
        <v>44391</v>
      </c>
      <c r="R388" s="72"/>
      <c r="S388" s="64">
        <v>44398</v>
      </c>
      <c r="U388" s="72"/>
      <c r="V388" s="54" t="s">
        <v>133</v>
      </c>
      <c r="X388" s="45">
        <f t="shared" si="31"/>
        <v>7</v>
      </c>
      <c r="Z388" s="69" t="s">
        <v>69</v>
      </c>
      <c r="AA388" s="45">
        <f t="shared" si="32"/>
        <v>1</v>
      </c>
      <c r="AB388" t="str">
        <f t="shared" si="33"/>
        <v>Adult</v>
      </c>
      <c r="AC388" s="69">
        <v>1</v>
      </c>
      <c r="AD388" s="69">
        <v>0</v>
      </c>
      <c r="AE388" s="45" t="str">
        <f t="shared" si="34"/>
        <v>Morphological</v>
      </c>
      <c r="AF388" s="56">
        <v>1</v>
      </c>
    </row>
    <row r="389" spans="1:32" ht="18" customHeight="1" x14ac:dyDescent="0.25">
      <c r="A389" s="45">
        <v>385</v>
      </c>
      <c r="B389" s="45" t="s">
        <v>60</v>
      </c>
      <c r="C389" s="45" t="s">
        <v>61</v>
      </c>
      <c r="D389" s="45" t="s">
        <v>62</v>
      </c>
      <c r="E389" s="45" t="s">
        <v>62</v>
      </c>
      <c r="F389" s="46" cm="1">
        <f t="array" ref="F389">_xlfn.IFS($G389=$G$5,F$5,$G389=$G$6,F$6,$G389=$G$7,F$7,$G389=$G$8,F$8,$G389=$G$9,F$9,$G389=$G$10,F$10,$G389=$G$11,F$11,$G389=$G$12,F$12,$G389=$G$13,F$13,$G389=$G$15,F$15,$G389=$G$16,F$16,$G389=$G$17,F$17,$G389=$G$18,F$18,$G389=$G$19,F$19,$G389=$G$20,F$20,$G389=$G$21,F$21,$G389=$G$22,F$22,$G389=$G$25,F$25,$G389=$G$26,F$26,$G389=$G$27,F$27,$G389=$G$29,F$29,$G389=$G$31,F$31,$G389=$G$32,F$32,$G389=$G$248,F$248,$G389=$G$250,F$250)</f>
        <v>8016</v>
      </c>
      <c r="G389" t="s">
        <v>68</v>
      </c>
      <c r="H389" s="66" cm="1">
        <f t="array" ref="H389">_xlfn.IFS($G389=$G$5,H$5,$G389=$G$6,H$6,$G389=$G$7,H$7,$G389=$G$8,H$8,$G389=$G$9,H$9,$G389=$G$10,H$10,$G389=$G$11,H$11,$G389=$G$12,H$12,$G389=$G$13,H$13,$G389=$G$15,H$15,$G389=$G$16,H$16,$G389=$G$17,H$17,$G389=$G$18,H$18,$G389=$G$19,H$19,$G389=$G$20,H$20,$G389=$G$21,H$21,$G389=$G$22,H$22,$G389=$G$25,H$25,$G389=$G$26,H$26,$G389=$G$27,H$27,$G389=$G$29,H$29,$G389=$G$31,H$31,$G389=$G$32,H$150,$G389=$G$248,H$248,$G389=$G$250,H$250)</f>
        <v>41.437435000000001</v>
      </c>
      <c r="I389" s="78" cm="1">
        <f t="array" ref="I389">_xlfn.IFS($G389=$G$5,I$5,$G389=$G$6,I$6,$G389=$G$7,I$7,$G389=$G$8,I$8,$G389=$G$9,I$9,$G389=$G$10,I$10,$G389=$G$11,I$11,$G389=$G$12,I$12,$G389=$G$13,I$13,$G389=$G$15,I$15,$G389=$G$16,I$16,$G389=$G$17,I$17,$G389=$G$18,I$18,$G389=$G$19,I$19,$G389=$G$20,I$20,$G389=$G$21,I$21,$G389=$G$22,I$22,$G389=$G$25,I$25,$G389=$G$26,I$26,$G389=$G$27,I$27,$G389=$G$29,I$29,$G389=$G$31,I$31,$G389=$G$32,I$150,$G389=$G$248,I$248,$G389=$G$250,I$250)</f>
        <v>2.1812779999999998</v>
      </c>
      <c r="J389" cm="1">
        <f t="array" ref="J389">_xlfn.IFS($G389=$G$5,J$5,$G389=$G$6,J$6,$G389=$G$7,J$7,$G389=$G$8,J$8,$G389=$G$9,J$9,$G389=$G$10,J$10,$G389=$G$11,J$11,$G389=$G$12,J$12,$G389=$G$13,J$13,$G389=$G$15,J$15,$G389=$G$16,J$16,$G389=$G$17,J$17,$G389=$G$18,J$18,$G389=$G$19,J$19,$G389=$G$20,J$20,$G389=$G$21,J$21,$G389=$G$22,J$22,$G389=$G$25,J$25,$G389=$G$26,J$26,$G389=$G$27,J$27,$G389=$G$29,J$29,$G389=$G$31,J$31,$G389=$G$32,J$150,$G389=$G$248,J$248,$G389=$G$250,J$250)</f>
        <v>47</v>
      </c>
      <c r="K389" t="str" cm="1">
        <f t="array" ref="K389">_xlfn.IFS($G389=$G$5,K$5,$G389=$G$6,K$6,$G389=$G$7,K$7,$G389=$G$8,K$8,$G389=$G$9,K$9,$G389=$G$10,K$10,$G389=$G$11,K$11,$G389=$G$12,K$12,$G389=$G$13,K$13,$G389=$G$15,K$15,$G389=$G$16,K$16,$G389=$G$17,K$17,$G389=$G$18,K$18,$G389=$G$19,K$19,$G389=$G$20,K$20,$G389=$G$21,K$21,$G389=$G$22,K$22,$G389=$G$25,K$25,$G389=$G$26,K$26,$G389=$G$27,K$27,$G389=$G$29,K$29,$G389=$G$31,K$31,$G389=$G$32,K$150,$G389=$G$248,K$248,$G389=$G$250,K$250)</f>
        <v>BG sentinel + BG lure7</v>
      </c>
      <c r="L389" s="48" t="str" cm="1">
        <f t="array" ref="L389">_xlfn.IFS($G389=$G$5,L$5,$G389=$G$6,L$6,$G389=$G$7,L$7,$G389=$G$8,L$8,$G389=$G$9,L$9,$G389=$G$10,L$10,$G389=$G$11,L$11,$G389=$G$12,L$12,$G389=$G$13,L$13,$G389=$G$15,L$15,$G389=$G$16,L$16,$G389=$G$17,L$17,$G389=$G$18,L$18,$G389=$G$19,L$19,$G389=$G$20,L$20,$G389=$G$21,L$21,$G389=$G$22,L$22,$G389=$G$25,L$25,$G389=$G$26,L$26,$G389=$G$27,L$27,$G389=$G$29,L$29,$G389=$G$31,L$31,$G389=$G$32,L$32,$G389=$G$248,L$248,$G389=$G$250,L$250)</f>
        <v>Urban habitat</v>
      </c>
      <c r="M389" s="48"/>
      <c r="O389" s="45" t="str">
        <f t="shared" si="30"/>
        <v>A_SP_BCN_3_210714</v>
      </c>
      <c r="P389" s="64">
        <v>44391</v>
      </c>
      <c r="R389" s="72"/>
      <c r="S389" s="64">
        <v>44398</v>
      </c>
      <c r="U389" s="72"/>
      <c r="V389" s="54" t="s">
        <v>66</v>
      </c>
      <c r="X389" s="45">
        <f t="shared" si="31"/>
        <v>7</v>
      </c>
      <c r="Z389" s="69" t="s">
        <v>69</v>
      </c>
      <c r="AA389" s="45">
        <f t="shared" si="32"/>
        <v>1</v>
      </c>
      <c r="AB389" t="str">
        <f t="shared" si="33"/>
        <v>Adult</v>
      </c>
      <c r="AC389" s="69">
        <v>1</v>
      </c>
      <c r="AD389" s="69">
        <v>0</v>
      </c>
      <c r="AE389" s="45" t="str">
        <f t="shared" si="34"/>
        <v>Morphological</v>
      </c>
      <c r="AF389" s="56">
        <v>4</v>
      </c>
    </row>
    <row r="390" spans="1:32" ht="18" customHeight="1" x14ac:dyDescent="0.25">
      <c r="A390" s="45">
        <v>386</v>
      </c>
      <c r="B390" s="45" t="s">
        <v>60</v>
      </c>
      <c r="C390" s="45" t="s">
        <v>61</v>
      </c>
      <c r="D390" s="45" t="s">
        <v>62</v>
      </c>
      <c r="E390" s="45" t="s">
        <v>62</v>
      </c>
      <c r="F390" s="46" cm="1">
        <f t="array" ref="F390">_xlfn.IFS($G390=$G$5,F$5,$G390=$G$6,F$6,$G390=$G$7,F$7,$G390=$G$8,F$8,$G390=$G$9,F$9,$G390=$G$10,F$10,$G390=$G$11,F$11,$G390=$G$12,F$12,$G390=$G$13,F$13,$G390=$G$15,F$15,$G390=$G$16,F$16,$G390=$G$17,F$17,$G390=$G$18,F$18,$G390=$G$19,F$19,$G390=$G$20,F$20,$G390=$G$21,F$21,$G390=$G$22,F$22,$G390=$G$25,F$25,$G390=$G$26,F$26,$G390=$G$27,F$27,$G390=$G$29,F$29,$G390=$G$31,F$31,$G390=$G$32,F$32,$G390=$G$248,F$248,$G390=$G$250,F$250)</f>
        <v>8016</v>
      </c>
      <c r="G390" t="s">
        <v>68</v>
      </c>
      <c r="H390" s="66" cm="1">
        <f t="array" ref="H390">_xlfn.IFS($G390=$G$5,H$5,$G390=$G$6,H$6,$G390=$G$7,H$7,$G390=$G$8,H$8,$G390=$G$9,H$9,$G390=$G$10,H$10,$G390=$G$11,H$11,$G390=$G$12,H$12,$G390=$G$13,H$13,$G390=$G$15,H$15,$G390=$G$16,H$16,$G390=$G$17,H$17,$G390=$G$18,H$18,$G390=$G$19,H$19,$G390=$G$20,H$20,$G390=$G$21,H$21,$G390=$G$22,H$22,$G390=$G$25,H$25,$G390=$G$26,H$26,$G390=$G$27,H$27,$G390=$G$29,H$29,$G390=$G$31,H$31,$G390=$G$32,H$150,$G390=$G$248,H$248,$G390=$G$250,H$250)</f>
        <v>41.437435000000001</v>
      </c>
      <c r="I390" s="78" cm="1">
        <f t="array" ref="I390">_xlfn.IFS($G390=$G$5,I$5,$G390=$G$6,I$6,$G390=$G$7,I$7,$G390=$G$8,I$8,$G390=$G$9,I$9,$G390=$G$10,I$10,$G390=$G$11,I$11,$G390=$G$12,I$12,$G390=$G$13,I$13,$G390=$G$15,I$15,$G390=$G$16,I$16,$G390=$G$17,I$17,$G390=$G$18,I$18,$G390=$G$19,I$19,$G390=$G$20,I$20,$G390=$G$21,I$21,$G390=$G$22,I$22,$G390=$G$25,I$25,$G390=$G$26,I$26,$G390=$G$27,I$27,$G390=$G$29,I$29,$G390=$G$31,I$31,$G390=$G$32,I$150,$G390=$G$248,I$248,$G390=$G$250,I$250)</f>
        <v>2.1812779999999998</v>
      </c>
      <c r="J390" cm="1">
        <f t="array" ref="J390">_xlfn.IFS($G390=$G$5,J$5,$G390=$G$6,J$6,$G390=$G$7,J$7,$G390=$G$8,J$8,$G390=$G$9,J$9,$G390=$G$10,J$10,$G390=$G$11,J$11,$G390=$G$12,J$12,$G390=$G$13,J$13,$G390=$G$15,J$15,$G390=$G$16,J$16,$G390=$G$17,J$17,$G390=$G$18,J$18,$G390=$G$19,J$19,$G390=$G$20,J$20,$G390=$G$21,J$21,$G390=$G$22,J$22,$G390=$G$25,J$25,$G390=$G$26,J$26,$G390=$G$27,J$27,$G390=$G$29,J$29,$G390=$G$31,J$31,$G390=$G$32,J$150,$G390=$G$248,J$248,$G390=$G$250,J$250)</f>
        <v>47</v>
      </c>
      <c r="K390" t="str" cm="1">
        <f t="array" ref="K390">_xlfn.IFS($G390=$G$5,K$5,$G390=$G$6,K$6,$G390=$G$7,K$7,$G390=$G$8,K$8,$G390=$G$9,K$9,$G390=$G$10,K$10,$G390=$G$11,K$11,$G390=$G$12,K$12,$G390=$G$13,K$13,$G390=$G$15,K$15,$G390=$G$16,K$16,$G390=$G$17,K$17,$G390=$G$18,K$18,$G390=$G$19,K$19,$G390=$G$20,K$20,$G390=$G$21,K$21,$G390=$G$22,K$22,$G390=$G$25,K$25,$G390=$G$26,K$26,$G390=$G$27,K$27,$G390=$G$29,K$29,$G390=$G$31,K$31,$G390=$G$32,K$150,$G390=$G$248,K$248,$G390=$G$250,K$250)</f>
        <v>BG sentinel + BG lure7</v>
      </c>
      <c r="L390" s="48" t="str" cm="1">
        <f t="array" ref="L390">_xlfn.IFS($G390=$G$5,L$5,$G390=$G$6,L$6,$G390=$G$7,L$7,$G390=$G$8,L$8,$G390=$G$9,L$9,$G390=$G$10,L$10,$G390=$G$11,L$11,$G390=$G$12,L$12,$G390=$G$13,L$13,$G390=$G$15,L$15,$G390=$G$16,L$16,$G390=$G$17,L$17,$G390=$G$18,L$18,$G390=$G$19,L$19,$G390=$G$20,L$20,$G390=$G$21,L$21,$G390=$G$22,L$22,$G390=$G$25,L$25,$G390=$G$26,L$26,$G390=$G$27,L$27,$G390=$G$29,L$29,$G390=$G$31,L$31,$G390=$G$32,L$32,$G390=$G$248,L$248,$G390=$G$250,L$250)</f>
        <v>Urban habitat</v>
      </c>
      <c r="M390" s="48"/>
      <c r="O390" s="45" t="str">
        <f t="shared" si="30"/>
        <v>A_SP_BCN_3_210714</v>
      </c>
      <c r="P390" s="64">
        <v>44391</v>
      </c>
      <c r="R390" s="72"/>
      <c r="S390" s="64">
        <v>44398</v>
      </c>
      <c r="U390" s="72"/>
      <c r="V390" s="54" t="s">
        <v>66</v>
      </c>
      <c r="X390" s="45">
        <f t="shared" si="31"/>
        <v>7</v>
      </c>
      <c r="Z390" s="45" t="s">
        <v>70</v>
      </c>
      <c r="AA390" s="45">
        <f t="shared" si="32"/>
        <v>3</v>
      </c>
      <c r="AB390" t="str">
        <f t="shared" si="33"/>
        <v>Adult</v>
      </c>
      <c r="AC390" s="69">
        <v>3</v>
      </c>
      <c r="AD390" s="69">
        <v>0</v>
      </c>
      <c r="AE390" s="45" t="str">
        <f t="shared" si="34"/>
        <v>Morphological</v>
      </c>
      <c r="AF390" s="56">
        <v>4</v>
      </c>
    </row>
    <row r="391" spans="1:32" ht="18" customHeight="1" x14ac:dyDescent="0.25">
      <c r="A391" s="45">
        <v>387</v>
      </c>
      <c r="B391" s="45" t="s">
        <v>60</v>
      </c>
      <c r="C391" s="45" t="s">
        <v>61</v>
      </c>
      <c r="D391" s="45" t="s">
        <v>62</v>
      </c>
      <c r="E391" s="45" t="s">
        <v>62</v>
      </c>
      <c r="F391" s="46" cm="1">
        <f t="array" ref="F391">_xlfn.IFS($G391=$G$5,F$5,$G391=$G$6,F$6,$G391=$G$7,F$7,$G391=$G$8,F$8,$G391=$G$9,F$9,$G391=$G$10,F$10,$G391=$G$11,F$11,$G391=$G$12,F$12,$G391=$G$13,F$13,$G391=$G$15,F$15,$G391=$G$16,F$16,$G391=$G$17,F$17,$G391=$G$18,F$18,$G391=$G$19,F$19,$G391=$G$20,F$20,$G391=$G$21,F$21,$G391=$G$22,F$22,$G391=$G$25,F$25,$G391=$G$26,F$26,$G391=$G$27,F$27,$G391=$G$29,F$29,$G391=$G$31,F$31,$G391=$G$32,F$32,$G391=$G$248,F$248,$G391=$G$250,F$250)</f>
        <v>8016</v>
      </c>
      <c r="G391" t="s">
        <v>68</v>
      </c>
      <c r="H391" s="66" cm="1">
        <f t="array" ref="H391">_xlfn.IFS($G391=$G$5,H$5,$G391=$G$6,H$6,$G391=$G$7,H$7,$G391=$G$8,H$8,$G391=$G$9,H$9,$G391=$G$10,H$10,$G391=$G$11,H$11,$G391=$G$12,H$12,$G391=$G$13,H$13,$G391=$G$15,H$15,$G391=$G$16,H$16,$G391=$G$17,H$17,$G391=$G$18,H$18,$G391=$G$19,H$19,$G391=$G$20,H$20,$G391=$G$21,H$21,$G391=$G$22,H$22,$G391=$G$25,H$25,$G391=$G$26,H$26,$G391=$G$27,H$27,$G391=$G$29,H$29,$G391=$G$31,H$31,$G391=$G$32,H$150,$G391=$G$248,H$248,$G391=$G$250,H$250)</f>
        <v>41.437435000000001</v>
      </c>
      <c r="I391" s="78" cm="1">
        <f t="array" ref="I391">_xlfn.IFS($G391=$G$5,I$5,$G391=$G$6,I$6,$G391=$G$7,I$7,$G391=$G$8,I$8,$G391=$G$9,I$9,$G391=$G$10,I$10,$G391=$G$11,I$11,$G391=$G$12,I$12,$G391=$G$13,I$13,$G391=$G$15,I$15,$G391=$G$16,I$16,$G391=$G$17,I$17,$G391=$G$18,I$18,$G391=$G$19,I$19,$G391=$G$20,I$20,$G391=$G$21,I$21,$G391=$G$22,I$22,$G391=$G$25,I$25,$G391=$G$26,I$26,$G391=$G$27,I$27,$G391=$G$29,I$29,$G391=$G$31,I$31,$G391=$G$32,I$150,$G391=$G$248,I$248,$G391=$G$250,I$250)</f>
        <v>2.1812779999999998</v>
      </c>
      <c r="J391" cm="1">
        <f t="array" ref="J391">_xlfn.IFS($G391=$G$5,J$5,$G391=$G$6,J$6,$G391=$G$7,J$7,$G391=$G$8,J$8,$G391=$G$9,J$9,$G391=$G$10,J$10,$G391=$G$11,J$11,$G391=$G$12,J$12,$G391=$G$13,J$13,$G391=$G$15,J$15,$G391=$G$16,J$16,$G391=$G$17,J$17,$G391=$G$18,J$18,$G391=$G$19,J$19,$G391=$G$20,J$20,$G391=$G$21,J$21,$G391=$G$22,J$22,$G391=$G$25,J$25,$G391=$G$26,J$26,$G391=$G$27,J$27,$G391=$G$29,J$29,$G391=$G$31,J$31,$G391=$G$32,J$150,$G391=$G$248,J$248,$G391=$G$250,J$250)</f>
        <v>47</v>
      </c>
      <c r="K391" t="str" cm="1">
        <f t="array" ref="K391">_xlfn.IFS($G391=$G$5,K$5,$G391=$G$6,K$6,$G391=$G$7,K$7,$G391=$G$8,K$8,$G391=$G$9,K$9,$G391=$G$10,K$10,$G391=$G$11,K$11,$G391=$G$12,K$12,$G391=$G$13,K$13,$G391=$G$15,K$15,$G391=$G$16,K$16,$G391=$G$17,K$17,$G391=$G$18,K$18,$G391=$G$19,K$19,$G391=$G$20,K$20,$G391=$G$21,K$21,$G391=$G$22,K$22,$G391=$G$25,K$25,$G391=$G$26,K$26,$G391=$G$27,K$27,$G391=$G$29,K$29,$G391=$G$31,K$31,$G391=$G$32,K$150,$G391=$G$248,K$248,$G391=$G$250,K$250)</f>
        <v>BG sentinel + BG lure7</v>
      </c>
      <c r="L391" s="48" t="str" cm="1">
        <f t="array" ref="L391">_xlfn.IFS($G391=$G$5,L$5,$G391=$G$6,L$6,$G391=$G$7,L$7,$G391=$G$8,L$8,$G391=$G$9,L$9,$G391=$G$10,L$10,$G391=$G$11,L$11,$G391=$G$12,L$12,$G391=$G$13,L$13,$G391=$G$15,L$15,$G391=$G$16,L$16,$G391=$G$17,L$17,$G391=$G$18,L$18,$G391=$G$19,L$19,$G391=$G$20,L$20,$G391=$G$21,L$21,$G391=$G$22,L$22,$G391=$G$25,L$25,$G391=$G$26,L$26,$G391=$G$27,L$27,$G391=$G$29,L$29,$G391=$G$31,L$31,$G391=$G$32,L$32,$G391=$G$248,L$248,$G391=$G$250,L$250)</f>
        <v>Urban habitat</v>
      </c>
      <c r="M391" s="48"/>
      <c r="O391" s="45" t="str">
        <f t="shared" si="30"/>
        <v>A_SP_BCN_3_210714</v>
      </c>
      <c r="P391" s="64">
        <v>44391</v>
      </c>
      <c r="R391" s="72"/>
      <c r="S391" s="64">
        <v>44398</v>
      </c>
      <c r="U391" s="72"/>
      <c r="V391" s="54" t="s">
        <v>66</v>
      </c>
      <c r="X391" s="45">
        <f t="shared" si="31"/>
        <v>7</v>
      </c>
      <c r="Z391" s="45" t="s">
        <v>80</v>
      </c>
      <c r="AA391" s="45">
        <f t="shared" si="32"/>
        <v>1</v>
      </c>
      <c r="AB391" t="str">
        <f t="shared" si="33"/>
        <v>Adult</v>
      </c>
      <c r="AC391" s="69">
        <v>1</v>
      </c>
      <c r="AD391" s="69">
        <v>0</v>
      </c>
      <c r="AE391" s="45" t="str">
        <f t="shared" si="34"/>
        <v>Morphological</v>
      </c>
      <c r="AF391" s="56">
        <v>4</v>
      </c>
    </row>
    <row r="392" spans="1:32" ht="18" customHeight="1" x14ac:dyDescent="0.25">
      <c r="A392" s="45">
        <v>388</v>
      </c>
      <c r="B392" s="45" t="s">
        <v>60</v>
      </c>
      <c r="C392" s="45" t="s">
        <v>61</v>
      </c>
      <c r="D392" s="45" t="s">
        <v>62</v>
      </c>
      <c r="E392" s="45" t="s">
        <v>62</v>
      </c>
      <c r="F392" s="46" cm="1">
        <f t="array" ref="F392">_xlfn.IFS($G392=$G$5,F$5,$G392=$G$6,F$6,$G392=$G$7,F$7,$G392=$G$8,F$8,$G392=$G$9,F$9,$G392=$G$10,F$10,$G392=$G$11,F$11,$G392=$G$12,F$12,$G392=$G$13,F$13,$G392=$G$15,F$15,$G392=$G$16,F$16,$G392=$G$17,F$17,$G392=$G$18,F$18,$G392=$G$19,F$19,$G392=$G$20,F$20,$G392=$G$21,F$21,$G392=$G$22,F$22,$G392=$G$25,F$25,$G392=$G$26,F$26,$G392=$G$27,F$27,$G392=$G$29,F$29,$G392=$G$31,F$31,$G392=$G$32,F$32,$G392=$G$248,F$248,$G392=$G$250,F$250)</f>
        <v>8018</v>
      </c>
      <c r="G392" t="s">
        <v>71</v>
      </c>
      <c r="H392" s="66" cm="1">
        <f t="array" ref="H392">_xlfn.IFS($G392=$G$5,H$5,$G392=$G$6,H$6,$G392=$G$7,H$7,$G392=$G$8,H$8,$G392=$G$9,H$9,$G392=$G$10,H$10,$G392=$G$11,H$11,$G392=$G$12,H$12,$G392=$G$13,H$13,$G392=$G$15,H$15,$G392=$G$16,H$16,$G392=$G$17,H$17,$G392=$G$18,H$18,$G392=$G$19,H$19,$G392=$G$20,H$20,$G392=$G$21,H$21,$G392=$G$22,H$22,$G392=$G$25,H$25,$G392=$G$26,H$26,$G392=$G$27,H$27,$G392=$G$29,H$29,$G392=$G$31,H$31,$G392=$G$32,H$150,$G392=$G$248,H$248,$G392=$G$250,H$250)</f>
        <v>41.410684000000003</v>
      </c>
      <c r="I392" s="78" cm="1">
        <f t="array" ref="I392">_xlfn.IFS($G392=$G$5,I$5,$G392=$G$6,I$6,$G392=$G$7,I$7,$G392=$G$8,I$8,$G392=$G$9,I$9,$G392=$G$10,I$10,$G392=$G$11,I$11,$G392=$G$12,I$12,$G392=$G$13,I$13,$G392=$G$15,I$15,$G392=$G$16,I$16,$G392=$G$17,I$17,$G392=$G$18,I$18,$G392=$G$19,I$19,$G392=$G$20,I$20,$G392=$G$21,I$21,$G392=$G$22,I$22,$G392=$G$25,I$25,$G392=$G$26,I$26,$G392=$G$27,I$27,$G392=$G$29,I$29,$G392=$G$31,I$31,$G392=$G$32,I$150,$G392=$G$248,I$248,$G392=$G$250,I$250)</f>
        <v>2.2208019999999999</v>
      </c>
      <c r="J392" cm="1">
        <f t="array" ref="J392">_xlfn.IFS($G392=$G$5,J$5,$G392=$G$6,J$6,$G392=$G$7,J$7,$G392=$G$8,J$8,$G392=$G$9,J$9,$G392=$G$10,J$10,$G392=$G$11,J$11,$G392=$G$12,J$12,$G392=$G$13,J$13,$G392=$G$15,J$15,$G392=$G$16,J$16,$G392=$G$17,J$17,$G392=$G$18,J$18,$G392=$G$19,J$19,$G392=$G$20,J$20,$G392=$G$21,J$21,$G392=$G$22,J$22,$G392=$G$25,J$25,$G392=$G$26,J$26,$G392=$G$27,J$27,$G392=$G$29,J$29,$G392=$G$31,J$31,$G392=$G$32,J$150,$G392=$G$248,J$248,$G392=$G$250,J$250)</f>
        <v>4</v>
      </c>
      <c r="K392" t="str" cm="1">
        <f t="array" ref="K392">_xlfn.IFS($G392=$G$5,K$5,$G392=$G$6,K$6,$G392=$G$7,K$7,$G392=$G$8,K$8,$G392=$G$9,K$9,$G392=$G$10,K$10,$G392=$G$11,K$11,$G392=$G$12,K$12,$G392=$G$13,K$13,$G392=$G$15,K$15,$G392=$G$16,K$16,$G392=$G$17,K$17,$G392=$G$18,K$18,$G392=$G$19,K$19,$G392=$G$20,K$20,$G392=$G$21,K$21,$G392=$G$22,K$22,$G392=$G$25,K$25,$G392=$G$26,K$26,$G392=$G$27,K$27,$G392=$G$29,K$29,$G392=$G$31,K$31,$G392=$G$32,K$150,$G392=$G$248,K$248,$G392=$G$250,K$250)</f>
        <v>BG sentinel + BG lure7</v>
      </c>
      <c r="L392" s="48" t="str" cm="1">
        <f t="array" ref="L392">_xlfn.IFS($G392=$G$5,L$5,$G392=$G$6,L$6,$G392=$G$7,L$7,$G392=$G$8,L$8,$G392=$G$9,L$9,$G392=$G$10,L$10,$G392=$G$11,L$11,$G392=$G$12,L$12,$G392=$G$13,L$13,$G392=$G$15,L$15,$G392=$G$16,L$16,$G392=$G$17,L$17,$G392=$G$18,L$18,$G392=$G$19,L$19,$G392=$G$20,L$20,$G392=$G$21,L$21,$G392=$G$22,L$22,$G392=$G$25,L$25,$G392=$G$26,L$26,$G392=$G$27,L$27,$G392=$G$29,L$29,$G392=$G$31,L$31,$G392=$G$32,L$32,$G392=$G$248,L$248,$G392=$G$250,L$250)</f>
        <v>Urban habitat</v>
      </c>
      <c r="M392" s="48"/>
      <c r="O392" s="45" t="str">
        <f t="shared" si="30"/>
        <v>A_SP_BCN_4_210715</v>
      </c>
      <c r="P392" s="64">
        <v>44392</v>
      </c>
      <c r="R392" s="72"/>
      <c r="S392" s="64">
        <v>44399</v>
      </c>
      <c r="U392" s="72"/>
      <c r="V392" s="54" t="s">
        <v>66</v>
      </c>
      <c r="X392" s="45">
        <f t="shared" si="31"/>
        <v>7</v>
      </c>
      <c r="Z392" s="69" t="s">
        <v>69</v>
      </c>
      <c r="AA392" s="45">
        <f t="shared" si="32"/>
        <v>4</v>
      </c>
      <c r="AB392" t="str">
        <f t="shared" si="33"/>
        <v>Adult</v>
      </c>
      <c r="AC392" s="69">
        <v>4</v>
      </c>
      <c r="AD392" s="69">
        <v>0</v>
      </c>
      <c r="AE392" s="45" t="str">
        <f t="shared" si="34"/>
        <v>Morphological</v>
      </c>
      <c r="AF392" s="56">
        <v>4</v>
      </c>
    </row>
    <row r="393" spans="1:32" ht="18" customHeight="1" x14ac:dyDescent="0.25">
      <c r="A393" s="45">
        <v>389</v>
      </c>
      <c r="B393" s="45" t="s">
        <v>60</v>
      </c>
      <c r="C393" s="45" t="s">
        <v>61</v>
      </c>
      <c r="D393" s="45" t="s">
        <v>62</v>
      </c>
      <c r="E393" s="45" t="s">
        <v>62</v>
      </c>
      <c r="F393" s="46" cm="1">
        <f t="array" ref="F393">_xlfn.IFS($G393=$G$5,F$5,$G393=$G$6,F$6,$G393=$G$7,F$7,$G393=$G$8,F$8,$G393=$G$9,F$9,$G393=$G$10,F$10,$G393=$G$11,F$11,$G393=$G$12,F$12,$G393=$G$13,F$13,$G393=$G$15,F$15,$G393=$G$16,F$16,$G393=$G$17,F$17,$G393=$G$18,F$18,$G393=$G$19,F$19,$G393=$G$20,F$20,$G393=$G$21,F$21,$G393=$G$22,F$22,$G393=$G$25,F$25,$G393=$G$26,F$26,$G393=$G$27,F$27,$G393=$G$29,F$29,$G393=$G$31,F$31,$G393=$G$32,F$32,$G393=$G$248,F$248,$G393=$G$250,F$250)</f>
        <v>8018</v>
      </c>
      <c r="G393" t="s">
        <v>71</v>
      </c>
      <c r="H393" s="66" cm="1">
        <f t="array" ref="H393">_xlfn.IFS($G393=$G$5,H$5,$G393=$G$6,H$6,$G393=$G$7,H$7,$G393=$G$8,H$8,$G393=$G$9,H$9,$G393=$G$10,H$10,$G393=$G$11,H$11,$G393=$G$12,H$12,$G393=$G$13,H$13,$G393=$G$15,H$15,$G393=$G$16,H$16,$G393=$G$17,H$17,$G393=$G$18,H$18,$G393=$G$19,H$19,$G393=$G$20,H$20,$G393=$G$21,H$21,$G393=$G$22,H$22,$G393=$G$25,H$25,$G393=$G$26,H$26,$G393=$G$27,H$27,$G393=$G$29,H$29,$G393=$G$31,H$31,$G393=$G$32,H$150,$G393=$G$248,H$248,$G393=$G$250,H$250)</f>
        <v>41.410684000000003</v>
      </c>
      <c r="I393" s="78" cm="1">
        <f t="array" ref="I393">_xlfn.IFS($G393=$G$5,I$5,$G393=$G$6,I$6,$G393=$G$7,I$7,$G393=$G$8,I$8,$G393=$G$9,I$9,$G393=$G$10,I$10,$G393=$G$11,I$11,$G393=$G$12,I$12,$G393=$G$13,I$13,$G393=$G$15,I$15,$G393=$G$16,I$16,$G393=$G$17,I$17,$G393=$G$18,I$18,$G393=$G$19,I$19,$G393=$G$20,I$20,$G393=$G$21,I$21,$G393=$G$22,I$22,$G393=$G$25,I$25,$G393=$G$26,I$26,$G393=$G$27,I$27,$G393=$G$29,I$29,$G393=$G$31,I$31,$G393=$G$32,I$150,$G393=$G$248,I$248,$G393=$G$250,I$250)</f>
        <v>2.2208019999999999</v>
      </c>
      <c r="J393" cm="1">
        <f t="array" ref="J393">_xlfn.IFS($G393=$G$5,J$5,$G393=$G$6,J$6,$G393=$G$7,J$7,$G393=$G$8,J$8,$G393=$G$9,J$9,$G393=$G$10,J$10,$G393=$G$11,J$11,$G393=$G$12,J$12,$G393=$G$13,J$13,$G393=$G$15,J$15,$G393=$G$16,J$16,$G393=$G$17,J$17,$G393=$G$18,J$18,$G393=$G$19,J$19,$G393=$G$20,J$20,$G393=$G$21,J$21,$G393=$G$22,J$22,$G393=$G$25,J$25,$G393=$G$26,J$26,$G393=$G$27,J$27,$G393=$G$29,J$29,$G393=$G$31,J$31,$G393=$G$32,J$150,$G393=$G$248,J$248,$G393=$G$250,J$250)</f>
        <v>4</v>
      </c>
      <c r="K393" t="str" cm="1">
        <f t="array" ref="K393">_xlfn.IFS($G393=$G$5,K$5,$G393=$G$6,K$6,$G393=$G$7,K$7,$G393=$G$8,K$8,$G393=$G$9,K$9,$G393=$G$10,K$10,$G393=$G$11,K$11,$G393=$G$12,K$12,$G393=$G$13,K$13,$G393=$G$15,K$15,$G393=$G$16,K$16,$G393=$G$17,K$17,$G393=$G$18,K$18,$G393=$G$19,K$19,$G393=$G$20,K$20,$G393=$G$21,K$21,$G393=$G$22,K$22,$G393=$G$25,K$25,$G393=$G$26,K$26,$G393=$G$27,K$27,$G393=$G$29,K$29,$G393=$G$31,K$31,$G393=$G$32,K$150,$G393=$G$248,K$248,$G393=$G$250,K$250)</f>
        <v>BG sentinel + BG lure7</v>
      </c>
      <c r="L393" s="48" t="str" cm="1">
        <f t="array" ref="L393">_xlfn.IFS($G393=$G$5,L$5,$G393=$G$6,L$6,$G393=$G$7,L$7,$G393=$G$8,L$8,$G393=$G$9,L$9,$G393=$G$10,L$10,$G393=$G$11,L$11,$G393=$G$12,L$12,$G393=$G$13,L$13,$G393=$G$15,L$15,$G393=$G$16,L$16,$G393=$G$17,L$17,$G393=$G$18,L$18,$G393=$G$19,L$19,$G393=$G$20,L$20,$G393=$G$21,L$21,$G393=$G$22,L$22,$G393=$G$25,L$25,$G393=$G$26,L$26,$G393=$G$27,L$27,$G393=$G$29,L$29,$G393=$G$31,L$31,$G393=$G$32,L$32,$G393=$G$248,L$248,$G393=$G$250,L$250)</f>
        <v>Urban habitat</v>
      </c>
      <c r="M393" s="48"/>
      <c r="O393" s="45" t="str">
        <f t="shared" si="30"/>
        <v>A_SP_BCN_4_210715</v>
      </c>
      <c r="P393" s="64">
        <v>44392</v>
      </c>
      <c r="R393" s="72"/>
      <c r="S393" s="64">
        <v>44399</v>
      </c>
      <c r="U393" s="72"/>
      <c r="V393" s="54" t="s">
        <v>66</v>
      </c>
      <c r="X393" s="45">
        <f t="shared" si="31"/>
        <v>7</v>
      </c>
      <c r="Z393" s="45" t="s">
        <v>70</v>
      </c>
      <c r="AA393" s="45">
        <f t="shared" si="32"/>
        <v>4</v>
      </c>
      <c r="AB393" t="str">
        <f t="shared" si="33"/>
        <v>Adult</v>
      </c>
      <c r="AC393" s="69">
        <v>4</v>
      </c>
      <c r="AD393" s="69">
        <v>0</v>
      </c>
      <c r="AE393" s="45" t="str">
        <f t="shared" si="34"/>
        <v>Morphological</v>
      </c>
      <c r="AF393" s="56">
        <v>4</v>
      </c>
    </row>
    <row r="394" spans="1:32" ht="18" customHeight="1" x14ac:dyDescent="0.25">
      <c r="A394" s="45">
        <v>390</v>
      </c>
      <c r="B394" s="45" t="s">
        <v>60</v>
      </c>
      <c r="C394" s="45" t="s">
        <v>61</v>
      </c>
      <c r="D394" s="45" t="s">
        <v>62</v>
      </c>
      <c r="E394" s="45" t="s">
        <v>62</v>
      </c>
      <c r="F394" s="46" cm="1">
        <f t="array" ref="F394">_xlfn.IFS($G394=$G$5,F$5,$G394=$G$6,F$6,$G394=$G$7,F$7,$G394=$G$8,F$8,$G394=$G$9,F$9,$G394=$G$10,F$10,$G394=$G$11,F$11,$G394=$G$12,F$12,$G394=$G$13,F$13,$G394=$G$15,F$15,$G394=$G$16,F$16,$G394=$G$17,F$17,$G394=$G$18,F$18,$G394=$G$19,F$19,$G394=$G$20,F$20,$G394=$G$21,F$21,$G394=$G$22,F$22,$G394=$G$25,F$25,$G394=$G$26,F$26,$G394=$G$27,F$27,$G394=$G$29,F$29,$G394=$G$31,F$31,$G394=$G$32,F$32,$G394=$G$248,F$248,$G394=$G$250,F$250)</f>
        <v>8018</v>
      </c>
      <c r="G394" t="s">
        <v>71</v>
      </c>
      <c r="H394" s="66" cm="1">
        <f t="array" ref="H394">_xlfn.IFS($G394=$G$5,H$5,$G394=$G$6,H$6,$G394=$G$7,H$7,$G394=$G$8,H$8,$G394=$G$9,H$9,$G394=$G$10,H$10,$G394=$G$11,H$11,$G394=$G$12,H$12,$G394=$G$13,H$13,$G394=$G$15,H$15,$G394=$G$16,H$16,$G394=$G$17,H$17,$G394=$G$18,H$18,$G394=$G$19,H$19,$G394=$G$20,H$20,$G394=$G$21,H$21,$G394=$G$22,H$22,$G394=$G$25,H$25,$G394=$G$26,H$26,$G394=$G$27,H$27,$G394=$G$29,H$29,$G394=$G$31,H$31,$G394=$G$32,H$150,$G394=$G$248,H$248,$G394=$G$250,H$250)</f>
        <v>41.410684000000003</v>
      </c>
      <c r="I394" s="78" cm="1">
        <f t="array" ref="I394">_xlfn.IFS($G394=$G$5,I$5,$G394=$G$6,I$6,$G394=$G$7,I$7,$G394=$G$8,I$8,$G394=$G$9,I$9,$G394=$G$10,I$10,$G394=$G$11,I$11,$G394=$G$12,I$12,$G394=$G$13,I$13,$G394=$G$15,I$15,$G394=$G$16,I$16,$G394=$G$17,I$17,$G394=$G$18,I$18,$G394=$G$19,I$19,$G394=$G$20,I$20,$G394=$G$21,I$21,$G394=$G$22,I$22,$G394=$G$25,I$25,$G394=$G$26,I$26,$G394=$G$27,I$27,$G394=$G$29,I$29,$G394=$G$31,I$31,$G394=$G$32,I$150,$G394=$G$248,I$248,$G394=$G$250,I$250)</f>
        <v>2.2208019999999999</v>
      </c>
      <c r="J394" cm="1">
        <f t="array" ref="J394">_xlfn.IFS($G394=$G$5,J$5,$G394=$G$6,J$6,$G394=$G$7,J$7,$G394=$G$8,J$8,$G394=$G$9,J$9,$G394=$G$10,J$10,$G394=$G$11,J$11,$G394=$G$12,J$12,$G394=$G$13,J$13,$G394=$G$15,J$15,$G394=$G$16,J$16,$G394=$G$17,J$17,$G394=$G$18,J$18,$G394=$G$19,J$19,$G394=$G$20,J$20,$G394=$G$21,J$21,$G394=$G$22,J$22,$G394=$G$25,J$25,$G394=$G$26,J$26,$G394=$G$27,J$27,$G394=$G$29,J$29,$G394=$G$31,J$31,$G394=$G$32,J$150,$G394=$G$248,J$248,$G394=$G$250,J$250)</f>
        <v>4</v>
      </c>
      <c r="K394" t="str" cm="1">
        <f t="array" ref="K394">_xlfn.IFS($G394=$G$5,K$5,$G394=$G$6,K$6,$G394=$G$7,K$7,$G394=$G$8,K$8,$G394=$G$9,K$9,$G394=$G$10,K$10,$G394=$G$11,K$11,$G394=$G$12,K$12,$G394=$G$13,K$13,$G394=$G$15,K$15,$G394=$G$16,K$16,$G394=$G$17,K$17,$G394=$G$18,K$18,$G394=$G$19,K$19,$G394=$G$20,K$20,$G394=$G$21,K$21,$G394=$G$22,K$22,$G394=$G$25,K$25,$G394=$G$26,K$26,$G394=$G$27,K$27,$G394=$G$29,K$29,$G394=$G$31,K$31,$G394=$G$32,K$150,$G394=$G$248,K$248,$G394=$G$250,K$250)</f>
        <v>BG sentinel + BG lure7</v>
      </c>
      <c r="L394" s="48" t="str" cm="1">
        <f t="array" ref="L394">_xlfn.IFS($G394=$G$5,L$5,$G394=$G$6,L$6,$G394=$G$7,L$7,$G394=$G$8,L$8,$G394=$G$9,L$9,$G394=$G$10,L$10,$G394=$G$11,L$11,$G394=$G$12,L$12,$G394=$G$13,L$13,$G394=$G$15,L$15,$G394=$G$16,L$16,$G394=$G$17,L$17,$G394=$G$18,L$18,$G394=$G$19,L$19,$G394=$G$20,L$20,$G394=$G$21,L$21,$G394=$G$22,L$22,$G394=$G$25,L$25,$G394=$G$26,L$26,$G394=$G$27,L$27,$G394=$G$29,L$29,$G394=$G$31,L$31,$G394=$G$32,L$32,$G394=$G$248,L$248,$G394=$G$250,L$250)</f>
        <v>Urban habitat</v>
      </c>
      <c r="M394" s="48"/>
      <c r="O394" s="45" t="str">
        <f t="shared" si="30"/>
        <v>A_SP_BCN_4_210715</v>
      </c>
      <c r="P394" s="64">
        <v>44392</v>
      </c>
      <c r="R394" s="72"/>
      <c r="S394" s="64">
        <v>44399</v>
      </c>
      <c r="U394" s="72"/>
      <c r="V394" s="54" t="s">
        <v>66</v>
      </c>
      <c r="X394" s="45">
        <f t="shared" si="31"/>
        <v>7</v>
      </c>
      <c r="Z394" s="45" t="s">
        <v>80</v>
      </c>
      <c r="AA394" s="45">
        <f t="shared" si="32"/>
        <v>2</v>
      </c>
      <c r="AB394" t="str">
        <f t="shared" si="33"/>
        <v>Adult</v>
      </c>
      <c r="AC394" s="69">
        <v>2</v>
      </c>
      <c r="AD394" s="69">
        <v>0</v>
      </c>
      <c r="AE394" s="45" t="str">
        <f t="shared" si="34"/>
        <v>Morphological</v>
      </c>
      <c r="AF394" s="56">
        <v>4</v>
      </c>
    </row>
    <row r="395" spans="1:32" ht="18" customHeight="1" x14ac:dyDescent="0.25">
      <c r="A395" s="45">
        <v>391</v>
      </c>
      <c r="B395" s="45" t="s">
        <v>60</v>
      </c>
      <c r="C395" s="45" t="s">
        <v>61</v>
      </c>
      <c r="D395" s="45" t="s">
        <v>62</v>
      </c>
      <c r="E395" s="45" t="s">
        <v>62</v>
      </c>
      <c r="F395" s="46" cm="1">
        <f t="array" ref="F395">_xlfn.IFS($G395=$G$5,F$5,$G395=$G$6,F$6,$G395=$G$7,F$7,$G395=$G$8,F$8,$G395=$G$9,F$9,$G395=$G$10,F$10,$G395=$G$11,F$11,$G395=$G$12,F$12,$G395=$G$13,F$13,$G395=$G$15,F$15,$G395=$G$16,F$16,$G395=$G$17,F$17,$G395=$G$18,F$18,$G395=$G$19,F$19,$G395=$G$20,F$20,$G395=$G$21,F$21,$G395=$G$22,F$22,$G395=$G$25,F$25,$G395=$G$26,F$26,$G395=$G$27,F$27,$G395=$G$29,F$29,$G395=$G$31,F$31,$G395=$G$32,F$32,$G395=$G$248,F$248,$G395=$G$250,F$250)</f>
        <v>8019</v>
      </c>
      <c r="G395" t="s">
        <v>72</v>
      </c>
      <c r="H395" s="66" cm="1">
        <f t="array" ref="H395">_xlfn.IFS($G395=$G$5,H$5,$G395=$G$6,H$6,$G395=$G$7,H$7,$G395=$G$8,H$8,$G395=$G$9,H$9,$G395=$G$10,H$10,$G395=$G$11,H$11,$G395=$G$12,H$12,$G395=$G$13,H$13,$G395=$G$15,H$15,$G395=$G$16,H$16,$G395=$G$17,H$17,$G395=$G$18,H$18,$G395=$G$19,H$19,$G395=$G$20,H$20,$G395=$G$21,H$21,$G395=$G$22,H$22,$G395=$G$25,H$25,$G395=$G$26,H$26,$G395=$G$27,H$27,$G395=$G$29,H$29,$G395=$G$31,H$31,$G395=$G$32,H$150,$G395=$G$248,H$248,$G395=$G$250,H$250)</f>
        <v>41.382339999999999</v>
      </c>
      <c r="I395" s="78" cm="1">
        <f t="array" ref="I395">_xlfn.IFS($G395=$G$5,I$5,$G395=$G$6,I$6,$G395=$G$7,I$7,$G395=$G$8,I$8,$G395=$G$9,I$9,$G395=$G$10,I$10,$G395=$G$11,I$11,$G395=$G$12,I$12,$G395=$G$13,I$13,$G395=$G$15,I$15,$G395=$G$16,I$16,$G395=$G$17,I$17,$G395=$G$18,I$18,$G395=$G$19,I$19,$G395=$G$20,I$20,$G395=$G$21,I$21,$G395=$G$22,I$22,$G395=$G$25,I$25,$G395=$G$26,I$26,$G395=$G$27,I$27,$G395=$G$29,I$29,$G395=$G$31,I$31,$G395=$G$32,I$150,$G395=$G$248,I$248,$G395=$G$250,I$250)</f>
        <v>2.1714790000000002</v>
      </c>
      <c r="J395" cm="1">
        <f t="array" ref="J395">_xlfn.IFS($G395=$G$5,J$5,$G395=$G$6,J$6,$G395=$G$7,J$7,$G395=$G$8,J$8,$G395=$G$9,J$9,$G395=$G$10,J$10,$G395=$G$11,J$11,$G395=$G$12,J$12,$G395=$G$13,J$13,$G395=$G$15,J$15,$G395=$G$16,J$16,$G395=$G$17,J$17,$G395=$G$18,J$18,$G395=$G$19,J$19,$G395=$G$20,J$20,$G395=$G$21,J$21,$G395=$G$22,J$22,$G395=$G$25,J$25,$G395=$G$26,J$26,$G395=$G$27,J$27,$G395=$G$29,J$29,$G395=$G$31,J$31,$G395=$G$32,J$150,$G395=$G$248,J$248,$G395=$G$250,J$250)</f>
        <v>18</v>
      </c>
      <c r="K395" t="str" cm="1">
        <f t="array" ref="K395">_xlfn.IFS($G395=$G$5,K$5,$G395=$G$6,K$6,$G395=$G$7,K$7,$G395=$G$8,K$8,$G395=$G$9,K$9,$G395=$G$10,K$10,$G395=$G$11,K$11,$G395=$G$12,K$12,$G395=$G$13,K$13,$G395=$G$15,K$15,$G395=$G$16,K$16,$G395=$G$17,K$17,$G395=$G$18,K$18,$G395=$G$19,K$19,$G395=$G$20,K$20,$G395=$G$21,K$21,$G395=$G$22,K$22,$G395=$G$25,K$25,$G395=$G$26,K$26,$G395=$G$27,K$27,$G395=$G$29,K$29,$G395=$G$31,K$31,$G395=$G$32,K$150,$G395=$G$248,K$248,$G395=$G$250,K$250)</f>
        <v>BG sentinel + BG lure7</v>
      </c>
      <c r="L395" s="48" t="str" cm="1">
        <f t="array" ref="L395">_xlfn.IFS($G395=$G$5,L$5,$G395=$G$6,L$6,$G395=$G$7,L$7,$G395=$G$8,L$8,$G395=$G$9,L$9,$G395=$G$10,L$10,$G395=$G$11,L$11,$G395=$G$12,L$12,$G395=$G$13,L$13,$G395=$G$15,L$15,$G395=$G$16,L$16,$G395=$G$17,L$17,$G395=$G$18,L$18,$G395=$G$19,L$19,$G395=$G$20,L$20,$G395=$G$21,L$21,$G395=$G$22,L$22,$G395=$G$25,L$25,$G395=$G$26,L$26,$G395=$G$27,L$27,$G395=$G$29,L$29,$G395=$G$31,L$31,$G395=$G$32,L$32,$G395=$G$248,L$248,$G395=$G$250,L$250)</f>
        <v>Urban habitat</v>
      </c>
      <c r="M395" s="48"/>
      <c r="O395" s="45" t="str">
        <f t="shared" si="30"/>
        <v>A_SP_BCN_5_210715</v>
      </c>
      <c r="P395" s="64">
        <v>44392</v>
      </c>
      <c r="R395" s="72"/>
      <c r="S395" s="64">
        <v>44399</v>
      </c>
      <c r="U395" s="72"/>
      <c r="V395" s="54" t="s">
        <v>66</v>
      </c>
      <c r="X395" s="45">
        <f t="shared" si="31"/>
        <v>7</v>
      </c>
      <c r="Z395" s="45" t="s">
        <v>70</v>
      </c>
      <c r="AA395" s="45">
        <f t="shared" si="32"/>
        <v>9</v>
      </c>
      <c r="AB395" t="str">
        <f t="shared" si="33"/>
        <v>Adult</v>
      </c>
      <c r="AC395" s="69">
        <v>9</v>
      </c>
      <c r="AD395" s="69">
        <v>0</v>
      </c>
      <c r="AE395" s="45" t="str">
        <f t="shared" si="34"/>
        <v>Morphological</v>
      </c>
      <c r="AF395" s="56">
        <v>4</v>
      </c>
    </row>
    <row r="396" spans="1:32" ht="18" customHeight="1" x14ac:dyDescent="0.25">
      <c r="A396" s="45">
        <v>392</v>
      </c>
      <c r="B396" s="45" t="s">
        <v>60</v>
      </c>
      <c r="C396" s="45" t="s">
        <v>61</v>
      </c>
      <c r="D396" s="45" t="s">
        <v>62</v>
      </c>
      <c r="E396" s="45" t="s">
        <v>62</v>
      </c>
      <c r="F396" s="46" cm="1">
        <f t="array" ref="F396">_xlfn.IFS($G396=$G$5,F$5,$G396=$G$6,F$6,$G396=$G$7,F$7,$G396=$G$8,F$8,$G396=$G$9,F$9,$G396=$G$10,F$10,$G396=$G$11,F$11,$G396=$G$12,F$12,$G396=$G$13,F$13,$G396=$G$15,F$15,$G396=$G$16,F$16,$G396=$G$17,F$17,$G396=$G$18,F$18,$G396=$G$19,F$19,$G396=$G$20,F$20,$G396=$G$21,F$21,$G396=$G$22,F$22,$G396=$G$25,F$25,$G396=$G$26,F$26,$G396=$G$27,F$27,$G396=$G$29,F$29,$G396=$G$31,F$31,$G396=$G$32,F$32,$G396=$G$248,F$248,$G396=$G$250,F$250)</f>
        <v>8002</v>
      </c>
      <c r="G396" t="s">
        <v>73</v>
      </c>
      <c r="H396" s="66" cm="1">
        <f t="array" ref="H396">_xlfn.IFS($G396=$G$5,H$5,$G396=$G$6,H$6,$G396=$G$7,H$7,$G396=$G$8,H$8,$G396=$G$9,H$9,$G396=$G$10,H$10,$G396=$G$11,H$11,$G396=$G$12,H$12,$G396=$G$13,H$13,$G396=$G$15,H$15,$G396=$G$16,H$16,$G396=$G$17,H$17,$G396=$G$18,H$18,$G396=$G$19,H$19,$G396=$G$20,H$20,$G396=$G$21,H$21,$G396=$G$22,H$22,$G396=$G$25,H$25,$G396=$G$26,H$26,$G396=$G$27,H$27,$G396=$G$29,H$29,$G396=$G$31,H$31,$G396=$G$32,H$150,$G396=$G$248,H$248,$G396=$G$250,H$250)</f>
        <v>41.371864000000002</v>
      </c>
      <c r="I396" s="78" cm="1">
        <f t="array" ref="I396">_xlfn.IFS($G396=$G$5,I$5,$G396=$G$6,I$6,$G396=$G$7,I$7,$G396=$G$8,I$8,$G396=$G$9,I$9,$G396=$G$10,I$10,$G396=$G$11,I$11,$G396=$G$12,I$12,$G396=$G$13,I$13,$G396=$G$15,I$15,$G396=$G$16,I$16,$G396=$G$17,I$17,$G396=$G$18,I$18,$G396=$G$19,I$19,$G396=$G$20,I$20,$G396=$G$21,I$21,$G396=$G$22,I$22,$G396=$G$25,I$25,$G396=$G$26,I$26,$G396=$G$27,I$27,$G396=$G$29,I$29,$G396=$G$31,I$31,$G396=$G$32,I$150,$G396=$G$248,I$248,$G396=$G$250,I$250)</f>
        <v>2.173899</v>
      </c>
      <c r="J396" cm="1">
        <f t="array" ref="J396">_xlfn.IFS($G396=$G$5,J$5,$G396=$G$6,J$6,$G396=$G$7,J$7,$G396=$G$8,J$8,$G396=$G$9,J$9,$G396=$G$10,J$10,$G396=$G$11,J$11,$G396=$G$12,J$12,$G396=$G$13,J$13,$G396=$G$15,J$15,$G396=$G$16,J$16,$G396=$G$17,J$17,$G396=$G$18,J$18,$G396=$G$19,J$19,$G396=$G$20,J$20,$G396=$G$21,J$21,$G396=$G$22,J$22,$G396=$G$25,J$25,$G396=$G$26,J$26,$G396=$G$27,J$27,$G396=$G$29,J$29,$G396=$G$31,J$31,$G396=$G$32,J$150,$G396=$G$248,J$248,$G396=$G$250,J$250)</f>
        <v>19</v>
      </c>
      <c r="K396" t="str" cm="1">
        <f t="array" ref="K396">_xlfn.IFS($G396=$G$5,K$5,$G396=$G$6,K$6,$G396=$G$7,K$7,$G396=$G$8,K$8,$G396=$G$9,K$9,$G396=$G$10,K$10,$G396=$G$11,K$11,$G396=$G$12,K$12,$G396=$G$13,K$13,$G396=$G$15,K$15,$G396=$G$16,K$16,$G396=$G$17,K$17,$G396=$G$18,K$18,$G396=$G$19,K$19,$G396=$G$20,K$20,$G396=$G$21,K$21,$G396=$G$22,K$22,$G396=$G$25,K$25,$G396=$G$26,K$26,$G396=$G$27,K$27,$G396=$G$29,K$29,$G396=$G$31,K$31,$G396=$G$32,K$150,$G396=$G$248,K$248,$G396=$G$250,K$250)</f>
        <v>BG sentinel + BG lure7</v>
      </c>
      <c r="L396" s="48" t="str" cm="1">
        <f t="array" ref="L396">_xlfn.IFS($G396=$G$5,L$5,$G396=$G$6,L$6,$G396=$G$7,L$7,$G396=$G$8,L$8,$G396=$G$9,L$9,$G396=$G$10,L$10,$G396=$G$11,L$11,$G396=$G$12,L$12,$G396=$G$13,L$13,$G396=$G$15,L$15,$G396=$G$16,L$16,$G396=$G$17,L$17,$G396=$G$18,L$18,$G396=$G$19,L$19,$G396=$G$20,L$20,$G396=$G$21,L$21,$G396=$G$22,L$22,$G396=$G$25,L$25,$G396=$G$26,L$26,$G396=$G$27,L$27,$G396=$G$29,L$29,$G396=$G$31,L$31,$G396=$G$32,L$32,$G396=$G$248,L$248,$G396=$G$250,L$250)</f>
        <v>Urban habitat</v>
      </c>
      <c r="M396" s="48"/>
      <c r="O396" s="45" t="str">
        <f t="shared" si="30"/>
        <v>A_SP_BCN_6_210715</v>
      </c>
      <c r="P396" s="64">
        <v>44392</v>
      </c>
      <c r="R396" s="72"/>
      <c r="S396" s="64">
        <v>44399</v>
      </c>
      <c r="U396" s="72"/>
      <c r="V396" s="54" t="s">
        <v>66</v>
      </c>
      <c r="X396" s="45">
        <f t="shared" si="31"/>
        <v>7</v>
      </c>
      <c r="AA396" s="45">
        <f t="shared" si="32"/>
        <v>0</v>
      </c>
      <c r="AB396" t="str">
        <f t="shared" si="33"/>
        <v/>
      </c>
      <c r="AE396" s="45" t="str">
        <f t="shared" si="34"/>
        <v/>
      </c>
      <c r="AF396" s="56">
        <v>4</v>
      </c>
    </row>
    <row r="397" spans="1:32" ht="18" customHeight="1" x14ac:dyDescent="0.25">
      <c r="A397" s="45">
        <v>393</v>
      </c>
      <c r="B397" s="45" t="s">
        <v>60</v>
      </c>
      <c r="C397" s="45" t="s">
        <v>61</v>
      </c>
      <c r="D397" s="45" t="s">
        <v>62</v>
      </c>
      <c r="E397" s="45" t="s">
        <v>62</v>
      </c>
      <c r="F397" s="46" cm="1">
        <f t="array" ref="F397">_xlfn.IFS($G397=$G$5,F$5,$G397=$G$6,F$6,$G397=$G$7,F$7,$G397=$G$8,F$8,$G397=$G$9,F$9,$G397=$G$10,F$10,$G397=$G$11,F$11,$G397=$G$12,F$12,$G397=$G$13,F$13,$G397=$G$15,F$15,$G397=$G$16,F$16,$G397=$G$17,F$17,$G397=$G$18,F$18,$G397=$G$19,F$19,$G397=$G$20,F$20,$G397=$G$21,F$21,$G397=$G$22,F$22,$G397=$G$25,F$25,$G397=$G$26,F$26,$G397=$G$27,F$27,$G397=$G$29,F$29,$G397=$G$31,F$31,$G397=$G$32,F$32,$G397=$G$248,F$248,$G397=$G$250,F$250)</f>
        <v>8038</v>
      </c>
      <c r="G397" t="s">
        <v>74</v>
      </c>
      <c r="H397" s="66" cm="1">
        <f t="array" ref="H397">_xlfn.IFS($G397=$G$5,H$5,$G397=$G$6,H$6,$G397=$G$7,H$7,$G397=$G$8,H$8,$G397=$G$9,H$9,$G397=$G$10,H$10,$G397=$G$11,H$11,$G397=$G$12,H$12,$G397=$G$13,H$13,$G397=$G$15,H$15,$G397=$G$16,H$16,$G397=$G$17,H$17,$G397=$G$18,H$18,$G397=$G$19,H$19,$G397=$G$20,H$20,$G397=$G$21,H$21,$G397=$G$22,H$22,$G397=$G$25,H$25,$G397=$G$26,H$26,$G397=$G$27,H$27,$G397=$G$29,H$29,$G397=$G$31,H$31,$G397=$G$32,H$150,$G397=$G$248,H$248,$G397=$G$250,H$250)</f>
        <v>41.371864000000002</v>
      </c>
      <c r="I397" s="78" cm="1">
        <f t="array" ref="I397">_xlfn.IFS($G397=$G$5,I$5,$G397=$G$6,I$6,$G397=$G$7,I$7,$G397=$G$8,I$8,$G397=$G$9,I$9,$G397=$G$10,I$10,$G397=$G$11,I$11,$G397=$G$12,I$12,$G397=$G$13,I$13,$G397=$G$15,I$15,$G397=$G$16,I$16,$G397=$G$17,I$17,$G397=$G$18,I$18,$G397=$G$19,I$19,$G397=$G$20,I$20,$G397=$G$21,I$21,$G397=$G$22,I$22,$G397=$G$25,I$25,$G397=$G$26,I$26,$G397=$G$27,I$27,$G397=$G$29,I$29,$G397=$G$31,I$31,$G397=$G$32,I$150,$G397=$G$248,I$248,$G397=$G$250,I$250)</f>
        <v>2.173899</v>
      </c>
      <c r="J397" cm="1">
        <f t="array" ref="J397">_xlfn.IFS($G397=$G$5,J$5,$G397=$G$6,J$6,$G397=$G$7,J$7,$G397=$G$8,J$8,$G397=$G$9,J$9,$G397=$G$10,J$10,$G397=$G$11,J$11,$G397=$G$12,J$12,$G397=$G$13,J$13,$G397=$G$15,J$15,$G397=$G$16,J$16,$G397=$G$17,J$17,$G397=$G$18,J$18,$G397=$G$19,J$19,$G397=$G$20,J$20,$G397=$G$21,J$21,$G397=$G$22,J$22,$G397=$G$25,J$25,$G397=$G$26,J$26,$G397=$G$27,J$27,$G397=$G$29,J$29,$G397=$G$31,J$31,$G397=$G$32,J$150,$G397=$G$248,J$248,$G397=$G$250,J$250)</f>
        <v>5</v>
      </c>
      <c r="K397" t="str" cm="1">
        <f t="array" ref="K397">_xlfn.IFS($G397=$G$5,K$5,$G397=$G$6,K$6,$G397=$G$7,K$7,$G397=$G$8,K$8,$G397=$G$9,K$9,$G397=$G$10,K$10,$G397=$G$11,K$11,$G397=$G$12,K$12,$G397=$G$13,K$13,$G397=$G$15,K$15,$G397=$G$16,K$16,$G397=$G$17,K$17,$G397=$G$18,K$18,$G397=$G$19,K$19,$G397=$G$20,K$20,$G397=$G$21,K$21,$G397=$G$22,K$22,$G397=$G$25,K$25,$G397=$G$26,K$26,$G397=$G$27,K$27,$G397=$G$29,K$29,$G397=$G$31,K$31,$G397=$G$32,K$150,$G397=$G$248,K$248,$G397=$G$250,K$250)</f>
        <v>BG sentinel + BG lure7</v>
      </c>
      <c r="L397" s="48" t="str" cm="1">
        <f t="array" ref="L397">_xlfn.IFS($G397=$G$5,L$5,$G397=$G$6,L$6,$G397=$G$7,L$7,$G397=$G$8,L$8,$G397=$G$9,L$9,$G397=$G$10,L$10,$G397=$G$11,L$11,$G397=$G$12,L$12,$G397=$G$13,L$13,$G397=$G$15,L$15,$G397=$G$16,L$16,$G397=$G$17,L$17,$G397=$G$18,L$18,$G397=$G$19,L$19,$G397=$G$20,L$20,$G397=$G$21,L$21,$G397=$G$22,L$22,$G397=$G$25,L$25,$G397=$G$26,L$26,$G397=$G$27,L$27,$G397=$G$29,L$29,$G397=$G$31,L$31,$G397=$G$32,L$32,$G397=$G$248,L$248,$G397=$G$250,L$250)</f>
        <v>Urban habitat</v>
      </c>
      <c r="M397" s="48"/>
      <c r="O397" s="45" t="str">
        <f t="shared" si="30"/>
        <v>A_SP_BCN_7_210715</v>
      </c>
      <c r="P397" s="64">
        <v>44392</v>
      </c>
      <c r="R397" s="72"/>
      <c r="S397" s="64">
        <v>44399</v>
      </c>
      <c r="U397" s="72"/>
      <c r="V397" s="54" t="s">
        <v>134</v>
      </c>
      <c r="X397" s="45">
        <f t="shared" si="31"/>
        <v>7</v>
      </c>
      <c r="Z397" s="45" t="s">
        <v>70</v>
      </c>
      <c r="AA397" s="45">
        <f t="shared" si="32"/>
        <v>3</v>
      </c>
      <c r="AB397" t="str">
        <f t="shared" si="33"/>
        <v>Adult</v>
      </c>
      <c r="AC397" s="69">
        <v>3</v>
      </c>
      <c r="AD397" s="69">
        <v>0</v>
      </c>
      <c r="AE397" s="45" t="str">
        <f t="shared" si="34"/>
        <v>Morphological</v>
      </c>
      <c r="AF397" s="56">
        <v>1</v>
      </c>
    </row>
    <row r="398" spans="1:32" ht="18" customHeight="1" x14ac:dyDescent="0.25">
      <c r="A398" s="45">
        <v>394</v>
      </c>
      <c r="B398" s="45" t="s">
        <v>60</v>
      </c>
      <c r="C398" s="45" t="s">
        <v>61</v>
      </c>
      <c r="D398" s="45" t="s">
        <v>62</v>
      </c>
      <c r="E398" s="45" t="s">
        <v>62</v>
      </c>
      <c r="F398" s="46" cm="1">
        <f t="array" ref="F398">_xlfn.IFS($G398=$G$5,F$5,$G398=$G$6,F$6,$G398=$G$7,F$7,$G398=$G$8,F$8,$G398=$G$9,F$9,$G398=$G$10,F$10,$G398=$G$11,F$11,$G398=$G$12,F$12,$G398=$G$13,F$13,$G398=$G$15,F$15,$G398=$G$16,F$16,$G398=$G$17,F$17,$G398=$G$18,F$18,$G398=$G$19,F$19,$G398=$G$20,F$20,$G398=$G$21,F$21,$G398=$G$22,F$22,$G398=$G$25,F$25,$G398=$G$26,F$26,$G398=$G$27,F$27,$G398=$G$29,F$29,$G398=$G$31,F$31,$G398=$G$32,F$32,$G398=$G$248,F$248,$G398=$G$250,F$250)</f>
        <v>8038</v>
      </c>
      <c r="G398" t="s">
        <v>74</v>
      </c>
      <c r="H398" s="66" cm="1">
        <f t="array" ref="H398">_xlfn.IFS($G398=$G$5,H$5,$G398=$G$6,H$6,$G398=$G$7,H$7,$G398=$G$8,H$8,$G398=$G$9,H$9,$G398=$G$10,H$10,$G398=$G$11,H$11,$G398=$G$12,H$12,$G398=$G$13,H$13,$G398=$G$15,H$15,$G398=$G$16,H$16,$G398=$G$17,H$17,$G398=$G$18,H$18,$G398=$G$19,H$19,$G398=$G$20,H$20,$G398=$G$21,H$21,$G398=$G$22,H$22,$G398=$G$25,H$25,$G398=$G$26,H$26,$G398=$G$27,H$27,$G398=$G$29,H$29,$G398=$G$31,H$31,$G398=$G$32,H$150,$G398=$G$248,H$248,$G398=$G$250,H$250)</f>
        <v>41.371864000000002</v>
      </c>
      <c r="I398" s="78" cm="1">
        <f t="array" ref="I398">_xlfn.IFS($G398=$G$5,I$5,$G398=$G$6,I$6,$G398=$G$7,I$7,$G398=$G$8,I$8,$G398=$G$9,I$9,$G398=$G$10,I$10,$G398=$G$11,I$11,$G398=$G$12,I$12,$G398=$G$13,I$13,$G398=$G$15,I$15,$G398=$G$16,I$16,$G398=$G$17,I$17,$G398=$G$18,I$18,$G398=$G$19,I$19,$G398=$G$20,I$20,$G398=$G$21,I$21,$G398=$G$22,I$22,$G398=$G$25,I$25,$G398=$G$26,I$26,$G398=$G$27,I$27,$G398=$G$29,I$29,$G398=$G$31,I$31,$G398=$G$32,I$150,$G398=$G$248,I$248,$G398=$G$250,I$250)</f>
        <v>2.173899</v>
      </c>
      <c r="J398" cm="1">
        <f t="array" ref="J398">_xlfn.IFS($G398=$G$5,J$5,$G398=$G$6,J$6,$G398=$G$7,J$7,$G398=$G$8,J$8,$G398=$G$9,J$9,$G398=$G$10,J$10,$G398=$G$11,J$11,$G398=$G$12,J$12,$G398=$G$13,J$13,$G398=$G$15,J$15,$G398=$G$16,J$16,$G398=$G$17,J$17,$G398=$G$18,J$18,$G398=$G$19,J$19,$G398=$G$20,J$20,$G398=$G$21,J$21,$G398=$G$22,J$22,$G398=$G$25,J$25,$G398=$G$26,J$26,$G398=$G$27,J$27,$G398=$G$29,J$29,$G398=$G$31,J$31,$G398=$G$32,J$150,$G398=$G$248,J$248,$G398=$G$250,J$250)</f>
        <v>5</v>
      </c>
      <c r="K398" t="str" cm="1">
        <f t="array" ref="K398">_xlfn.IFS($G398=$G$5,K$5,$G398=$G$6,K$6,$G398=$G$7,K$7,$G398=$G$8,K$8,$G398=$G$9,K$9,$G398=$G$10,K$10,$G398=$G$11,K$11,$G398=$G$12,K$12,$G398=$G$13,K$13,$G398=$G$15,K$15,$G398=$G$16,K$16,$G398=$G$17,K$17,$G398=$G$18,K$18,$G398=$G$19,K$19,$G398=$G$20,K$20,$G398=$G$21,K$21,$G398=$G$22,K$22,$G398=$G$25,K$25,$G398=$G$26,K$26,$G398=$G$27,K$27,$G398=$G$29,K$29,$G398=$G$31,K$31,$G398=$G$32,K$150,$G398=$G$248,K$248,$G398=$G$250,K$250)</f>
        <v>BG sentinel + BG lure7</v>
      </c>
      <c r="L398" s="48" t="str" cm="1">
        <f t="array" ref="L398">_xlfn.IFS($G398=$G$5,L$5,$G398=$G$6,L$6,$G398=$G$7,L$7,$G398=$G$8,L$8,$G398=$G$9,L$9,$G398=$G$10,L$10,$G398=$G$11,L$11,$G398=$G$12,L$12,$G398=$G$13,L$13,$G398=$G$15,L$15,$G398=$G$16,L$16,$G398=$G$17,L$17,$G398=$G$18,L$18,$G398=$G$19,L$19,$G398=$G$20,L$20,$G398=$G$21,L$21,$G398=$G$22,L$22,$G398=$G$25,L$25,$G398=$G$26,L$26,$G398=$G$27,L$27,$G398=$G$29,L$29,$G398=$G$31,L$31,$G398=$G$32,L$32,$G398=$G$248,L$248,$G398=$G$250,L$250)</f>
        <v>Urban habitat</v>
      </c>
      <c r="M398" s="48"/>
      <c r="O398" s="45" t="str">
        <f t="shared" si="30"/>
        <v>A_SP_BCN_7_210715</v>
      </c>
      <c r="P398" s="64">
        <v>44392</v>
      </c>
      <c r="R398" s="72"/>
      <c r="S398" s="64">
        <v>44399</v>
      </c>
      <c r="U398" s="72"/>
      <c r="V398" s="54" t="s">
        <v>134</v>
      </c>
      <c r="X398" s="45">
        <f t="shared" si="31"/>
        <v>7</v>
      </c>
      <c r="Z398" s="45" t="s">
        <v>80</v>
      </c>
      <c r="AA398" s="45">
        <f t="shared" si="32"/>
        <v>1</v>
      </c>
      <c r="AB398" t="str">
        <f t="shared" si="33"/>
        <v>Adult</v>
      </c>
      <c r="AC398" s="69">
        <v>0</v>
      </c>
      <c r="AD398" s="69">
        <v>1</v>
      </c>
      <c r="AE398" s="45" t="str">
        <f t="shared" si="34"/>
        <v>Morphological</v>
      </c>
      <c r="AF398" s="56">
        <v>1</v>
      </c>
    </row>
    <row r="399" spans="1:32" ht="18" customHeight="1" x14ac:dyDescent="0.25">
      <c r="A399" s="45">
        <v>395</v>
      </c>
      <c r="B399" s="45" t="s">
        <v>60</v>
      </c>
      <c r="C399" s="45" t="s">
        <v>61</v>
      </c>
      <c r="D399" s="45" t="s">
        <v>62</v>
      </c>
      <c r="E399" s="45" t="s">
        <v>62</v>
      </c>
      <c r="F399" s="46" cm="1">
        <f t="array" ref="F399">_xlfn.IFS($G399=$G$5,F$5,$G399=$G$6,F$6,$G399=$G$7,F$7,$G399=$G$8,F$8,$G399=$G$9,F$9,$G399=$G$10,F$10,$G399=$G$11,F$11,$G399=$G$12,F$12,$G399=$G$13,F$13,$G399=$G$15,F$15,$G399=$G$16,F$16,$G399=$G$17,F$17,$G399=$G$18,F$18,$G399=$G$19,F$19,$G399=$G$20,F$20,$G399=$G$21,F$21,$G399=$G$22,F$22,$G399=$G$25,F$25,$G399=$G$26,F$26,$G399=$G$27,F$27,$G399=$G$29,F$29,$G399=$G$31,F$31,$G399=$G$32,F$32,$G399=$G$248,F$248,$G399=$G$250,F$250)</f>
        <v>8038</v>
      </c>
      <c r="G399" t="s">
        <v>75</v>
      </c>
      <c r="H399" s="66" cm="1">
        <f t="array" ref="H399">_xlfn.IFS($G399=$G$5,H$5,$G399=$G$6,H$6,$G399=$G$7,H$7,$G399=$G$8,H$8,$G399=$G$9,H$9,$G399=$G$10,H$10,$G399=$G$11,H$11,$G399=$G$12,H$12,$G399=$G$13,H$13,$G399=$G$15,H$15,$G399=$G$16,H$16,$G399=$G$17,H$17,$G399=$G$18,H$18,$G399=$G$19,H$19,$G399=$G$20,H$20,$G399=$G$21,H$21,$G399=$G$22,H$22,$G399=$G$25,H$25,$G399=$G$26,H$26,$G399=$G$27,H$27,$G399=$G$29,H$29,$G399=$G$31,H$31,$G399=$G$32,H$150,$G399=$G$248,H$248,$G399=$G$250,H$250)</f>
        <v>41.368589</v>
      </c>
      <c r="I399" s="78" cm="1">
        <f t="array" ref="I399">_xlfn.IFS($G399=$G$5,I$5,$G399=$G$6,I$6,$G399=$G$7,I$7,$G399=$G$8,I$8,$G399=$G$9,I$9,$G399=$G$10,I$10,$G399=$G$11,I$11,$G399=$G$12,I$12,$G399=$G$13,I$13,$G399=$G$15,I$15,$G399=$G$16,I$16,$G399=$G$17,I$17,$G399=$G$18,I$18,$G399=$G$19,I$19,$G399=$G$20,I$20,$G399=$G$21,I$21,$G399=$G$22,I$22,$G399=$G$25,I$25,$G399=$G$26,I$26,$G399=$G$27,I$27,$G399=$G$29,I$29,$G399=$G$31,I$31,$G399=$G$32,I$150,$G399=$G$248,I$248,$G399=$G$250,I$250)</f>
        <v>2.1620900000000001</v>
      </c>
      <c r="J399" cm="1">
        <f t="array" ref="J399">_xlfn.IFS($G399=$G$5,J$5,$G399=$G$6,J$6,$G399=$G$7,J$7,$G399=$G$8,J$8,$G399=$G$9,J$9,$G399=$G$10,J$10,$G399=$G$11,J$11,$G399=$G$12,J$12,$G399=$G$13,J$13,$G399=$G$15,J$15,$G399=$G$16,J$16,$G399=$G$17,J$17,$G399=$G$18,J$18,$G399=$G$19,J$19,$G399=$G$20,J$20,$G399=$G$21,J$21,$G399=$G$22,J$22,$G399=$G$25,J$25,$G399=$G$26,J$26,$G399=$G$27,J$27,$G399=$G$29,J$29,$G399=$G$31,J$31,$G399=$G$32,J$150,$G399=$G$248,J$248,$G399=$G$250,J$250)</f>
        <v>95</v>
      </c>
      <c r="K399" t="str" cm="1">
        <f t="array" ref="K399">_xlfn.IFS($G399=$G$5,K$5,$G399=$G$6,K$6,$G399=$G$7,K$7,$G399=$G$8,K$8,$G399=$G$9,K$9,$G399=$G$10,K$10,$G399=$G$11,K$11,$G399=$G$12,K$12,$G399=$G$13,K$13,$G399=$G$15,K$15,$G399=$G$16,K$16,$G399=$G$17,K$17,$G399=$G$18,K$18,$G399=$G$19,K$19,$G399=$G$20,K$20,$G399=$G$21,K$21,$G399=$G$22,K$22,$G399=$G$25,K$25,$G399=$G$26,K$26,$G399=$G$27,K$27,$G399=$G$29,K$29,$G399=$G$31,K$31,$G399=$G$32,K$150,$G399=$G$248,K$248,$G399=$G$250,K$250)</f>
        <v>BG sentinel + BG lure7</v>
      </c>
      <c r="L399" s="48" t="str" cm="1">
        <f t="array" ref="L399">_xlfn.IFS($G399=$G$5,L$5,$G399=$G$6,L$6,$G399=$G$7,L$7,$G399=$G$8,L$8,$G399=$G$9,L$9,$G399=$G$10,L$10,$G399=$G$11,L$11,$G399=$G$12,L$12,$G399=$G$13,L$13,$G399=$G$15,L$15,$G399=$G$16,L$16,$G399=$G$17,L$17,$G399=$G$18,L$18,$G399=$G$19,L$19,$G399=$G$20,L$20,$G399=$G$21,L$21,$G399=$G$22,L$22,$G399=$G$25,L$25,$G399=$G$26,L$26,$G399=$G$27,L$27,$G399=$G$29,L$29,$G399=$G$31,L$31,$G399=$G$32,L$32,$G399=$G$248,L$248,$G399=$G$250,L$250)</f>
        <v>Other</v>
      </c>
      <c r="M399" s="48"/>
      <c r="O399" s="45" t="str">
        <f t="shared" si="30"/>
        <v>A_SP_BCN_8_210715</v>
      </c>
      <c r="P399" s="64">
        <v>44392</v>
      </c>
      <c r="R399" s="72"/>
      <c r="S399" s="64">
        <v>44399</v>
      </c>
      <c r="U399" s="72"/>
      <c r="V399" s="54" t="s">
        <v>66</v>
      </c>
      <c r="X399" s="45">
        <f t="shared" si="31"/>
        <v>7</v>
      </c>
      <c r="Z399" s="69" t="s">
        <v>69</v>
      </c>
      <c r="AA399" s="45">
        <f t="shared" si="32"/>
        <v>7</v>
      </c>
      <c r="AB399" t="str">
        <f t="shared" si="33"/>
        <v>Adult</v>
      </c>
      <c r="AC399" s="69">
        <v>7</v>
      </c>
      <c r="AD399" s="69">
        <v>0</v>
      </c>
      <c r="AE399" s="45" t="str">
        <f t="shared" si="34"/>
        <v>Morphological</v>
      </c>
      <c r="AF399" s="56">
        <v>4</v>
      </c>
    </row>
    <row r="400" spans="1:32" ht="18" customHeight="1" x14ac:dyDescent="0.25">
      <c r="A400" s="45">
        <v>396</v>
      </c>
      <c r="B400" s="45" t="s">
        <v>60</v>
      </c>
      <c r="C400" s="45" t="s">
        <v>61</v>
      </c>
      <c r="D400" s="45" t="s">
        <v>62</v>
      </c>
      <c r="E400" s="45" t="s">
        <v>62</v>
      </c>
      <c r="F400" s="46" cm="1">
        <f t="array" ref="F400">_xlfn.IFS($G400=$G$5,F$5,$G400=$G$6,F$6,$G400=$G$7,F$7,$G400=$G$8,F$8,$G400=$G$9,F$9,$G400=$G$10,F$10,$G400=$G$11,F$11,$G400=$G$12,F$12,$G400=$G$13,F$13,$G400=$G$15,F$15,$G400=$G$16,F$16,$G400=$G$17,F$17,$G400=$G$18,F$18,$G400=$G$19,F$19,$G400=$G$20,F$20,$G400=$G$21,F$21,$G400=$G$22,F$22,$G400=$G$25,F$25,$G400=$G$26,F$26,$G400=$G$27,F$27,$G400=$G$29,F$29,$G400=$G$31,F$31,$G400=$G$32,F$32,$G400=$G$248,F$248,$G400=$G$250,F$250)</f>
        <v>8038</v>
      </c>
      <c r="G400" t="s">
        <v>75</v>
      </c>
      <c r="H400" s="66" cm="1">
        <f t="array" ref="H400">_xlfn.IFS($G400=$G$5,H$5,$G400=$G$6,H$6,$G400=$G$7,H$7,$G400=$G$8,H$8,$G400=$G$9,H$9,$G400=$G$10,H$10,$G400=$G$11,H$11,$G400=$G$12,H$12,$G400=$G$13,H$13,$G400=$G$15,H$15,$G400=$G$16,H$16,$G400=$G$17,H$17,$G400=$G$18,H$18,$G400=$G$19,H$19,$G400=$G$20,H$20,$G400=$G$21,H$21,$G400=$G$22,H$22,$G400=$G$25,H$25,$G400=$G$26,H$26,$G400=$G$27,H$27,$G400=$G$29,H$29,$G400=$G$31,H$31,$G400=$G$32,H$150,$G400=$G$248,H$248,$G400=$G$250,H$250)</f>
        <v>41.368589</v>
      </c>
      <c r="I400" s="78" cm="1">
        <f t="array" ref="I400">_xlfn.IFS($G400=$G$5,I$5,$G400=$G$6,I$6,$G400=$G$7,I$7,$G400=$G$8,I$8,$G400=$G$9,I$9,$G400=$G$10,I$10,$G400=$G$11,I$11,$G400=$G$12,I$12,$G400=$G$13,I$13,$G400=$G$15,I$15,$G400=$G$16,I$16,$G400=$G$17,I$17,$G400=$G$18,I$18,$G400=$G$19,I$19,$G400=$G$20,I$20,$G400=$G$21,I$21,$G400=$G$22,I$22,$G400=$G$25,I$25,$G400=$G$26,I$26,$G400=$G$27,I$27,$G400=$G$29,I$29,$G400=$G$31,I$31,$G400=$G$32,I$150,$G400=$G$248,I$248,$G400=$G$250,I$250)</f>
        <v>2.1620900000000001</v>
      </c>
      <c r="J400" cm="1">
        <f t="array" ref="J400">_xlfn.IFS($G400=$G$5,J$5,$G400=$G$6,J$6,$G400=$G$7,J$7,$G400=$G$8,J$8,$G400=$G$9,J$9,$G400=$G$10,J$10,$G400=$G$11,J$11,$G400=$G$12,J$12,$G400=$G$13,J$13,$G400=$G$15,J$15,$G400=$G$16,J$16,$G400=$G$17,J$17,$G400=$G$18,J$18,$G400=$G$19,J$19,$G400=$G$20,J$20,$G400=$G$21,J$21,$G400=$G$22,J$22,$G400=$G$25,J$25,$G400=$G$26,J$26,$G400=$G$27,J$27,$G400=$G$29,J$29,$G400=$G$31,J$31,$G400=$G$32,J$150,$G400=$G$248,J$248,$G400=$G$250,J$250)</f>
        <v>95</v>
      </c>
      <c r="K400" t="str" cm="1">
        <f t="array" ref="K400">_xlfn.IFS($G400=$G$5,K$5,$G400=$G$6,K$6,$G400=$G$7,K$7,$G400=$G$8,K$8,$G400=$G$9,K$9,$G400=$G$10,K$10,$G400=$G$11,K$11,$G400=$G$12,K$12,$G400=$G$13,K$13,$G400=$G$15,K$15,$G400=$G$16,K$16,$G400=$G$17,K$17,$G400=$G$18,K$18,$G400=$G$19,K$19,$G400=$G$20,K$20,$G400=$G$21,K$21,$G400=$G$22,K$22,$G400=$G$25,K$25,$G400=$G$26,K$26,$G400=$G$27,K$27,$G400=$G$29,K$29,$G400=$G$31,K$31,$G400=$G$32,K$150,$G400=$G$248,K$248,$G400=$G$250,K$250)</f>
        <v>BG sentinel + BG lure7</v>
      </c>
      <c r="L400" s="48" t="str" cm="1">
        <f t="array" ref="L400">_xlfn.IFS($G400=$G$5,L$5,$G400=$G$6,L$6,$G400=$G$7,L$7,$G400=$G$8,L$8,$G400=$G$9,L$9,$G400=$G$10,L$10,$G400=$G$11,L$11,$G400=$G$12,L$12,$G400=$G$13,L$13,$G400=$G$15,L$15,$G400=$G$16,L$16,$G400=$G$17,L$17,$G400=$G$18,L$18,$G400=$G$19,L$19,$G400=$G$20,L$20,$G400=$G$21,L$21,$G400=$G$22,L$22,$G400=$G$25,L$25,$G400=$G$26,L$26,$G400=$G$27,L$27,$G400=$G$29,L$29,$G400=$G$31,L$31,$G400=$G$32,L$32,$G400=$G$248,L$248,$G400=$G$250,L$250)</f>
        <v>Other</v>
      </c>
      <c r="M400" s="48"/>
      <c r="O400" s="45" t="str">
        <f t="shared" si="30"/>
        <v>A_SP_BCN_8_210715</v>
      </c>
      <c r="P400" s="64">
        <v>44392</v>
      </c>
      <c r="R400" s="72"/>
      <c r="S400" s="64">
        <v>44399</v>
      </c>
      <c r="U400" s="72"/>
      <c r="V400" s="54" t="s">
        <v>66</v>
      </c>
      <c r="X400" s="45">
        <f t="shared" si="31"/>
        <v>7</v>
      </c>
      <c r="Z400" s="45" t="s">
        <v>70</v>
      </c>
      <c r="AA400" s="45">
        <f t="shared" si="32"/>
        <v>3</v>
      </c>
      <c r="AB400" t="str">
        <f t="shared" si="33"/>
        <v>Adult</v>
      </c>
      <c r="AC400" s="69">
        <v>3</v>
      </c>
      <c r="AD400" s="69">
        <v>0</v>
      </c>
      <c r="AE400" s="45" t="str">
        <f t="shared" si="34"/>
        <v>Morphological</v>
      </c>
      <c r="AF400" s="56">
        <v>4</v>
      </c>
    </row>
    <row r="401" spans="1:32" ht="18" customHeight="1" x14ac:dyDescent="0.25">
      <c r="A401" s="45">
        <v>397</v>
      </c>
      <c r="B401" s="45" t="s">
        <v>60</v>
      </c>
      <c r="C401" s="45" t="s">
        <v>61</v>
      </c>
      <c r="D401" s="45" t="s">
        <v>62</v>
      </c>
      <c r="E401" s="45" t="s">
        <v>62</v>
      </c>
      <c r="F401" s="46" cm="1">
        <f t="array" ref="F401">_xlfn.IFS($G401=$G$5,F$5,$G401=$G$6,F$6,$G401=$G$7,F$7,$G401=$G$8,F$8,$G401=$G$9,F$9,$G401=$G$10,F$10,$G401=$G$11,F$11,$G401=$G$12,F$12,$G401=$G$13,F$13,$G401=$G$15,F$15,$G401=$G$16,F$16,$G401=$G$17,F$17,$G401=$G$18,F$18,$G401=$G$19,F$19,$G401=$G$20,F$20,$G401=$G$21,F$21,$G401=$G$22,F$22,$G401=$G$25,F$25,$G401=$G$26,F$26,$G401=$G$27,F$27,$G401=$G$29,F$29,$G401=$G$31,F$31,$G401=$G$32,F$32,$G401=$G$248,F$248,$G401=$G$250,F$250)</f>
        <v>8034</v>
      </c>
      <c r="G401" t="s">
        <v>78</v>
      </c>
      <c r="H401" s="66" cm="1">
        <f t="array" ref="H401">_xlfn.IFS($G401=$G$5,H$5,$G401=$G$6,H$6,$G401=$G$7,H$7,$G401=$G$8,H$8,$G401=$G$9,H$9,$G401=$G$10,H$10,$G401=$G$11,H$11,$G401=$G$12,H$12,$G401=$G$13,H$13,$G401=$G$15,H$15,$G401=$G$16,H$16,$G401=$G$17,H$17,$G401=$G$18,H$18,$G401=$G$19,H$19,$G401=$G$20,H$20,$G401=$G$21,H$21,$G401=$G$22,H$22,$G401=$G$25,H$25,$G401=$G$26,H$26,$G401=$G$27,H$27,$G401=$G$29,H$29,$G401=$G$31,H$31,$G401=$G$32,H$150,$G401=$G$248,H$248,$G401=$G$250,H$250)</f>
        <v>41.393644999999999</v>
      </c>
      <c r="I401" s="78" cm="1">
        <f t="array" ref="I401">_xlfn.IFS($G401=$G$5,I$5,$G401=$G$6,I$6,$G401=$G$7,I$7,$G401=$G$8,I$8,$G401=$G$9,I$9,$G401=$G$10,I$10,$G401=$G$11,I$11,$G401=$G$12,I$12,$G401=$G$13,I$13,$G401=$G$15,I$15,$G401=$G$16,I$16,$G401=$G$17,I$17,$G401=$G$18,I$18,$G401=$G$19,I$19,$G401=$G$20,I$20,$G401=$G$21,I$21,$G401=$G$22,I$22,$G401=$G$25,I$25,$G401=$G$26,I$26,$G401=$G$27,I$27,$G401=$G$29,I$29,$G401=$G$31,I$31,$G401=$G$32,I$150,$G401=$G$248,I$248,$G401=$G$250,I$250)</f>
        <v>2.1216780000000002</v>
      </c>
      <c r="J401" cm="1">
        <f t="array" ref="J401">_xlfn.IFS($G401=$G$5,J$5,$G401=$G$6,J$6,$G401=$G$7,J$7,$G401=$G$8,J$8,$G401=$G$9,J$9,$G401=$G$10,J$10,$G401=$G$11,J$11,$G401=$G$12,J$12,$G401=$G$13,J$13,$G401=$G$15,J$15,$G401=$G$16,J$16,$G401=$G$17,J$17,$G401=$G$18,J$18,$G401=$G$19,J$19,$G401=$G$20,J$20,$G401=$G$21,J$21,$G401=$G$22,J$22,$G401=$G$25,J$25,$G401=$G$26,J$26,$G401=$G$27,J$27,$G401=$G$29,J$29,$G401=$G$31,J$31,$G401=$G$32,J$150,$G401=$G$248,J$248,$G401=$G$250,J$250)</f>
        <v>98</v>
      </c>
      <c r="K401" t="str" cm="1">
        <f t="array" ref="K401">_xlfn.IFS($G401=$G$5,K$5,$G401=$G$6,K$6,$G401=$G$7,K$7,$G401=$G$8,K$8,$G401=$G$9,K$9,$G401=$G$10,K$10,$G401=$G$11,K$11,$G401=$G$12,K$12,$G401=$G$13,K$13,$G401=$G$15,K$15,$G401=$G$16,K$16,$G401=$G$17,K$17,$G401=$G$18,K$18,$G401=$G$19,K$19,$G401=$G$20,K$20,$G401=$G$21,K$21,$G401=$G$22,K$22,$G401=$G$25,K$25,$G401=$G$26,K$26,$G401=$G$27,K$27,$G401=$G$29,K$29,$G401=$G$31,K$31,$G401=$G$32,K$150,$G401=$G$248,K$248,$G401=$G$250,K$250)</f>
        <v>BG sentinel + BG lure7</v>
      </c>
      <c r="L401" s="48" t="str" cm="1">
        <f t="array" ref="L401">_xlfn.IFS($G401=$G$5,L$5,$G401=$G$6,L$6,$G401=$G$7,L$7,$G401=$G$8,L$8,$G401=$G$9,L$9,$G401=$G$10,L$10,$G401=$G$11,L$11,$G401=$G$12,L$12,$G401=$G$13,L$13,$G401=$G$15,L$15,$G401=$G$16,L$16,$G401=$G$17,L$17,$G401=$G$18,L$18,$G401=$G$19,L$19,$G401=$G$20,L$20,$G401=$G$21,L$21,$G401=$G$22,L$22,$G401=$G$25,L$25,$G401=$G$26,L$26,$G401=$G$27,L$27,$G401=$G$29,L$29,$G401=$G$31,L$31,$G401=$G$32,L$32,$G401=$G$248,L$248,$G401=$G$250,L$250)</f>
        <v>Other</v>
      </c>
      <c r="M401" s="48"/>
      <c r="O401" s="45" t="str">
        <f t="shared" si="30"/>
        <v>A_SP_BCN_9_210714</v>
      </c>
      <c r="P401" s="64">
        <v>44391</v>
      </c>
      <c r="R401" s="72"/>
      <c r="S401" s="64">
        <v>44398</v>
      </c>
      <c r="U401" s="72"/>
      <c r="V401" s="54" t="s">
        <v>66</v>
      </c>
      <c r="X401" s="45">
        <f t="shared" si="31"/>
        <v>7</v>
      </c>
      <c r="Z401" s="69" t="s">
        <v>69</v>
      </c>
      <c r="AA401" s="45">
        <f t="shared" si="32"/>
        <v>1</v>
      </c>
      <c r="AB401" t="str">
        <f t="shared" si="33"/>
        <v>Adult</v>
      </c>
      <c r="AC401" s="69">
        <v>1</v>
      </c>
      <c r="AD401" s="69">
        <v>0</v>
      </c>
      <c r="AE401" s="45" t="str">
        <f t="shared" si="34"/>
        <v>Morphological</v>
      </c>
      <c r="AF401" s="56">
        <v>4</v>
      </c>
    </row>
    <row r="402" spans="1:32" ht="18" customHeight="1" x14ac:dyDescent="0.25">
      <c r="A402" s="45">
        <v>398</v>
      </c>
      <c r="B402" s="45" t="s">
        <v>60</v>
      </c>
      <c r="C402" s="45" t="s">
        <v>61</v>
      </c>
      <c r="D402" s="45" t="s">
        <v>62</v>
      </c>
      <c r="E402" s="45" t="s">
        <v>62</v>
      </c>
      <c r="F402" s="46" cm="1">
        <f t="array" ref="F402">_xlfn.IFS($G402=$G$5,F$5,$G402=$G$6,F$6,$G402=$G$7,F$7,$G402=$G$8,F$8,$G402=$G$9,F$9,$G402=$G$10,F$10,$G402=$G$11,F$11,$G402=$G$12,F$12,$G402=$G$13,F$13,$G402=$G$15,F$15,$G402=$G$16,F$16,$G402=$G$17,F$17,$G402=$G$18,F$18,$G402=$G$19,F$19,$G402=$G$20,F$20,$G402=$G$21,F$21,$G402=$G$22,F$22,$G402=$G$25,F$25,$G402=$G$26,F$26,$G402=$G$27,F$27,$G402=$G$29,F$29,$G402=$G$31,F$31,$G402=$G$32,F$32,$G402=$G$248,F$248,$G402=$G$250,F$250)</f>
        <v>8034</v>
      </c>
      <c r="G402" t="s">
        <v>78</v>
      </c>
      <c r="H402" s="66" cm="1">
        <f t="array" ref="H402">_xlfn.IFS($G402=$G$5,H$5,$G402=$G$6,H$6,$G402=$G$7,H$7,$G402=$G$8,H$8,$G402=$G$9,H$9,$G402=$G$10,H$10,$G402=$G$11,H$11,$G402=$G$12,H$12,$G402=$G$13,H$13,$G402=$G$15,H$15,$G402=$G$16,H$16,$G402=$G$17,H$17,$G402=$G$18,H$18,$G402=$G$19,H$19,$G402=$G$20,H$20,$G402=$G$21,H$21,$G402=$G$22,H$22,$G402=$G$25,H$25,$G402=$G$26,H$26,$G402=$G$27,H$27,$G402=$G$29,H$29,$G402=$G$31,H$31,$G402=$G$32,H$150,$G402=$G$248,H$248,$G402=$G$250,H$250)</f>
        <v>41.393644999999999</v>
      </c>
      <c r="I402" s="78" cm="1">
        <f t="array" ref="I402">_xlfn.IFS($G402=$G$5,I$5,$G402=$G$6,I$6,$G402=$G$7,I$7,$G402=$G$8,I$8,$G402=$G$9,I$9,$G402=$G$10,I$10,$G402=$G$11,I$11,$G402=$G$12,I$12,$G402=$G$13,I$13,$G402=$G$15,I$15,$G402=$G$16,I$16,$G402=$G$17,I$17,$G402=$G$18,I$18,$G402=$G$19,I$19,$G402=$G$20,I$20,$G402=$G$21,I$21,$G402=$G$22,I$22,$G402=$G$25,I$25,$G402=$G$26,I$26,$G402=$G$27,I$27,$G402=$G$29,I$29,$G402=$G$31,I$31,$G402=$G$32,I$150,$G402=$G$248,I$248,$G402=$G$250,I$250)</f>
        <v>2.1216780000000002</v>
      </c>
      <c r="J402" cm="1">
        <f t="array" ref="J402">_xlfn.IFS($G402=$G$5,J$5,$G402=$G$6,J$6,$G402=$G$7,J$7,$G402=$G$8,J$8,$G402=$G$9,J$9,$G402=$G$10,J$10,$G402=$G$11,J$11,$G402=$G$12,J$12,$G402=$G$13,J$13,$G402=$G$15,J$15,$G402=$G$16,J$16,$G402=$G$17,J$17,$G402=$G$18,J$18,$G402=$G$19,J$19,$G402=$G$20,J$20,$G402=$G$21,J$21,$G402=$G$22,J$22,$G402=$G$25,J$25,$G402=$G$26,J$26,$G402=$G$27,J$27,$G402=$G$29,J$29,$G402=$G$31,J$31,$G402=$G$32,J$150,$G402=$G$248,J$248,$G402=$G$250,J$250)</f>
        <v>98</v>
      </c>
      <c r="K402" t="str" cm="1">
        <f t="array" ref="K402">_xlfn.IFS($G402=$G$5,K$5,$G402=$G$6,K$6,$G402=$G$7,K$7,$G402=$G$8,K$8,$G402=$G$9,K$9,$G402=$G$10,K$10,$G402=$G$11,K$11,$G402=$G$12,K$12,$G402=$G$13,K$13,$G402=$G$15,K$15,$G402=$G$16,K$16,$G402=$G$17,K$17,$G402=$G$18,K$18,$G402=$G$19,K$19,$G402=$G$20,K$20,$G402=$G$21,K$21,$G402=$G$22,K$22,$G402=$G$25,K$25,$G402=$G$26,K$26,$G402=$G$27,K$27,$G402=$G$29,K$29,$G402=$G$31,K$31,$G402=$G$32,K$150,$G402=$G$248,K$248,$G402=$G$250,K$250)</f>
        <v>BG sentinel + BG lure7</v>
      </c>
      <c r="L402" s="48" t="str" cm="1">
        <f t="array" ref="L402">_xlfn.IFS($G402=$G$5,L$5,$G402=$G$6,L$6,$G402=$G$7,L$7,$G402=$G$8,L$8,$G402=$G$9,L$9,$G402=$G$10,L$10,$G402=$G$11,L$11,$G402=$G$12,L$12,$G402=$G$13,L$13,$G402=$G$15,L$15,$G402=$G$16,L$16,$G402=$G$17,L$17,$G402=$G$18,L$18,$G402=$G$19,L$19,$G402=$G$20,L$20,$G402=$G$21,L$21,$G402=$G$22,L$22,$G402=$G$25,L$25,$G402=$G$26,L$26,$G402=$G$27,L$27,$G402=$G$29,L$29,$G402=$G$31,L$31,$G402=$G$32,L$32,$G402=$G$248,L$248,$G402=$G$250,L$250)</f>
        <v>Other</v>
      </c>
      <c r="M402" s="48"/>
      <c r="O402" s="45" t="str">
        <f t="shared" si="30"/>
        <v>A_SP_BCN_9_210714</v>
      </c>
      <c r="P402" s="64">
        <v>44391</v>
      </c>
      <c r="R402" s="72"/>
      <c r="S402" s="64">
        <v>44398</v>
      </c>
      <c r="U402" s="72"/>
      <c r="V402" s="54" t="s">
        <v>66</v>
      </c>
      <c r="X402" s="45">
        <f t="shared" si="31"/>
        <v>7</v>
      </c>
      <c r="Z402" s="45" t="s">
        <v>70</v>
      </c>
      <c r="AA402" s="45">
        <f t="shared" si="32"/>
        <v>1</v>
      </c>
      <c r="AB402" t="str">
        <f t="shared" si="33"/>
        <v>Adult</v>
      </c>
      <c r="AC402" s="69">
        <v>1</v>
      </c>
      <c r="AD402" s="69">
        <v>0</v>
      </c>
      <c r="AE402" s="45" t="str">
        <f t="shared" si="34"/>
        <v>Morphological</v>
      </c>
      <c r="AF402" s="56">
        <v>4</v>
      </c>
    </row>
    <row r="403" spans="1:32" ht="18" customHeight="1" x14ac:dyDescent="0.25">
      <c r="A403" s="45">
        <v>399</v>
      </c>
      <c r="B403" s="45" t="s">
        <v>60</v>
      </c>
      <c r="C403" s="45" t="s">
        <v>61</v>
      </c>
      <c r="D403" s="45" t="s">
        <v>62</v>
      </c>
      <c r="E403" s="45" t="s">
        <v>62</v>
      </c>
      <c r="F403" s="46" cm="1">
        <f t="array" ref="F403">_xlfn.IFS($G403=$G$5,F$5,$G403=$G$6,F$6,$G403=$G$7,F$7,$G403=$G$8,F$8,$G403=$G$9,F$9,$G403=$G$10,F$10,$G403=$G$11,F$11,$G403=$G$12,F$12,$G403=$G$13,F$13,$G403=$G$15,F$15,$G403=$G$16,F$16,$G403=$G$17,F$17,$G403=$G$18,F$18,$G403=$G$19,F$19,$G403=$G$20,F$20,$G403=$G$21,F$21,$G403=$G$22,F$22,$G403=$G$25,F$25,$G403=$G$26,F$26,$G403=$G$27,F$27,$G403=$G$29,F$29,$G403=$G$31,F$31,$G403=$G$32,F$32,$G403=$G$248,F$248,$G403=$G$250,F$250)</f>
        <v>8040</v>
      </c>
      <c r="G403" t="s">
        <v>81</v>
      </c>
      <c r="H403" s="66" cm="1">
        <f t="array" ref="H403">_xlfn.IFS($G403=$G$5,H$5,$G403=$G$6,H$6,$G403=$G$7,H$7,$G403=$G$8,H$8,$G403=$G$9,H$9,$G403=$G$10,H$10,$G403=$G$11,H$11,$G403=$G$12,H$12,$G403=$G$13,H$13,$G403=$G$15,H$15,$G403=$G$16,H$16,$G403=$G$17,H$17,$G403=$G$18,H$18,$G403=$G$19,H$19,$G403=$G$20,H$20,$G403=$G$21,H$21,$G403=$G$22,H$22,$G403=$G$25,H$25,$G403=$G$26,H$26,$G403=$G$27,H$27,$G403=$G$29,H$29,$G403=$G$31,H$31,$G403=$G$32,H$150,$G403=$G$248,H$248,$G403=$G$250,H$250)</f>
        <v>41.343685000000001</v>
      </c>
      <c r="I403" s="78" cm="1">
        <f t="array" ref="I403">_xlfn.IFS($G403=$G$5,I$5,$G403=$G$6,I$6,$G403=$G$7,I$7,$G403=$G$8,I$8,$G403=$G$9,I$9,$G403=$G$10,I$10,$G403=$G$11,I$11,$G403=$G$12,I$12,$G403=$G$13,I$13,$G403=$G$15,I$15,$G403=$G$16,I$16,$G403=$G$17,I$17,$G403=$G$18,I$18,$G403=$G$19,I$19,$G403=$G$20,I$20,$G403=$G$21,I$21,$G403=$G$22,I$22,$G403=$G$25,I$25,$G403=$G$26,I$26,$G403=$G$27,I$27,$G403=$G$29,I$29,$G403=$G$31,I$31,$G403=$G$32,I$150,$G403=$G$248,I$248,$G403=$G$250,I$250)</f>
        <v>2.1441490000000001</v>
      </c>
      <c r="J403" cm="1">
        <f t="array" ref="J403">_xlfn.IFS($G403=$G$5,J$5,$G403=$G$6,J$6,$G403=$G$7,J$7,$G403=$G$8,J$8,$G403=$G$9,J$9,$G403=$G$10,J$10,$G403=$G$11,J$11,$G403=$G$12,J$12,$G403=$G$13,J$13,$G403=$G$15,J$15,$G403=$G$16,J$16,$G403=$G$17,J$17,$G403=$G$18,J$18,$G403=$G$19,J$19,$G403=$G$20,J$20,$G403=$G$21,J$21,$G403=$G$22,J$22,$G403=$G$25,J$25,$G403=$G$26,J$26,$G403=$G$27,J$27,$G403=$G$29,J$29,$G403=$G$31,J$31,$G403=$G$32,J$150,$G403=$G$248,J$248,$G403=$G$250,J$250)</f>
        <v>4</v>
      </c>
      <c r="K403" t="str" cm="1">
        <f t="array" ref="K403">_xlfn.IFS($G403=$G$5,K$5,$G403=$G$6,K$6,$G403=$G$7,K$7,$G403=$G$8,K$8,$G403=$G$9,K$9,$G403=$G$10,K$10,$G403=$G$11,K$11,$G403=$G$12,K$12,$G403=$G$13,K$13,$G403=$G$15,K$15,$G403=$G$16,K$16,$G403=$G$17,K$17,$G403=$G$18,K$18,$G403=$G$19,K$19,$G403=$G$20,K$20,$G403=$G$21,K$21,$G403=$G$22,K$22,$G403=$G$25,K$25,$G403=$G$26,K$26,$G403=$G$27,K$27,$G403=$G$29,K$29,$G403=$G$31,K$31,$G403=$G$32,K$150,$G403=$G$248,K$248,$G403=$G$250,K$250)</f>
        <v>BG sentinel + BG lure7</v>
      </c>
      <c r="L403" s="48" t="str" cm="1">
        <f t="array" ref="L403">_xlfn.IFS($G403=$G$5,L$5,$G403=$G$6,L$6,$G403=$G$7,L$7,$G403=$G$8,L$8,$G403=$G$9,L$9,$G403=$G$10,L$10,$G403=$G$11,L$11,$G403=$G$12,L$12,$G403=$G$13,L$13,$G403=$G$15,L$15,$G403=$G$16,L$16,$G403=$G$17,L$17,$G403=$G$18,L$18,$G403=$G$19,L$19,$G403=$G$20,L$20,$G403=$G$21,L$21,$G403=$G$22,L$22,$G403=$G$25,L$25,$G403=$G$26,L$26,$G403=$G$27,L$27,$G403=$G$29,L$29,$G403=$G$31,L$31,$G403=$G$32,L$32,$G403=$G$248,L$248,$G403=$G$250,L$250)</f>
        <v>Urban habitat</v>
      </c>
      <c r="M403" s="48"/>
      <c r="O403" s="45" t="str">
        <f t="shared" si="30"/>
        <v>A_SP_BCN_10_210715</v>
      </c>
      <c r="P403" s="64">
        <v>44392</v>
      </c>
      <c r="R403" s="72"/>
      <c r="S403" s="64">
        <v>44399</v>
      </c>
      <c r="U403" s="72"/>
      <c r="V403" s="54" t="s">
        <v>66</v>
      </c>
      <c r="X403" s="45">
        <f t="shared" si="31"/>
        <v>7</v>
      </c>
      <c r="Z403" s="69" t="s">
        <v>69</v>
      </c>
      <c r="AA403" s="45">
        <f t="shared" si="32"/>
        <v>31</v>
      </c>
      <c r="AB403" t="str">
        <f t="shared" si="33"/>
        <v>Adult</v>
      </c>
      <c r="AC403" s="69">
        <v>19</v>
      </c>
      <c r="AD403" s="69">
        <v>12</v>
      </c>
      <c r="AE403" s="45" t="str">
        <f t="shared" si="34"/>
        <v>Morphological</v>
      </c>
      <c r="AF403" s="56">
        <v>4</v>
      </c>
    </row>
    <row r="404" spans="1:32" ht="18" customHeight="1" x14ac:dyDescent="0.25">
      <c r="A404" s="45">
        <v>400</v>
      </c>
      <c r="B404" s="45" t="s">
        <v>60</v>
      </c>
      <c r="C404" s="45" t="s">
        <v>61</v>
      </c>
      <c r="D404" s="45" t="s">
        <v>62</v>
      </c>
      <c r="E404" s="45" t="s">
        <v>62</v>
      </c>
      <c r="F404" s="46" cm="1">
        <f t="array" ref="F404">_xlfn.IFS($G404=$G$5,F$5,$G404=$G$6,F$6,$G404=$G$7,F$7,$G404=$G$8,F$8,$G404=$G$9,F$9,$G404=$G$10,F$10,$G404=$G$11,F$11,$G404=$G$12,F$12,$G404=$G$13,F$13,$G404=$G$15,F$15,$G404=$G$16,F$16,$G404=$G$17,F$17,$G404=$G$18,F$18,$G404=$G$19,F$19,$G404=$G$20,F$20,$G404=$G$21,F$21,$G404=$G$22,F$22,$G404=$G$25,F$25,$G404=$G$26,F$26,$G404=$G$27,F$27,$G404=$G$29,F$29,$G404=$G$31,F$31,$G404=$G$32,F$32,$G404=$G$248,F$248,$G404=$G$250,F$250)</f>
        <v>8040</v>
      </c>
      <c r="G404" t="s">
        <v>81</v>
      </c>
      <c r="H404" s="66" cm="1">
        <f t="array" ref="H404">_xlfn.IFS($G404=$G$5,H$5,$G404=$G$6,H$6,$G404=$G$7,H$7,$G404=$G$8,H$8,$G404=$G$9,H$9,$G404=$G$10,H$10,$G404=$G$11,H$11,$G404=$G$12,H$12,$G404=$G$13,H$13,$G404=$G$15,H$15,$G404=$G$16,H$16,$G404=$G$17,H$17,$G404=$G$18,H$18,$G404=$G$19,H$19,$G404=$G$20,H$20,$G404=$G$21,H$21,$G404=$G$22,H$22,$G404=$G$25,H$25,$G404=$G$26,H$26,$G404=$G$27,H$27,$G404=$G$29,H$29,$G404=$G$31,H$31,$G404=$G$32,H$150,$G404=$G$248,H$248,$G404=$G$250,H$250)</f>
        <v>41.343685000000001</v>
      </c>
      <c r="I404" s="78" cm="1">
        <f t="array" ref="I404">_xlfn.IFS($G404=$G$5,I$5,$G404=$G$6,I$6,$G404=$G$7,I$7,$G404=$G$8,I$8,$G404=$G$9,I$9,$G404=$G$10,I$10,$G404=$G$11,I$11,$G404=$G$12,I$12,$G404=$G$13,I$13,$G404=$G$15,I$15,$G404=$G$16,I$16,$G404=$G$17,I$17,$G404=$G$18,I$18,$G404=$G$19,I$19,$G404=$G$20,I$20,$G404=$G$21,I$21,$G404=$G$22,I$22,$G404=$G$25,I$25,$G404=$G$26,I$26,$G404=$G$27,I$27,$G404=$G$29,I$29,$G404=$G$31,I$31,$G404=$G$32,I$150,$G404=$G$248,I$248,$G404=$G$250,I$250)</f>
        <v>2.1441490000000001</v>
      </c>
      <c r="J404" cm="1">
        <f t="array" ref="J404">_xlfn.IFS($G404=$G$5,J$5,$G404=$G$6,J$6,$G404=$G$7,J$7,$G404=$G$8,J$8,$G404=$G$9,J$9,$G404=$G$10,J$10,$G404=$G$11,J$11,$G404=$G$12,J$12,$G404=$G$13,J$13,$G404=$G$15,J$15,$G404=$G$16,J$16,$G404=$G$17,J$17,$G404=$G$18,J$18,$G404=$G$19,J$19,$G404=$G$20,J$20,$G404=$G$21,J$21,$G404=$G$22,J$22,$G404=$G$25,J$25,$G404=$G$26,J$26,$G404=$G$27,J$27,$G404=$G$29,J$29,$G404=$G$31,J$31,$G404=$G$32,J$150,$G404=$G$248,J$248,$G404=$G$250,J$250)</f>
        <v>4</v>
      </c>
      <c r="K404" t="str" cm="1">
        <f t="array" ref="K404">_xlfn.IFS($G404=$G$5,K$5,$G404=$G$6,K$6,$G404=$G$7,K$7,$G404=$G$8,K$8,$G404=$G$9,K$9,$G404=$G$10,K$10,$G404=$G$11,K$11,$G404=$G$12,K$12,$G404=$G$13,K$13,$G404=$G$15,K$15,$G404=$G$16,K$16,$G404=$G$17,K$17,$G404=$G$18,K$18,$G404=$G$19,K$19,$G404=$G$20,K$20,$G404=$G$21,K$21,$G404=$G$22,K$22,$G404=$G$25,K$25,$G404=$G$26,K$26,$G404=$G$27,K$27,$G404=$G$29,K$29,$G404=$G$31,K$31,$G404=$G$32,K$150,$G404=$G$248,K$248,$G404=$G$250,K$250)</f>
        <v>BG sentinel + BG lure7</v>
      </c>
      <c r="L404" s="48" t="str" cm="1">
        <f t="array" ref="L404">_xlfn.IFS($G404=$G$5,L$5,$G404=$G$6,L$6,$G404=$G$7,L$7,$G404=$G$8,L$8,$G404=$G$9,L$9,$G404=$G$10,L$10,$G404=$G$11,L$11,$G404=$G$12,L$12,$G404=$G$13,L$13,$G404=$G$15,L$15,$G404=$G$16,L$16,$G404=$G$17,L$17,$G404=$G$18,L$18,$G404=$G$19,L$19,$G404=$G$20,L$20,$G404=$G$21,L$21,$G404=$G$22,L$22,$G404=$G$25,L$25,$G404=$G$26,L$26,$G404=$G$27,L$27,$G404=$G$29,L$29,$G404=$G$31,L$31,$G404=$G$32,L$32,$G404=$G$248,L$248,$G404=$G$250,L$250)</f>
        <v>Urban habitat</v>
      </c>
      <c r="M404" s="48"/>
      <c r="O404" s="45" t="str">
        <f t="shared" si="30"/>
        <v>A_SP_BCN_10_210715</v>
      </c>
      <c r="P404" s="64">
        <v>44392</v>
      </c>
      <c r="R404" s="72"/>
      <c r="S404" s="64">
        <v>44399</v>
      </c>
      <c r="U404" s="72"/>
      <c r="V404" s="54" t="s">
        <v>66</v>
      </c>
      <c r="X404" s="45">
        <f t="shared" si="31"/>
        <v>7</v>
      </c>
      <c r="Z404" s="45" t="s">
        <v>70</v>
      </c>
      <c r="AA404" s="45">
        <f t="shared" si="32"/>
        <v>25</v>
      </c>
      <c r="AB404" t="str">
        <f t="shared" si="33"/>
        <v>Adult</v>
      </c>
      <c r="AC404" s="69">
        <v>17</v>
      </c>
      <c r="AD404" s="69">
        <v>8</v>
      </c>
      <c r="AE404" s="45" t="str">
        <f t="shared" si="34"/>
        <v>Morphological</v>
      </c>
      <c r="AF404" s="56">
        <v>4</v>
      </c>
    </row>
    <row r="405" spans="1:32" ht="18" customHeight="1" x14ac:dyDescent="0.25">
      <c r="A405" s="45">
        <v>401</v>
      </c>
      <c r="B405" s="45" t="s">
        <v>60</v>
      </c>
      <c r="C405" s="45" t="s">
        <v>61</v>
      </c>
      <c r="D405" s="45" t="s">
        <v>62</v>
      </c>
      <c r="E405" s="45" t="s">
        <v>62</v>
      </c>
      <c r="F405" s="46" cm="1">
        <f t="array" ref="F405">_xlfn.IFS($G405=$G$5,F$5,$G405=$G$6,F$6,$G405=$G$7,F$7,$G405=$G$8,F$8,$G405=$G$9,F$9,$G405=$G$10,F$10,$G405=$G$11,F$11,$G405=$G$12,F$12,$G405=$G$13,F$13,$G405=$G$15,F$15,$G405=$G$16,F$16,$G405=$G$17,F$17,$G405=$G$18,F$18,$G405=$G$19,F$19,$G405=$G$20,F$20,$G405=$G$21,F$21,$G405=$G$22,F$22,$G405=$G$25,F$25,$G405=$G$26,F$26,$G405=$G$27,F$27,$G405=$G$29,F$29,$G405=$G$31,F$31,$G405=$G$32,F$32,$G405=$G$248,F$248,$G405=$G$250,F$250)</f>
        <v>8038</v>
      </c>
      <c r="G405" t="s">
        <v>82</v>
      </c>
      <c r="H405" s="66" cm="1">
        <f t="array" ref="H405">_xlfn.IFS($G405=$G$5,H$5,$G405=$G$6,H$6,$G405=$G$7,H$7,$G405=$G$8,H$8,$G405=$G$9,H$9,$G405=$G$10,H$10,$G405=$G$11,H$11,$G405=$G$12,H$12,$G405=$G$13,H$13,$G405=$G$15,H$15,$G405=$G$16,H$16,$G405=$G$17,H$17,$G405=$G$18,H$18,$G405=$G$19,H$19,$G405=$G$20,H$20,$G405=$G$21,H$21,$G405=$G$22,H$22,$G405=$G$25,H$25,$G405=$G$26,H$26,$G405=$G$27,H$27,$G405=$G$29,H$29,$G405=$G$31,H$31,$G405=$G$32,H$150,$G405=$G$248,H$248,$G405=$G$250,H$250)</f>
        <v>41.367429999999999</v>
      </c>
      <c r="I405" s="78" cm="1">
        <f t="array" ref="I405">_xlfn.IFS($G405=$G$5,I$5,$G405=$G$6,I$6,$G405=$G$7,I$7,$G405=$G$8,I$8,$G405=$G$9,I$9,$G405=$G$10,I$10,$G405=$G$11,I$11,$G405=$G$12,I$12,$G405=$G$13,I$13,$G405=$G$15,I$15,$G405=$G$16,I$16,$G405=$G$17,I$17,$G405=$G$18,I$18,$G405=$G$19,I$19,$G405=$G$20,I$20,$G405=$G$21,I$21,$G405=$G$22,I$22,$G405=$G$25,I$25,$G405=$G$26,I$26,$G405=$G$27,I$27,$G405=$G$29,I$29,$G405=$G$31,I$31,$G405=$G$32,I$150,$G405=$G$248,I$248,$G405=$G$250,I$250)</f>
        <v>2.1569609999999999</v>
      </c>
      <c r="J405" cm="1">
        <f t="array" ref="J405">_xlfn.IFS($G405=$G$5,J$5,$G405=$G$6,J$6,$G405=$G$7,J$7,$G405=$G$8,J$8,$G405=$G$9,J$9,$G405=$G$10,J$10,$G405=$G$11,J$11,$G405=$G$12,J$12,$G405=$G$13,J$13,$G405=$G$15,J$15,$G405=$G$16,J$16,$G405=$G$17,J$17,$G405=$G$18,J$18,$G405=$G$19,J$19,$G405=$G$20,J$20,$G405=$G$21,J$21,$G405=$G$22,J$22,$G405=$G$25,J$25,$G405=$G$26,J$26,$G405=$G$27,J$27,$G405=$G$29,J$29,$G405=$G$31,J$31,$G405=$G$32,J$150,$G405=$G$248,J$248,$G405=$G$250,J$250)</f>
        <v>91</v>
      </c>
      <c r="K405" t="str" cm="1">
        <f t="array" ref="K405">_xlfn.IFS($G405=$G$5,K$5,$G405=$G$6,K$6,$G405=$G$7,K$7,$G405=$G$8,K$8,$G405=$G$9,K$9,$G405=$G$10,K$10,$G405=$G$11,K$11,$G405=$G$12,K$12,$G405=$G$13,K$13,$G405=$G$15,K$15,$G405=$G$16,K$16,$G405=$G$17,K$17,$G405=$G$18,K$18,$G405=$G$19,K$19,$G405=$G$20,K$20,$G405=$G$21,K$21,$G405=$G$22,K$22,$G405=$G$25,K$25,$G405=$G$26,K$26,$G405=$G$27,K$27,$G405=$G$29,K$29,$G405=$G$31,K$31,$G405=$G$32,K$150,$G405=$G$248,K$248,$G405=$G$250,K$250)</f>
        <v>BG sentinel + BG lure7</v>
      </c>
      <c r="L405" s="48" t="str" cm="1">
        <f t="array" ref="L405">_xlfn.IFS($G405=$G$5,L$5,$G405=$G$6,L$6,$G405=$G$7,L$7,$G405=$G$8,L$8,$G405=$G$9,L$9,$G405=$G$10,L$10,$G405=$G$11,L$11,$G405=$G$12,L$12,$G405=$G$13,L$13,$G405=$G$15,L$15,$G405=$G$16,L$16,$G405=$G$17,L$17,$G405=$G$18,L$18,$G405=$G$19,L$19,$G405=$G$20,L$20,$G405=$G$21,L$21,$G405=$G$22,L$22,$G405=$G$25,L$25,$G405=$G$26,L$26,$G405=$G$27,L$27,$G405=$G$29,L$29,$G405=$G$31,L$31,$G405=$G$32,L$32,$G405=$G$248,L$248,$G405=$G$250,L$250)</f>
        <v>Other</v>
      </c>
      <c r="M405" s="48"/>
      <c r="O405" s="45" t="str">
        <f t="shared" si="30"/>
        <v>A_SP_BCN_11_210715</v>
      </c>
      <c r="P405" s="64">
        <v>44392</v>
      </c>
      <c r="R405" s="72"/>
      <c r="S405" s="64">
        <v>44399</v>
      </c>
      <c r="U405" s="72"/>
      <c r="V405" s="54" t="s">
        <v>66</v>
      </c>
      <c r="X405" s="45">
        <f t="shared" si="31"/>
        <v>7</v>
      </c>
      <c r="Z405" s="69" t="s">
        <v>69</v>
      </c>
      <c r="AA405" s="45">
        <f t="shared" si="32"/>
        <v>32</v>
      </c>
      <c r="AB405" t="str">
        <f t="shared" si="33"/>
        <v>Adult</v>
      </c>
      <c r="AC405" s="69">
        <v>22</v>
      </c>
      <c r="AD405" s="69">
        <v>10</v>
      </c>
      <c r="AE405" s="45" t="str">
        <f t="shared" si="34"/>
        <v>Morphological</v>
      </c>
      <c r="AF405" s="56">
        <v>4</v>
      </c>
    </row>
    <row r="406" spans="1:32" ht="18" customHeight="1" x14ac:dyDescent="0.25">
      <c r="A406" s="45">
        <v>402</v>
      </c>
      <c r="B406" s="45" t="s">
        <v>60</v>
      </c>
      <c r="C406" s="45" t="s">
        <v>61</v>
      </c>
      <c r="D406" s="45" t="s">
        <v>62</v>
      </c>
      <c r="E406" s="45" t="s">
        <v>62</v>
      </c>
      <c r="F406" s="46" cm="1">
        <f t="array" ref="F406">_xlfn.IFS($G406=$G$5,F$5,$G406=$G$6,F$6,$G406=$G$7,F$7,$G406=$G$8,F$8,$G406=$G$9,F$9,$G406=$G$10,F$10,$G406=$G$11,F$11,$G406=$G$12,F$12,$G406=$G$13,F$13,$G406=$G$15,F$15,$G406=$G$16,F$16,$G406=$G$17,F$17,$G406=$G$18,F$18,$G406=$G$19,F$19,$G406=$G$20,F$20,$G406=$G$21,F$21,$G406=$G$22,F$22,$G406=$G$25,F$25,$G406=$G$26,F$26,$G406=$G$27,F$27,$G406=$G$29,F$29,$G406=$G$31,F$31,$G406=$G$32,F$32,$G406=$G$248,F$248,$G406=$G$250,F$250)</f>
        <v>8038</v>
      </c>
      <c r="G406" t="s">
        <v>82</v>
      </c>
      <c r="H406" s="66" cm="1">
        <f t="array" ref="H406">_xlfn.IFS($G406=$G$5,H$5,$G406=$G$6,H$6,$G406=$G$7,H$7,$G406=$G$8,H$8,$G406=$G$9,H$9,$G406=$G$10,H$10,$G406=$G$11,H$11,$G406=$G$12,H$12,$G406=$G$13,H$13,$G406=$G$15,H$15,$G406=$G$16,H$16,$G406=$G$17,H$17,$G406=$G$18,H$18,$G406=$G$19,H$19,$G406=$G$20,H$20,$G406=$G$21,H$21,$G406=$G$22,H$22,$G406=$G$25,H$25,$G406=$G$26,H$26,$G406=$G$27,H$27,$G406=$G$29,H$29,$G406=$G$31,H$31,$G406=$G$32,H$150,$G406=$G$248,H$248,$G406=$G$250,H$250)</f>
        <v>41.367429999999999</v>
      </c>
      <c r="I406" s="78" cm="1">
        <f t="array" ref="I406">_xlfn.IFS($G406=$G$5,I$5,$G406=$G$6,I$6,$G406=$G$7,I$7,$G406=$G$8,I$8,$G406=$G$9,I$9,$G406=$G$10,I$10,$G406=$G$11,I$11,$G406=$G$12,I$12,$G406=$G$13,I$13,$G406=$G$15,I$15,$G406=$G$16,I$16,$G406=$G$17,I$17,$G406=$G$18,I$18,$G406=$G$19,I$19,$G406=$G$20,I$20,$G406=$G$21,I$21,$G406=$G$22,I$22,$G406=$G$25,I$25,$G406=$G$26,I$26,$G406=$G$27,I$27,$G406=$G$29,I$29,$G406=$G$31,I$31,$G406=$G$32,I$150,$G406=$G$248,I$248,$G406=$G$250,I$250)</f>
        <v>2.1569609999999999</v>
      </c>
      <c r="J406" cm="1">
        <f t="array" ref="J406">_xlfn.IFS($G406=$G$5,J$5,$G406=$G$6,J$6,$G406=$G$7,J$7,$G406=$G$8,J$8,$G406=$G$9,J$9,$G406=$G$10,J$10,$G406=$G$11,J$11,$G406=$G$12,J$12,$G406=$G$13,J$13,$G406=$G$15,J$15,$G406=$G$16,J$16,$G406=$G$17,J$17,$G406=$G$18,J$18,$G406=$G$19,J$19,$G406=$G$20,J$20,$G406=$G$21,J$21,$G406=$G$22,J$22,$G406=$G$25,J$25,$G406=$G$26,J$26,$G406=$G$27,J$27,$G406=$G$29,J$29,$G406=$G$31,J$31,$G406=$G$32,J$150,$G406=$G$248,J$248,$G406=$G$250,J$250)</f>
        <v>91</v>
      </c>
      <c r="K406" t="str" cm="1">
        <f t="array" ref="K406">_xlfn.IFS($G406=$G$5,K$5,$G406=$G$6,K$6,$G406=$G$7,K$7,$G406=$G$8,K$8,$G406=$G$9,K$9,$G406=$G$10,K$10,$G406=$G$11,K$11,$G406=$G$12,K$12,$G406=$G$13,K$13,$G406=$G$15,K$15,$G406=$G$16,K$16,$G406=$G$17,K$17,$G406=$G$18,K$18,$G406=$G$19,K$19,$G406=$G$20,K$20,$G406=$G$21,K$21,$G406=$G$22,K$22,$G406=$G$25,K$25,$G406=$G$26,K$26,$G406=$G$27,K$27,$G406=$G$29,K$29,$G406=$G$31,K$31,$G406=$G$32,K$150,$G406=$G$248,K$248,$G406=$G$250,K$250)</f>
        <v>BG sentinel + BG lure7</v>
      </c>
      <c r="L406" s="48" t="str" cm="1">
        <f t="array" ref="L406">_xlfn.IFS($G406=$G$5,L$5,$G406=$G$6,L$6,$G406=$G$7,L$7,$G406=$G$8,L$8,$G406=$G$9,L$9,$G406=$G$10,L$10,$G406=$G$11,L$11,$G406=$G$12,L$12,$G406=$G$13,L$13,$G406=$G$15,L$15,$G406=$G$16,L$16,$G406=$G$17,L$17,$G406=$G$18,L$18,$G406=$G$19,L$19,$G406=$G$20,L$20,$G406=$G$21,L$21,$G406=$G$22,L$22,$G406=$G$25,L$25,$G406=$G$26,L$26,$G406=$G$27,L$27,$G406=$G$29,L$29,$G406=$G$31,L$31,$G406=$G$32,L$32,$G406=$G$248,L$248,$G406=$G$250,L$250)</f>
        <v>Other</v>
      </c>
      <c r="M406" s="48"/>
      <c r="O406" s="45" t="str">
        <f t="shared" si="30"/>
        <v>A_SP_BCN_11_210715</v>
      </c>
      <c r="P406" s="64">
        <v>44392</v>
      </c>
      <c r="R406" s="72"/>
      <c r="S406" s="64">
        <v>44399</v>
      </c>
      <c r="U406" s="72"/>
      <c r="V406" s="54" t="s">
        <v>66</v>
      </c>
      <c r="X406" s="45">
        <f t="shared" si="31"/>
        <v>7</v>
      </c>
      <c r="Z406" s="45" t="s">
        <v>70</v>
      </c>
      <c r="AA406" s="45">
        <f t="shared" si="32"/>
        <v>3</v>
      </c>
      <c r="AB406" t="str">
        <f t="shared" si="33"/>
        <v>Adult</v>
      </c>
      <c r="AC406" s="69">
        <v>3</v>
      </c>
      <c r="AD406" s="69">
        <v>0</v>
      </c>
      <c r="AE406" s="45" t="str">
        <f t="shared" si="34"/>
        <v>Morphological</v>
      </c>
      <c r="AF406" s="56">
        <v>4</v>
      </c>
    </row>
    <row r="407" spans="1:32" ht="18" customHeight="1" x14ac:dyDescent="0.25">
      <c r="A407" s="45">
        <v>403</v>
      </c>
      <c r="B407" s="45" t="s">
        <v>60</v>
      </c>
      <c r="C407" s="45" t="s">
        <v>61</v>
      </c>
      <c r="D407" s="45" t="s">
        <v>62</v>
      </c>
      <c r="E407" s="45" t="s">
        <v>62</v>
      </c>
      <c r="F407" s="46" cm="1">
        <f t="array" ref="F407">_xlfn.IFS($G407=$G$5,F$5,$G407=$G$6,F$6,$G407=$G$7,F$7,$G407=$G$8,F$8,$G407=$G$9,F$9,$G407=$G$10,F$10,$G407=$G$11,F$11,$G407=$G$12,F$12,$G407=$G$13,F$13,$G407=$G$15,F$15,$G407=$G$16,F$16,$G407=$G$17,F$17,$G407=$G$18,F$18,$G407=$G$19,F$19,$G407=$G$20,F$20,$G407=$G$21,F$21,$G407=$G$22,F$22,$G407=$G$25,F$25,$G407=$G$26,F$26,$G407=$G$27,F$27,$G407=$G$29,F$29,$G407=$G$31,F$31,$G407=$G$32,F$32,$G407=$G$248,F$248,$G407=$G$250,F$250)</f>
        <v>8038</v>
      </c>
      <c r="G407" t="s">
        <v>82</v>
      </c>
      <c r="H407" s="66" cm="1">
        <f t="array" ref="H407">_xlfn.IFS($G407=$G$5,H$5,$G407=$G$6,H$6,$G407=$G$7,H$7,$G407=$G$8,H$8,$G407=$G$9,H$9,$G407=$G$10,H$10,$G407=$G$11,H$11,$G407=$G$12,H$12,$G407=$G$13,H$13,$G407=$G$15,H$15,$G407=$G$16,H$16,$G407=$G$17,H$17,$G407=$G$18,H$18,$G407=$G$19,H$19,$G407=$G$20,H$20,$G407=$G$21,H$21,$G407=$G$22,H$22,$G407=$G$25,H$25,$G407=$G$26,H$26,$G407=$G$27,H$27,$G407=$G$29,H$29,$G407=$G$31,H$31,$G407=$G$32,H$150,$G407=$G$248,H$248,$G407=$G$250,H$250)</f>
        <v>41.367429999999999</v>
      </c>
      <c r="I407" s="78" cm="1">
        <f t="array" ref="I407">_xlfn.IFS($G407=$G$5,I$5,$G407=$G$6,I$6,$G407=$G$7,I$7,$G407=$G$8,I$8,$G407=$G$9,I$9,$G407=$G$10,I$10,$G407=$G$11,I$11,$G407=$G$12,I$12,$G407=$G$13,I$13,$G407=$G$15,I$15,$G407=$G$16,I$16,$G407=$G$17,I$17,$G407=$G$18,I$18,$G407=$G$19,I$19,$G407=$G$20,I$20,$G407=$G$21,I$21,$G407=$G$22,I$22,$G407=$G$25,I$25,$G407=$G$26,I$26,$G407=$G$27,I$27,$G407=$G$29,I$29,$G407=$G$31,I$31,$G407=$G$32,I$150,$G407=$G$248,I$248,$G407=$G$250,I$250)</f>
        <v>2.1569609999999999</v>
      </c>
      <c r="J407" cm="1">
        <f t="array" ref="J407">_xlfn.IFS($G407=$G$5,J$5,$G407=$G$6,J$6,$G407=$G$7,J$7,$G407=$G$8,J$8,$G407=$G$9,J$9,$G407=$G$10,J$10,$G407=$G$11,J$11,$G407=$G$12,J$12,$G407=$G$13,J$13,$G407=$G$15,J$15,$G407=$G$16,J$16,$G407=$G$17,J$17,$G407=$G$18,J$18,$G407=$G$19,J$19,$G407=$G$20,J$20,$G407=$G$21,J$21,$G407=$G$22,J$22,$G407=$G$25,J$25,$G407=$G$26,J$26,$G407=$G$27,J$27,$G407=$G$29,J$29,$G407=$G$31,J$31,$G407=$G$32,J$150,$G407=$G$248,J$248,$G407=$G$250,J$250)</f>
        <v>91</v>
      </c>
      <c r="K407" t="str" cm="1">
        <f t="array" ref="K407">_xlfn.IFS($G407=$G$5,K$5,$G407=$G$6,K$6,$G407=$G$7,K$7,$G407=$G$8,K$8,$G407=$G$9,K$9,$G407=$G$10,K$10,$G407=$G$11,K$11,$G407=$G$12,K$12,$G407=$G$13,K$13,$G407=$G$15,K$15,$G407=$G$16,K$16,$G407=$G$17,K$17,$G407=$G$18,K$18,$G407=$G$19,K$19,$G407=$G$20,K$20,$G407=$G$21,K$21,$G407=$G$22,K$22,$G407=$G$25,K$25,$G407=$G$26,K$26,$G407=$G$27,K$27,$G407=$G$29,K$29,$G407=$G$31,K$31,$G407=$G$32,K$150,$G407=$G$248,K$248,$G407=$G$250,K$250)</f>
        <v>BG sentinel + BG lure7</v>
      </c>
      <c r="L407" s="48" t="str" cm="1">
        <f t="array" ref="L407">_xlfn.IFS($G407=$G$5,L$5,$G407=$G$6,L$6,$G407=$G$7,L$7,$G407=$G$8,L$8,$G407=$G$9,L$9,$G407=$G$10,L$10,$G407=$G$11,L$11,$G407=$G$12,L$12,$G407=$G$13,L$13,$G407=$G$15,L$15,$G407=$G$16,L$16,$G407=$G$17,L$17,$G407=$G$18,L$18,$G407=$G$19,L$19,$G407=$G$20,L$20,$G407=$G$21,L$21,$G407=$G$22,L$22,$G407=$G$25,L$25,$G407=$G$26,L$26,$G407=$G$27,L$27,$G407=$G$29,L$29,$G407=$G$31,L$31,$G407=$G$32,L$32,$G407=$G$248,L$248,$G407=$G$250,L$250)</f>
        <v>Other</v>
      </c>
      <c r="M407" s="48"/>
      <c r="O407" s="45" t="str">
        <f t="shared" si="30"/>
        <v>A_SP_BCN_11_210715</v>
      </c>
      <c r="P407" s="64">
        <v>44392</v>
      </c>
      <c r="R407" s="72"/>
      <c r="S407" s="64">
        <v>44399</v>
      </c>
      <c r="U407" s="72"/>
      <c r="V407" s="54" t="s">
        <v>66</v>
      </c>
      <c r="X407" s="45">
        <f t="shared" si="31"/>
        <v>7</v>
      </c>
      <c r="Z407" s="45" t="s">
        <v>80</v>
      </c>
      <c r="AA407" s="45">
        <f t="shared" si="32"/>
        <v>1</v>
      </c>
      <c r="AB407" t="str">
        <f t="shared" si="33"/>
        <v>Adult</v>
      </c>
      <c r="AC407" s="69">
        <v>1</v>
      </c>
      <c r="AD407" s="69">
        <v>0</v>
      </c>
      <c r="AE407" s="45" t="str">
        <f t="shared" si="34"/>
        <v>Morphological</v>
      </c>
      <c r="AF407" s="56">
        <v>4</v>
      </c>
    </row>
    <row r="408" spans="1:32" ht="18" customHeight="1" x14ac:dyDescent="0.25">
      <c r="A408" s="45">
        <v>404</v>
      </c>
      <c r="B408" s="45" t="s">
        <v>60</v>
      </c>
      <c r="C408" s="45" t="s">
        <v>61</v>
      </c>
      <c r="D408" s="45" t="s">
        <v>62</v>
      </c>
      <c r="E408" s="45" t="s">
        <v>62</v>
      </c>
      <c r="F408" s="46" cm="1">
        <f t="array" ref="F408">_xlfn.IFS($G408=$G$5,F$5,$G408=$G$6,F$6,$G408=$G$7,F$7,$G408=$G$8,F$8,$G408=$G$9,F$9,$G408=$G$10,F$10,$G408=$G$11,F$11,$G408=$G$12,F$12,$G408=$G$13,F$13,$G408=$G$15,F$15,$G408=$G$16,F$16,$G408=$G$17,F$17,$G408=$G$18,F$18,$G408=$G$19,F$19,$G408=$G$20,F$20,$G408=$G$21,F$21,$G408=$G$22,F$22,$G408=$G$25,F$25,$G408=$G$26,F$26,$G408=$G$27,F$27,$G408=$G$29,F$29,$G408=$G$31,F$31,$G408=$G$32,F$32,$G408=$G$248,F$248,$G408=$G$250,F$250)</f>
        <v>8038</v>
      </c>
      <c r="G408" t="s">
        <v>84</v>
      </c>
      <c r="H408" s="66" cm="1">
        <f t="array" ref="H408">_xlfn.IFS($G408=$G$5,H$5,$G408=$G$6,H$6,$G408=$G$7,H$7,$G408=$G$8,H$8,$G408=$G$9,H$9,$G408=$G$10,H$10,$G408=$G$11,H$11,$G408=$G$12,H$12,$G408=$G$13,H$13,$G408=$G$15,H$15,$G408=$G$16,H$16,$G408=$G$17,H$17,$G408=$G$18,H$18,$G408=$G$19,H$19,$G408=$G$20,H$20,$G408=$G$21,H$21,$G408=$G$22,H$22,$G408=$G$25,H$25,$G408=$G$26,H$26,$G408=$G$27,H$27,$G408=$G$29,H$29,$G408=$G$31,H$31,$G408=$G$32,H$150,$G408=$G$248,H$248,$G408=$G$250,H$250)</f>
        <v>41.363377999999997</v>
      </c>
      <c r="I408" s="78" cm="1">
        <f t="array" ref="I408">_xlfn.IFS($G408=$G$5,I$5,$G408=$G$6,I$6,$G408=$G$7,I$7,$G408=$G$8,I$8,$G408=$G$9,I$9,$G408=$G$10,I$10,$G408=$G$11,I$11,$G408=$G$12,I$12,$G408=$G$13,I$13,$G408=$G$15,I$15,$G408=$G$16,I$16,$G408=$G$17,I$17,$G408=$G$18,I$18,$G408=$G$19,I$19,$G408=$G$20,I$20,$G408=$G$21,I$21,$G408=$G$22,I$22,$G408=$G$25,I$25,$G408=$G$26,I$26,$G408=$G$27,I$27,$G408=$G$29,I$29,$G408=$G$31,I$31,$G408=$G$32,I$150,$G408=$G$248,I$248,$G408=$G$250,I$250)</f>
        <v>2.164879</v>
      </c>
      <c r="J408" cm="1">
        <f t="array" ref="J408">_xlfn.IFS($G408=$G$5,J$5,$G408=$G$6,J$6,$G408=$G$7,J$7,$G408=$G$8,J$8,$G408=$G$9,J$9,$G408=$G$10,J$10,$G408=$G$11,J$11,$G408=$G$12,J$12,$G408=$G$13,J$13,$G408=$G$15,J$15,$G408=$G$16,J$16,$G408=$G$17,J$17,$G408=$G$18,J$18,$G408=$G$19,J$19,$G408=$G$20,J$20,$G408=$G$21,J$21,$G408=$G$22,J$22,$G408=$G$25,J$25,$G408=$G$26,J$26,$G408=$G$27,J$27,$G408=$G$29,J$29,$G408=$G$31,J$31,$G408=$G$32,J$150,$G408=$G$248,J$248,$G408=$G$250,J$250)</f>
        <v>185</v>
      </c>
      <c r="K408" t="str" cm="1">
        <f t="array" ref="K408">_xlfn.IFS($G408=$G$5,K$5,$G408=$G$6,K$6,$G408=$G$7,K$7,$G408=$G$8,K$8,$G408=$G$9,K$9,$G408=$G$10,K$10,$G408=$G$11,K$11,$G408=$G$12,K$12,$G408=$G$13,K$13,$G408=$G$15,K$15,$G408=$G$16,K$16,$G408=$G$17,K$17,$G408=$G$18,K$18,$G408=$G$19,K$19,$G408=$G$20,K$20,$G408=$G$21,K$21,$G408=$G$22,K$22,$G408=$G$25,K$25,$G408=$G$26,K$26,$G408=$G$27,K$27,$G408=$G$29,K$29,$G408=$G$31,K$31,$G408=$G$32,K$150,$G408=$G$248,K$248,$G408=$G$250,K$250)</f>
        <v>BG sentinel + BG lure7</v>
      </c>
      <c r="L408" s="48" t="str" cm="1">
        <f t="array" ref="L408">_xlfn.IFS($G408=$G$5,L$5,$G408=$G$6,L$6,$G408=$G$7,L$7,$G408=$G$8,L$8,$G408=$G$9,L$9,$G408=$G$10,L$10,$G408=$G$11,L$11,$G408=$G$12,L$12,$G408=$G$13,L$13,$G408=$G$15,L$15,$G408=$G$16,L$16,$G408=$G$17,L$17,$G408=$G$18,L$18,$G408=$G$19,L$19,$G408=$G$20,L$20,$G408=$G$21,L$21,$G408=$G$22,L$22,$G408=$G$25,L$25,$G408=$G$26,L$26,$G408=$G$27,L$27,$G408=$G$29,L$29,$G408=$G$31,L$31,$G408=$G$32,L$32,$G408=$G$248,L$248,$G408=$G$250,L$250)</f>
        <v>Other</v>
      </c>
      <c r="M408" s="48"/>
      <c r="O408" s="45" t="str">
        <f t="shared" si="30"/>
        <v>A_SP_BCN_12_210715</v>
      </c>
      <c r="P408" s="64">
        <v>44392</v>
      </c>
      <c r="R408" s="72"/>
      <c r="S408" s="64">
        <v>44399</v>
      </c>
      <c r="U408" s="72"/>
      <c r="V408" s="54" t="s">
        <v>66</v>
      </c>
      <c r="X408" s="45">
        <f t="shared" si="31"/>
        <v>7</v>
      </c>
      <c r="Z408" s="69" t="s">
        <v>69</v>
      </c>
      <c r="AA408" s="45">
        <f t="shared" si="32"/>
        <v>12</v>
      </c>
      <c r="AB408" t="str">
        <f t="shared" si="33"/>
        <v>Adult</v>
      </c>
      <c r="AC408" s="69">
        <v>6</v>
      </c>
      <c r="AD408" s="69">
        <v>6</v>
      </c>
      <c r="AE408" s="45" t="str">
        <f t="shared" si="34"/>
        <v>Morphological</v>
      </c>
      <c r="AF408" s="56">
        <v>4</v>
      </c>
    </row>
    <row r="409" spans="1:32" ht="18" customHeight="1" x14ac:dyDescent="0.25">
      <c r="A409" s="45">
        <v>405</v>
      </c>
      <c r="B409" s="45" t="s">
        <v>60</v>
      </c>
      <c r="C409" s="45" t="s">
        <v>61</v>
      </c>
      <c r="D409" s="45" t="s">
        <v>62</v>
      </c>
      <c r="E409" s="45" t="s">
        <v>62</v>
      </c>
      <c r="F409" s="46" cm="1">
        <f t="array" ref="F409">_xlfn.IFS($G409=$G$5,F$5,$G409=$G$6,F$6,$G409=$G$7,F$7,$G409=$G$8,F$8,$G409=$G$9,F$9,$G409=$G$10,F$10,$G409=$G$11,F$11,$G409=$G$12,F$12,$G409=$G$13,F$13,$G409=$G$15,F$15,$G409=$G$16,F$16,$G409=$G$17,F$17,$G409=$G$18,F$18,$G409=$G$19,F$19,$G409=$G$20,F$20,$G409=$G$21,F$21,$G409=$G$22,F$22,$G409=$G$25,F$25,$G409=$G$26,F$26,$G409=$G$27,F$27,$G409=$G$29,F$29,$G409=$G$31,F$31,$G409=$G$32,F$32,$G409=$G$248,F$248,$G409=$G$250,F$250)</f>
        <v>8038</v>
      </c>
      <c r="G409" t="s">
        <v>84</v>
      </c>
      <c r="H409" s="66" cm="1">
        <f t="array" ref="H409">_xlfn.IFS($G409=$G$5,H$5,$G409=$G$6,H$6,$G409=$G$7,H$7,$G409=$G$8,H$8,$G409=$G$9,H$9,$G409=$G$10,H$10,$G409=$G$11,H$11,$G409=$G$12,H$12,$G409=$G$13,H$13,$G409=$G$15,H$15,$G409=$G$16,H$16,$G409=$G$17,H$17,$G409=$G$18,H$18,$G409=$G$19,H$19,$G409=$G$20,H$20,$G409=$G$21,H$21,$G409=$G$22,H$22,$G409=$G$25,H$25,$G409=$G$26,H$26,$G409=$G$27,H$27,$G409=$G$29,H$29,$G409=$G$31,H$31,$G409=$G$32,H$150,$G409=$G$248,H$248,$G409=$G$250,H$250)</f>
        <v>41.363377999999997</v>
      </c>
      <c r="I409" s="78" cm="1">
        <f t="array" ref="I409">_xlfn.IFS($G409=$G$5,I$5,$G409=$G$6,I$6,$G409=$G$7,I$7,$G409=$G$8,I$8,$G409=$G$9,I$9,$G409=$G$10,I$10,$G409=$G$11,I$11,$G409=$G$12,I$12,$G409=$G$13,I$13,$G409=$G$15,I$15,$G409=$G$16,I$16,$G409=$G$17,I$17,$G409=$G$18,I$18,$G409=$G$19,I$19,$G409=$G$20,I$20,$G409=$G$21,I$21,$G409=$G$22,I$22,$G409=$G$25,I$25,$G409=$G$26,I$26,$G409=$G$27,I$27,$G409=$G$29,I$29,$G409=$G$31,I$31,$G409=$G$32,I$150,$G409=$G$248,I$248,$G409=$G$250,I$250)</f>
        <v>2.164879</v>
      </c>
      <c r="J409" cm="1">
        <f t="array" ref="J409">_xlfn.IFS($G409=$G$5,J$5,$G409=$G$6,J$6,$G409=$G$7,J$7,$G409=$G$8,J$8,$G409=$G$9,J$9,$G409=$G$10,J$10,$G409=$G$11,J$11,$G409=$G$12,J$12,$G409=$G$13,J$13,$G409=$G$15,J$15,$G409=$G$16,J$16,$G409=$G$17,J$17,$G409=$G$18,J$18,$G409=$G$19,J$19,$G409=$G$20,J$20,$G409=$G$21,J$21,$G409=$G$22,J$22,$G409=$G$25,J$25,$G409=$G$26,J$26,$G409=$G$27,J$27,$G409=$G$29,J$29,$G409=$G$31,J$31,$G409=$G$32,J$150,$G409=$G$248,J$248,$G409=$G$250,J$250)</f>
        <v>185</v>
      </c>
      <c r="K409" t="str" cm="1">
        <f t="array" ref="K409">_xlfn.IFS($G409=$G$5,K$5,$G409=$G$6,K$6,$G409=$G$7,K$7,$G409=$G$8,K$8,$G409=$G$9,K$9,$G409=$G$10,K$10,$G409=$G$11,K$11,$G409=$G$12,K$12,$G409=$G$13,K$13,$G409=$G$15,K$15,$G409=$G$16,K$16,$G409=$G$17,K$17,$G409=$G$18,K$18,$G409=$G$19,K$19,$G409=$G$20,K$20,$G409=$G$21,K$21,$G409=$G$22,K$22,$G409=$G$25,K$25,$G409=$G$26,K$26,$G409=$G$27,K$27,$G409=$G$29,K$29,$G409=$G$31,K$31,$G409=$G$32,K$150,$G409=$G$248,K$248,$G409=$G$250,K$250)</f>
        <v>BG sentinel + BG lure7</v>
      </c>
      <c r="L409" s="48" t="str" cm="1">
        <f t="array" ref="L409">_xlfn.IFS($G409=$G$5,L$5,$G409=$G$6,L$6,$G409=$G$7,L$7,$G409=$G$8,L$8,$G409=$G$9,L$9,$G409=$G$10,L$10,$G409=$G$11,L$11,$G409=$G$12,L$12,$G409=$G$13,L$13,$G409=$G$15,L$15,$G409=$G$16,L$16,$G409=$G$17,L$17,$G409=$G$18,L$18,$G409=$G$19,L$19,$G409=$G$20,L$20,$G409=$G$21,L$21,$G409=$G$22,L$22,$G409=$G$25,L$25,$G409=$G$26,L$26,$G409=$G$27,L$27,$G409=$G$29,L$29,$G409=$G$31,L$31,$G409=$G$32,L$32,$G409=$G$248,L$248,$G409=$G$250,L$250)</f>
        <v>Other</v>
      </c>
      <c r="M409" s="48"/>
      <c r="O409" s="45" t="str">
        <f t="shared" si="30"/>
        <v>A_SP_BCN_12_210715</v>
      </c>
      <c r="P409" s="64">
        <v>44392</v>
      </c>
      <c r="R409" s="72"/>
      <c r="S409" s="64">
        <v>44399</v>
      </c>
      <c r="U409" s="72"/>
      <c r="V409" s="54" t="s">
        <v>66</v>
      </c>
      <c r="X409" s="45">
        <f t="shared" si="31"/>
        <v>7</v>
      </c>
      <c r="Z409" s="45" t="s">
        <v>70</v>
      </c>
      <c r="AA409" s="45">
        <f t="shared" si="32"/>
        <v>21</v>
      </c>
      <c r="AB409" t="str">
        <f t="shared" si="33"/>
        <v>Adult</v>
      </c>
      <c r="AC409" s="69">
        <v>21</v>
      </c>
      <c r="AD409" s="69">
        <v>0</v>
      </c>
      <c r="AE409" s="45" t="str">
        <f t="shared" si="34"/>
        <v>Morphological</v>
      </c>
      <c r="AF409" s="56">
        <v>4</v>
      </c>
    </row>
    <row r="410" spans="1:32" ht="18" customHeight="1" x14ac:dyDescent="0.25">
      <c r="A410" s="45">
        <v>406</v>
      </c>
      <c r="B410" s="45" t="s">
        <v>60</v>
      </c>
      <c r="C410" s="45" t="s">
        <v>61</v>
      </c>
      <c r="D410" s="45" t="s">
        <v>62</v>
      </c>
      <c r="E410" s="45" t="s">
        <v>62</v>
      </c>
      <c r="F410" s="46" cm="1">
        <f t="array" ref="F410">_xlfn.IFS($G410=$G$5,F$5,$G410=$G$6,F$6,$G410=$G$7,F$7,$G410=$G$8,F$8,$G410=$G$9,F$9,$G410=$G$10,F$10,$G410=$G$11,F$11,$G410=$G$12,F$12,$G410=$G$13,F$13,$G410=$G$15,F$15,$G410=$G$16,F$16,$G410=$G$17,F$17,$G410=$G$18,F$18,$G410=$G$19,F$19,$G410=$G$20,F$20,$G410=$G$21,F$21,$G410=$G$22,F$22,$G410=$G$25,F$25,$G410=$G$26,F$26,$G410=$G$27,F$27,$G410=$G$29,F$29,$G410=$G$31,F$31,$G410=$G$32,F$32,$G410=$G$248,F$248,$G410=$G$250,F$250)</f>
        <v>8038</v>
      </c>
      <c r="G410" t="s">
        <v>84</v>
      </c>
      <c r="H410" s="66" cm="1">
        <f t="array" ref="H410">_xlfn.IFS($G410=$G$5,H$5,$G410=$G$6,H$6,$G410=$G$7,H$7,$G410=$G$8,H$8,$G410=$G$9,H$9,$G410=$G$10,H$10,$G410=$G$11,H$11,$G410=$G$12,H$12,$G410=$G$13,H$13,$G410=$G$15,H$15,$G410=$G$16,H$16,$G410=$G$17,H$17,$G410=$G$18,H$18,$G410=$G$19,H$19,$G410=$G$20,H$20,$G410=$G$21,H$21,$G410=$G$22,H$22,$G410=$G$25,H$25,$G410=$G$26,H$26,$G410=$G$27,H$27,$G410=$G$29,H$29,$G410=$G$31,H$31,$G410=$G$32,H$150,$G410=$G$248,H$248,$G410=$G$250,H$250)</f>
        <v>41.363377999999997</v>
      </c>
      <c r="I410" s="78" cm="1">
        <f t="array" ref="I410">_xlfn.IFS($G410=$G$5,I$5,$G410=$G$6,I$6,$G410=$G$7,I$7,$G410=$G$8,I$8,$G410=$G$9,I$9,$G410=$G$10,I$10,$G410=$G$11,I$11,$G410=$G$12,I$12,$G410=$G$13,I$13,$G410=$G$15,I$15,$G410=$G$16,I$16,$G410=$G$17,I$17,$G410=$G$18,I$18,$G410=$G$19,I$19,$G410=$G$20,I$20,$G410=$G$21,I$21,$G410=$G$22,I$22,$G410=$G$25,I$25,$G410=$G$26,I$26,$G410=$G$27,I$27,$G410=$G$29,I$29,$G410=$G$31,I$31,$G410=$G$32,I$150,$G410=$G$248,I$248,$G410=$G$250,I$250)</f>
        <v>2.164879</v>
      </c>
      <c r="J410" cm="1">
        <f t="array" ref="J410">_xlfn.IFS($G410=$G$5,J$5,$G410=$G$6,J$6,$G410=$G$7,J$7,$G410=$G$8,J$8,$G410=$G$9,J$9,$G410=$G$10,J$10,$G410=$G$11,J$11,$G410=$G$12,J$12,$G410=$G$13,J$13,$G410=$G$15,J$15,$G410=$G$16,J$16,$G410=$G$17,J$17,$G410=$G$18,J$18,$G410=$G$19,J$19,$G410=$G$20,J$20,$G410=$G$21,J$21,$G410=$G$22,J$22,$G410=$G$25,J$25,$G410=$G$26,J$26,$G410=$G$27,J$27,$G410=$G$29,J$29,$G410=$G$31,J$31,$G410=$G$32,J$150,$G410=$G$248,J$248,$G410=$G$250,J$250)</f>
        <v>185</v>
      </c>
      <c r="K410" t="str" cm="1">
        <f t="array" ref="K410">_xlfn.IFS($G410=$G$5,K$5,$G410=$G$6,K$6,$G410=$G$7,K$7,$G410=$G$8,K$8,$G410=$G$9,K$9,$G410=$G$10,K$10,$G410=$G$11,K$11,$G410=$G$12,K$12,$G410=$G$13,K$13,$G410=$G$15,K$15,$G410=$G$16,K$16,$G410=$G$17,K$17,$G410=$G$18,K$18,$G410=$G$19,K$19,$G410=$G$20,K$20,$G410=$G$21,K$21,$G410=$G$22,K$22,$G410=$G$25,K$25,$G410=$G$26,K$26,$G410=$G$27,K$27,$G410=$G$29,K$29,$G410=$G$31,K$31,$G410=$G$32,K$150,$G410=$G$248,K$248,$G410=$G$250,K$250)</f>
        <v>BG sentinel + BG lure7</v>
      </c>
      <c r="L410" s="48" t="str" cm="1">
        <f t="array" ref="L410">_xlfn.IFS($G410=$G$5,L$5,$G410=$G$6,L$6,$G410=$G$7,L$7,$G410=$G$8,L$8,$G410=$G$9,L$9,$G410=$G$10,L$10,$G410=$G$11,L$11,$G410=$G$12,L$12,$G410=$G$13,L$13,$G410=$G$15,L$15,$G410=$G$16,L$16,$G410=$G$17,L$17,$G410=$G$18,L$18,$G410=$G$19,L$19,$G410=$G$20,L$20,$G410=$G$21,L$21,$G410=$G$22,L$22,$G410=$G$25,L$25,$G410=$G$26,L$26,$G410=$G$27,L$27,$G410=$G$29,L$29,$G410=$G$31,L$31,$G410=$G$32,L$32,$G410=$G$248,L$248,$G410=$G$250,L$250)</f>
        <v>Other</v>
      </c>
      <c r="M410" s="48"/>
      <c r="O410" s="45" t="str">
        <f t="shared" si="30"/>
        <v>A_SP_BCN_12_210715</v>
      </c>
      <c r="P410" s="64">
        <v>44392</v>
      </c>
      <c r="R410" s="72"/>
      <c r="S410" s="64">
        <v>44399</v>
      </c>
      <c r="U410" s="72"/>
      <c r="V410" s="54" t="s">
        <v>66</v>
      </c>
      <c r="X410" s="45">
        <f t="shared" si="31"/>
        <v>7</v>
      </c>
      <c r="Z410" s="45" t="s">
        <v>80</v>
      </c>
      <c r="AA410" s="45">
        <f t="shared" si="32"/>
        <v>3</v>
      </c>
      <c r="AB410" t="str">
        <f t="shared" si="33"/>
        <v>Adult</v>
      </c>
      <c r="AC410" s="69">
        <v>1</v>
      </c>
      <c r="AD410" s="69">
        <v>2</v>
      </c>
      <c r="AE410" s="45" t="str">
        <f t="shared" si="34"/>
        <v>Morphological</v>
      </c>
      <c r="AF410" s="56">
        <v>4</v>
      </c>
    </row>
    <row r="411" spans="1:32" ht="18" customHeight="1" x14ac:dyDescent="0.25">
      <c r="A411" s="45">
        <v>407</v>
      </c>
      <c r="B411" s="45" t="s">
        <v>60</v>
      </c>
      <c r="C411" s="45" t="s">
        <v>61</v>
      </c>
      <c r="D411" s="45" t="s">
        <v>62</v>
      </c>
      <c r="E411" s="45" t="s">
        <v>62</v>
      </c>
      <c r="F411" s="46" cm="1">
        <f t="array" ref="F411">_xlfn.IFS($G411=$G$5,F$5,$G411=$G$6,F$6,$G411=$G$7,F$7,$G411=$G$8,F$8,$G411=$G$9,F$9,$G411=$G$10,F$10,$G411=$G$11,F$11,$G411=$G$12,F$12,$G411=$G$13,F$13,$G411=$G$15,F$15,$G411=$G$16,F$16,$G411=$G$17,F$17,$G411=$G$18,F$18,$G411=$G$19,F$19,$G411=$G$20,F$20,$G411=$G$21,F$21,$G411=$G$22,F$22,$G411=$G$25,F$25,$G411=$G$26,F$26,$G411=$G$27,F$27,$G411=$G$29,F$29,$G411=$G$31,F$31,$G411=$G$32,F$32,$G411=$G$248,F$248,$G411=$G$250,F$250)</f>
        <v>8035</v>
      </c>
      <c r="G411" t="s">
        <v>85</v>
      </c>
      <c r="H411" s="66" cm="1">
        <f t="array" ref="H411">_xlfn.IFS($G411=$G$5,H$5,$G411=$G$6,H$6,$G411=$G$7,H$7,$G411=$G$8,H$8,$G411=$G$9,H$9,$G411=$G$10,H$10,$G411=$G$11,H$11,$G411=$G$12,H$12,$G411=$G$13,H$13,$G411=$G$15,H$15,$G411=$G$16,H$16,$G411=$G$17,H$17,$G411=$G$18,H$18,$G411=$G$19,H$19,$G411=$G$20,H$20,$G411=$G$21,H$21,$G411=$G$22,H$22,$G411=$G$25,H$25,$G411=$G$26,H$26,$G411=$G$27,H$27,$G411=$G$29,H$29,$G411=$G$31,H$31,$G411=$G$32,H$150,$G411=$G$248,H$248,$G411=$G$250,H$250)</f>
        <v>41.434472</v>
      </c>
      <c r="I411" s="78" cm="1">
        <f t="array" ref="I411">_xlfn.IFS($G411=$G$5,I$5,$G411=$G$6,I$6,$G411=$G$7,I$7,$G411=$G$8,I$8,$G411=$G$9,I$9,$G411=$G$10,I$10,$G411=$G$11,I$11,$G411=$G$12,I$12,$G411=$G$13,I$13,$G411=$G$15,I$15,$G411=$G$16,I$16,$G411=$G$17,I$17,$G411=$G$18,I$18,$G411=$G$19,I$19,$G411=$G$20,I$20,$G411=$G$21,I$21,$G411=$G$22,I$22,$G411=$G$25,I$25,$G411=$G$26,I$26,$G411=$G$27,I$27,$G411=$G$29,I$29,$G411=$G$31,I$31,$G411=$G$32,I$150,$G411=$G$248,I$248,$G411=$G$250,I$250)</f>
        <v>2.1315789999999999</v>
      </c>
      <c r="J411" cm="1">
        <f t="array" ref="J411">_xlfn.IFS($G411=$G$5,J$5,$G411=$G$6,J$6,$G411=$G$7,J$7,$G411=$G$8,J$8,$G411=$G$9,J$9,$G411=$G$10,J$10,$G411=$G$11,J$11,$G411=$G$12,J$12,$G411=$G$13,J$13,$G411=$G$15,J$15,$G411=$G$16,J$16,$G411=$G$17,J$17,$G411=$G$18,J$18,$G411=$G$19,J$19,$G411=$G$20,J$20,$G411=$G$21,J$21,$G411=$G$22,J$22,$G411=$G$25,J$25,$G411=$G$26,J$26,$G411=$G$27,J$27,$G411=$G$29,J$29,$G411=$G$31,J$31,$G411=$G$32,J$150,$G411=$G$248,J$248,$G411=$G$250,J$250)</f>
        <v>365</v>
      </c>
      <c r="K411" t="str" cm="1">
        <f t="array" ref="K411">_xlfn.IFS($G411=$G$5,K$5,$G411=$G$6,K$6,$G411=$G$7,K$7,$G411=$G$8,K$8,$G411=$G$9,K$9,$G411=$G$10,K$10,$G411=$G$11,K$11,$G411=$G$12,K$12,$G411=$G$13,K$13,$G411=$G$15,K$15,$G411=$G$16,K$16,$G411=$G$17,K$17,$G411=$G$18,K$18,$G411=$G$19,K$19,$G411=$G$20,K$20,$G411=$G$21,K$21,$G411=$G$22,K$22,$G411=$G$25,K$25,$G411=$G$26,K$26,$G411=$G$27,K$27,$G411=$G$29,K$29,$G411=$G$31,K$31,$G411=$G$32,K$150,$G411=$G$248,K$248,$G411=$G$250,K$250)</f>
        <v>BG sentinel + BG lure7</v>
      </c>
      <c r="L411" s="48" t="str" cm="1">
        <f t="array" ref="L411">_xlfn.IFS($G411=$G$5,L$5,$G411=$G$6,L$6,$G411=$G$7,L$7,$G411=$G$8,L$8,$G411=$G$9,L$9,$G411=$G$10,L$10,$G411=$G$11,L$11,$G411=$G$12,L$12,$G411=$G$13,L$13,$G411=$G$15,L$15,$G411=$G$16,L$16,$G411=$G$17,L$17,$G411=$G$18,L$18,$G411=$G$19,L$19,$G411=$G$20,L$20,$G411=$G$21,L$21,$G411=$G$22,L$22,$G411=$G$25,L$25,$G411=$G$26,L$26,$G411=$G$27,L$27,$G411=$G$29,L$29,$G411=$G$31,L$31,$G411=$G$32,L$32,$G411=$G$248,L$248,$G411=$G$250,L$250)</f>
        <v>Other</v>
      </c>
      <c r="M411" s="48"/>
      <c r="O411" s="45" t="str">
        <f t="shared" si="30"/>
        <v>A_SP_BCN_13_210714</v>
      </c>
      <c r="P411" s="64">
        <v>44391</v>
      </c>
      <c r="R411" s="72"/>
      <c r="S411" s="64">
        <v>44398</v>
      </c>
      <c r="U411" s="72"/>
      <c r="V411" s="54" t="s">
        <v>66</v>
      </c>
      <c r="X411" s="45">
        <f t="shared" si="31"/>
        <v>7</v>
      </c>
      <c r="Z411" s="69" t="s">
        <v>69</v>
      </c>
      <c r="AA411" s="45">
        <f t="shared" si="32"/>
        <v>1</v>
      </c>
      <c r="AB411" t="str">
        <f t="shared" si="33"/>
        <v>Adult</v>
      </c>
      <c r="AC411" s="69">
        <v>1</v>
      </c>
      <c r="AD411" s="69">
        <v>0</v>
      </c>
      <c r="AE411" s="45" t="str">
        <f t="shared" si="34"/>
        <v>Morphological</v>
      </c>
      <c r="AF411" s="56">
        <v>4</v>
      </c>
    </row>
    <row r="412" spans="1:32" ht="18" customHeight="1" x14ac:dyDescent="0.25">
      <c r="A412" s="45">
        <v>408</v>
      </c>
      <c r="B412" s="45" t="s">
        <v>60</v>
      </c>
      <c r="C412" s="45" t="s">
        <v>61</v>
      </c>
      <c r="D412" s="45" t="s">
        <v>62</v>
      </c>
      <c r="E412" s="45" t="s">
        <v>62</v>
      </c>
      <c r="F412" s="46" cm="1">
        <f t="array" ref="F412">_xlfn.IFS($G412=$G$5,F$5,$G412=$G$6,F$6,$G412=$G$7,F$7,$G412=$G$8,F$8,$G412=$G$9,F$9,$G412=$G$10,F$10,$G412=$G$11,F$11,$G412=$G$12,F$12,$G412=$G$13,F$13,$G412=$G$15,F$15,$G412=$G$16,F$16,$G412=$G$17,F$17,$G412=$G$18,F$18,$G412=$G$19,F$19,$G412=$G$20,F$20,$G412=$G$21,F$21,$G412=$G$22,F$22,$G412=$G$25,F$25,$G412=$G$26,F$26,$G412=$G$27,F$27,$G412=$G$29,F$29,$G412=$G$31,F$31,$G412=$G$32,F$32,$G412=$G$248,F$248,$G412=$G$250,F$250)</f>
        <v>8035</v>
      </c>
      <c r="G412" t="s">
        <v>85</v>
      </c>
      <c r="H412" s="66" cm="1">
        <f t="array" ref="H412">_xlfn.IFS($G412=$G$5,H$5,$G412=$G$6,H$6,$G412=$G$7,H$7,$G412=$G$8,H$8,$G412=$G$9,H$9,$G412=$G$10,H$10,$G412=$G$11,H$11,$G412=$G$12,H$12,$G412=$G$13,H$13,$G412=$G$15,H$15,$G412=$G$16,H$16,$G412=$G$17,H$17,$G412=$G$18,H$18,$G412=$G$19,H$19,$G412=$G$20,H$20,$G412=$G$21,H$21,$G412=$G$22,H$22,$G412=$G$25,H$25,$G412=$G$26,H$26,$G412=$G$27,H$27,$G412=$G$29,H$29,$G412=$G$31,H$31,$G412=$G$32,H$150,$G412=$G$248,H$248,$G412=$G$250,H$250)</f>
        <v>41.434472</v>
      </c>
      <c r="I412" s="78" cm="1">
        <f t="array" ref="I412">_xlfn.IFS($G412=$G$5,I$5,$G412=$G$6,I$6,$G412=$G$7,I$7,$G412=$G$8,I$8,$G412=$G$9,I$9,$G412=$G$10,I$10,$G412=$G$11,I$11,$G412=$G$12,I$12,$G412=$G$13,I$13,$G412=$G$15,I$15,$G412=$G$16,I$16,$G412=$G$17,I$17,$G412=$G$18,I$18,$G412=$G$19,I$19,$G412=$G$20,I$20,$G412=$G$21,I$21,$G412=$G$22,I$22,$G412=$G$25,I$25,$G412=$G$26,I$26,$G412=$G$27,I$27,$G412=$G$29,I$29,$G412=$G$31,I$31,$G412=$G$32,I$150,$G412=$G$248,I$248,$G412=$G$250,I$250)</f>
        <v>2.1315789999999999</v>
      </c>
      <c r="J412" cm="1">
        <f t="array" ref="J412">_xlfn.IFS($G412=$G$5,J$5,$G412=$G$6,J$6,$G412=$G$7,J$7,$G412=$G$8,J$8,$G412=$G$9,J$9,$G412=$G$10,J$10,$G412=$G$11,J$11,$G412=$G$12,J$12,$G412=$G$13,J$13,$G412=$G$15,J$15,$G412=$G$16,J$16,$G412=$G$17,J$17,$G412=$G$18,J$18,$G412=$G$19,J$19,$G412=$G$20,J$20,$G412=$G$21,J$21,$G412=$G$22,J$22,$G412=$G$25,J$25,$G412=$G$26,J$26,$G412=$G$27,J$27,$G412=$G$29,J$29,$G412=$G$31,J$31,$G412=$G$32,J$150,$G412=$G$248,J$248,$G412=$G$250,J$250)</f>
        <v>365</v>
      </c>
      <c r="K412" t="str" cm="1">
        <f t="array" ref="K412">_xlfn.IFS($G412=$G$5,K$5,$G412=$G$6,K$6,$G412=$G$7,K$7,$G412=$G$8,K$8,$G412=$G$9,K$9,$G412=$G$10,K$10,$G412=$G$11,K$11,$G412=$G$12,K$12,$G412=$G$13,K$13,$G412=$G$15,K$15,$G412=$G$16,K$16,$G412=$G$17,K$17,$G412=$G$18,K$18,$G412=$G$19,K$19,$G412=$G$20,K$20,$G412=$G$21,K$21,$G412=$G$22,K$22,$G412=$G$25,K$25,$G412=$G$26,K$26,$G412=$G$27,K$27,$G412=$G$29,K$29,$G412=$G$31,K$31,$G412=$G$32,K$150,$G412=$G$248,K$248,$G412=$G$250,K$250)</f>
        <v>BG sentinel + BG lure7</v>
      </c>
      <c r="L412" s="48" t="str" cm="1">
        <f t="array" ref="L412">_xlfn.IFS($G412=$G$5,L$5,$G412=$G$6,L$6,$G412=$G$7,L$7,$G412=$G$8,L$8,$G412=$G$9,L$9,$G412=$G$10,L$10,$G412=$G$11,L$11,$G412=$G$12,L$12,$G412=$G$13,L$13,$G412=$G$15,L$15,$G412=$G$16,L$16,$G412=$G$17,L$17,$G412=$G$18,L$18,$G412=$G$19,L$19,$G412=$G$20,L$20,$G412=$G$21,L$21,$G412=$G$22,L$22,$G412=$G$25,L$25,$G412=$G$26,L$26,$G412=$G$27,L$27,$G412=$G$29,L$29,$G412=$G$31,L$31,$G412=$G$32,L$32,$G412=$G$248,L$248,$G412=$G$250,L$250)</f>
        <v>Other</v>
      </c>
      <c r="M412" s="48"/>
      <c r="O412" s="45" t="str">
        <f t="shared" si="30"/>
        <v>A_SP_BCN_13_210714</v>
      </c>
      <c r="P412" s="64">
        <v>44391</v>
      </c>
      <c r="R412" s="72"/>
      <c r="S412" s="64">
        <v>44398</v>
      </c>
      <c r="U412" s="72"/>
      <c r="V412" s="54" t="s">
        <v>66</v>
      </c>
      <c r="X412" s="45">
        <f t="shared" si="31"/>
        <v>7</v>
      </c>
      <c r="Z412" s="45" t="s">
        <v>80</v>
      </c>
      <c r="AA412" s="45">
        <f t="shared" si="32"/>
        <v>7</v>
      </c>
      <c r="AB412" t="str">
        <f t="shared" si="33"/>
        <v>Adult</v>
      </c>
      <c r="AC412" s="69">
        <v>6</v>
      </c>
      <c r="AD412" s="69">
        <v>1</v>
      </c>
      <c r="AE412" s="45" t="str">
        <f t="shared" si="34"/>
        <v>Morphological</v>
      </c>
      <c r="AF412" s="56">
        <v>4</v>
      </c>
    </row>
    <row r="413" spans="1:32" ht="18" customHeight="1" x14ac:dyDescent="0.25">
      <c r="A413" s="45">
        <v>409</v>
      </c>
      <c r="B413" s="45" t="s">
        <v>60</v>
      </c>
      <c r="C413" s="45" t="s">
        <v>61</v>
      </c>
      <c r="D413" s="45" t="s">
        <v>62</v>
      </c>
      <c r="E413" s="45" t="s">
        <v>62</v>
      </c>
      <c r="F413" s="46" cm="1">
        <f t="array" ref="F413">_xlfn.IFS($G413=$G$5,F$5,$G413=$G$6,F$6,$G413=$G$7,F$7,$G413=$G$8,F$8,$G413=$G$9,F$9,$G413=$G$10,F$10,$G413=$G$11,F$11,$G413=$G$12,F$12,$G413=$G$13,F$13,$G413=$G$15,F$15,$G413=$G$16,F$16,$G413=$G$17,F$17,$G413=$G$18,F$18,$G413=$G$19,F$19,$G413=$G$20,F$20,$G413=$G$21,F$21,$G413=$G$22,F$22,$G413=$G$25,F$25,$G413=$G$26,F$26,$G413=$G$27,F$27,$G413=$G$29,F$29,$G413=$G$31,F$31,$G413=$G$32,F$32,$G413=$G$248,F$248,$G413=$G$250,F$250)</f>
        <v>8017</v>
      </c>
      <c r="G413" t="s">
        <v>86</v>
      </c>
      <c r="H413" s="66" cm="1">
        <f t="array" ref="H413">_xlfn.IFS($G413=$G$5,H$5,$G413=$G$6,H$6,$G413=$G$7,H$7,$G413=$G$8,H$8,$G413=$G$9,H$9,$G413=$G$10,H$10,$G413=$G$11,H$11,$G413=$G$12,H$12,$G413=$G$13,H$13,$G413=$G$15,H$15,$G413=$G$16,H$16,$G413=$G$17,H$17,$G413=$G$18,H$18,$G413=$G$19,H$19,$G413=$G$20,H$20,$G413=$G$21,H$21,$G413=$G$22,H$22,$G413=$G$25,H$25,$G413=$G$26,H$26,$G413=$G$27,H$27,$G413=$G$29,H$29,$G413=$G$31,H$31,$G413=$G$32,H$150,$G413=$G$248,H$248,$G413=$G$250,H$250)</f>
        <v>41.428533999999999</v>
      </c>
      <c r="I413" s="78" cm="1">
        <f t="array" ref="I413">_xlfn.IFS($G413=$G$5,I$5,$G413=$G$6,I$6,$G413=$G$7,I$7,$G413=$G$8,I$8,$G413=$G$9,I$9,$G413=$G$10,I$10,$G413=$G$11,I$11,$G413=$G$12,I$12,$G413=$G$13,I$13,$G413=$G$15,I$15,$G413=$G$16,I$16,$G413=$G$17,I$17,$G413=$G$18,I$18,$G413=$G$19,I$19,$G413=$G$20,I$20,$G413=$G$21,I$21,$G413=$G$22,I$22,$G413=$G$25,I$25,$G413=$G$26,I$26,$G413=$G$27,I$27,$G413=$G$29,I$29,$G413=$G$31,I$31,$G413=$G$32,I$150,$G413=$G$248,I$248,$G413=$G$250,I$250)</f>
        <v>2.090954</v>
      </c>
      <c r="J413" cm="1">
        <f t="array" ref="J413">_xlfn.IFS($G413=$G$5,J$5,$G413=$G$6,J$6,$G413=$G$7,J$7,$G413=$G$8,J$8,$G413=$G$9,J$9,$G413=$G$10,J$10,$G413=$G$11,J$11,$G413=$G$12,J$12,$G413=$G$13,J$13,$G413=$G$15,J$15,$G413=$G$16,J$16,$G413=$G$17,J$17,$G413=$G$18,J$18,$G413=$G$19,J$19,$G413=$G$20,J$20,$G413=$G$21,J$21,$G413=$G$22,J$22,$G413=$G$25,J$25,$G413=$G$26,J$26,$G413=$G$27,J$27,$G413=$G$29,J$29,$G413=$G$31,J$31,$G413=$G$32,J$150,$G413=$G$248,J$248,$G413=$G$250,J$250)</f>
        <v>215</v>
      </c>
      <c r="K413" t="str" cm="1">
        <f t="array" ref="K413">_xlfn.IFS($G413=$G$5,K$5,$G413=$G$6,K$6,$G413=$G$7,K$7,$G413=$G$8,K$8,$G413=$G$9,K$9,$G413=$G$10,K$10,$G413=$G$11,K$11,$G413=$G$12,K$12,$G413=$G$13,K$13,$G413=$G$15,K$15,$G413=$G$16,K$16,$G413=$G$17,K$17,$G413=$G$18,K$18,$G413=$G$19,K$19,$G413=$G$20,K$20,$G413=$G$21,K$21,$G413=$G$22,K$22,$G413=$G$25,K$25,$G413=$G$26,K$26,$G413=$G$27,K$27,$G413=$G$29,K$29,$G413=$G$31,K$31,$G413=$G$32,K$150,$G413=$G$248,K$248,$G413=$G$250,K$250)</f>
        <v>BG sentinel + BG lure7</v>
      </c>
      <c r="L413" s="48"/>
      <c r="M413" s="48"/>
      <c r="O413" s="45" t="str">
        <f t="shared" si="30"/>
        <v>A_SP_BCN_14_210714</v>
      </c>
      <c r="P413" s="64">
        <v>44391</v>
      </c>
      <c r="R413" s="72"/>
      <c r="S413" s="64">
        <v>44398</v>
      </c>
      <c r="U413" s="72"/>
      <c r="V413" s="54" t="s">
        <v>66</v>
      </c>
      <c r="X413" s="45">
        <f t="shared" si="31"/>
        <v>7</v>
      </c>
      <c r="Z413" s="69" t="s">
        <v>69</v>
      </c>
      <c r="AA413" s="45">
        <f t="shared" si="32"/>
        <v>3</v>
      </c>
      <c r="AB413" t="str">
        <f t="shared" si="33"/>
        <v>Adult</v>
      </c>
      <c r="AC413" s="69">
        <v>3</v>
      </c>
      <c r="AD413" s="69">
        <v>0</v>
      </c>
      <c r="AE413" s="45" t="str">
        <f t="shared" si="34"/>
        <v>Morphological</v>
      </c>
      <c r="AF413" s="56">
        <v>4</v>
      </c>
    </row>
    <row r="414" spans="1:32" ht="18" customHeight="1" x14ac:dyDescent="0.25">
      <c r="A414" s="45">
        <v>410</v>
      </c>
      <c r="B414" s="45" t="s">
        <v>60</v>
      </c>
      <c r="C414" s="45" t="s">
        <v>61</v>
      </c>
      <c r="D414" s="45" t="s">
        <v>62</v>
      </c>
      <c r="E414" s="45" t="s">
        <v>62</v>
      </c>
      <c r="F414" s="46" cm="1">
        <f t="array" ref="F414">_xlfn.IFS($G414=$G$5,F$5,$G414=$G$6,F$6,$G414=$G$7,F$7,$G414=$G$8,F$8,$G414=$G$9,F$9,$G414=$G$10,F$10,$G414=$G$11,F$11,$G414=$G$12,F$12,$G414=$G$13,F$13,$G414=$G$15,F$15,$G414=$G$16,F$16,$G414=$G$17,F$17,$G414=$G$18,F$18,$G414=$G$19,F$19,$G414=$G$20,F$20,$G414=$G$21,F$21,$G414=$G$22,F$22,$G414=$G$25,F$25,$G414=$G$26,F$26,$G414=$G$27,F$27,$G414=$G$29,F$29,$G414=$G$31,F$31,$G414=$G$32,F$32,$G414=$G$248,F$248,$G414=$G$250,F$250)</f>
        <v>8017</v>
      </c>
      <c r="G414" t="s">
        <v>86</v>
      </c>
      <c r="H414" s="66" cm="1">
        <f t="array" ref="H414">_xlfn.IFS($G414=$G$5,H$5,$G414=$G$6,H$6,$G414=$G$7,H$7,$G414=$G$8,H$8,$G414=$G$9,H$9,$G414=$G$10,H$10,$G414=$G$11,H$11,$G414=$G$12,H$12,$G414=$G$13,H$13,$G414=$G$15,H$15,$G414=$G$16,H$16,$G414=$G$17,H$17,$G414=$G$18,H$18,$G414=$G$19,H$19,$G414=$G$20,H$20,$G414=$G$21,H$21,$G414=$G$22,H$22,$G414=$G$25,H$25,$G414=$G$26,H$26,$G414=$G$27,H$27,$G414=$G$29,H$29,$G414=$G$31,H$31,$G414=$G$32,H$150,$G414=$G$248,H$248,$G414=$G$250,H$250)</f>
        <v>41.428533999999999</v>
      </c>
      <c r="I414" s="78" cm="1">
        <f t="array" ref="I414">_xlfn.IFS($G414=$G$5,I$5,$G414=$G$6,I$6,$G414=$G$7,I$7,$G414=$G$8,I$8,$G414=$G$9,I$9,$G414=$G$10,I$10,$G414=$G$11,I$11,$G414=$G$12,I$12,$G414=$G$13,I$13,$G414=$G$15,I$15,$G414=$G$16,I$16,$G414=$G$17,I$17,$G414=$G$18,I$18,$G414=$G$19,I$19,$G414=$G$20,I$20,$G414=$G$21,I$21,$G414=$G$22,I$22,$G414=$G$25,I$25,$G414=$G$26,I$26,$G414=$G$27,I$27,$G414=$G$29,I$29,$G414=$G$31,I$31,$G414=$G$32,I$150,$G414=$G$248,I$248,$G414=$G$250,I$250)</f>
        <v>2.090954</v>
      </c>
      <c r="J414" cm="1">
        <f t="array" ref="J414">_xlfn.IFS($G414=$G$5,J$5,$G414=$G$6,J$6,$G414=$G$7,J$7,$G414=$G$8,J$8,$G414=$G$9,J$9,$G414=$G$10,J$10,$G414=$G$11,J$11,$G414=$G$12,J$12,$G414=$G$13,J$13,$G414=$G$15,J$15,$G414=$G$16,J$16,$G414=$G$17,J$17,$G414=$G$18,J$18,$G414=$G$19,J$19,$G414=$G$20,J$20,$G414=$G$21,J$21,$G414=$G$22,J$22,$G414=$G$25,J$25,$G414=$G$26,J$26,$G414=$G$27,J$27,$G414=$G$29,J$29,$G414=$G$31,J$31,$G414=$G$32,J$150,$G414=$G$248,J$248,$G414=$G$250,J$250)</f>
        <v>215</v>
      </c>
      <c r="K414" t="str" cm="1">
        <f t="array" ref="K414">_xlfn.IFS($G414=$G$5,K$5,$G414=$G$6,K$6,$G414=$G$7,K$7,$G414=$G$8,K$8,$G414=$G$9,K$9,$G414=$G$10,K$10,$G414=$G$11,K$11,$G414=$G$12,K$12,$G414=$G$13,K$13,$G414=$G$15,K$15,$G414=$G$16,K$16,$G414=$G$17,K$17,$G414=$G$18,K$18,$G414=$G$19,K$19,$G414=$G$20,K$20,$G414=$G$21,K$21,$G414=$G$22,K$22,$G414=$G$25,K$25,$G414=$G$26,K$26,$G414=$G$27,K$27,$G414=$G$29,K$29,$G414=$G$31,K$31,$G414=$G$32,K$150,$G414=$G$248,K$248,$G414=$G$250,K$250)</f>
        <v>BG sentinel + BG lure7</v>
      </c>
      <c r="L414" s="48"/>
      <c r="M414" s="48"/>
      <c r="O414" s="45" t="str">
        <f t="shared" si="30"/>
        <v>A_SP_BCN_14_210714</v>
      </c>
      <c r="P414" s="64">
        <v>44391</v>
      </c>
      <c r="R414" s="72"/>
      <c r="S414" s="64">
        <v>44398</v>
      </c>
      <c r="U414" s="72"/>
      <c r="V414" s="54" t="s">
        <v>66</v>
      </c>
      <c r="X414" s="45">
        <f t="shared" si="31"/>
        <v>7</v>
      </c>
      <c r="Z414" s="45" t="s">
        <v>70</v>
      </c>
      <c r="AA414" s="45">
        <f t="shared" si="32"/>
        <v>1</v>
      </c>
      <c r="AB414" t="str">
        <f t="shared" si="33"/>
        <v>Adult</v>
      </c>
      <c r="AC414" s="69">
        <v>1</v>
      </c>
      <c r="AD414" s="69">
        <v>0</v>
      </c>
      <c r="AE414" s="45" t="str">
        <f t="shared" si="34"/>
        <v>Morphological</v>
      </c>
      <c r="AF414" s="56">
        <v>4</v>
      </c>
    </row>
    <row r="415" spans="1:32" ht="18" customHeight="1" x14ac:dyDescent="0.25">
      <c r="A415" s="45">
        <v>411</v>
      </c>
      <c r="B415" s="45" t="s">
        <v>60</v>
      </c>
      <c r="C415" s="45" t="s">
        <v>61</v>
      </c>
      <c r="D415" s="45" t="s">
        <v>62</v>
      </c>
      <c r="E415" s="45" t="s">
        <v>62</v>
      </c>
      <c r="F415" s="46" cm="1">
        <f t="array" ref="F415">_xlfn.IFS($G415=$G$5,F$5,$G415=$G$6,F$6,$G415=$G$7,F$7,$G415=$G$8,F$8,$G415=$G$9,F$9,$G415=$G$10,F$10,$G415=$G$11,F$11,$G415=$G$12,F$12,$G415=$G$13,F$13,$G415=$G$15,F$15,$G415=$G$16,F$16,$G415=$G$17,F$17,$G415=$G$18,F$18,$G415=$G$19,F$19,$G415=$G$20,F$20,$G415=$G$21,F$21,$G415=$G$22,F$22,$G415=$G$25,F$25,$G415=$G$26,F$26,$G415=$G$27,F$27,$G415=$G$29,F$29,$G415=$G$31,F$31,$G415=$G$32,F$32,$G415=$G$248,F$248,$G415=$G$250,F$250)</f>
        <v>8017</v>
      </c>
      <c r="G415" t="s">
        <v>87</v>
      </c>
      <c r="H415" s="66" cm="1">
        <f t="array" ref="H415">_xlfn.IFS($G415=$G$5,H$5,$G415=$G$6,H$6,$G415=$G$7,H$7,$G415=$G$8,H$8,$G415=$G$9,H$9,$G415=$G$10,H$10,$G415=$G$11,H$11,$G415=$G$12,H$12,$G415=$G$13,H$13,$G415=$G$15,H$15,$G415=$G$16,H$16,$G415=$G$17,H$17,$G415=$G$18,H$18,$G415=$G$19,H$19,$G415=$G$20,H$20,$G415=$G$21,H$21,$G415=$G$22,H$22,$G415=$G$25,H$25,$G415=$G$26,H$26,$G415=$G$27,H$27,$G415=$G$29,H$29,$G415=$G$31,H$31,$G415=$G$32,H$150,$G415=$G$248,H$248,$G415=$G$250,H$250)</f>
        <v>41.419471000000001</v>
      </c>
      <c r="I415" s="78" cm="1">
        <f t="array" ref="I415">_xlfn.IFS($G415=$G$5,I$5,$G415=$G$6,I$6,$G415=$G$7,I$7,$G415=$G$8,I$8,$G415=$G$9,I$9,$G415=$G$10,I$10,$G415=$G$11,I$11,$G415=$G$12,I$12,$G415=$G$13,I$13,$G415=$G$15,I$15,$G415=$G$16,I$16,$G415=$G$17,I$17,$G415=$G$18,I$18,$G415=$G$19,I$19,$G415=$G$20,I$20,$G415=$G$21,I$21,$G415=$G$22,I$22,$G415=$G$25,I$25,$G415=$G$26,I$26,$G415=$G$27,I$27,$G415=$G$29,I$29,$G415=$G$31,I$31,$G415=$G$32,I$150,$G415=$G$248,I$248,$G415=$G$250,I$250)</f>
        <v>2.1010149999999999</v>
      </c>
      <c r="J415" cm="1">
        <f t="array" ref="J415">_xlfn.IFS($G415=$G$5,J$5,$G415=$G$6,J$6,$G415=$G$7,J$7,$G415=$G$8,J$8,$G415=$G$9,J$9,$G415=$G$10,J$10,$G415=$G$11,J$11,$G415=$G$12,J$12,$G415=$G$13,J$13,$G415=$G$15,J$15,$G415=$G$16,J$16,$G415=$G$17,J$17,$G415=$G$18,J$18,$G415=$G$19,J$19,$G415=$G$20,J$20,$G415=$G$21,J$21,$G415=$G$22,J$22,$G415=$G$25,J$25,$G415=$G$26,J$26,$G415=$G$27,J$27,$G415=$G$29,J$29,$G415=$G$31,J$31,$G415=$G$32,J$150,$G415=$G$248,J$248,$G415=$G$250,J$250)</f>
        <v>284</v>
      </c>
      <c r="K415" t="str" cm="1">
        <f t="array" ref="K415">_xlfn.IFS($G415=$G$5,K$5,$G415=$G$6,K$6,$G415=$G$7,K$7,$G415=$G$8,K$8,$G415=$G$9,K$9,$G415=$G$10,K$10,$G415=$G$11,K$11,$G415=$G$12,K$12,$G415=$G$13,K$13,$G415=$G$15,K$15,$G415=$G$16,K$16,$G415=$G$17,K$17,$G415=$G$18,K$18,$G415=$G$19,K$19,$G415=$G$20,K$20,$G415=$G$21,K$21,$G415=$G$22,K$22,$G415=$G$25,K$25,$G415=$G$26,K$26,$G415=$G$27,K$27,$G415=$G$29,K$29,$G415=$G$31,K$31,$G415=$G$32,K$150,$G415=$G$248,K$248,$G415=$G$250,K$250)</f>
        <v>BG sentinel + BG lure7</v>
      </c>
      <c r="L415" s="48"/>
      <c r="M415" s="48"/>
      <c r="O415" s="45" t="str">
        <f t="shared" si="30"/>
        <v>A_SP_BCN_15_210714</v>
      </c>
      <c r="P415" s="64">
        <v>44391</v>
      </c>
      <c r="R415" s="72"/>
      <c r="S415" s="64">
        <v>44398</v>
      </c>
      <c r="U415" s="72"/>
      <c r="V415" s="54" t="s">
        <v>66</v>
      </c>
      <c r="X415" s="45">
        <f t="shared" si="31"/>
        <v>7</v>
      </c>
      <c r="Z415" s="69" t="s">
        <v>69</v>
      </c>
      <c r="AA415" s="45">
        <f t="shared" si="32"/>
        <v>1</v>
      </c>
      <c r="AB415" t="str">
        <f t="shared" si="33"/>
        <v>Adult</v>
      </c>
      <c r="AC415" s="69">
        <v>1</v>
      </c>
      <c r="AD415" s="69">
        <v>0</v>
      </c>
      <c r="AE415" s="45" t="str">
        <f t="shared" si="34"/>
        <v>Morphological</v>
      </c>
      <c r="AF415" s="56">
        <v>4</v>
      </c>
    </row>
    <row r="416" spans="1:32" ht="18" customHeight="1" x14ac:dyDescent="0.25">
      <c r="A416" s="45">
        <v>412</v>
      </c>
      <c r="B416" s="45" t="s">
        <v>60</v>
      </c>
      <c r="C416" s="45" t="s">
        <v>61</v>
      </c>
      <c r="D416" s="45" t="s">
        <v>62</v>
      </c>
      <c r="E416" s="45" t="s">
        <v>62</v>
      </c>
      <c r="F416" s="46" cm="1">
        <f t="array" ref="F416">_xlfn.IFS($G416=$G$5,F$5,$G416=$G$6,F$6,$G416=$G$7,F$7,$G416=$G$8,F$8,$G416=$G$9,F$9,$G416=$G$10,F$10,$G416=$G$11,F$11,$G416=$G$12,F$12,$G416=$G$13,F$13,$G416=$G$15,F$15,$G416=$G$16,F$16,$G416=$G$17,F$17,$G416=$G$18,F$18,$G416=$G$19,F$19,$G416=$G$20,F$20,$G416=$G$21,F$21,$G416=$G$22,F$22,$G416=$G$25,F$25,$G416=$G$26,F$26,$G416=$G$27,F$27,$G416=$G$29,F$29,$G416=$G$31,F$31,$G416=$G$32,F$32,$G416=$G$248,F$248,$G416=$G$250,F$250)</f>
        <v>8017</v>
      </c>
      <c r="G416" t="s">
        <v>88</v>
      </c>
      <c r="H416" s="66" cm="1">
        <f t="array" ref="H416">_xlfn.IFS($G416=$G$5,H$5,$G416=$G$6,H$6,$G416=$G$7,H$7,$G416=$G$8,H$8,$G416=$G$9,H$9,$G416=$G$10,H$10,$G416=$G$11,H$11,$G416=$G$12,H$12,$G416=$G$13,H$13,$G416=$G$15,H$15,$G416=$G$16,H$16,$G416=$G$17,H$17,$G416=$G$18,H$18,$G416=$G$19,H$19,$G416=$G$20,H$20,$G416=$G$21,H$21,$G416=$G$22,H$22,$G416=$G$25,H$25,$G416=$G$26,H$26,$G416=$G$27,H$27,$G416=$G$29,H$29,$G416=$G$31,H$31,$G416=$G$32,H$150,$G416=$G$248,H$248,$G416=$G$250,H$250)</f>
        <v>41.398387</v>
      </c>
      <c r="I416" s="78" cm="1">
        <f t="array" ref="I416">_xlfn.IFS($G416=$G$5,I$5,$G416=$G$6,I$6,$G416=$G$7,I$7,$G416=$G$8,I$8,$G416=$G$9,I$9,$G416=$G$10,I$10,$G416=$G$11,I$11,$G416=$G$12,I$12,$G416=$G$13,I$13,$G416=$G$15,I$15,$G416=$G$16,I$16,$G416=$G$17,I$17,$G416=$G$18,I$18,$G416=$G$19,I$19,$G416=$G$20,I$20,$G416=$G$21,I$21,$G416=$G$22,I$22,$G416=$G$25,I$25,$G416=$G$26,I$26,$G416=$G$27,I$27,$G416=$G$29,I$29,$G416=$G$31,I$31,$G416=$G$32,I$150,$G416=$G$248,I$248,$G416=$G$250,I$250)</f>
        <v>2.1244429999999999</v>
      </c>
      <c r="J416" cm="1">
        <f t="array" ref="J416">_xlfn.IFS($G416=$G$5,J$5,$G416=$G$6,J$6,$G416=$G$7,J$7,$G416=$G$8,J$8,$G416=$G$9,J$9,$G416=$G$10,J$10,$G416=$G$11,J$11,$G416=$G$12,J$12,$G416=$G$13,J$13,$G416=$G$15,J$15,$G416=$G$16,J$16,$G416=$G$17,J$17,$G416=$G$18,J$18,$G416=$G$19,J$19,$G416=$G$20,J$20,$G416=$G$21,J$21,$G416=$G$22,J$22,$G416=$G$25,J$25,$G416=$G$26,J$26,$G416=$G$27,J$27,$G416=$G$29,J$29,$G416=$G$31,J$31,$G416=$G$32,J$150,$G416=$G$248,J$248,$G416=$G$250,J$250)</f>
        <v>106</v>
      </c>
      <c r="K416" t="str" cm="1">
        <f t="array" ref="K416">_xlfn.IFS($G416=$G$5,K$5,$G416=$G$6,K$6,$G416=$G$7,K$7,$G416=$G$8,K$8,$G416=$G$9,K$9,$G416=$G$10,K$10,$G416=$G$11,K$11,$G416=$G$12,K$12,$G416=$G$13,K$13,$G416=$G$15,K$15,$G416=$G$16,K$16,$G416=$G$17,K$17,$G416=$G$18,K$18,$G416=$G$19,K$19,$G416=$G$20,K$20,$G416=$G$21,K$21,$G416=$G$22,K$22,$G416=$G$25,K$25,$G416=$G$26,K$26,$G416=$G$27,K$27,$G416=$G$29,K$29,$G416=$G$31,K$31,$G416=$G$32,K$150,$G416=$G$248,K$248,$G416=$G$250,K$250)</f>
        <v>BG sentinel + BG lure7</v>
      </c>
      <c r="L416" s="48"/>
      <c r="M416" s="48"/>
      <c r="O416" s="45" t="str">
        <f t="shared" si="30"/>
        <v>A_SP_BCN_16_210714</v>
      </c>
      <c r="P416" s="64">
        <v>44391</v>
      </c>
      <c r="R416" s="72"/>
      <c r="S416" s="64">
        <v>44398</v>
      </c>
      <c r="U416" s="72"/>
      <c r="V416" s="54" t="s">
        <v>66</v>
      </c>
      <c r="X416" s="45">
        <f t="shared" si="31"/>
        <v>7</v>
      </c>
      <c r="Z416" s="69" t="s">
        <v>69</v>
      </c>
      <c r="AA416" s="45">
        <f t="shared" si="32"/>
        <v>15</v>
      </c>
      <c r="AB416" t="str">
        <f t="shared" si="33"/>
        <v>Adult</v>
      </c>
      <c r="AC416" s="69">
        <v>11</v>
      </c>
      <c r="AD416" s="69">
        <v>4</v>
      </c>
      <c r="AE416" s="45" t="str">
        <f t="shared" si="34"/>
        <v>Morphological</v>
      </c>
      <c r="AF416" s="56">
        <v>4</v>
      </c>
    </row>
    <row r="417" spans="1:32" ht="18" customHeight="1" x14ac:dyDescent="0.25">
      <c r="A417" s="45">
        <v>413</v>
      </c>
      <c r="B417" s="45" t="s">
        <v>60</v>
      </c>
      <c r="C417" s="45" t="s">
        <v>61</v>
      </c>
      <c r="D417" s="45" t="s">
        <v>62</v>
      </c>
      <c r="E417" s="45" t="s">
        <v>62</v>
      </c>
      <c r="F417" s="46" cm="1">
        <f t="array" ref="F417">_xlfn.IFS($G417=$G$5,F$5,$G417=$G$6,F$6,$G417=$G$7,F$7,$G417=$G$8,F$8,$G417=$G$9,F$9,$G417=$G$10,F$10,$G417=$G$11,F$11,$G417=$G$12,F$12,$G417=$G$13,F$13,$G417=$G$15,F$15,$G417=$G$16,F$16,$G417=$G$17,F$17,$G417=$G$18,F$18,$G417=$G$19,F$19,$G417=$G$20,F$20,$G417=$G$21,F$21,$G417=$G$22,F$22,$G417=$G$25,F$25,$G417=$G$26,F$26,$G417=$G$27,F$27,$G417=$G$29,F$29,$G417=$G$31,F$31,$G417=$G$32,F$32,$G417=$G$248,F$248,$G417=$G$250,F$250)</f>
        <v>8017</v>
      </c>
      <c r="G417" t="s">
        <v>88</v>
      </c>
      <c r="H417" s="66" cm="1">
        <f t="array" ref="H417">_xlfn.IFS($G417=$G$5,H$5,$G417=$G$6,H$6,$G417=$G$7,H$7,$G417=$G$8,H$8,$G417=$G$9,H$9,$G417=$G$10,H$10,$G417=$G$11,H$11,$G417=$G$12,H$12,$G417=$G$13,H$13,$G417=$G$15,H$15,$G417=$G$16,H$16,$G417=$G$17,H$17,$G417=$G$18,H$18,$G417=$G$19,H$19,$G417=$G$20,H$20,$G417=$G$21,H$21,$G417=$G$22,H$22,$G417=$G$25,H$25,$G417=$G$26,H$26,$G417=$G$27,H$27,$G417=$G$29,H$29,$G417=$G$31,H$31,$G417=$G$32,H$150,$G417=$G$248,H$248,$G417=$G$250,H$250)</f>
        <v>41.398387</v>
      </c>
      <c r="I417" s="78" cm="1">
        <f t="array" ref="I417">_xlfn.IFS($G417=$G$5,I$5,$G417=$G$6,I$6,$G417=$G$7,I$7,$G417=$G$8,I$8,$G417=$G$9,I$9,$G417=$G$10,I$10,$G417=$G$11,I$11,$G417=$G$12,I$12,$G417=$G$13,I$13,$G417=$G$15,I$15,$G417=$G$16,I$16,$G417=$G$17,I$17,$G417=$G$18,I$18,$G417=$G$19,I$19,$G417=$G$20,I$20,$G417=$G$21,I$21,$G417=$G$22,I$22,$G417=$G$25,I$25,$G417=$G$26,I$26,$G417=$G$27,I$27,$G417=$G$29,I$29,$G417=$G$31,I$31,$G417=$G$32,I$150,$G417=$G$248,I$248,$G417=$G$250,I$250)</f>
        <v>2.1244429999999999</v>
      </c>
      <c r="J417" cm="1">
        <f t="array" ref="J417">_xlfn.IFS($G417=$G$5,J$5,$G417=$G$6,J$6,$G417=$G$7,J$7,$G417=$G$8,J$8,$G417=$G$9,J$9,$G417=$G$10,J$10,$G417=$G$11,J$11,$G417=$G$12,J$12,$G417=$G$13,J$13,$G417=$G$15,J$15,$G417=$G$16,J$16,$G417=$G$17,J$17,$G417=$G$18,J$18,$G417=$G$19,J$19,$G417=$G$20,J$20,$G417=$G$21,J$21,$G417=$G$22,J$22,$G417=$G$25,J$25,$G417=$G$26,J$26,$G417=$G$27,J$27,$G417=$G$29,J$29,$G417=$G$31,J$31,$G417=$G$32,J$150,$G417=$G$248,J$248,$G417=$G$250,J$250)</f>
        <v>106</v>
      </c>
      <c r="K417" t="str" cm="1">
        <f t="array" ref="K417">_xlfn.IFS($G417=$G$5,K$5,$G417=$G$6,K$6,$G417=$G$7,K$7,$G417=$G$8,K$8,$G417=$G$9,K$9,$G417=$G$10,K$10,$G417=$G$11,K$11,$G417=$G$12,K$12,$G417=$G$13,K$13,$G417=$G$15,K$15,$G417=$G$16,K$16,$G417=$G$17,K$17,$G417=$G$18,K$18,$G417=$G$19,K$19,$G417=$G$20,K$20,$G417=$G$21,K$21,$G417=$G$22,K$22,$G417=$G$25,K$25,$G417=$G$26,K$26,$G417=$G$27,K$27,$G417=$G$29,K$29,$G417=$G$31,K$31,$G417=$G$32,K$150,$G417=$G$248,K$248,$G417=$G$250,K$250)</f>
        <v>BG sentinel + BG lure7</v>
      </c>
      <c r="L417" s="48"/>
      <c r="M417" s="48"/>
      <c r="O417" s="45" t="str">
        <f t="shared" si="30"/>
        <v>A_SP_BCN_16_210714</v>
      </c>
      <c r="P417" s="64">
        <v>44391</v>
      </c>
      <c r="R417" s="72"/>
      <c r="S417" s="64">
        <v>44398</v>
      </c>
      <c r="U417" s="72"/>
      <c r="V417" s="54" t="s">
        <v>66</v>
      </c>
      <c r="X417" s="45">
        <f t="shared" si="31"/>
        <v>7</v>
      </c>
      <c r="Z417" s="45" t="s">
        <v>70</v>
      </c>
      <c r="AA417" s="45">
        <f t="shared" si="32"/>
        <v>9</v>
      </c>
      <c r="AB417" t="str">
        <f t="shared" si="33"/>
        <v>Adult</v>
      </c>
      <c r="AC417" s="69">
        <v>8</v>
      </c>
      <c r="AD417" s="69">
        <v>1</v>
      </c>
      <c r="AE417" s="45" t="str">
        <f t="shared" si="34"/>
        <v>Morphological</v>
      </c>
      <c r="AF417" s="56">
        <v>4</v>
      </c>
    </row>
    <row r="418" spans="1:32" ht="18" customHeight="1" x14ac:dyDescent="0.25">
      <c r="A418" s="45">
        <v>414</v>
      </c>
      <c r="B418" s="45" t="s">
        <v>60</v>
      </c>
      <c r="C418" s="45" t="s">
        <v>61</v>
      </c>
      <c r="D418" s="45" t="s">
        <v>62</v>
      </c>
      <c r="E418" s="45" t="s">
        <v>62</v>
      </c>
      <c r="F418" s="46" cm="1">
        <f t="array" ref="F418">_xlfn.IFS($G418=$G$5,F$5,$G418=$G$6,F$6,$G418=$G$7,F$7,$G418=$G$8,F$8,$G418=$G$9,F$9,$G418=$G$10,F$10,$G418=$G$11,F$11,$G418=$G$12,F$12,$G418=$G$13,F$13,$G418=$G$15,F$15,$G418=$G$16,F$16,$G418=$G$17,F$17,$G418=$G$18,F$18,$G418=$G$19,F$19,$G418=$G$20,F$20,$G418=$G$21,F$21,$G418=$G$22,F$22,$G418=$G$25,F$25,$G418=$G$26,F$26,$G418=$G$27,F$27,$G418=$G$29,F$29,$G418=$G$31,F$31,$G418=$G$32,F$32,$G418=$G$248,F$248,$G418=$G$250,F$250)</f>
        <v>8017</v>
      </c>
      <c r="G418" t="s">
        <v>88</v>
      </c>
      <c r="H418" s="66" cm="1">
        <f t="array" ref="H418">_xlfn.IFS($G418=$G$5,H$5,$G418=$G$6,H$6,$G418=$G$7,H$7,$G418=$G$8,H$8,$G418=$G$9,H$9,$G418=$G$10,H$10,$G418=$G$11,H$11,$G418=$G$12,H$12,$G418=$G$13,H$13,$G418=$G$15,H$15,$G418=$G$16,H$16,$G418=$G$17,H$17,$G418=$G$18,H$18,$G418=$G$19,H$19,$G418=$G$20,H$20,$G418=$G$21,H$21,$G418=$G$22,H$22,$G418=$G$25,H$25,$G418=$G$26,H$26,$G418=$G$27,H$27,$G418=$G$29,H$29,$G418=$G$31,H$31,$G418=$G$32,H$150,$G418=$G$248,H$248,$G418=$G$250,H$250)</f>
        <v>41.398387</v>
      </c>
      <c r="I418" s="78" cm="1">
        <f t="array" ref="I418">_xlfn.IFS($G418=$G$5,I$5,$G418=$G$6,I$6,$G418=$G$7,I$7,$G418=$G$8,I$8,$G418=$G$9,I$9,$G418=$G$10,I$10,$G418=$G$11,I$11,$G418=$G$12,I$12,$G418=$G$13,I$13,$G418=$G$15,I$15,$G418=$G$16,I$16,$G418=$G$17,I$17,$G418=$G$18,I$18,$G418=$G$19,I$19,$G418=$G$20,I$20,$G418=$G$21,I$21,$G418=$G$22,I$22,$G418=$G$25,I$25,$G418=$G$26,I$26,$G418=$G$27,I$27,$G418=$G$29,I$29,$G418=$G$31,I$31,$G418=$G$32,I$150,$G418=$G$248,I$248,$G418=$G$250,I$250)</f>
        <v>2.1244429999999999</v>
      </c>
      <c r="J418" cm="1">
        <f t="array" ref="J418">_xlfn.IFS($G418=$G$5,J$5,$G418=$G$6,J$6,$G418=$G$7,J$7,$G418=$G$8,J$8,$G418=$G$9,J$9,$G418=$G$10,J$10,$G418=$G$11,J$11,$G418=$G$12,J$12,$G418=$G$13,J$13,$G418=$G$15,J$15,$G418=$G$16,J$16,$G418=$G$17,J$17,$G418=$G$18,J$18,$G418=$G$19,J$19,$G418=$G$20,J$20,$G418=$G$21,J$21,$G418=$G$22,J$22,$G418=$G$25,J$25,$G418=$G$26,J$26,$G418=$G$27,J$27,$G418=$G$29,J$29,$G418=$G$31,J$31,$G418=$G$32,J$150,$G418=$G$248,J$248,$G418=$G$250,J$250)</f>
        <v>106</v>
      </c>
      <c r="K418" t="str" cm="1">
        <f t="array" ref="K418">_xlfn.IFS($G418=$G$5,K$5,$G418=$G$6,K$6,$G418=$G$7,K$7,$G418=$G$8,K$8,$G418=$G$9,K$9,$G418=$G$10,K$10,$G418=$G$11,K$11,$G418=$G$12,K$12,$G418=$G$13,K$13,$G418=$G$15,K$15,$G418=$G$16,K$16,$G418=$G$17,K$17,$G418=$G$18,K$18,$G418=$G$19,K$19,$G418=$G$20,K$20,$G418=$G$21,K$21,$G418=$G$22,K$22,$G418=$G$25,K$25,$G418=$G$26,K$26,$G418=$G$27,K$27,$G418=$G$29,K$29,$G418=$G$31,K$31,$G418=$G$32,K$150,$G418=$G$248,K$248,$G418=$G$250,K$250)</f>
        <v>BG sentinel + BG lure7</v>
      </c>
      <c r="L418" s="48"/>
      <c r="M418" s="48"/>
      <c r="O418" s="45" t="str">
        <f t="shared" si="30"/>
        <v>A_SP_BCN_16_210714</v>
      </c>
      <c r="P418" s="64">
        <v>44391</v>
      </c>
      <c r="R418" s="72"/>
      <c r="S418" s="64">
        <v>44398</v>
      </c>
      <c r="U418" s="72"/>
      <c r="V418" s="54" t="s">
        <v>66</v>
      </c>
      <c r="X418" s="45">
        <f t="shared" si="31"/>
        <v>7</v>
      </c>
      <c r="Z418" s="45" t="s">
        <v>80</v>
      </c>
      <c r="AA418" s="45">
        <f t="shared" si="32"/>
        <v>6</v>
      </c>
      <c r="AB418" t="str">
        <f t="shared" si="33"/>
        <v>Adult</v>
      </c>
      <c r="AC418" s="69">
        <v>5</v>
      </c>
      <c r="AD418" s="69">
        <v>1</v>
      </c>
      <c r="AE418" s="45" t="str">
        <f t="shared" si="34"/>
        <v>Morphological</v>
      </c>
      <c r="AF418" s="56">
        <v>4</v>
      </c>
    </row>
    <row r="419" spans="1:32" ht="18" customHeight="1" x14ac:dyDescent="0.25">
      <c r="A419" s="45">
        <v>415</v>
      </c>
      <c r="B419" s="45" t="s">
        <v>60</v>
      </c>
      <c r="C419" s="45" t="s">
        <v>61</v>
      </c>
      <c r="D419" s="45" t="s">
        <v>62</v>
      </c>
      <c r="E419" s="45" t="s">
        <v>62</v>
      </c>
      <c r="F419" s="46" cm="1">
        <f t="array" ref="F419">_xlfn.IFS($G419=$G$5,F$5,$G419=$G$6,F$6,$G419=$G$7,F$7,$G419=$G$8,F$8,$G419=$G$9,F$9,$G419=$G$10,F$10,$G419=$G$11,F$11,$G419=$G$12,F$12,$G419=$G$13,F$13,$G419=$G$15,F$15,$G419=$G$16,F$16,$G419=$G$17,F$17,$G419=$G$18,F$18,$G419=$G$19,F$19,$G419=$G$20,F$20,$G419=$G$21,F$21,$G419=$G$22,F$22,$G419=$G$25,F$25,$G419=$G$26,F$26,$G419=$G$27,F$27,$G419=$G$29,F$29,$G419=$G$31,F$31,$G419=$G$32,F$32,$G419=$G$248,F$248,$G419=$G$250,F$250)</f>
        <v>8023</v>
      </c>
      <c r="G419" t="s">
        <v>89</v>
      </c>
      <c r="H419" s="66" cm="1">
        <f t="array" ref="H419">_xlfn.IFS($G419=$G$5,H$5,$G419=$G$6,H$6,$G419=$G$7,H$7,$G419=$G$8,H$8,$G419=$G$9,H$9,$G419=$G$10,H$10,$G419=$G$11,H$11,$G419=$G$12,H$12,$G419=$G$13,H$13,$G419=$G$15,H$15,$G419=$G$16,H$16,$G419=$G$17,H$17,$G419=$G$18,H$18,$G419=$G$19,H$19,$G419=$G$20,H$20,$G419=$G$21,H$21,$G419=$G$22,H$22,$G419=$G$25,H$25,$G419=$G$26,H$26,$G419=$G$27,H$27,$G419=$G$29,H$29,$G419=$G$31,H$31,$G419=$G$32,H$150,$G419=$G$248,H$248,$G419=$G$250,H$250)</f>
        <v>41.417256000000002</v>
      </c>
      <c r="I419" s="78" cm="1">
        <f t="array" ref="I419">_xlfn.IFS($G419=$G$5,I$5,$G419=$G$6,I$6,$G419=$G$7,I$7,$G419=$G$8,I$8,$G419=$G$9,I$9,$G419=$G$10,I$10,$G419=$G$11,I$11,$G419=$G$12,I$12,$G419=$G$13,I$13,$G419=$G$15,I$15,$G419=$G$16,I$16,$G419=$G$17,I$17,$G419=$G$18,I$18,$G419=$G$19,I$19,$G419=$G$20,I$20,$G419=$G$21,I$21,$G419=$G$22,I$22,$G419=$G$25,I$25,$G419=$G$26,I$26,$G419=$G$27,I$27,$G419=$G$29,I$29,$G419=$G$31,I$31,$G419=$G$32,I$150,$G419=$G$248,I$248,$G419=$G$250,I$250)</f>
        <v>2.1455709999999999</v>
      </c>
      <c r="J419" cm="1">
        <f t="array" ref="J419">_xlfn.IFS($G419=$G$5,J$5,$G419=$G$6,J$6,$G419=$G$7,J$7,$G419=$G$8,J$8,$G419=$G$9,J$9,$G419=$G$10,J$10,$G419=$G$11,J$11,$G419=$G$12,J$12,$G419=$G$13,J$13,$G419=$G$15,J$15,$G419=$G$16,J$16,$G419=$G$17,J$17,$G419=$G$18,J$18,$G419=$G$19,J$19,$G419=$G$20,J$20,$G419=$G$21,J$21,$G419=$G$22,J$22,$G419=$G$25,J$25,$G419=$G$26,J$26,$G419=$G$27,J$27,$G419=$G$29,J$29,$G419=$G$31,J$31,$G419=$G$32,J$150,$G419=$G$248,J$248,$G419=$G$250,J$250)</f>
        <v>186</v>
      </c>
      <c r="K419" t="str" cm="1">
        <f t="array" ref="K419">_xlfn.IFS($G419=$G$5,K$5,$G419=$G$6,K$6,$G419=$G$7,K$7,$G419=$G$8,K$8,$G419=$G$9,K$9,$G419=$G$10,K$10,$G419=$G$11,K$11,$G419=$G$12,K$12,$G419=$G$13,K$13,$G419=$G$15,K$15,$G419=$G$16,K$16,$G419=$G$17,K$17,$G419=$G$18,K$18,$G419=$G$19,K$19,$G419=$G$20,K$20,$G419=$G$21,K$21,$G419=$G$22,K$22,$G419=$G$25,K$25,$G419=$G$26,K$26,$G419=$G$27,K$27,$G419=$G$29,K$29,$G419=$G$31,K$31,$G419=$G$32,K$150,$G419=$G$248,K$248,$G419=$G$250,K$250)</f>
        <v>BG sentinel + BG lure7</v>
      </c>
      <c r="L419" s="48"/>
      <c r="M419" s="48"/>
      <c r="O419" s="45" t="str">
        <f t="shared" si="30"/>
        <v>A_SP_BCN_17_210714</v>
      </c>
      <c r="P419" s="64">
        <v>44391</v>
      </c>
      <c r="R419" s="72"/>
      <c r="S419" s="64">
        <v>44398</v>
      </c>
      <c r="U419" s="72"/>
      <c r="V419" s="54" t="s">
        <v>66</v>
      </c>
      <c r="X419" s="45">
        <f t="shared" si="31"/>
        <v>7</v>
      </c>
      <c r="Z419" s="45" t="s">
        <v>80</v>
      </c>
      <c r="AA419" s="45">
        <f t="shared" si="32"/>
        <v>1</v>
      </c>
      <c r="AB419" t="str">
        <f t="shared" si="33"/>
        <v>Adult</v>
      </c>
      <c r="AC419" s="69">
        <v>1</v>
      </c>
      <c r="AD419" s="69">
        <v>0</v>
      </c>
      <c r="AE419" s="45" t="str">
        <f t="shared" si="34"/>
        <v>Morphological</v>
      </c>
      <c r="AF419" s="56">
        <v>4</v>
      </c>
    </row>
    <row r="420" spans="1:32" ht="18" customHeight="1" x14ac:dyDescent="0.25">
      <c r="A420" s="45">
        <v>416</v>
      </c>
      <c r="B420" s="45" t="s">
        <v>60</v>
      </c>
      <c r="C420" s="45" t="s">
        <v>61</v>
      </c>
      <c r="D420" s="45" t="s">
        <v>62</v>
      </c>
      <c r="E420" s="45" t="s">
        <v>62</v>
      </c>
      <c r="F420" s="46" cm="1">
        <f t="array" ref="F420">_xlfn.IFS($G420=$G$5,F$5,$G420=$G$6,F$6,$G420=$G$7,F$7,$G420=$G$8,F$8,$G420=$G$9,F$9,$G420=$G$10,F$10,$G420=$G$11,F$11,$G420=$G$12,F$12,$G420=$G$13,F$13,$G420=$G$15,F$15,$G420=$G$16,F$16,$G420=$G$17,F$17,$G420=$G$18,F$18,$G420=$G$19,F$19,$G420=$G$20,F$20,$G420=$G$21,F$21,$G420=$G$22,F$22,$G420=$G$25,F$25,$G420=$G$26,F$26,$G420=$G$27,F$27,$G420=$G$29,F$29,$G420=$G$31,F$31,$G420=$G$32,F$32,$G420=$G$248,F$248,$G420=$G$250,F$250)</f>
        <v>8031</v>
      </c>
      <c r="G420" t="s">
        <v>92</v>
      </c>
      <c r="H420" s="66" cm="1">
        <f t="array" ref="H420">_xlfn.IFS($G420=$G$5,H$5,$G420=$G$6,H$6,$G420=$G$7,H$7,$G420=$G$8,H$8,$G420=$G$9,H$9,$G420=$G$10,H$10,$G420=$G$11,H$11,$G420=$G$12,H$12,$G420=$G$13,H$13,$G420=$G$15,H$15,$G420=$G$16,H$16,$G420=$G$17,H$17,$G420=$G$18,H$18,$G420=$G$19,H$19,$G420=$G$20,H$20,$G420=$G$21,H$21,$G420=$G$22,H$22,$G420=$G$25,H$25,$G420=$G$26,H$26,$G420=$G$27,H$27,$G420=$G$29,H$29,$G420=$G$31,H$31,$G420=$G$32,H$150,$G420=$G$248,H$248,$G420=$G$250,H$250)</f>
        <v>41.433618000000003</v>
      </c>
      <c r="I420" s="78" cm="1">
        <f t="array" ref="I420">_xlfn.IFS($G420=$G$5,I$5,$G420=$G$6,I$6,$G420=$G$7,I$7,$G420=$G$8,I$8,$G420=$G$9,I$9,$G420=$G$10,I$10,$G420=$G$11,I$11,$G420=$G$12,I$12,$G420=$G$13,I$13,$G420=$G$15,I$15,$G420=$G$16,I$16,$G420=$G$17,I$17,$G420=$G$18,I$18,$G420=$G$19,I$19,$G420=$G$20,I$20,$G420=$G$21,I$21,$G420=$G$22,I$22,$G420=$G$25,I$25,$G420=$G$26,I$26,$G420=$G$27,I$27,$G420=$G$29,I$29,$G420=$G$31,I$31,$G420=$G$32,I$150,$G420=$G$248,I$248,$G420=$G$250,I$250)</f>
        <v>2.1677469999999999</v>
      </c>
      <c r="J420" cm="1">
        <f t="array" ref="J420">_xlfn.IFS($G420=$G$5,J$5,$G420=$G$6,J$6,$G420=$G$7,J$7,$G420=$G$8,J$8,$G420=$G$9,J$9,$G420=$G$10,J$10,$G420=$G$11,J$11,$G420=$G$12,J$12,$G420=$G$13,J$13,$G420=$G$15,J$15,$G420=$G$16,J$16,$G420=$G$17,J$17,$G420=$G$18,J$18,$G420=$G$19,J$19,$G420=$G$20,J$20,$G420=$G$21,J$21,$G420=$G$22,J$22,$G420=$G$25,J$25,$G420=$G$26,J$26,$G420=$G$27,J$27,$G420=$G$29,J$29,$G420=$G$31,J$31,$G420=$G$32,J$150,$G420=$G$248,J$248,$G420=$G$250,J$250)</f>
        <v>96.85</v>
      </c>
      <c r="K420" t="str" cm="1">
        <f t="array" ref="K420">_xlfn.IFS($G420=$G$5,K$5,$G420=$G$6,K$6,$G420=$G$7,K$7,$G420=$G$8,K$8,$G420=$G$9,K$9,$G420=$G$10,K$10,$G420=$G$11,K$11,$G420=$G$12,K$12,$G420=$G$13,K$13,$G420=$G$15,K$15,$G420=$G$16,K$16,$G420=$G$17,K$17,$G420=$G$18,K$18,$G420=$G$19,K$19,$G420=$G$20,K$20,$G420=$G$21,K$21,$G420=$G$22,K$22,$G420=$G$25,K$25,$G420=$G$26,K$26,$G420=$G$27,K$27,$G420=$G$29,K$29,$G420=$G$31,K$31,$G420=$G$32,K$150,$G420=$G$248,K$248,$G420=$G$250,K$250)</f>
        <v>BG sentinel + BG lure7</v>
      </c>
      <c r="L420" s="48"/>
      <c r="M420" s="48"/>
      <c r="O420" s="45" t="str">
        <f t="shared" si="30"/>
        <v>A_SP_BCN_18_210714</v>
      </c>
      <c r="P420" s="64">
        <v>44391</v>
      </c>
      <c r="R420" s="72"/>
      <c r="S420" s="64">
        <v>44398</v>
      </c>
      <c r="U420" s="72"/>
      <c r="V420" s="54" t="s">
        <v>66</v>
      </c>
      <c r="X420" s="45">
        <f t="shared" si="31"/>
        <v>7</v>
      </c>
      <c r="Z420" s="69" t="s">
        <v>69</v>
      </c>
      <c r="AA420" s="45">
        <f t="shared" si="32"/>
        <v>2</v>
      </c>
      <c r="AB420" t="str">
        <f t="shared" si="33"/>
        <v>Adult</v>
      </c>
      <c r="AC420" s="69">
        <v>2</v>
      </c>
      <c r="AD420" s="69">
        <v>0</v>
      </c>
      <c r="AE420" s="45" t="str">
        <f t="shared" si="34"/>
        <v>Morphological</v>
      </c>
      <c r="AF420" s="56">
        <v>4</v>
      </c>
    </row>
    <row r="421" spans="1:32" ht="18" customHeight="1" x14ac:dyDescent="0.25">
      <c r="A421" s="45">
        <v>417</v>
      </c>
      <c r="B421" s="45" t="s">
        <v>60</v>
      </c>
      <c r="C421" s="45" t="s">
        <v>61</v>
      </c>
      <c r="D421" s="45" t="s">
        <v>62</v>
      </c>
      <c r="E421" s="45" t="s">
        <v>62</v>
      </c>
      <c r="F421" s="46" cm="1">
        <f t="array" ref="F421">_xlfn.IFS($G421=$G$5,F$5,$G421=$G$6,F$6,$G421=$G$7,F$7,$G421=$G$8,F$8,$G421=$G$9,F$9,$G421=$G$10,F$10,$G421=$G$11,F$11,$G421=$G$12,F$12,$G421=$G$13,F$13,$G421=$G$15,F$15,$G421=$G$16,F$16,$G421=$G$17,F$17,$G421=$G$18,F$18,$G421=$G$19,F$19,$G421=$G$20,F$20,$G421=$G$21,F$21,$G421=$G$22,F$22,$G421=$G$25,F$25,$G421=$G$26,F$26,$G421=$G$27,F$27,$G421=$G$29,F$29,$G421=$G$31,F$31,$G421=$G$32,F$32,$G421=$G$248,F$248,$G421=$G$250,F$250)</f>
        <v>8031</v>
      </c>
      <c r="G421" t="s">
        <v>92</v>
      </c>
      <c r="H421" s="66" cm="1">
        <f t="array" ref="H421">_xlfn.IFS($G421=$G$5,H$5,$G421=$G$6,H$6,$G421=$G$7,H$7,$G421=$G$8,H$8,$G421=$G$9,H$9,$G421=$G$10,H$10,$G421=$G$11,H$11,$G421=$G$12,H$12,$G421=$G$13,H$13,$G421=$G$15,H$15,$G421=$G$16,H$16,$G421=$G$17,H$17,$G421=$G$18,H$18,$G421=$G$19,H$19,$G421=$G$20,H$20,$G421=$G$21,H$21,$G421=$G$22,H$22,$G421=$G$25,H$25,$G421=$G$26,H$26,$G421=$G$27,H$27,$G421=$G$29,H$29,$G421=$G$31,H$31,$G421=$G$32,H$150,$G421=$G$248,H$248,$G421=$G$250,H$250)</f>
        <v>41.433618000000003</v>
      </c>
      <c r="I421" s="78" cm="1">
        <f t="array" ref="I421">_xlfn.IFS($G421=$G$5,I$5,$G421=$G$6,I$6,$G421=$G$7,I$7,$G421=$G$8,I$8,$G421=$G$9,I$9,$G421=$G$10,I$10,$G421=$G$11,I$11,$G421=$G$12,I$12,$G421=$G$13,I$13,$G421=$G$15,I$15,$G421=$G$16,I$16,$G421=$G$17,I$17,$G421=$G$18,I$18,$G421=$G$19,I$19,$G421=$G$20,I$20,$G421=$G$21,I$21,$G421=$G$22,I$22,$G421=$G$25,I$25,$G421=$G$26,I$26,$G421=$G$27,I$27,$G421=$G$29,I$29,$G421=$G$31,I$31,$G421=$G$32,I$150,$G421=$G$248,I$248,$G421=$G$250,I$250)</f>
        <v>2.1677469999999999</v>
      </c>
      <c r="J421" cm="1">
        <f t="array" ref="J421">_xlfn.IFS($G421=$G$5,J$5,$G421=$G$6,J$6,$G421=$G$7,J$7,$G421=$G$8,J$8,$G421=$G$9,J$9,$G421=$G$10,J$10,$G421=$G$11,J$11,$G421=$G$12,J$12,$G421=$G$13,J$13,$G421=$G$15,J$15,$G421=$G$16,J$16,$G421=$G$17,J$17,$G421=$G$18,J$18,$G421=$G$19,J$19,$G421=$G$20,J$20,$G421=$G$21,J$21,$G421=$G$22,J$22,$G421=$G$25,J$25,$G421=$G$26,J$26,$G421=$G$27,J$27,$G421=$G$29,J$29,$G421=$G$31,J$31,$G421=$G$32,J$150,$G421=$G$248,J$248,$G421=$G$250,J$250)</f>
        <v>96.85</v>
      </c>
      <c r="K421" t="str" cm="1">
        <f t="array" ref="K421">_xlfn.IFS($G421=$G$5,K$5,$G421=$G$6,K$6,$G421=$G$7,K$7,$G421=$G$8,K$8,$G421=$G$9,K$9,$G421=$G$10,K$10,$G421=$G$11,K$11,$G421=$G$12,K$12,$G421=$G$13,K$13,$G421=$G$15,K$15,$G421=$G$16,K$16,$G421=$G$17,K$17,$G421=$G$18,K$18,$G421=$G$19,K$19,$G421=$G$20,K$20,$G421=$G$21,K$21,$G421=$G$22,K$22,$G421=$G$25,K$25,$G421=$G$26,K$26,$G421=$G$27,K$27,$G421=$G$29,K$29,$G421=$G$31,K$31,$G421=$G$32,K$150,$G421=$G$248,K$248,$G421=$G$250,K$250)</f>
        <v>BG sentinel + BG lure7</v>
      </c>
      <c r="L421" s="48"/>
      <c r="M421" s="48"/>
      <c r="O421" s="45" t="str">
        <f t="shared" si="30"/>
        <v>A_SP_BCN_18_210714</v>
      </c>
      <c r="P421" s="64">
        <v>44391</v>
      </c>
      <c r="R421" s="72"/>
      <c r="S421" s="64">
        <v>44398</v>
      </c>
      <c r="U421" s="72"/>
      <c r="V421" s="54" t="s">
        <v>66</v>
      </c>
      <c r="X421" s="45">
        <f t="shared" si="31"/>
        <v>7</v>
      </c>
      <c r="Z421" s="45" t="s">
        <v>70</v>
      </c>
      <c r="AA421" s="45">
        <f t="shared" si="32"/>
        <v>4</v>
      </c>
      <c r="AB421" t="str">
        <f t="shared" si="33"/>
        <v>Adult</v>
      </c>
      <c r="AC421" s="69">
        <v>3</v>
      </c>
      <c r="AD421" s="69">
        <v>1</v>
      </c>
      <c r="AE421" s="45" t="str">
        <f t="shared" si="34"/>
        <v>Morphological</v>
      </c>
      <c r="AF421" s="56">
        <v>4</v>
      </c>
    </row>
    <row r="422" spans="1:32" ht="18" customHeight="1" x14ac:dyDescent="0.25">
      <c r="A422" s="45">
        <v>418</v>
      </c>
      <c r="B422" s="45" t="s">
        <v>60</v>
      </c>
      <c r="C422" s="45" t="s">
        <v>61</v>
      </c>
      <c r="D422" s="45" t="s">
        <v>62</v>
      </c>
      <c r="E422" s="45" t="s">
        <v>62</v>
      </c>
      <c r="F422" s="46" cm="1">
        <f t="array" ref="F422">_xlfn.IFS($G422=$G$5,F$5,$G422=$G$6,F$6,$G422=$G$7,F$7,$G422=$G$8,F$8,$G422=$G$9,F$9,$G422=$G$10,F$10,$G422=$G$11,F$11,$G422=$G$12,F$12,$G422=$G$13,F$13,$G422=$G$15,F$15,$G422=$G$16,F$16,$G422=$G$17,F$17,$G422=$G$18,F$18,$G422=$G$19,F$19,$G422=$G$20,F$20,$G422=$G$21,F$21,$G422=$G$22,F$22,$G422=$G$25,F$25,$G422=$G$26,F$26,$G422=$G$27,F$27,$G422=$G$29,F$29,$G422=$G$31,F$31,$G422=$G$32,F$32,$G422=$G$248,F$248,$G422=$G$250,F$250)</f>
        <v>8038</v>
      </c>
      <c r="G422" t="s">
        <v>93</v>
      </c>
      <c r="H422" s="66" cm="1">
        <f t="array" ref="H422">_xlfn.IFS($G422=$G$5,H$5,$G422=$G$6,H$6,$G422=$G$7,H$7,$G422=$G$8,H$8,$G422=$G$9,H$9,$G422=$G$10,H$10,$G422=$G$11,H$11,$G422=$G$12,H$12,$G422=$G$13,H$13,$G422=$G$15,H$15,$G422=$G$16,H$16,$G422=$G$17,H$17,$G422=$G$18,H$18,$G422=$G$19,H$19,$G422=$G$20,H$20,$G422=$G$21,H$21,$G422=$G$22,H$22,$G422=$G$25,H$25,$G422=$G$26,H$26,$G422=$G$27,H$27,$G422=$G$29,H$29,$G422=$G$31,H$31,$G422=$G$32,H$150,$G422=$G$248,H$248,$G422=$G$250,H$250)</f>
        <v>41.359864999999999</v>
      </c>
      <c r="I422" s="78" cm="1">
        <f t="array" ref="I422">_xlfn.IFS($G422=$G$5,I$5,$G422=$G$6,I$6,$G422=$G$7,I$7,$G422=$G$8,I$8,$G422=$G$9,I$9,$G422=$G$10,I$10,$G422=$G$11,I$11,$G422=$G$12,I$12,$G422=$G$13,I$13,$G422=$G$15,I$15,$G422=$G$16,I$16,$G422=$G$17,I$17,$G422=$G$18,I$18,$G422=$G$19,I$19,$G422=$G$20,I$20,$G422=$G$21,I$21,$G422=$G$22,I$22,$G422=$G$25,I$25,$G422=$G$26,I$26,$G422=$G$27,I$27,$G422=$G$29,I$29,$G422=$G$31,I$31,$G422=$G$32,I$150,$G422=$G$248,I$248,$G422=$G$250,I$250)</f>
        <v>2.1445430000000001</v>
      </c>
      <c r="J422" cm="1">
        <f t="array" ref="J422">_xlfn.IFS($G422=$G$5,J$5,$G422=$G$6,J$6,$G422=$G$7,J$7,$G422=$G$8,J$8,$G422=$G$9,J$9,$G422=$G$10,J$10,$G422=$G$11,J$11,$G422=$G$12,J$12,$G422=$G$13,J$13,$G422=$G$15,J$15,$G422=$G$16,J$16,$G422=$G$17,J$17,$G422=$G$18,J$18,$G422=$G$19,J$19,$G422=$G$20,J$20,$G422=$G$21,J$21,$G422=$G$22,J$22,$G422=$G$25,J$25,$G422=$G$26,J$26,$G422=$G$27,J$27,$G422=$G$29,J$29,$G422=$G$31,J$31,$G422=$G$32,J$150,$G422=$G$248,J$248,$G422=$G$250,J$250)</f>
        <v>11.4</v>
      </c>
      <c r="K422" t="str" cm="1">
        <f t="array" ref="K422">_xlfn.IFS($G422=$G$5,K$5,$G422=$G$6,K$6,$G422=$G$7,K$7,$G422=$G$8,K$8,$G422=$G$9,K$9,$G422=$G$10,K$10,$G422=$G$11,K$11,$G422=$G$12,K$12,$G422=$G$13,K$13,$G422=$G$15,K$15,$G422=$G$16,K$16,$G422=$G$17,K$17,$G422=$G$18,K$18,$G422=$G$19,K$19,$G422=$G$20,K$20,$G422=$G$21,K$21,$G422=$G$22,K$22,$G422=$G$25,K$25,$G422=$G$26,K$26,$G422=$G$27,K$27,$G422=$G$29,K$29,$G422=$G$31,K$31,$G422=$G$32,K$150,$G422=$G$248,K$248,$G422=$G$250,K$250)</f>
        <v>BG sentinel + BG lure7</v>
      </c>
      <c r="L422" s="48"/>
      <c r="M422" s="48"/>
      <c r="O422" s="45" t="str">
        <f t="shared" si="30"/>
        <v>A_SP_BCN_19_210715</v>
      </c>
      <c r="P422" s="64">
        <v>44392</v>
      </c>
      <c r="R422" s="72"/>
      <c r="S422" s="64">
        <v>44399</v>
      </c>
      <c r="U422" s="72"/>
      <c r="V422" s="54" t="s">
        <v>66</v>
      </c>
      <c r="X422" s="45">
        <f t="shared" si="31"/>
        <v>7</v>
      </c>
      <c r="Z422" s="69" t="s">
        <v>69</v>
      </c>
      <c r="AA422" s="45">
        <f t="shared" si="32"/>
        <v>4</v>
      </c>
      <c r="AB422" t="str">
        <f t="shared" si="33"/>
        <v>Adult</v>
      </c>
      <c r="AC422" s="69">
        <v>4</v>
      </c>
      <c r="AD422" s="69">
        <v>0</v>
      </c>
      <c r="AE422" s="45" t="str">
        <f t="shared" si="34"/>
        <v>Morphological</v>
      </c>
      <c r="AF422" s="56">
        <v>4</v>
      </c>
    </row>
    <row r="423" spans="1:32" ht="18" customHeight="1" x14ac:dyDescent="0.25">
      <c r="A423" s="45">
        <v>419</v>
      </c>
      <c r="B423" s="45" t="s">
        <v>60</v>
      </c>
      <c r="C423" s="45" t="s">
        <v>61</v>
      </c>
      <c r="D423" s="45" t="s">
        <v>62</v>
      </c>
      <c r="E423" s="45" t="s">
        <v>62</v>
      </c>
      <c r="F423" s="46" cm="1">
        <f t="array" ref="F423">_xlfn.IFS($G423=$G$5,F$5,$G423=$G$6,F$6,$G423=$G$7,F$7,$G423=$G$8,F$8,$G423=$G$9,F$9,$G423=$G$10,F$10,$G423=$G$11,F$11,$G423=$G$12,F$12,$G423=$G$13,F$13,$G423=$G$15,F$15,$G423=$G$16,F$16,$G423=$G$17,F$17,$G423=$G$18,F$18,$G423=$G$19,F$19,$G423=$G$20,F$20,$G423=$G$21,F$21,$G423=$G$22,F$22,$G423=$G$25,F$25,$G423=$G$26,F$26,$G423=$G$27,F$27,$G423=$G$29,F$29,$G423=$G$31,F$31,$G423=$G$32,F$32,$G423=$G$248,F$248,$G423=$G$250,F$250)</f>
        <v>8038</v>
      </c>
      <c r="G423" t="s">
        <v>93</v>
      </c>
      <c r="H423" s="66" cm="1">
        <f t="array" ref="H423">_xlfn.IFS($G423=$G$5,H$5,$G423=$G$6,H$6,$G423=$G$7,H$7,$G423=$G$8,H$8,$G423=$G$9,H$9,$G423=$G$10,H$10,$G423=$G$11,H$11,$G423=$G$12,H$12,$G423=$G$13,H$13,$G423=$G$15,H$15,$G423=$G$16,H$16,$G423=$G$17,H$17,$G423=$G$18,H$18,$G423=$G$19,H$19,$G423=$G$20,H$20,$G423=$G$21,H$21,$G423=$G$22,H$22,$G423=$G$25,H$25,$G423=$G$26,H$26,$G423=$G$27,H$27,$G423=$G$29,H$29,$G423=$G$31,H$31,$G423=$G$32,H$150,$G423=$G$248,H$248,$G423=$G$250,H$250)</f>
        <v>41.359864999999999</v>
      </c>
      <c r="I423" s="78" cm="1">
        <f t="array" ref="I423">_xlfn.IFS($G423=$G$5,I$5,$G423=$G$6,I$6,$G423=$G$7,I$7,$G423=$G$8,I$8,$G423=$G$9,I$9,$G423=$G$10,I$10,$G423=$G$11,I$11,$G423=$G$12,I$12,$G423=$G$13,I$13,$G423=$G$15,I$15,$G423=$G$16,I$16,$G423=$G$17,I$17,$G423=$G$18,I$18,$G423=$G$19,I$19,$G423=$G$20,I$20,$G423=$G$21,I$21,$G423=$G$22,I$22,$G423=$G$25,I$25,$G423=$G$26,I$26,$G423=$G$27,I$27,$G423=$G$29,I$29,$G423=$G$31,I$31,$G423=$G$32,I$150,$G423=$G$248,I$248,$G423=$G$250,I$250)</f>
        <v>2.1445430000000001</v>
      </c>
      <c r="J423" cm="1">
        <f t="array" ref="J423">_xlfn.IFS($G423=$G$5,J$5,$G423=$G$6,J$6,$G423=$G$7,J$7,$G423=$G$8,J$8,$G423=$G$9,J$9,$G423=$G$10,J$10,$G423=$G$11,J$11,$G423=$G$12,J$12,$G423=$G$13,J$13,$G423=$G$15,J$15,$G423=$G$16,J$16,$G423=$G$17,J$17,$G423=$G$18,J$18,$G423=$G$19,J$19,$G423=$G$20,J$20,$G423=$G$21,J$21,$G423=$G$22,J$22,$G423=$G$25,J$25,$G423=$G$26,J$26,$G423=$G$27,J$27,$G423=$G$29,J$29,$G423=$G$31,J$31,$G423=$G$32,J$150,$G423=$G$248,J$248,$G423=$G$250,J$250)</f>
        <v>11.4</v>
      </c>
      <c r="K423" t="str" cm="1">
        <f t="array" ref="K423">_xlfn.IFS($G423=$G$5,K$5,$G423=$G$6,K$6,$G423=$G$7,K$7,$G423=$G$8,K$8,$G423=$G$9,K$9,$G423=$G$10,K$10,$G423=$G$11,K$11,$G423=$G$12,K$12,$G423=$G$13,K$13,$G423=$G$15,K$15,$G423=$G$16,K$16,$G423=$G$17,K$17,$G423=$G$18,K$18,$G423=$G$19,K$19,$G423=$G$20,K$20,$G423=$G$21,K$21,$G423=$G$22,K$22,$G423=$G$25,K$25,$G423=$G$26,K$26,$G423=$G$27,K$27,$G423=$G$29,K$29,$G423=$G$31,K$31,$G423=$G$32,K$150,$G423=$G$248,K$248,$G423=$G$250,K$250)</f>
        <v>BG sentinel + BG lure7</v>
      </c>
      <c r="L423" s="48"/>
      <c r="M423" s="48"/>
      <c r="O423" s="45" t="str">
        <f t="shared" si="30"/>
        <v>A_SP_BCN_19_210715</v>
      </c>
      <c r="P423" s="64">
        <v>44392</v>
      </c>
      <c r="R423" s="72"/>
      <c r="S423" s="64">
        <v>44399</v>
      </c>
      <c r="U423" s="72"/>
      <c r="V423" s="54" t="s">
        <v>66</v>
      </c>
      <c r="X423" s="45">
        <f t="shared" si="31"/>
        <v>7</v>
      </c>
      <c r="Z423" s="45" t="s">
        <v>70</v>
      </c>
      <c r="AA423" s="45">
        <f t="shared" si="32"/>
        <v>1</v>
      </c>
      <c r="AB423" t="str">
        <f t="shared" si="33"/>
        <v>Adult</v>
      </c>
      <c r="AC423" s="69">
        <v>1</v>
      </c>
      <c r="AD423" s="69">
        <v>0</v>
      </c>
      <c r="AE423" s="45" t="str">
        <f t="shared" si="34"/>
        <v>Morphological</v>
      </c>
      <c r="AF423" s="56">
        <v>4</v>
      </c>
    </row>
    <row r="424" spans="1:32" ht="18" customHeight="1" x14ac:dyDescent="0.25">
      <c r="A424" s="45">
        <v>420</v>
      </c>
      <c r="B424" s="45" t="s">
        <v>60</v>
      </c>
      <c r="C424" s="45" t="s">
        <v>61</v>
      </c>
      <c r="D424" s="45" t="s">
        <v>62</v>
      </c>
      <c r="E424" s="45" t="s">
        <v>62</v>
      </c>
      <c r="F424" s="46" cm="1">
        <f t="array" ref="F424">_xlfn.IFS($G424=$G$5,F$5,$G424=$G$6,F$6,$G424=$G$7,F$7,$G424=$G$8,F$8,$G424=$G$9,F$9,$G424=$G$10,F$10,$G424=$G$11,F$11,$G424=$G$12,F$12,$G424=$G$13,F$13,$G424=$G$15,F$15,$G424=$G$16,F$16,$G424=$G$17,F$17,$G424=$G$18,F$18,$G424=$G$19,F$19,$G424=$G$20,F$20,$G424=$G$21,F$21,$G424=$G$22,F$22,$G424=$G$25,F$25,$G424=$G$26,F$26,$G424=$G$27,F$27,$G424=$G$29,F$29,$G424=$G$31,F$31,$G424=$G$32,F$32,$G424=$G$248,F$248,$G424=$G$250,F$250)</f>
        <v>8002</v>
      </c>
      <c r="G424" t="s">
        <v>94</v>
      </c>
      <c r="H424" s="66" cm="1">
        <f t="array" ref="H424">_xlfn.IFS($G424=$G$5,H$5,$G424=$G$6,H$6,$G424=$G$7,H$7,$G424=$G$8,H$8,$G424=$G$9,H$9,$G424=$G$10,H$10,$G424=$G$11,H$11,$G424=$G$12,H$12,$G424=$G$13,H$13,$G424=$G$15,H$15,$G424=$G$16,H$16,$G424=$G$17,H$17,$G424=$G$18,H$18,$G424=$G$19,H$19,$G424=$G$20,H$20,$G424=$G$21,H$21,$G424=$G$22,H$22,$G424=$G$25,H$25,$G424=$G$26,H$26,$G424=$G$27,H$27,$G424=$G$29,H$29,$G424=$G$31,H$31,$G424=$G$32,H$150,$G424=$G$248,H$248,$G424=$G$250,H$250)</f>
        <v>41.385213</v>
      </c>
      <c r="I424" s="78" cm="1">
        <f t="array" ref="I424">_xlfn.IFS($G424=$G$5,I$5,$G424=$G$6,I$6,$G424=$G$7,I$7,$G424=$G$8,I$8,$G424=$G$9,I$9,$G424=$G$10,I$10,$G424=$G$11,I$11,$G424=$G$12,I$12,$G424=$G$13,I$13,$G424=$G$15,I$15,$G424=$G$16,I$16,$G424=$G$17,I$17,$G424=$G$18,I$18,$G424=$G$19,I$19,$G424=$G$20,I$20,$G424=$G$21,I$21,$G424=$G$22,I$22,$G424=$G$25,I$25,$G424=$G$26,I$26,$G424=$G$27,I$27,$G424=$G$29,I$29,$G424=$G$31,I$31,$G424=$G$32,I$150,$G424=$G$248,I$248,$G424=$G$250,I$250)</f>
        <v>2.174852</v>
      </c>
      <c r="J424" cm="1">
        <f t="array" ref="J424">_xlfn.IFS($G424=$G$5,J$5,$G424=$G$6,J$6,$G424=$G$7,J$7,$G424=$G$8,J$8,$G424=$G$9,J$9,$G424=$G$10,J$10,$G424=$G$11,J$11,$G424=$G$12,J$12,$G424=$G$13,J$13,$G424=$G$15,J$15,$G424=$G$16,J$16,$G424=$G$17,J$17,$G424=$G$18,J$18,$G424=$G$19,J$19,$G424=$G$20,J$20,$G424=$G$21,J$21,$G424=$G$22,J$22,$G424=$G$25,J$25,$G424=$G$26,J$26,$G424=$G$27,J$27,$G424=$G$29,J$29,$G424=$G$31,J$31,$G424=$G$32,J$150,$G424=$G$248,J$248,$G424=$G$250,J$250)</f>
        <v>14</v>
      </c>
      <c r="K424" t="str" cm="1">
        <f t="array" ref="K424">_xlfn.IFS($G424=$G$5,K$5,$G424=$G$6,K$6,$G424=$G$7,K$7,$G424=$G$8,K$8,$G424=$G$9,K$9,$G424=$G$10,K$10,$G424=$G$11,K$11,$G424=$G$12,K$12,$G424=$G$13,K$13,$G424=$G$15,K$15,$G424=$G$16,K$16,$G424=$G$17,K$17,$G424=$G$18,K$18,$G424=$G$19,K$19,$G424=$G$20,K$20,$G424=$G$21,K$21,$G424=$G$22,K$22,$G424=$G$25,K$25,$G424=$G$26,K$26,$G424=$G$27,K$27,$G424=$G$29,K$29,$G424=$G$31,K$31,$G424=$G$32,K$150,$G424=$G$248,K$248,$G424=$G$250,K$250)</f>
        <v>BG sentinel + BG lure7</v>
      </c>
      <c r="L424" s="48"/>
      <c r="M424" s="48"/>
      <c r="O424" s="45" t="str">
        <f t="shared" si="30"/>
        <v>A_SP_BCN_20_210715</v>
      </c>
      <c r="P424" s="64">
        <v>44392</v>
      </c>
      <c r="R424" s="72"/>
      <c r="S424" s="64">
        <v>44399</v>
      </c>
      <c r="U424" s="72"/>
      <c r="V424" s="54" t="s">
        <v>66</v>
      </c>
      <c r="X424" s="45">
        <f t="shared" si="31"/>
        <v>7</v>
      </c>
      <c r="Z424" s="69" t="s">
        <v>69</v>
      </c>
      <c r="AA424" s="45">
        <f t="shared" si="32"/>
        <v>7</v>
      </c>
      <c r="AB424" t="str">
        <f t="shared" si="33"/>
        <v>Adult</v>
      </c>
      <c r="AC424" s="69">
        <v>6</v>
      </c>
      <c r="AD424" s="69">
        <v>1</v>
      </c>
      <c r="AE424" s="45" t="str">
        <f t="shared" si="34"/>
        <v>Morphological</v>
      </c>
      <c r="AF424" s="56">
        <v>4</v>
      </c>
    </row>
    <row r="425" spans="1:32" ht="18" customHeight="1" x14ac:dyDescent="0.25">
      <c r="A425" s="45">
        <v>421</v>
      </c>
      <c r="B425" s="45" t="s">
        <v>60</v>
      </c>
      <c r="C425" s="45" t="s">
        <v>61</v>
      </c>
      <c r="D425" s="45" t="s">
        <v>62</v>
      </c>
      <c r="E425" s="45" t="s">
        <v>62</v>
      </c>
      <c r="F425" s="46" cm="1">
        <f t="array" ref="F425">_xlfn.IFS($G425=$G$5,F$5,$G425=$G$6,F$6,$G425=$G$7,F$7,$G425=$G$8,F$8,$G425=$G$9,F$9,$G425=$G$10,F$10,$G425=$G$11,F$11,$G425=$G$12,F$12,$G425=$G$13,F$13,$G425=$G$15,F$15,$G425=$G$16,F$16,$G425=$G$17,F$17,$G425=$G$18,F$18,$G425=$G$19,F$19,$G425=$G$20,F$20,$G425=$G$21,F$21,$G425=$G$22,F$22,$G425=$G$25,F$25,$G425=$G$26,F$26,$G425=$G$27,F$27,$G425=$G$29,F$29,$G425=$G$31,F$31,$G425=$G$32,F$32,$G425=$G$248,F$248,$G425=$G$250,F$250)</f>
        <v>8002</v>
      </c>
      <c r="G425" t="s">
        <v>94</v>
      </c>
      <c r="H425" s="66" cm="1">
        <f t="array" ref="H425">_xlfn.IFS($G425=$G$5,H$5,$G425=$G$6,H$6,$G425=$G$7,H$7,$G425=$G$8,H$8,$G425=$G$9,H$9,$G425=$G$10,H$10,$G425=$G$11,H$11,$G425=$G$12,H$12,$G425=$G$13,H$13,$G425=$G$15,H$15,$G425=$G$16,H$16,$G425=$G$17,H$17,$G425=$G$18,H$18,$G425=$G$19,H$19,$G425=$G$20,H$20,$G425=$G$21,H$21,$G425=$G$22,H$22,$G425=$G$25,H$25,$G425=$G$26,H$26,$G425=$G$27,H$27,$G425=$G$29,H$29,$G425=$G$31,H$31,$G425=$G$32,H$150,$G425=$G$248,H$248,$G425=$G$250,H$250)</f>
        <v>41.385213</v>
      </c>
      <c r="I425" s="78" cm="1">
        <f t="array" ref="I425">_xlfn.IFS($G425=$G$5,I$5,$G425=$G$6,I$6,$G425=$G$7,I$7,$G425=$G$8,I$8,$G425=$G$9,I$9,$G425=$G$10,I$10,$G425=$G$11,I$11,$G425=$G$12,I$12,$G425=$G$13,I$13,$G425=$G$15,I$15,$G425=$G$16,I$16,$G425=$G$17,I$17,$G425=$G$18,I$18,$G425=$G$19,I$19,$G425=$G$20,I$20,$G425=$G$21,I$21,$G425=$G$22,I$22,$G425=$G$25,I$25,$G425=$G$26,I$26,$G425=$G$27,I$27,$G425=$G$29,I$29,$G425=$G$31,I$31,$G425=$G$32,I$150,$G425=$G$248,I$248,$G425=$G$250,I$250)</f>
        <v>2.174852</v>
      </c>
      <c r="J425" cm="1">
        <f t="array" ref="J425">_xlfn.IFS($G425=$G$5,J$5,$G425=$G$6,J$6,$G425=$G$7,J$7,$G425=$G$8,J$8,$G425=$G$9,J$9,$G425=$G$10,J$10,$G425=$G$11,J$11,$G425=$G$12,J$12,$G425=$G$13,J$13,$G425=$G$15,J$15,$G425=$G$16,J$16,$G425=$G$17,J$17,$G425=$G$18,J$18,$G425=$G$19,J$19,$G425=$G$20,J$20,$G425=$G$21,J$21,$G425=$G$22,J$22,$G425=$G$25,J$25,$G425=$G$26,J$26,$G425=$G$27,J$27,$G425=$G$29,J$29,$G425=$G$31,J$31,$G425=$G$32,J$150,$G425=$G$248,J$248,$G425=$G$250,J$250)</f>
        <v>14</v>
      </c>
      <c r="K425" t="str" cm="1">
        <f t="array" ref="K425">_xlfn.IFS($G425=$G$5,K$5,$G425=$G$6,K$6,$G425=$G$7,K$7,$G425=$G$8,K$8,$G425=$G$9,K$9,$G425=$G$10,K$10,$G425=$G$11,K$11,$G425=$G$12,K$12,$G425=$G$13,K$13,$G425=$G$15,K$15,$G425=$G$16,K$16,$G425=$G$17,K$17,$G425=$G$18,K$18,$G425=$G$19,K$19,$G425=$G$20,K$20,$G425=$G$21,K$21,$G425=$G$22,K$22,$G425=$G$25,K$25,$G425=$G$26,K$26,$G425=$G$27,K$27,$G425=$G$29,K$29,$G425=$G$31,K$31,$G425=$G$32,K$150,$G425=$G$248,K$248,$G425=$G$250,K$250)</f>
        <v>BG sentinel + BG lure7</v>
      </c>
      <c r="L425" s="48"/>
      <c r="M425" s="48"/>
      <c r="O425" s="45" t="str">
        <f t="shared" si="30"/>
        <v>A_SP_BCN_20_210715</v>
      </c>
      <c r="P425" s="64">
        <v>44392</v>
      </c>
      <c r="R425" s="72"/>
      <c r="S425" s="64">
        <v>44399</v>
      </c>
      <c r="U425" s="72"/>
      <c r="V425" s="54" t="s">
        <v>66</v>
      </c>
      <c r="X425" s="45">
        <f t="shared" si="31"/>
        <v>7</v>
      </c>
      <c r="Z425" s="45" t="s">
        <v>70</v>
      </c>
      <c r="AA425" s="45">
        <f t="shared" si="32"/>
        <v>7</v>
      </c>
      <c r="AB425" t="str">
        <f t="shared" si="33"/>
        <v>Adult</v>
      </c>
      <c r="AC425" s="69">
        <v>6</v>
      </c>
      <c r="AD425" s="69">
        <v>1</v>
      </c>
      <c r="AE425" s="45" t="str">
        <f t="shared" si="34"/>
        <v>Morphological</v>
      </c>
      <c r="AF425" s="56">
        <v>4</v>
      </c>
    </row>
    <row r="426" spans="1:32" ht="18" customHeight="1" x14ac:dyDescent="0.25">
      <c r="A426" s="45">
        <v>422</v>
      </c>
      <c r="B426" s="45" t="s">
        <v>60</v>
      </c>
      <c r="C426" s="45" t="s">
        <v>61</v>
      </c>
      <c r="D426" s="45" t="s">
        <v>62</v>
      </c>
      <c r="E426" s="45" t="s">
        <v>62</v>
      </c>
      <c r="F426" s="46" cm="1">
        <f t="array" ref="F426">_xlfn.IFS($G426=$G$5,F$5,$G426=$G$6,F$6,$G426=$G$7,F$7,$G426=$G$8,F$8,$G426=$G$9,F$9,$G426=$G$10,F$10,$G426=$G$11,F$11,$G426=$G$12,F$12,$G426=$G$13,F$13,$G426=$G$15,F$15,$G426=$G$16,F$16,$G426=$G$17,F$17,$G426=$G$18,F$18,$G426=$G$19,F$19,$G426=$G$20,F$20,$G426=$G$21,F$21,$G426=$G$22,F$22,$G426=$G$25,F$25,$G426=$G$26,F$26,$G426=$G$27,F$27,$G426=$G$29,F$29,$G426=$G$31,F$31,$G426=$G$32,F$32,$G426=$G$248,F$248,$G426=$G$250,F$250)</f>
        <v>8002</v>
      </c>
      <c r="G426" t="s">
        <v>94</v>
      </c>
      <c r="H426" s="66" cm="1">
        <f t="array" ref="H426">_xlfn.IFS($G426=$G$5,H$5,$G426=$G$6,H$6,$G426=$G$7,H$7,$G426=$G$8,H$8,$G426=$G$9,H$9,$G426=$G$10,H$10,$G426=$G$11,H$11,$G426=$G$12,H$12,$G426=$G$13,H$13,$G426=$G$15,H$15,$G426=$G$16,H$16,$G426=$G$17,H$17,$G426=$G$18,H$18,$G426=$G$19,H$19,$G426=$G$20,H$20,$G426=$G$21,H$21,$G426=$G$22,H$22,$G426=$G$25,H$25,$G426=$G$26,H$26,$G426=$G$27,H$27,$G426=$G$29,H$29,$G426=$G$31,H$31,$G426=$G$32,H$150,$G426=$G$248,H$248,$G426=$G$250,H$250)</f>
        <v>41.385213</v>
      </c>
      <c r="I426" s="78" cm="1">
        <f t="array" ref="I426">_xlfn.IFS($G426=$G$5,I$5,$G426=$G$6,I$6,$G426=$G$7,I$7,$G426=$G$8,I$8,$G426=$G$9,I$9,$G426=$G$10,I$10,$G426=$G$11,I$11,$G426=$G$12,I$12,$G426=$G$13,I$13,$G426=$G$15,I$15,$G426=$G$16,I$16,$G426=$G$17,I$17,$G426=$G$18,I$18,$G426=$G$19,I$19,$G426=$G$20,I$20,$G426=$G$21,I$21,$G426=$G$22,I$22,$G426=$G$25,I$25,$G426=$G$26,I$26,$G426=$G$27,I$27,$G426=$G$29,I$29,$G426=$G$31,I$31,$G426=$G$32,I$150,$G426=$G$248,I$248,$G426=$G$250,I$250)</f>
        <v>2.174852</v>
      </c>
      <c r="J426" cm="1">
        <f t="array" ref="J426">_xlfn.IFS($G426=$G$5,J$5,$G426=$G$6,J$6,$G426=$G$7,J$7,$G426=$G$8,J$8,$G426=$G$9,J$9,$G426=$G$10,J$10,$G426=$G$11,J$11,$G426=$G$12,J$12,$G426=$G$13,J$13,$G426=$G$15,J$15,$G426=$G$16,J$16,$G426=$G$17,J$17,$G426=$G$18,J$18,$G426=$G$19,J$19,$G426=$G$20,J$20,$G426=$G$21,J$21,$G426=$G$22,J$22,$G426=$G$25,J$25,$G426=$G$26,J$26,$G426=$G$27,J$27,$G426=$G$29,J$29,$G426=$G$31,J$31,$G426=$G$32,J$150,$G426=$G$248,J$248,$G426=$G$250,J$250)</f>
        <v>14</v>
      </c>
      <c r="K426" t="str" cm="1">
        <f t="array" ref="K426">_xlfn.IFS($G426=$G$5,K$5,$G426=$G$6,K$6,$G426=$G$7,K$7,$G426=$G$8,K$8,$G426=$G$9,K$9,$G426=$G$10,K$10,$G426=$G$11,K$11,$G426=$G$12,K$12,$G426=$G$13,K$13,$G426=$G$15,K$15,$G426=$G$16,K$16,$G426=$G$17,K$17,$G426=$G$18,K$18,$G426=$G$19,K$19,$G426=$G$20,K$20,$G426=$G$21,K$21,$G426=$G$22,K$22,$G426=$G$25,K$25,$G426=$G$26,K$26,$G426=$G$27,K$27,$G426=$G$29,K$29,$G426=$G$31,K$31,$G426=$G$32,K$150,$G426=$G$248,K$248,$G426=$G$250,K$250)</f>
        <v>BG sentinel + BG lure7</v>
      </c>
      <c r="L426" s="48"/>
      <c r="M426" s="48"/>
      <c r="O426" s="45" t="str">
        <f t="shared" si="30"/>
        <v>A_SP_BCN_20_210715</v>
      </c>
      <c r="P426" s="64">
        <v>44392</v>
      </c>
      <c r="R426" s="72"/>
      <c r="S426" s="64">
        <v>44399</v>
      </c>
      <c r="U426" s="72"/>
      <c r="V426" s="54" t="s">
        <v>66</v>
      </c>
      <c r="X426" s="45">
        <f t="shared" si="31"/>
        <v>7</v>
      </c>
      <c r="Z426" s="45" t="s">
        <v>80</v>
      </c>
      <c r="AA426" s="45">
        <f t="shared" si="32"/>
        <v>5</v>
      </c>
      <c r="AB426" t="str">
        <f t="shared" si="33"/>
        <v>Adult</v>
      </c>
      <c r="AC426" s="69">
        <v>4</v>
      </c>
      <c r="AD426" s="69">
        <v>1</v>
      </c>
      <c r="AE426" s="45" t="str">
        <f t="shared" si="34"/>
        <v>Morphological</v>
      </c>
      <c r="AF426" s="56">
        <v>4</v>
      </c>
    </row>
    <row r="427" spans="1:32" ht="18" customHeight="1" x14ac:dyDescent="0.25">
      <c r="A427" s="45">
        <v>423</v>
      </c>
      <c r="B427" s="45" t="s">
        <v>60</v>
      </c>
      <c r="C427" s="45" t="s">
        <v>61</v>
      </c>
      <c r="D427" s="45" t="s">
        <v>62</v>
      </c>
      <c r="E427" s="45" t="s">
        <v>62</v>
      </c>
      <c r="F427" s="46" cm="1">
        <f t="array" ref="F427">_xlfn.IFS($G427=$G$5,F$5,$G427=$G$6,F$6,$G427=$G$7,F$7,$G427=$G$8,F$8,$G427=$G$9,F$9,$G427=$G$10,F$10,$G427=$G$11,F$11,$G427=$G$12,F$12,$G427=$G$13,F$13,$G427=$G$15,F$15,$G427=$G$16,F$16,$G427=$G$17,F$17,$G427=$G$18,F$18,$G427=$G$19,F$19,$G427=$G$20,F$20,$G427=$G$21,F$21,$G427=$G$22,F$22,$G427=$G$25,F$25,$G427=$G$26,F$26,$G427=$G$27,F$27,$G427=$G$29,F$29,$G427=$G$31,F$31,$G427=$G$32,F$32,$G427=$G$248,F$248,$G427=$G$250,F$250)</f>
        <v>8017</v>
      </c>
      <c r="G427" t="s">
        <v>98</v>
      </c>
      <c r="H427" s="66" cm="1">
        <f t="array" ref="H427">_xlfn.IFS($G427=$G$5,H$5,$G427=$G$6,H$6,$G427=$G$7,H$7,$G427=$G$8,H$8,$G427=$G$9,H$9,$G427=$G$10,H$10,$G427=$G$11,H$11,$G427=$G$12,H$12,$G427=$G$13,H$13,$G427=$G$15,H$15,$G427=$G$16,H$16,$G427=$G$17,H$17,$G427=$G$18,H$18,$G427=$G$19,H$19,$G427=$G$20,H$20,$G427=$G$21,H$21,$G427=$G$22,H$22,$G427=$G$25,H$25,$G427=$G$26,H$26,$G427=$G$27,H$27,$G427=$G$29,H$29,$G427=$G$31,H$31,$G427=$G$32,H$150,$G427=$G$248,H$248,$G427=$G$250,H$250)</f>
        <v>41.430315999999998</v>
      </c>
      <c r="I427" s="78" cm="1">
        <f t="array" ref="I427">_xlfn.IFS($G427=$G$5,I$5,$G427=$G$6,I$6,$G427=$G$7,I$7,$G427=$G$8,I$8,$G427=$G$9,I$9,$G427=$G$10,I$10,$G427=$G$11,I$11,$G427=$G$12,I$12,$G427=$G$13,I$13,$G427=$G$15,I$15,$G427=$G$16,I$16,$G427=$G$17,I$17,$G427=$G$18,I$18,$G427=$G$19,I$19,$G427=$G$20,I$20,$G427=$G$21,I$21,$G427=$G$22,I$22,$G427=$G$25,I$25,$G427=$G$26,I$26,$G427=$G$27,I$27,$G427=$G$29,I$29,$G427=$G$31,I$31,$G427=$G$32,I$150,$G427=$G$248,I$248,$G427=$G$250,I$250)</f>
        <v>2.077556</v>
      </c>
      <c r="J427" cm="1">
        <f t="array" ref="J427">_xlfn.IFS($G427=$G$5,J$5,$G427=$G$6,J$6,$G427=$G$7,J$7,$G427=$G$8,J$8,$G427=$G$9,J$9,$G427=$G$10,J$10,$G427=$G$11,J$11,$G427=$G$12,J$12,$G427=$G$13,J$13,$G427=$G$15,J$15,$G427=$G$16,J$16,$G427=$G$17,J$17,$G427=$G$18,J$18,$G427=$G$19,J$19,$G427=$G$20,J$20,$G427=$G$21,J$21,$G427=$G$22,J$22,$G427=$G$25,J$25,$G427=$G$26,J$26,$G427=$G$27,J$27,$G427=$G$29,J$29,$G427=$G$31,J$31,$G427=$G$32,J$150,$G427=$G$248,J$248,$G427=$G$250,J$250)</f>
        <v>243.3</v>
      </c>
      <c r="K427" t="str" cm="1">
        <f t="array" ref="K427">_xlfn.IFS($G427=$G$5,K$5,$G427=$G$6,K$6,$G427=$G$7,K$7,$G427=$G$8,K$8,$G427=$G$9,K$9,$G427=$G$10,K$10,$G427=$G$11,K$11,$G427=$G$12,K$12,$G427=$G$13,K$13,$G427=$G$15,K$15,$G427=$G$16,K$16,$G427=$G$17,K$17,$G427=$G$18,K$18,$G427=$G$19,K$19,$G427=$G$20,K$20,$G427=$G$21,K$21,$G427=$G$22,K$22,$G427=$G$25,K$25,$G427=$G$26,K$26,$G427=$G$27,K$27,$G427=$G$29,K$29,$G427=$G$31,K$31,$G427=$G$32,K$150,$G427=$G$248,K$248,$G427=$G$250,K$250)</f>
        <v>BG sentinel + BG lure7</v>
      </c>
      <c r="L427" s="48"/>
      <c r="M427" s="48"/>
      <c r="O427" s="45" t="str">
        <f t="shared" si="30"/>
        <v>A_SP_BCN_22_210714</v>
      </c>
      <c r="P427" s="64">
        <v>44391</v>
      </c>
      <c r="R427" s="72"/>
      <c r="S427" s="64">
        <v>44398</v>
      </c>
      <c r="U427" s="72"/>
      <c r="V427" s="54" t="s">
        <v>66</v>
      </c>
      <c r="X427" s="45">
        <f t="shared" si="31"/>
        <v>7</v>
      </c>
      <c r="Z427" s="69" t="s">
        <v>69</v>
      </c>
      <c r="AA427" s="45">
        <f t="shared" si="32"/>
        <v>1</v>
      </c>
      <c r="AB427" t="str">
        <f t="shared" si="33"/>
        <v>Adult</v>
      </c>
      <c r="AC427" s="69">
        <v>1</v>
      </c>
      <c r="AD427" s="69">
        <v>0</v>
      </c>
      <c r="AE427" s="45" t="str">
        <f t="shared" si="34"/>
        <v>Morphological</v>
      </c>
      <c r="AF427" s="56">
        <v>4</v>
      </c>
    </row>
    <row r="428" spans="1:32" ht="18" customHeight="1" x14ac:dyDescent="0.25">
      <c r="A428" s="45">
        <v>424</v>
      </c>
      <c r="B428" s="45" t="s">
        <v>60</v>
      </c>
      <c r="C428" s="45" t="s">
        <v>61</v>
      </c>
      <c r="D428" s="45" t="s">
        <v>62</v>
      </c>
      <c r="E428" s="45" t="s">
        <v>62</v>
      </c>
      <c r="F428" s="46" cm="1">
        <f t="array" ref="F428">_xlfn.IFS($G428=$G$5,F$5,$G428=$G$6,F$6,$G428=$G$7,F$7,$G428=$G$8,F$8,$G428=$G$9,F$9,$G428=$G$10,F$10,$G428=$G$11,F$11,$G428=$G$12,F$12,$G428=$G$13,F$13,$G428=$G$15,F$15,$G428=$G$16,F$16,$G428=$G$17,F$17,$G428=$G$18,F$18,$G428=$G$19,F$19,$G428=$G$20,F$20,$G428=$G$21,F$21,$G428=$G$22,F$22,$G428=$G$25,F$25,$G428=$G$26,F$26,$G428=$G$27,F$27,$G428=$G$29,F$29,$G428=$G$31,F$31,$G428=$G$32,F$32,$G428=$G$248,F$248,$G428=$G$250,F$250)</f>
        <v>8017</v>
      </c>
      <c r="G428" t="s">
        <v>98</v>
      </c>
      <c r="H428" s="66" cm="1">
        <f t="array" ref="H428">_xlfn.IFS($G428=$G$5,H$5,$G428=$G$6,H$6,$G428=$G$7,H$7,$G428=$G$8,H$8,$G428=$G$9,H$9,$G428=$G$10,H$10,$G428=$G$11,H$11,$G428=$G$12,H$12,$G428=$G$13,H$13,$G428=$G$15,H$15,$G428=$G$16,H$16,$G428=$G$17,H$17,$G428=$G$18,H$18,$G428=$G$19,H$19,$G428=$G$20,H$20,$G428=$G$21,H$21,$G428=$G$22,H$22,$G428=$G$25,H$25,$G428=$G$26,H$26,$G428=$G$27,H$27,$G428=$G$29,H$29,$G428=$G$31,H$31,$G428=$G$32,H$150,$G428=$G$248,H$248,$G428=$G$250,H$250)</f>
        <v>41.430315999999998</v>
      </c>
      <c r="I428" s="78" cm="1">
        <f t="array" ref="I428">_xlfn.IFS($G428=$G$5,I$5,$G428=$G$6,I$6,$G428=$G$7,I$7,$G428=$G$8,I$8,$G428=$G$9,I$9,$G428=$G$10,I$10,$G428=$G$11,I$11,$G428=$G$12,I$12,$G428=$G$13,I$13,$G428=$G$15,I$15,$G428=$G$16,I$16,$G428=$G$17,I$17,$G428=$G$18,I$18,$G428=$G$19,I$19,$G428=$G$20,I$20,$G428=$G$21,I$21,$G428=$G$22,I$22,$G428=$G$25,I$25,$G428=$G$26,I$26,$G428=$G$27,I$27,$G428=$G$29,I$29,$G428=$G$31,I$31,$G428=$G$32,I$150,$G428=$G$248,I$248,$G428=$G$250,I$250)</f>
        <v>2.077556</v>
      </c>
      <c r="J428" cm="1">
        <f t="array" ref="J428">_xlfn.IFS($G428=$G$5,J$5,$G428=$G$6,J$6,$G428=$G$7,J$7,$G428=$G$8,J$8,$G428=$G$9,J$9,$G428=$G$10,J$10,$G428=$G$11,J$11,$G428=$G$12,J$12,$G428=$G$13,J$13,$G428=$G$15,J$15,$G428=$G$16,J$16,$G428=$G$17,J$17,$G428=$G$18,J$18,$G428=$G$19,J$19,$G428=$G$20,J$20,$G428=$G$21,J$21,$G428=$G$22,J$22,$G428=$G$25,J$25,$G428=$G$26,J$26,$G428=$G$27,J$27,$G428=$G$29,J$29,$G428=$G$31,J$31,$G428=$G$32,J$150,$G428=$G$248,J$248,$G428=$G$250,J$250)</f>
        <v>243.3</v>
      </c>
      <c r="K428" t="str" cm="1">
        <f t="array" ref="K428">_xlfn.IFS($G428=$G$5,K$5,$G428=$G$6,K$6,$G428=$G$7,K$7,$G428=$G$8,K$8,$G428=$G$9,K$9,$G428=$G$10,K$10,$G428=$G$11,K$11,$G428=$G$12,K$12,$G428=$G$13,K$13,$G428=$G$15,K$15,$G428=$G$16,K$16,$G428=$G$17,K$17,$G428=$G$18,K$18,$G428=$G$19,K$19,$G428=$G$20,K$20,$G428=$G$21,K$21,$G428=$G$22,K$22,$G428=$G$25,K$25,$G428=$G$26,K$26,$G428=$G$27,K$27,$G428=$G$29,K$29,$G428=$G$31,K$31,$G428=$G$32,K$150,$G428=$G$248,K$248,$G428=$G$250,K$250)</f>
        <v>BG sentinel + BG lure7</v>
      </c>
      <c r="L428" s="48"/>
      <c r="M428" s="48"/>
      <c r="O428" s="45" t="str">
        <f t="shared" si="30"/>
        <v>A_SP_BCN_22_210714</v>
      </c>
      <c r="P428" s="64">
        <v>44391</v>
      </c>
      <c r="R428" s="72"/>
      <c r="S428" s="64">
        <v>44398</v>
      </c>
      <c r="U428" s="72"/>
      <c r="V428" s="54" t="s">
        <v>66</v>
      </c>
      <c r="X428" s="45">
        <f t="shared" si="31"/>
        <v>7</v>
      </c>
      <c r="Z428" s="45" t="s">
        <v>80</v>
      </c>
      <c r="AA428" s="45">
        <f t="shared" si="32"/>
        <v>3</v>
      </c>
      <c r="AB428" t="str">
        <f t="shared" si="33"/>
        <v>Adult</v>
      </c>
      <c r="AC428" s="69">
        <v>1</v>
      </c>
      <c r="AD428" s="69">
        <v>2</v>
      </c>
      <c r="AE428" s="45" t="str">
        <f t="shared" si="34"/>
        <v>Morphological</v>
      </c>
      <c r="AF428" s="56">
        <v>4</v>
      </c>
    </row>
    <row r="429" spans="1:32" ht="18" customHeight="1" x14ac:dyDescent="0.25">
      <c r="A429" s="45">
        <v>425</v>
      </c>
      <c r="B429" s="45" t="s">
        <v>60</v>
      </c>
      <c r="C429" s="45" t="s">
        <v>61</v>
      </c>
      <c r="D429" s="45" t="s">
        <v>62</v>
      </c>
      <c r="E429" s="45" t="s">
        <v>62</v>
      </c>
      <c r="F429" s="46" cm="1">
        <f t="array" ref="F429">_xlfn.IFS($G429=$G$5,F$5,$G429=$G$6,F$6,$G429=$G$7,F$7,$G429=$G$8,F$8,$G429=$G$9,F$9,$G429=$G$10,F$10,$G429=$G$11,F$11,$G429=$G$12,F$12,$G429=$G$13,F$13,$G429=$G$15,F$15,$G429=$G$16,F$16,$G429=$G$17,F$17,$G429=$G$18,F$18,$G429=$G$19,F$19,$G429=$G$20,F$20,$G429=$G$21,F$21,$G429=$G$22,F$22,$G429=$G$25,F$25,$G429=$G$26,F$26,$G429=$G$27,F$27,$G429=$G$29,F$29,$G429=$G$31,F$31,$G429=$G$32,F$32,$G429=$G$248,F$248,$G429=$G$250,F$250)</f>
        <v>8038</v>
      </c>
      <c r="G429" t="s">
        <v>103</v>
      </c>
      <c r="H429" s="66" cm="1">
        <f t="array" ref="H429">_xlfn.IFS($G429=$G$5,H$5,$G429=$G$6,H$6,$G429=$G$7,H$7,$G429=$G$8,H$8,$G429=$G$9,H$9,$G429=$G$10,H$10,$G429=$G$11,H$11,$G429=$G$12,H$12,$G429=$G$13,H$13,$G429=$G$15,H$15,$G429=$G$16,H$16,$G429=$G$17,H$17,$G429=$G$18,H$18,$G429=$G$19,H$19,$G429=$G$20,H$20,$G429=$G$21,H$21,$G429=$G$22,H$22,$G429=$G$25,H$25,$G429=$G$26,H$26,$G429=$G$27,H$27,$G429=$G$29,H$29,$G429=$G$31,H$31,$G429=$G$32,H$150,$G429=$G$248,H$248,$G429=$G$250,H$250)</f>
        <v>41.367100000000001</v>
      </c>
      <c r="I429" s="78" cm="1">
        <f t="array" ref="I429">_xlfn.IFS($G429=$G$5,I$5,$G429=$G$6,I$6,$G429=$G$7,I$7,$G429=$G$8,I$8,$G429=$G$9,I$9,$G429=$G$10,I$10,$G429=$G$11,I$11,$G429=$G$12,I$12,$G429=$G$13,I$13,$G429=$G$15,I$15,$G429=$G$16,I$16,$G429=$G$17,I$17,$G429=$G$18,I$18,$G429=$G$19,I$19,$G429=$G$20,I$20,$G429=$G$21,I$21,$G429=$G$22,I$22,$G429=$G$25,I$25,$G429=$G$26,I$26,$G429=$G$27,I$27,$G429=$G$29,I$29,$G429=$G$31,I$31,$G429=$G$32,I$150,$G429=$G$248,I$248,$G429=$G$250,I$250)</f>
        <v>2.1539079999999999</v>
      </c>
      <c r="J429" cm="1">
        <f t="array" ref="J429">_xlfn.IFS($G429=$G$5,J$5,$G429=$G$6,J$6,$G429=$G$7,J$7,$G429=$G$8,J$8,$G429=$G$9,J$9,$G429=$G$10,J$10,$G429=$G$11,J$11,$G429=$G$12,J$12,$G429=$G$13,J$13,$G429=$G$15,J$15,$G429=$G$16,J$16,$G429=$G$17,J$17,$G429=$G$18,J$18,$G429=$G$19,J$19,$G429=$G$20,J$20,$G429=$G$21,J$21,$G429=$G$22,J$22,$G429=$G$25,J$25,$G429=$G$26,J$26,$G429=$G$27,J$27,$G429=$G$29,J$29,$G429=$G$31,J$31,$G429=$G$32,J$150,$G429=$G$248,J$248,$G429=$G$250,J$250)</f>
        <v>68</v>
      </c>
      <c r="K429" t="str" cm="1">
        <f t="array" ref="K429">_xlfn.IFS($G429=$G$5,K$5,$G429=$G$6,K$6,$G429=$G$7,K$7,$G429=$G$8,K$8,$G429=$G$9,K$9,$G429=$G$10,K$10,$G429=$G$11,K$11,$G429=$G$12,K$12,$G429=$G$13,K$13,$G429=$G$15,K$15,$G429=$G$16,K$16,$G429=$G$17,K$17,$G429=$G$18,K$18,$G429=$G$19,K$19,$G429=$G$20,K$20,$G429=$G$21,K$21,$G429=$G$22,K$22,$G429=$G$25,K$25,$G429=$G$26,K$26,$G429=$G$27,K$27,$G429=$G$29,K$29,$G429=$G$31,K$31,$G429=$G$32,K$150,$G429=$G$248,K$248,$G429=$G$250,K$250)</f>
        <v>BG sentinel + BG lure7</v>
      </c>
      <c r="L429" s="48"/>
      <c r="M429" s="48"/>
      <c r="O429" s="45" t="str">
        <f t="shared" si="30"/>
        <v>A_SP_BCN_23_210715</v>
      </c>
      <c r="P429" s="64">
        <v>44392</v>
      </c>
      <c r="R429" s="72"/>
      <c r="S429" s="64">
        <v>44399</v>
      </c>
      <c r="U429" s="72"/>
      <c r="V429" s="54" t="s">
        <v>66</v>
      </c>
      <c r="X429" s="45">
        <f t="shared" si="31"/>
        <v>7</v>
      </c>
      <c r="Z429" s="69" t="s">
        <v>69</v>
      </c>
      <c r="AA429" s="45">
        <f t="shared" si="32"/>
        <v>46</v>
      </c>
      <c r="AB429" t="str">
        <f t="shared" si="33"/>
        <v>Adult</v>
      </c>
      <c r="AC429" s="69">
        <v>37</v>
      </c>
      <c r="AD429" s="69">
        <v>9</v>
      </c>
      <c r="AE429" s="45" t="str">
        <f t="shared" si="34"/>
        <v>Morphological</v>
      </c>
      <c r="AF429" s="56">
        <v>4</v>
      </c>
    </row>
    <row r="430" spans="1:32" ht="18" customHeight="1" x14ac:dyDescent="0.25">
      <c r="A430" s="45">
        <v>426</v>
      </c>
      <c r="B430" s="45" t="s">
        <v>60</v>
      </c>
      <c r="C430" s="45" t="s">
        <v>61</v>
      </c>
      <c r="D430" s="45" t="s">
        <v>62</v>
      </c>
      <c r="E430" s="45" t="s">
        <v>62</v>
      </c>
      <c r="F430" s="46" cm="1">
        <f t="array" ref="F430">_xlfn.IFS($G430=$G$5,F$5,$G430=$G$6,F$6,$G430=$G$7,F$7,$G430=$G$8,F$8,$G430=$G$9,F$9,$G430=$G$10,F$10,$G430=$G$11,F$11,$G430=$G$12,F$12,$G430=$G$13,F$13,$G430=$G$15,F$15,$G430=$G$16,F$16,$G430=$G$17,F$17,$G430=$G$18,F$18,$G430=$G$19,F$19,$G430=$G$20,F$20,$G430=$G$21,F$21,$G430=$G$22,F$22,$G430=$G$25,F$25,$G430=$G$26,F$26,$G430=$G$27,F$27,$G430=$G$29,F$29,$G430=$G$31,F$31,$G430=$G$32,F$32,$G430=$G$248,F$248,$G430=$G$250,F$250)</f>
        <v>8038</v>
      </c>
      <c r="G430" t="s">
        <v>103</v>
      </c>
      <c r="H430" s="66" cm="1">
        <f t="array" ref="H430">_xlfn.IFS($G430=$G$5,H$5,$G430=$G$6,H$6,$G430=$G$7,H$7,$G430=$G$8,H$8,$G430=$G$9,H$9,$G430=$G$10,H$10,$G430=$G$11,H$11,$G430=$G$12,H$12,$G430=$G$13,H$13,$G430=$G$15,H$15,$G430=$G$16,H$16,$G430=$G$17,H$17,$G430=$G$18,H$18,$G430=$G$19,H$19,$G430=$G$20,H$20,$G430=$G$21,H$21,$G430=$G$22,H$22,$G430=$G$25,H$25,$G430=$G$26,H$26,$G430=$G$27,H$27,$G430=$G$29,H$29,$G430=$G$31,H$31,$G430=$G$32,H$150,$G430=$G$248,H$248,$G430=$G$250,H$250)</f>
        <v>41.367100000000001</v>
      </c>
      <c r="I430" s="78" cm="1">
        <f t="array" ref="I430">_xlfn.IFS($G430=$G$5,I$5,$G430=$G$6,I$6,$G430=$G$7,I$7,$G430=$G$8,I$8,$G430=$G$9,I$9,$G430=$G$10,I$10,$G430=$G$11,I$11,$G430=$G$12,I$12,$G430=$G$13,I$13,$G430=$G$15,I$15,$G430=$G$16,I$16,$G430=$G$17,I$17,$G430=$G$18,I$18,$G430=$G$19,I$19,$G430=$G$20,I$20,$G430=$G$21,I$21,$G430=$G$22,I$22,$G430=$G$25,I$25,$G430=$G$26,I$26,$G430=$G$27,I$27,$G430=$G$29,I$29,$G430=$G$31,I$31,$G430=$G$32,I$150,$G430=$G$248,I$248,$G430=$G$250,I$250)</f>
        <v>2.1539079999999999</v>
      </c>
      <c r="J430" cm="1">
        <f t="array" ref="J430">_xlfn.IFS($G430=$G$5,J$5,$G430=$G$6,J$6,$G430=$G$7,J$7,$G430=$G$8,J$8,$G430=$G$9,J$9,$G430=$G$10,J$10,$G430=$G$11,J$11,$G430=$G$12,J$12,$G430=$G$13,J$13,$G430=$G$15,J$15,$G430=$G$16,J$16,$G430=$G$17,J$17,$G430=$G$18,J$18,$G430=$G$19,J$19,$G430=$G$20,J$20,$G430=$G$21,J$21,$G430=$G$22,J$22,$G430=$G$25,J$25,$G430=$G$26,J$26,$G430=$G$27,J$27,$G430=$G$29,J$29,$G430=$G$31,J$31,$G430=$G$32,J$150,$G430=$G$248,J$248,$G430=$G$250,J$250)</f>
        <v>68</v>
      </c>
      <c r="K430" t="str" cm="1">
        <f t="array" ref="K430">_xlfn.IFS($G430=$G$5,K$5,$G430=$G$6,K$6,$G430=$G$7,K$7,$G430=$G$8,K$8,$G430=$G$9,K$9,$G430=$G$10,K$10,$G430=$G$11,K$11,$G430=$G$12,K$12,$G430=$G$13,K$13,$G430=$G$15,K$15,$G430=$G$16,K$16,$G430=$G$17,K$17,$G430=$G$18,K$18,$G430=$G$19,K$19,$G430=$G$20,K$20,$G430=$G$21,K$21,$G430=$G$22,K$22,$G430=$G$25,K$25,$G430=$G$26,K$26,$G430=$G$27,K$27,$G430=$G$29,K$29,$G430=$G$31,K$31,$G430=$G$32,K$150,$G430=$G$248,K$248,$G430=$G$250,K$250)</f>
        <v>BG sentinel + BG lure7</v>
      </c>
      <c r="L430" s="48"/>
      <c r="M430" s="48"/>
      <c r="O430" s="45" t="str">
        <f t="shared" si="30"/>
        <v>A_SP_BCN_23_210715</v>
      </c>
      <c r="P430" s="64">
        <v>44392</v>
      </c>
      <c r="R430" s="72"/>
      <c r="S430" s="64">
        <v>44399</v>
      </c>
      <c r="U430" s="72"/>
      <c r="V430" s="54" t="s">
        <v>66</v>
      </c>
      <c r="X430" s="45">
        <f t="shared" si="31"/>
        <v>7</v>
      </c>
      <c r="Z430" s="45" t="s">
        <v>70</v>
      </c>
      <c r="AA430" s="45">
        <f t="shared" si="32"/>
        <v>3</v>
      </c>
      <c r="AB430" t="str">
        <f t="shared" si="33"/>
        <v>Adult</v>
      </c>
      <c r="AC430" s="69">
        <v>3</v>
      </c>
      <c r="AD430" s="69">
        <v>0</v>
      </c>
      <c r="AE430" s="45" t="str">
        <f t="shared" si="34"/>
        <v>Morphological</v>
      </c>
      <c r="AF430" s="56">
        <v>4</v>
      </c>
    </row>
    <row r="431" spans="1:32" ht="18" customHeight="1" x14ac:dyDescent="0.25">
      <c r="A431" s="45">
        <v>427</v>
      </c>
      <c r="B431" s="45" t="s">
        <v>60</v>
      </c>
      <c r="C431" s="45" t="s">
        <v>61</v>
      </c>
      <c r="D431" s="45" t="s">
        <v>62</v>
      </c>
      <c r="E431" s="45" t="s">
        <v>62</v>
      </c>
      <c r="F431" s="46" cm="1">
        <f t="array" ref="F431">_xlfn.IFS($G431=$G$5,F$5,$G431=$G$6,F$6,$G431=$G$7,F$7,$G431=$G$8,F$8,$G431=$G$9,F$9,$G431=$G$10,F$10,$G431=$G$11,F$11,$G431=$G$12,F$12,$G431=$G$13,F$13,$G431=$G$15,F$15,$G431=$G$16,F$16,$G431=$G$17,F$17,$G431=$G$18,F$18,$G431=$G$19,F$19,$G431=$G$20,F$20,$G431=$G$21,F$21,$G431=$G$22,F$22,$G431=$G$25,F$25,$G431=$G$26,F$26,$G431=$G$27,F$27,$G431=$G$29,F$29,$G431=$G$31,F$31,$G431=$G$32,F$32,$G431=$G$248,F$248,$G431=$G$250,F$250)</f>
        <v>8015</v>
      </c>
      <c r="G431" t="s">
        <v>109</v>
      </c>
      <c r="H431" s="66" cm="1">
        <f t="array" ref="H431">_xlfn.IFS($G431=$G$5,H$5,$G431=$G$6,H$6,$G431=$G$7,H$7,$G431=$G$8,H$8,$G431=$G$9,H$9,$G431=$G$10,H$10,$G431=$G$11,H$11,$G431=$G$12,H$12,$G431=$G$13,H$13,$G431=$G$15,H$15,$G431=$G$16,H$16,$G431=$G$17,H$17,$G431=$G$18,H$18,$G431=$G$19,H$19,$G431=$G$20,H$20,$G431=$G$21,H$21,$G431=$G$22,H$22,$G431=$G$25,H$25,$G431=$G$26,H$26,$G431=$G$27,H$27,$G431=$G$29,H$29,$G431=$G$31,H$31,$G431=$G$32,H$150,$G431=$G$248,H$248,$G431=$G$250,H$250)</f>
        <v>41.381725000000003</v>
      </c>
      <c r="I431" s="78" cm="1">
        <f t="array" ref="I431">_xlfn.IFS($G431=$G$5,I$5,$G431=$G$6,I$6,$G431=$G$7,I$7,$G431=$G$8,I$8,$G431=$G$9,I$9,$G431=$G$10,I$10,$G431=$G$11,I$11,$G431=$G$12,I$12,$G431=$G$13,I$13,$G431=$G$15,I$15,$G431=$G$16,I$16,$G431=$G$17,I$17,$G431=$G$18,I$18,$G431=$G$19,I$19,$G431=$G$20,I$20,$G431=$G$21,I$21,$G431=$G$22,I$22,$G431=$G$25,I$25,$G431=$G$26,I$26,$G431=$G$27,I$27,$G431=$G$29,I$29,$G431=$G$31,I$31,$G431=$G$32,I$150,$G431=$G$248,I$248,$G431=$G$250,I$250)</f>
        <v>2.1543679999999998</v>
      </c>
      <c r="J431" cm="1">
        <f t="array" ref="J431">_xlfn.IFS($G431=$G$5,J$5,$G431=$G$6,J$6,$G431=$G$7,J$7,$G431=$G$8,J$8,$G431=$G$9,J$9,$G431=$G$10,J$10,$G431=$G$11,J$11,$G431=$G$12,J$12,$G431=$G$13,J$13,$G431=$G$15,J$15,$G431=$G$16,J$16,$G431=$G$17,J$17,$G431=$G$18,J$18,$G431=$G$19,J$19,$G431=$G$20,J$20,$G431=$G$21,J$21,$G431=$G$22,J$22,$G431=$G$25,J$25,$G431=$G$26,J$26,$G431=$G$27,J$27,$G431=$G$29,J$29,$G431=$G$31,J$31,$G431=$G$32,J$150,$G431=$G$248,J$248,$G431=$G$250,J$250)</f>
        <v>20.7</v>
      </c>
      <c r="K431" t="str" cm="1">
        <f t="array" ref="K431">_xlfn.IFS($G431=$G$5,K$5,$G431=$G$6,K$6,$G431=$G$7,K$7,$G431=$G$8,K$8,$G431=$G$9,K$9,$G431=$G$10,K$10,$G431=$G$11,K$11,$G431=$G$12,K$12,$G431=$G$13,K$13,$G431=$G$15,K$15,$G431=$G$16,K$16,$G431=$G$17,K$17,$G431=$G$18,K$18,$G431=$G$19,K$19,$G431=$G$20,K$20,$G431=$G$21,K$21,$G431=$G$22,K$22,$G431=$G$25,K$25,$G431=$G$26,K$26,$G431=$G$27,K$27,$G431=$G$29,K$29,$G431=$G$31,K$31,$G431=$G$32,K$150,$G431=$G$248,K$248,$G431=$G$250,K$250)</f>
        <v>BG sentinel + BG lure7</v>
      </c>
      <c r="L431" s="48"/>
      <c r="M431" s="48"/>
      <c r="O431" s="45" t="str">
        <f t="shared" si="30"/>
        <v>A_SP_BCN_24_210714</v>
      </c>
      <c r="P431" s="64">
        <v>44391</v>
      </c>
      <c r="R431" s="72"/>
      <c r="S431" s="64">
        <v>44398</v>
      </c>
      <c r="U431" s="72"/>
      <c r="V431" s="54" t="s">
        <v>66</v>
      </c>
      <c r="X431" s="45">
        <f t="shared" si="31"/>
        <v>7</v>
      </c>
      <c r="Z431" s="69" t="s">
        <v>69</v>
      </c>
      <c r="AA431" s="45">
        <f t="shared" si="32"/>
        <v>8</v>
      </c>
      <c r="AB431" t="str">
        <f t="shared" si="33"/>
        <v>Adult</v>
      </c>
      <c r="AC431" s="69">
        <v>4</v>
      </c>
      <c r="AD431" s="69">
        <v>4</v>
      </c>
      <c r="AE431" s="45" t="str">
        <f t="shared" si="34"/>
        <v>Morphological</v>
      </c>
      <c r="AF431" s="56">
        <v>4</v>
      </c>
    </row>
    <row r="432" spans="1:32" ht="18" customHeight="1" x14ac:dyDescent="0.25">
      <c r="A432" s="45">
        <v>428</v>
      </c>
      <c r="B432" s="45" t="s">
        <v>60</v>
      </c>
      <c r="C432" s="45" t="s">
        <v>61</v>
      </c>
      <c r="D432" s="45" t="s">
        <v>62</v>
      </c>
      <c r="E432" s="45" t="s">
        <v>62</v>
      </c>
      <c r="F432" s="46" cm="1">
        <f t="array" ref="F432">_xlfn.IFS($G432=$G$5,F$5,$G432=$G$6,F$6,$G432=$G$7,F$7,$G432=$G$8,F$8,$G432=$G$9,F$9,$G432=$G$10,F$10,$G432=$G$11,F$11,$G432=$G$12,F$12,$G432=$G$13,F$13,$G432=$G$15,F$15,$G432=$G$16,F$16,$G432=$G$17,F$17,$G432=$G$18,F$18,$G432=$G$19,F$19,$G432=$G$20,F$20,$G432=$G$21,F$21,$G432=$G$22,F$22,$G432=$G$25,F$25,$G432=$G$26,F$26,$G432=$G$27,F$27,$G432=$G$29,F$29,$G432=$G$31,F$31,$G432=$G$32,F$32,$G432=$G$248,F$248,$G432=$G$250,F$250)</f>
        <v>8024</v>
      </c>
      <c r="G432" t="s">
        <v>63</v>
      </c>
      <c r="H432" s="66" cm="1">
        <f t="array" ref="H432">_xlfn.IFS($G432=$G$5,H$5,$G432=$G$6,H$6,$G432=$G$7,H$7,$G432=$G$8,H$8,$G432=$G$9,H$9,$G432=$G$10,H$10,$G432=$G$11,H$11,$G432=$G$12,H$12,$G432=$G$13,H$13,$G432=$G$15,H$15,$G432=$G$16,H$16,$G432=$G$17,H$17,$G432=$G$18,H$18,$G432=$G$19,H$19,$G432=$G$20,H$20,$G432=$G$21,H$21,$G432=$G$22,H$22,$G432=$G$25,H$25,$G432=$G$26,H$26,$G432=$G$27,H$27,$G432=$G$29,H$29,$G432=$G$31,H$31,$G432=$G$32,H$150,$G432=$G$248,H$248,$G432=$G$250,H$250)</f>
        <v>41.413573999999997</v>
      </c>
      <c r="I432" s="78" cm="1">
        <f t="array" ref="I432">_xlfn.IFS($G432=$G$5,I$5,$G432=$G$6,I$6,$G432=$G$7,I$7,$G432=$G$8,I$8,$G432=$G$9,I$9,$G432=$G$10,I$10,$G432=$G$11,I$11,$G432=$G$12,I$12,$G432=$G$13,I$13,$G432=$G$15,I$15,$G432=$G$16,I$16,$G432=$G$17,I$17,$G432=$G$18,I$18,$G432=$G$19,I$19,$G432=$G$20,I$20,$G432=$G$21,I$21,$G432=$G$22,I$22,$G432=$G$25,I$25,$G432=$G$26,I$26,$G432=$G$27,I$27,$G432=$G$29,I$29,$G432=$G$31,I$31,$G432=$G$32,I$150,$G432=$G$248,I$248,$G432=$G$250,I$250)</f>
        <v>2.1520730000000001</v>
      </c>
      <c r="J432" cm="1">
        <f t="array" ref="J432">_xlfn.IFS($G432=$G$5,J$5,$G432=$G$6,J$6,$G432=$G$7,J$7,$G432=$G$8,J$8,$G432=$G$9,J$9,$G432=$G$10,J$10,$G432=$G$11,J$11,$G432=$G$12,J$12,$G432=$G$13,J$13,$G432=$G$15,J$15,$G432=$G$16,J$16,$G432=$G$17,J$17,$G432=$G$18,J$18,$G432=$G$19,J$19,$G432=$G$20,J$20,$G432=$G$21,J$21,$G432=$G$22,J$22,$G432=$G$25,J$25,$G432=$G$26,J$26,$G432=$G$27,J$27,$G432=$G$29,J$29,$G432=$G$31,J$31,$G432=$G$32,J$150,$G432=$G$248,J$248,$G432=$G$250,J$250)</f>
        <v>141</v>
      </c>
      <c r="K432" t="str" cm="1">
        <f t="array" ref="K432">_xlfn.IFS($G432=$G$5,K$5,$G432=$G$6,K$6,$G432=$G$7,K$7,$G432=$G$8,K$8,$G432=$G$9,K$9,$G432=$G$10,K$10,$G432=$G$11,K$11,$G432=$G$12,K$12,$G432=$G$13,K$13,$G432=$G$15,K$15,$G432=$G$16,K$16,$G432=$G$17,K$17,$G432=$G$18,K$18,$G432=$G$19,K$19,$G432=$G$20,K$20,$G432=$G$21,K$21,$G432=$G$22,K$22,$G432=$G$25,K$25,$G432=$G$26,K$26,$G432=$G$27,K$27,$G432=$G$29,K$29,$G432=$G$31,K$31,$G432=$G$32,K$150,$G432=$G$248,K$248,$G432=$G$250,K$250)</f>
        <v>BG sentinel + BG lure7</v>
      </c>
      <c r="L432" s="48"/>
      <c r="M432" s="48"/>
      <c r="O432" s="45" t="str">
        <f t="shared" si="30"/>
        <v>A_SP_BCN_1_210721</v>
      </c>
      <c r="P432" s="64">
        <v>44398</v>
      </c>
      <c r="R432" s="72"/>
      <c r="S432" s="64">
        <v>44405</v>
      </c>
      <c r="U432" s="72"/>
      <c r="V432" s="54" t="s">
        <v>66</v>
      </c>
      <c r="X432" s="45">
        <f t="shared" si="31"/>
        <v>7</v>
      </c>
      <c r="Z432" s="69" t="s">
        <v>69</v>
      </c>
      <c r="AA432" s="45">
        <f t="shared" si="32"/>
        <v>8</v>
      </c>
      <c r="AB432" t="str">
        <f t="shared" si="33"/>
        <v>Adult</v>
      </c>
      <c r="AC432" s="69">
        <v>3</v>
      </c>
      <c r="AD432" s="69">
        <v>5</v>
      </c>
      <c r="AE432" s="45" t="str">
        <f t="shared" si="34"/>
        <v>Morphological</v>
      </c>
      <c r="AF432" s="56">
        <v>4</v>
      </c>
    </row>
    <row r="433" spans="1:32" ht="18" customHeight="1" x14ac:dyDescent="0.25">
      <c r="A433" s="45">
        <v>429</v>
      </c>
      <c r="B433" s="45" t="s">
        <v>60</v>
      </c>
      <c r="C433" s="45" t="s">
        <v>61</v>
      </c>
      <c r="D433" s="45" t="s">
        <v>62</v>
      </c>
      <c r="E433" s="45" t="s">
        <v>62</v>
      </c>
      <c r="F433" s="46" cm="1">
        <f t="array" ref="F433">_xlfn.IFS($G433=$G$5,F$5,$G433=$G$6,F$6,$G433=$G$7,F$7,$G433=$G$8,F$8,$G433=$G$9,F$9,$G433=$G$10,F$10,$G433=$G$11,F$11,$G433=$G$12,F$12,$G433=$G$13,F$13,$G433=$G$15,F$15,$G433=$G$16,F$16,$G433=$G$17,F$17,$G433=$G$18,F$18,$G433=$G$19,F$19,$G433=$G$20,F$20,$G433=$G$21,F$21,$G433=$G$22,F$22,$G433=$G$25,F$25,$G433=$G$26,F$26,$G433=$G$27,F$27,$G433=$G$29,F$29,$G433=$G$31,F$31,$G433=$G$32,F$32,$G433=$G$248,F$248,$G433=$G$250,F$250)</f>
        <v>8035</v>
      </c>
      <c r="G433" t="s">
        <v>67</v>
      </c>
      <c r="H433" s="66" cm="1">
        <f t="array" ref="H433">_xlfn.IFS($G433=$G$5,H$5,$G433=$G$6,H$6,$G433=$G$7,H$7,$G433=$G$8,H$8,$G433=$G$9,H$9,$G433=$G$10,H$10,$G433=$G$11,H$11,$G433=$G$12,H$12,$G433=$G$13,H$13,$G433=$G$15,H$15,$G433=$G$16,H$16,$G433=$G$17,H$17,$G433=$G$18,H$18,$G433=$G$19,H$19,$G433=$G$20,H$20,$G433=$G$21,H$21,$G433=$G$22,H$22,$G433=$G$25,H$25,$G433=$G$26,H$26,$G433=$G$27,H$27,$G433=$G$29,H$29,$G433=$G$31,H$31,$G433=$G$32,H$150,$G433=$G$248,H$248,$G433=$G$250,H$250)</f>
        <v>41.424387000000003</v>
      </c>
      <c r="I433" s="78" cm="1">
        <f t="array" ref="I433">_xlfn.IFS($G433=$G$5,I$5,$G433=$G$6,I$6,$G433=$G$7,I$7,$G433=$G$8,I$8,$G433=$G$9,I$9,$G433=$G$10,I$10,$G433=$G$11,I$11,$G433=$G$12,I$12,$G433=$G$13,I$13,$G433=$G$15,I$15,$G433=$G$16,I$16,$G433=$G$17,I$17,$G433=$G$18,I$18,$G433=$G$19,I$19,$G433=$G$20,I$20,$G433=$G$21,I$21,$G433=$G$22,I$22,$G433=$G$25,I$25,$G433=$G$26,I$26,$G433=$G$27,I$27,$G433=$G$29,I$29,$G433=$G$31,I$31,$G433=$G$32,I$150,$G433=$G$248,I$248,$G433=$G$250,I$250)</f>
        <v>2.1431439999999999</v>
      </c>
      <c r="J433" cm="1">
        <f t="array" ref="J433">_xlfn.IFS($G433=$G$5,J$5,$G433=$G$6,J$6,$G433=$G$7,J$7,$G433=$G$8,J$8,$G433=$G$9,J$9,$G433=$G$10,J$10,$G433=$G$11,J$11,$G433=$G$12,J$12,$G433=$G$13,J$13,$G433=$G$15,J$15,$G433=$G$16,J$16,$G433=$G$17,J$17,$G433=$G$18,J$18,$G433=$G$19,J$19,$G433=$G$20,J$20,$G433=$G$21,J$21,$G433=$G$22,J$22,$G433=$G$25,J$25,$G433=$G$26,J$26,$G433=$G$27,J$27,$G433=$G$29,J$29,$G433=$G$31,J$31,$G433=$G$32,J$150,$G433=$G$248,J$248,$G433=$G$250,J$250)</f>
        <v>160</v>
      </c>
      <c r="K433" t="str" cm="1">
        <f t="array" ref="K433">_xlfn.IFS($G433=$G$5,K$5,$G433=$G$6,K$6,$G433=$G$7,K$7,$G433=$G$8,K$8,$G433=$G$9,K$9,$G433=$G$10,K$10,$G433=$G$11,K$11,$G433=$G$12,K$12,$G433=$G$13,K$13,$G433=$G$15,K$15,$G433=$G$16,K$16,$G433=$G$17,K$17,$G433=$G$18,K$18,$G433=$G$19,K$19,$G433=$G$20,K$20,$G433=$G$21,K$21,$G433=$G$22,K$22,$G433=$G$25,K$25,$G433=$G$26,K$26,$G433=$G$27,K$27,$G433=$G$29,K$29,$G433=$G$31,K$31,$G433=$G$32,K$150,$G433=$G$248,K$248,$G433=$G$250,K$250)</f>
        <v>BG sentinel + BG lure7</v>
      </c>
      <c r="L433" s="48"/>
      <c r="M433" s="48"/>
      <c r="O433" s="45" t="str">
        <f t="shared" si="30"/>
        <v>A_SP_BCN_2_210721</v>
      </c>
      <c r="P433" s="64">
        <v>44398</v>
      </c>
      <c r="R433" s="72"/>
      <c r="S433" s="64">
        <v>44405</v>
      </c>
      <c r="U433" s="72"/>
      <c r="V433" s="54" t="s">
        <v>66</v>
      </c>
      <c r="X433" s="45">
        <f t="shared" si="31"/>
        <v>7</v>
      </c>
      <c r="Z433" s="69" t="s">
        <v>69</v>
      </c>
      <c r="AA433" s="45">
        <f t="shared" si="32"/>
        <v>5</v>
      </c>
      <c r="AB433" t="str">
        <f t="shared" si="33"/>
        <v>Adult</v>
      </c>
      <c r="AC433" s="69">
        <v>3</v>
      </c>
      <c r="AD433" s="69">
        <v>2</v>
      </c>
      <c r="AE433" s="45" t="str">
        <f t="shared" si="34"/>
        <v>Morphological</v>
      </c>
      <c r="AF433" s="56">
        <v>4</v>
      </c>
    </row>
    <row r="434" spans="1:32" ht="18" customHeight="1" x14ac:dyDescent="0.25">
      <c r="A434" s="45">
        <v>430</v>
      </c>
      <c r="B434" s="45" t="s">
        <v>60</v>
      </c>
      <c r="C434" s="45" t="s">
        <v>61</v>
      </c>
      <c r="D434" s="45" t="s">
        <v>62</v>
      </c>
      <c r="E434" s="45" t="s">
        <v>62</v>
      </c>
      <c r="F434" s="46" cm="1">
        <f t="array" ref="F434">_xlfn.IFS($G434=$G$5,F$5,$G434=$G$6,F$6,$G434=$G$7,F$7,$G434=$G$8,F$8,$G434=$G$9,F$9,$G434=$G$10,F$10,$G434=$G$11,F$11,$G434=$G$12,F$12,$G434=$G$13,F$13,$G434=$G$15,F$15,$G434=$G$16,F$16,$G434=$G$17,F$17,$G434=$G$18,F$18,$G434=$G$19,F$19,$G434=$G$20,F$20,$G434=$G$21,F$21,$G434=$G$22,F$22,$G434=$G$25,F$25,$G434=$G$26,F$26,$G434=$G$27,F$27,$G434=$G$29,F$29,$G434=$G$31,F$31,$G434=$G$32,F$32,$G434=$G$248,F$248,$G434=$G$250,F$250)</f>
        <v>8016</v>
      </c>
      <c r="G434" t="s">
        <v>68</v>
      </c>
      <c r="H434" s="66" cm="1">
        <f t="array" ref="H434">_xlfn.IFS($G434=$G$5,H$5,$G434=$G$6,H$6,$G434=$G$7,H$7,$G434=$G$8,H$8,$G434=$G$9,H$9,$G434=$G$10,H$10,$G434=$G$11,H$11,$G434=$G$12,H$12,$G434=$G$13,H$13,$G434=$G$15,H$15,$G434=$G$16,H$16,$G434=$G$17,H$17,$G434=$G$18,H$18,$G434=$G$19,H$19,$G434=$G$20,H$20,$G434=$G$21,H$21,$G434=$G$22,H$22,$G434=$G$25,H$25,$G434=$G$26,H$26,$G434=$G$27,H$27,$G434=$G$29,H$29,$G434=$G$31,H$31,$G434=$G$32,H$150,$G434=$G$248,H$248,$G434=$G$250,H$250)</f>
        <v>41.437435000000001</v>
      </c>
      <c r="I434" s="78" cm="1">
        <f t="array" ref="I434">_xlfn.IFS($G434=$G$5,I$5,$G434=$G$6,I$6,$G434=$G$7,I$7,$G434=$G$8,I$8,$G434=$G$9,I$9,$G434=$G$10,I$10,$G434=$G$11,I$11,$G434=$G$12,I$12,$G434=$G$13,I$13,$G434=$G$15,I$15,$G434=$G$16,I$16,$G434=$G$17,I$17,$G434=$G$18,I$18,$G434=$G$19,I$19,$G434=$G$20,I$20,$G434=$G$21,I$21,$G434=$G$22,I$22,$G434=$G$25,I$25,$G434=$G$26,I$26,$G434=$G$27,I$27,$G434=$G$29,I$29,$G434=$G$31,I$31,$G434=$G$32,I$150,$G434=$G$248,I$248,$G434=$G$250,I$250)</f>
        <v>2.1812779999999998</v>
      </c>
      <c r="J434" cm="1">
        <f t="array" ref="J434">_xlfn.IFS($G434=$G$5,J$5,$G434=$G$6,J$6,$G434=$G$7,J$7,$G434=$G$8,J$8,$G434=$G$9,J$9,$G434=$G$10,J$10,$G434=$G$11,J$11,$G434=$G$12,J$12,$G434=$G$13,J$13,$G434=$G$15,J$15,$G434=$G$16,J$16,$G434=$G$17,J$17,$G434=$G$18,J$18,$G434=$G$19,J$19,$G434=$G$20,J$20,$G434=$G$21,J$21,$G434=$G$22,J$22,$G434=$G$25,J$25,$G434=$G$26,J$26,$G434=$G$27,J$27,$G434=$G$29,J$29,$G434=$G$31,J$31,$G434=$G$32,J$150,$G434=$G$248,J$248,$G434=$G$250,J$250)</f>
        <v>47</v>
      </c>
      <c r="K434" t="str" cm="1">
        <f t="array" ref="K434">_xlfn.IFS($G434=$G$5,K$5,$G434=$G$6,K$6,$G434=$G$7,K$7,$G434=$G$8,K$8,$G434=$G$9,K$9,$G434=$G$10,K$10,$G434=$G$11,K$11,$G434=$G$12,K$12,$G434=$G$13,K$13,$G434=$G$15,K$15,$G434=$G$16,K$16,$G434=$G$17,K$17,$G434=$G$18,K$18,$G434=$G$19,K$19,$G434=$G$20,K$20,$G434=$G$21,K$21,$G434=$G$22,K$22,$G434=$G$25,K$25,$G434=$G$26,K$26,$G434=$G$27,K$27,$G434=$G$29,K$29,$G434=$G$31,K$31,$G434=$G$32,K$150,$G434=$G$248,K$248,$G434=$G$250,K$250)</f>
        <v>BG sentinel + BG lure7</v>
      </c>
      <c r="L434" s="48"/>
      <c r="M434" s="48"/>
      <c r="O434" s="45" t="str">
        <f t="shared" si="30"/>
        <v>A_SP_BCN_3_210721</v>
      </c>
      <c r="P434" s="64">
        <v>44398</v>
      </c>
      <c r="R434" s="72"/>
      <c r="S434" s="64">
        <v>44405</v>
      </c>
      <c r="U434" s="72"/>
      <c r="V434" s="54" t="s">
        <v>66</v>
      </c>
      <c r="W434" t="s">
        <v>135</v>
      </c>
      <c r="X434" s="45">
        <f t="shared" si="31"/>
        <v>7</v>
      </c>
      <c r="Z434" s="69" t="s">
        <v>69</v>
      </c>
      <c r="AA434" s="45">
        <f t="shared" si="32"/>
        <v>1</v>
      </c>
      <c r="AB434" t="str">
        <f t="shared" si="33"/>
        <v>Adult</v>
      </c>
      <c r="AC434" s="69">
        <v>1</v>
      </c>
      <c r="AD434" s="69">
        <v>0</v>
      </c>
      <c r="AE434" s="45" t="str">
        <f t="shared" si="34"/>
        <v>Morphological</v>
      </c>
      <c r="AF434" s="56">
        <v>3</v>
      </c>
    </row>
    <row r="435" spans="1:32" ht="18" customHeight="1" x14ac:dyDescent="0.25">
      <c r="A435" s="45">
        <v>431</v>
      </c>
      <c r="B435" s="45" t="s">
        <v>60</v>
      </c>
      <c r="C435" s="45" t="s">
        <v>61</v>
      </c>
      <c r="D435" s="45" t="s">
        <v>62</v>
      </c>
      <c r="E435" s="45" t="s">
        <v>62</v>
      </c>
      <c r="F435" s="46" cm="1">
        <f t="array" ref="F435">_xlfn.IFS($G435=$G$5,F$5,$G435=$G$6,F$6,$G435=$G$7,F$7,$G435=$G$8,F$8,$G435=$G$9,F$9,$G435=$G$10,F$10,$G435=$G$11,F$11,$G435=$G$12,F$12,$G435=$G$13,F$13,$G435=$G$15,F$15,$G435=$G$16,F$16,$G435=$G$17,F$17,$G435=$G$18,F$18,$G435=$G$19,F$19,$G435=$G$20,F$20,$G435=$G$21,F$21,$G435=$G$22,F$22,$G435=$G$25,F$25,$G435=$G$26,F$26,$G435=$G$27,F$27,$G435=$G$29,F$29,$G435=$G$31,F$31,$G435=$G$32,F$32,$G435=$G$248,F$248,$G435=$G$250,F$250)</f>
        <v>8016</v>
      </c>
      <c r="G435" t="s">
        <v>68</v>
      </c>
      <c r="H435" s="66" cm="1">
        <f t="array" ref="H435">_xlfn.IFS($G435=$G$5,H$5,$G435=$G$6,H$6,$G435=$G$7,H$7,$G435=$G$8,H$8,$G435=$G$9,H$9,$G435=$G$10,H$10,$G435=$G$11,H$11,$G435=$G$12,H$12,$G435=$G$13,H$13,$G435=$G$15,H$15,$G435=$G$16,H$16,$G435=$G$17,H$17,$G435=$G$18,H$18,$G435=$G$19,H$19,$G435=$G$20,H$20,$G435=$G$21,H$21,$G435=$G$22,H$22,$G435=$G$25,H$25,$G435=$G$26,H$26,$G435=$G$27,H$27,$G435=$G$29,H$29,$G435=$G$31,H$31,$G435=$G$32,H$150,$G435=$G$248,H$248,$G435=$G$250,H$250)</f>
        <v>41.437435000000001</v>
      </c>
      <c r="I435" s="78" cm="1">
        <f t="array" ref="I435">_xlfn.IFS($G435=$G$5,I$5,$G435=$G$6,I$6,$G435=$G$7,I$7,$G435=$G$8,I$8,$G435=$G$9,I$9,$G435=$G$10,I$10,$G435=$G$11,I$11,$G435=$G$12,I$12,$G435=$G$13,I$13,$G435=$G$15,I$15,$G435=$G$16,I$16,$G435=$G$17,I$17,$G435=$G$18,I$18,$G435=$G$19,I$19,$G435=$G$20,I$20,$G435=$G$21,I$21,$G435=$G$22,I$22,$G435=$G$25,I$25,$G435=$G$26,I$26,$G435=$G$27,I$27,$G435=$G$29,I$29,$G435=$G$31,I$31,$G435=$G$32,I$150,$G435=$G$248,I$248,$G435=$G$250,I$250)</f>
        <v>2.1812779999999998</v>
      </c>
      <c r="J435" cm="1">
        <f t="array" ref="J435">_xlfn.IFS($G435=$G$5,J$5,$G435=$G$6,J$6,$G435=$G$7,J$7,$G435=$G$8,J$8,$G435=$G$9,J$9,$G435=$G$10,J$10,$G435=$G$11,J$11,$G435=$G$12,J$12,$G435=$G$13,J$13,$G435=$G$15,J$15,$G435=$G$16,J$16,$G435=$G$17,J$17,$G435=$G$18,J$18,$G435=$G$19,J$19,$G435=$G$20,J$20,$G435=$G$21,J$21,$G435=$G$22,J$22,$G435=$G$25,J$25,$G435=$G$26,J$26,$G435=$G$27,J$27,$G435=$G$29,J$29,$G435=$G$31,J$31,$G435=$G$32,J$150,$G435=$G$248,J$248,$G435=$G$250,J$250)</f>
        <v>47</v>
      </c>
      <c r="K435" t="str" cm="1">
        <f t="array" ref="K435">_xlfn.IFS($G435=$G$5,K$5,$G435=$G$6,K$6,$G435=$G$7,K$7,$G435=$G$8,K$8,$G435=$G$9,K$9,$G435=$G$10,K$10,$G435=$G$11,K$11,$G435=$G$12,K$12,$G435=$G$13,K$13,$G435=$G$15,K$15,$G435=$G$16,K$16,$G435=$G$17,K$17,$G435=$G$18,K$18,$G435=$G$19,K$19,$G435=$G$20,K$20,$G435=$G$21,K$21,$G435=$G$22,K$22,$G435=$G$25,K$25,$G435=$G$26,K$26,$G435=$G$27,K$27,$G435=$G$29,K$29,$G435=$G$31,K$31,$G435=$G$32,K$150,$G435=$G$248,K$248,$G435=$G$250,K$250)</f>
        <v>BG sentinel + BG lure7</v>
      </c>
      <c r="L435" s="48"/>
      <c r="M435" s="48"/>
      <c r="O435" s="45" t="str">
        <f t="shared" si="30"/>
        <v>A_SP_BCN_3_210721</v>
      </c>
      <c r="P435" s="64">
        <v>44398</v>
      </c>
      <c r="R435" s="72"/>
      <c r="S435" s="64">
        <v>44405</v>
      </c>
      <c r="U435" s="72"/>
      <c r="V435" s="54" t="s">
        <v>66</v>
      </c>
      <c r="W435" t="s">
        <v>135</v>
      </c>
      <c r="X435" s="45">
        <f t="shared" si="31"/>
        <v>7</v>
      </c>
      <c r="Z435" s="45" t="s">
        <v>80</v>
      </c>
      <c r="AA435" s="45">
        <f t="shared" si="32"/>
        <v>1</v>
      </c>
      <c r="AB435" t="str">
        <f t="shared" si="33"/>
        <v>Adult</v>
      </c>
      <c r="AC435" s="69">
        <v>1</v>
      </c>
      <c r="AD435" s="69">
        <v>0</v>
      </c>
      <c r="AE435" s="45" t="str">
        <f t="shared" si="34"/>
        <v>Morphological</v>
      </c>
      <c r="AF435" s="56">
        <v>3</v>
      </c>
    </row>
    <row r="436" spans="1:32" ht="18" customHeight="1" x14ac:dyDescent="0.25">
      <c r="A436" s="45">
        <v>432</v>
      </c>
      <c r="B436" s="45" t="s">
        <v>60</v>
      </c>
      <c r="C436" s="45" t="s">
        <v>61</v>
      </c>
      <c r="D436" s="45" t="s">
        <v>62</v>
      </c>
      <c r="E436" s="45" t="s">
        <v>62</v>
      </c>
      <c r="F436" s="46" cm="1">
        <f t="array" ref="F436">_xlfn.IFS($G436=$G$5,F$5,$G436=$G$6,F$6,$G436=$G$7,F$7,$G436=$G$8,F$8,$G436=$G$9,F$9,$G436=$G$10,F$10,$G436=$G$11,F$11,$G436=$G$12,F$12,$G436=$G$13,F$13,$G436=$G$15,F$15,$G436=$G$16,F$16,$G436=$G$17,F$17,$G436=$G$18,F$18,$G436=$G$19,F$19,$G436=$G$20,F$20,$G436=$G$21,F$21,$G436=$G$22,F$22,$G436=$G$25,F$25,$G436=$G$26,F$26,$G436=$G$27,F$27,$G436=$G$29,F$29,$G436=$G$31,F$31,$G436=$G$32,F$32,$G436=$G$248,F$248,$G436=$G$250,F$250)</f>
        <v>8018</v>
      </c>
      <c r="G436" t="s">
        <v>71</v>
      </c>
      <c r="H436" s="66" cm="1">
        <f t="array" ref="H436">_xlfn.IFS($G436=$G$5,H$5,$G436=$G$6,H$6,$G436=$G$7,H$7,$G436=$G$8,H$8,$G436=$G$9,H$9,$G436=$G$10,H$10,$G436=$G$11,H$11,$G436=$G$12,H$12,$G436=$G$13,H$13,$G436=$G$15,H$15,$G436=$G$16,H$16,$G436=$G$17,H$17,$G436=$G$18,H$18,$G436=$G$19,H$19,$G436=$G$20,H$20,$G436=$G$21,H$21,$G436=$G$22,H$22,$G436=$G$25,H$25,$G436=$G$26,H$26,$G436=$G$27,H$27,$G436=$G$29,H$29,$G436=$G$31,H$31,$G436=$G$32,H$150,$G436=$G$248,H$248,$G436=$G$250,H$250)</f>
        <v>41.410684000000003</v>
      </c>
      <c r="I436" s="78" cm="1">
        <f t="array" ref="I436">_xlfn.IFS($G436=$G$5,I$5,$G436=$G$6,I$6,$G436=$G$7,I$7,$G436=$G$8,I$8,$G436=$G$9,I$9,$G436=$G$10,I$10,$G436=$G$11,I$11,$G436=$G$12,I$12,$G436=$G$13,I$13,$G436=$G$15,I$15,$G436=$G$16,I$16,$G436=$G$17,I$17,$G436=$G$18,I$18,$G436=$G$19,I$19,$G436=$G$20,I$20,$G436=$G$21,I$21,$G436=$G$22,I$22,$G436=$G$25,I$25,$G436=$G$26,I$26,$G436=$G$27,I$27,$G436=$G$29,I$29,$G436=$G$31,I$31,$G436=$G$32,I$150,$G436=$G$248,I$248,$G436=$G$250,I$250)</f>
        <v>2.2208019999999999</v>
      </c>
      <c r="J436" cm="1">
        <f t="array" ref="J436">_xlfn.IFS($G436=$G$5,J$5,$G436=$G$6,J$6,$G436=$G$7,J$7,$G436=$G$8,J$8,$G436=$G$9,J$9,$G436=$G$10,J$10,$G436=$G$11,J$11,$G436=$G$12,J$12,$G436=$G$13,J$13,$G436=$G$15,J$15,$G436=$G$16,J$16,$G436=$G$17,J$17,$G436=$G$18,J$18,$G436=$G$19,J$19,$G436=$G$20,J$20,$G436=$G$21,J$21,$G436=$G$22,J$22,$G436=$G$25,J$25,$G436=$G$26,J$26,$G436=$G$27,J$27,$G436=$G$29,J$29,$G436=$G$31,J$31,$G436=$G$32,J$150,$G436=$G$248,J$248,$G436=$G$250,J$250)</f>
        <v>4</v>
      </c>
      <c r="K436" t="str" cm="1">
        <f t="array" ref="K436">_xlfn.IFS($G436=$G$5,K$5,$G436=$G$6,K$6,$G436=$G$7,K$7,$G436=$G$8,K$8,$G436=$G$9,K$9,$G436=$G$10,K$10,$G436=$G$11,K$11,$G436=$G$12,K$12,$G436=$G$13,K$13,$G436=$G$15,K$15,$G436=$G$16,K$16,$G436=$G$17,K$17,$G436=$G$18,K$18,$G436=$G$19,K$19,$G436=$G$20,K$20,$G436=$G$21,K$21,$G436=$G$22,K$22,$G436=$G$25,K$25,$G436=$G$26,K$26,$G436=$G$27,K$27,$G436=$G$29,K$29,$G436=$G$31,K$31,$G436=$G$32,K$150,$G436=$G$248,K$248,$G436=$G$250,K$250)</f>
        <v>BG sentinel + BG lure7</v>
      </c>
      <c r="L436" s="48"/>
      <c r="M436" s="48"/>
      <c r="O436" s="45" t="str">
        <f t="shared" si="30"/>
        <v>A_SP_BCN_4_210722</v>
      </c>
      <c r="P436" s="64">
        <v>44399</v>
      </c>
      <c r="R436" s="72"/>
      <c r="S436" s="64">
        <v>44406</v>
      </c>
      <c r="U436" s="72"/>
      <c r="V436" s="54" t="s">
        <v>136</v>
      </c>
      <c r="X436" s="45">
        <f t="shared" si="31"/>
        <v>7</v>
      </c>
      <c r="AA436" s="45"/>
      <c r="AB436" t="str">
        <f t="shared" si="33"/>
        <v/>
      </c>
      <c r="AE436" s="45" t="str">
        <f t="shared" si="34"/>
        <v/>
      </c>
      <c r="AF436" s="56">
        <v>1</v>
      </c>
    </row>
    <row r="437" spans="1:32" ht="18" customHeight="1" x14ac:dyDescent="0.25">
      <c r="A437" s="45">
        <v>433</v>
      </c>
      <c r="B437" s="45" t="s">
        <v>60</v>
      </c>
      <c r="C437" s="45" t="s">
        <v>61</v>
      </c>
      <c r="D437" s="45" t="s">
        <v>62</v>
      </c>
      <c r="E437" s="45" t="s">
        <v>62</v>
      </c>
      <c r="F437" s="46" cm="1">
        <f t="array" ref="F437">_xlfn.IFS($G437=$G$5,F$5,$G437=$G$6,F$6,$G437=$G$7,F$7,$G437=$G$8,F$8,$G437=$G$9,F$9,$G437=$G$10,F$10,$G437=$G$11,F$11,$G437=$G$12,F$12,$G437=$G$13,F$13,$G437=$G$15,F$15,$G437=$G$16,F$16,$G437=$G$17,F$17,$G437=$G$18,F$18,$G437=$G$19,F$19,$G437=$G$20,F$20,$G437=$G$21,F$21,$G437=$G$22,F$22,$G437=$G$25,F$25,$G437=$G$26,F$26,$G437=$G$27,F$27,$G437=$G$29,F$29,$G437=$G$31,F$31,$G437=$G$32,F$32,$G437=$G$248,F$248,$G437=$G$250,F$250)</f>
        <v>8019</v>
      </c>
      <c r="G437" t="s">
        <v>72</v>
      </c>
      <c r="H437" s="66" cm="1">
        <f t="array" ref="H437">_xlfn.IFS($G437=$G$5,H$5,$G437=$G$6,H$6,$G437=$G$7,H$7,$G437=$G$8,H$8,$G437=$G$9,H$9,$G437=$G$10,H$10,$G437=$G$11,H$11,$G437=$G$12,H$12,$G437=$G$13,H$13,$G437=$G$15,H$15,$G437=$G$16,H$16,$G437=$G$17,H$17,$G437=$G$18,H$18,$G437=$G$19,H$19,$G437=$G$20,H$20,$G437=$G$21,H$21,$G437=$G$22,H$22,$G437=$G$25,H$25,$G437=$G$26,H$26,$G437=$G$27,H$27,$G437=$G$29,H$29,$G437=$G$31,H$31,$G437=$G$32,H$150,$G437=$G$248,H$248,$G437=$G$250,H$250)</f>
        <v>41.382339999999999</v>
      </c>
      <c r="I437" s="78" cm="1">
        <f t="array" ref="I437">_xlfn.IFS($G437=$G$5,I$5,$G437=$G$6,I$6,$G437=$G$7,I$7,$G437=$G$8,I$8,$G437=$G$9,I$9,$G437=$G$10,I$10,$G437=$G$11,I$11,$G437=$G$12,I$12,$G437=$G$13,I$13,$G437=$G$15,I$15,$G437=$G$16,I$16,$G437=$G$17,I$17,$G437=$G$18,I$18,$G437=$G$19,I$19,$G437=$G$20,I$20,$G437=$G$21,I$21,$G437=$G$22,I$22,$G437=$G$25,I$25,$G437=$G$26,I$26,$G437=$G$27,I$27,$G437=$G$29,I$29,$G437=$G$31,I$31,$G437=$G$32,I$150,$G437=$G$248,I$248,$G437=$G$250,I$250)</f>
        <v>2.1714790000000002</v>
      </c>
      <c r="J437" cm="1">
        <f t="array" ref="J437">_xlfn.IFS($G437=$G$5,J$5,$G437=$G$6,J$6,$G437=$G$7,J$7,$G437=$G$8,J$8,$G437=$G$9,J$9,$G437=$G$10,J$10,$G437=$G$11,J$11,$G437=$G$12,J$12,$G437=$G$13,J$13,$G437=$G$15,J$15,$G437=$G$16,J$16,$G437=$G$17,J$17,$G437=$G$18,J$18,$G437=$G$19,J$19,$G437=$G$20,J$20,$G437=$G$21,J$21,$G437=$G$22,J$22,$G437=$G$25,J$25,$G437=$G$26,J$26,$G437=$G$27,J$27,$G437=$G$29,J$29,$G437=$G$31,J$31,$G437=$G$32,J$150,$G437=$G$248,J$248,$G437=$G$250,J$250)</f>
        <v>18</v>
      </c>
      <c r="K437" t="str" cm="1">
        <f t="array" ref="K437">_xlfn.IFS($G437=$G$5,K$5,$G437=$G$6,K$6,$G437=$G$7,K$7,$G437=$G$8,K$8,$G437=$G$9,K$9,$G437=$G$10,K$10,$G437=$G$11,K$11,$G437=$G$12,K$12,$G437=$G$13,K$13,$G437=$G$15,K$15,$G437=$G$16,K$16,$G437=$G$17,K$17,$G437=$G$18,K$18,$G437=$G$19,K$19,$G437=$G$20,K$20,$G437=$G$21,K$21,$G437=$G$22,K$22,$G437=$G$25,K$25,$G437=$G$26,K$26,$G437=$G$27,K$27,$G437=$G$29,K$29,$G437=$G$31,K$31,$G437=$G$32,K$150,$G437=$G$248,K$248,$G437=$G$250,K$250)</f>
        <v>BG sentinel + BG lure7</v>
      </c>
      <c r="L437" s="48"/>
      <c r="M437" s="48"/>
      <c r="O437" s="45" t="str">
        <f t="shared" si="30"/>
        <v>A_SP_BCN_5_210722</v>
      </c>
      <c r="P437" s="64">
        <v>44399</v>
      </c>
      <c r="R437" s="72"/>
      <c r="S437" s="64">
        <v>44406</v>
      </c>
      <c r="U437" s="72"/>
      <c r="V437" s="54" t="s">
        <v>66</v>
      </c>
      <c r="X437" s="45">
        <f t="shared" si="31"/>
        <v>7</v>
      </c>
      <c r="Z437" s="45" t="s">
        <v>70</v>
      </c>
      <c r="AA437" s="45">
        <f t="shared" ref="AA437:AA438" si="35">SUM(AC437:AD437)</f>
        <v>5</v>
      </c>
      <c r="AB437" t="str">
        <f t="shared" si="33"/>
        <v>Adult</v>
      </c>
      <c r="AC437" s="69">
        <v>5</v>
      </c>
      <c r="AD437" s="69">
        <v>0</v>
      </c>
      <c r="AE437" s="45" t="str">
        <f t="shared" si="34"/>
        <v>Morphological</v>
      </c>
      <c r="AF437" s="56">
        <v>4</v>
      </c>
    </row>
    <row r="438" spans="1:32" ht="18" customHeight="1" x14ac:dyDescent="0.25">
      <c r="A438" s="45">
        <v>434</v>
      </c>
      <c r="B438" s="45" t="s">
        <v>60</v>
      </c>
      <c r="C438" s="45" t="s">
        <v>61</v>
      </c>
      <c r="D438" s="45" t="s">
        <v>62</v>
      </c>
      <c r="E438" s="45" t="s">
        <v>62</v>
      </c>
      <c r="F438" s="46" cm="1">
        <f t="array" ref="F438">_xlfn.IFS($G438=$G$5,F$5,$G438=$G$6,F$6,$G438=$G$7,F$7,$G438=$G$8,F$8,$G438=$G$9,F$9,$G438=$G$10,F$10,$G438=$G$11,F$11,$G438=$G$12,F$12,$G438=$G$13,F$13,$G438=$G$15,F$15,$G438=$G$16,F$16,$G438=$G$17,F$17,$G438=$G$18,F$18,$G438=$G$19,F$19,$G438=$G$20,F$20,$G438=$G$21,F$21,$G438=$G$22,F$22,$G438=$G$25,F$25,$G438=$G$26,F$26,$G438=$G$27,F$27,$G438=$G$29,F$29,$G438=$G$31,F$31,$G438=$G$32,F$32,$G438=$G$248,F$248,$G438=$G$250,F$250)</f>
        <v>8002</v>
      </c>
      <c r="G438" t="s">
        <v>73</v>
      </c>
      <c r="H438" s="66" cm="1">
        <f t="array" ref="H438">_xlfn.IFS($G438=$G$5,H$5,$G438=$G$6,H$6,$G438=$G$7,H$7,$G438=$G$8,H$8,$G438=$G$9,H$9,$G438=$G$10,H$10,$G438=$G$11,H$11,$G438=$G$12,H$12,$G438=$G$13,H$13,$G438=$G$15,H$15,$G438=$G$16,H$16,$G438=$G$17,H$17,$G438=$G$18,H$18,$G438=$G$19,H$19,$G438=$G$20,H$20,$G438=$G$21,H$21,$G438=$G$22,H$22,$G438=$G$25,H$25,$G438=$G$26,H$26,$G438=$G$27,H$27,$G438=$G$29,H$29,$G438=$G$31,H$31,$G438=$G$32,H$150,$G438=$G$248,H$248,$G438=$G$250,H$250)</f>
        <v>41.371864000000002</v>
      </c>
      <c r="I438" s="78" cm="1">
        <f t="array" ref="I438">_xlfn.IFS($G438=$G$5,I$5,$G438=$G$6,I$6,$G438=$G$7,I$7,$G438=$G$8,I$8,$G438=$G$9,I$9,$G438=$G$10,I$10,$G438=$G$11,I$11,$G438=$G$12,I$12,$G438=$G$13,I$13,$G438=$G$15,I$15,$G438=$G$16,I$16,$G438=$G$17,I$17,$G438=$G$18,I$18,$G438=$G$19,I$19,$G438=$G$20,I$20,$G438=$G$21,I$21,$G438=$G$22,I$22,$G438=$G$25,I$25,$G438=$G$26,I$26,$G438=$G$27,I$27,$G438=$G$29,I$29,$G438=$G$31,I$31,$G438=$G$32,I$150,$G438=$G$248,I$248,$G438=$G$250,I$250)</f>
        <v>2.173899</v>
      </c>
      <c r="J438" cm="1">
        <f t="array" ref="J438">_xlfn.IFS($G438=$G$5,J$5,$G438=$G$6,J$6,$G438=$G$7,J$7,$G438=$G$8,J$8,$G438=$G$9,J$9,$G438=$G$10,J$10,$G438=$G$11,J$11,$G438=$G$12,J$12,$G438=$G$13,J$13,$G438=$G$15,J$15,$G438=$G$16,J$16,$G438=$G$17,J$17,$G438=$G$18,J$18,$G438=$G$19,J$19,$G438=$G$20,J$20,$G438=$G$21,J$21,$G438=$G$22,J$22,$G438=$G$25,J$25,$G438=$G$26,J$26,$G438=$G$27,J$27,$G438=$G$29,J$29,$G438=$G$31,J$31,$G438=$G$32,J$150,$G438=$G$248,J$248,$G438=$G$250,J$250)</f>
        <v>19</v>
      </c>
      <c r="K438" t="str" cm="1">
        <f t="array" ref="K438">_xlfn.IFS($G438=$G$5,K$5,$G438=$G$6,K$6,$G438=$G$7,K$7,$G438=$G$8,K$8,$G438=$G$9,K$9,$G438=$G$10,K$10,$G438=$G$11,K$11,$G438=$G$12,K$12,$G438=$G$13,K$13,$G438=$G$15,K$15,$G438=$G$16,K$16,$G438=$G$17,K$17,$G438=$G$18,K$18,$G438=$G$19,K$19,$G438=$G$20,K$20,$G438=$G$21,K$21,$G438=$G$22,K$22,$G438=$G$25,K$25,$G438=$G$26,K$26,$G438=$G$27,K$27,$G438=$G$29,K$29,$G438=$G$31,K$31,$G438=$G$32,K$150,$G438=$G$248,K$248,$G438=$G$250,K$250)</f>
        <v>BG sentinel + BG lure7</v>
      </c>
      <c r="L438" s="48"/>
      <c r="M438" s="48"/>
      <c r="O438" s="45" t="str">
        <f t="shared" si="30"/>
        <v>A_SP_BCN_6_210722</v>
      </c>
      <c r="P438" s="64">
        <v>44399</v>
      </c>
      <c r="R438" s="72"/>
      <c r="S438" s="64">
        <v>44406</v>
      </c>
      <c r="U438" s="72"/>
      <c r="V438" s="54" t="s">
        <v>66</v>
      </c>
      <c r="X438" s="45">
        <f t="shared" si="31"/>
        <v>7</v>
      </c>
      <c r="Z438" s="69" t="s">
        <v>69</v>
      </c>
      <c r="AA438" s="45">
        <f t="shared" si="35"/>
        <v>1</v>
      </c>
      <c r="AB438" t="str">
        <f t="shared" si="33"/>
        <v>Adult</v>
      </c>
      <c r="AC438" s="69">
        <v>1</v>
      </c>
      <c r="AD438" s="69">
        <v>0</v>
      </c>
      <c r="AE438" s="45" t="str">
        <f t="shared" si="34"/>
        <v>Morphological</v>
      </c>
      <c r="AF438" s="56">
        <v>4</v>
      </c>
    </row>
    <row r="439" spans="1:32" ht="18" customHeight="1" x14ac:dyDescent="0.25">
      <c r="A439" s="45">
        <v>435</v>
      </c>
      <c r="B439" s="45" t="s">
        <v>60</v>
      </c>
      <c r="C439" s="45" t="s">
        <v>61</v>
      </c>
      <c r="D439" s="45" t="s">
        <v>62</v>
      </c>
      <c r="E439" s="45" t="s">
        <v>62</v>
      </c>
      <c r="F439" s="46" cm="1">
        <f t="array" ref="F439">_xlfn.IFS($G439=$G$5,F$5,$G439=$G$6,F$6,$G439=$G$7,F$7,$G439=$G$8,F$8,$G439=$G$9,F$9,$G439=$G$10,F$10,$G439=$G$11,F$11,$G439=$G$12,F$12,$G439=$G$13,F$13,$G439=$G$15,F$15,$G439=$G$16,F$16,$G439=$G$17,F$17,$G439=$G$18,F$18,$G439=$G$19,F$19,$G439=$G$20,F$20,$G439=$G$21,F$21,$G439=$G$22,F$22,$G439=$G$25,F$25,$G439=$G$26,F$26,$G439=$G$27,F$27,$G439=$G$29,F$29,$G439=$G$31,F$31,$G439=$G$32,F$32,$G439=$G$248,F$248,$G439=$G$250,F$250)</f>
        <v>8038</v>
      </c>
      <c r="G439" t="s">
        <v>74</v>
      </c>
      <c r="H439" s="66" cm="1">
        <f t="array" ref="H439">_xlfn.IFS($G439=$G$5,H$5,$G439=$G$6,H$6,$G439=$G$7,H$7,$G439=$G$8,H$8,$G439=$G$9,H$9,$G439=$G$10,H$10,$G439=$G$11,H$11,$G439=$G$12,H$12,$G439=$G$13,H$13,$G439=$G$15,H$15,$G439=$G$16,H$16,$G439=$G$17,H$17,$G439=$G$18,H$18,$G439=$G$19,H$19,$G439=$G$20,H$20,$G439=$G$21,H$21,$G439=$G$22,H$22,$G439=$G$25,H$25,$G439=$G$26,H$26,$G439=$G$27,H$27,$G439=$G$29,H$29,$G439=$G$31,H$31,$G439=$G$32,H$150,$G439=$G$248,H$248,$G439=$G$250,H$250)</f>
        <v>41.371864000000002</v>
      </c>
      <c r="I439" s="78" cm="1">
        <f t="array" ref="I439">_xlfn.IFS($G439=$G$5,I$5,$G439=$G$6,I$6,$G439=$G$7,I$7,$G439=$G$8,I$8,$G439=$G$9,I$9,$G439=$G$10,I$10,$G439=$G$11,I$11,$G439=$G$12,I$12,$G439=$G$13,I$13,$G439=$G$15,I$15,$G439=$G$16,I$16,$G439=$G$17,I$17,$G439=$G$18,I$18,$G439=$G$19,I$19,$G439=$G$20,I$20,$G439=$G$21,I$21,$G439=$G$22,I$22,$G439=$G$25,I$25,$G439=$G$26,I$26,$G439=$G$27,I$27,$G439=$G$29,I$29,$G439=$G$31,I$31,$G439=$G$32,I$150,$G439=$G$248,I$248,$G439=$G$250,I$250)</f>
        <v>2.173899</v>
      </c>
      <c r="J439" cm="1">
        <f t="array" ref="J439">_xlfn.IFS($G439=$G$5,J$5,$G439=$G$6,J$6,$G439=$G$7,J$7,$G439=$G$8,J$8,$G439=$G$9,J$9,$G439=$G$10,J$10,$G439=$G$11,J$11,$G439=$G$12,J$12,$G439=$G$13,J$13,$G439=$G$15,J$15,$G439=$G$16,J$16,$G439=$G$17,J$17,$G439=$G$18,J$18,$G439=$G$19,J$19,$G439=$G$20,J$20,$G439=$G$21,J$21,$G439=$G$22,J$22,$G439=$G$25,J$25,$G439=$G$26,J$26,$G439=$G$27,J$27,$G439=$G$29,J$29,$G439=$G$31,J$31,$G439=$G$32,J$150,$G439=$G$248,J$248,$G439=$G$250,J$250)</f>
        <v>5</v>
      </c>
      <c r="K439" t="str" cm="1">
        <f t="array" ref="K439">_xlfn.IFS($G439=$G$5,K$5,$G439=$G$6,K$6,$G439=$G$7,K$7,$G439=$G$8,K$8,$G439=$G$9,K$9,$G439=$G$10,K$10,$G439=$G$11,K$11,$G439=$G$12,K$12,$G439=$G$13,K$13,$G439=$G$15,K$15,$G439=$G$16,K$16,$G439=$G$17,K$17,$G439=$G$18,K$18,$G439=$G$19,K$19,$G439=$G$20,K$20,$G439=$G$21,K$21,$G439=$G$22,K$22,$G439=$G$25,K$25,$G439=$G$26,K$26,$G439=$G$27,K$27,$G439=$G$29,K$29,$G439=$G$31,K$31,$G439=$G$32,K$150,$G439=$G$248,K$248,$G439=$G$250,K$250)</f>
        <v>BG sentinel + BG lure7</v>
      </c>
      <c r="L439" s="48"/>
      <c r="M439" s="48"/>
      <c r="O439" s="45" t="str">
        <f t="shared" si="30"/>
        <v>A_SP_BCN_7_210722</v>
      </c>
      <c r="P439" s="64">
        <v>44399</v>
      </c>
      <c r="R439" s="72"/>
      <c r="S439" s="64">
        <v>44406</v>
      </c>
      <c r="U439" s="72"/>
      <c r="V439" s="54" t="s">
        <v>134</v>
      </c>
      <c r="X439" s="45">
        <f t="shared" si="31"/>
        <v>7</v>
      </c>
      <c r="AA439" s="45"/>
      <c r="AB439" t="str">
        <f t="shared" si="33"/>
        <v/>
      </c>
      <c r="AE439" s="45" t="str">
        <f t="shared" si="34"/>
        <v/>
      </c>
      <c r="AF439" s="56">
        <v>1</v>
      </c>
    </row>
    <row r="440" spans="1:32" ht="18" customHeight="1" x14ac:dyDescent="0.25">
      <c r="A440" s="45">
        <v>436</v>
      </c>
      <c r="B440" s="45" t="s">
        <v>60</v>
      </c>
      <c r="C440" s="45" t="s">
        <v>61</v>
      </c>
      <c r="D440" s="45" t="s">
        <v>62</v>
      </c>
      <c r="E440" s="45" t="s">
        <v>62</v>
      </c>
      <c r="F440" s="46" cm="1">
        <f t="array" ref="F440">_xlfn.IFS($G440=$G$5,F$5,$G440=$G$6,F$6,$G440=$G$7,F$7,$G440=$G$8,F$8,$G440=$G$9,F$9,$G440=$G$10,F$10,$G440=$G$11,F$11,$G440=$G$12,F$12,$G440=$G$13,F$13,$G440=$G$15,F$15,$G440=$G$16,F$16,$G440=$G$17,F$17,$G440=$G$18,F$18,$G440=$G$19,F$19,$G440=$G$20,F$20,$G440=$G$21,F$21,$G440=$G$22,F$22,$G440=$G$25,F$25,$G440=$G$26,F$26,$G440=$G$27,F$27,$G440=$G$29,F$29,$G440=$G$31,F$31,$G440=$G$32,F$32,$G440=$G$248,F$248,$G440=$G$250,F$250)</f>
        <v>8038</v>
      </c>
      <c r="G440" t="s">
        <v>75</v>
      </c>
      <c r="H440" s="66" cm="1">
        <f t="array" ref="H440">_xlfn.IFS($G440=$G$5,H$5,$G440=$G$6,H$6,$G440=$G$7,H$7,$G440=$G$8,H$8,$G440=$G$9,H$9,$G440=$G$10,H$10,$G440=$G$11,H$11,$G440=$G$12,H$12,$G440=$G$13,H$13,$G440=$G$15,H$15,$G440=$G$16,H$16,$G440=$G$17,H$17,$G440=$G$18,H$18,$G440=$G$19,H$19,$G440=$G$20,H$20,$G440=$G$21,H$21,$G440=$G$22,H$22,$G440=$G$25,H$25,$G440=$G$26,H$26,$G440=$G$27,H$27,$G440=$G$29,H$29,$G440=$G$31,H$31,$G440=$G$32,H$150,$G440=$G$248,H$248,$G440=$G$250,H$250)</f>
        <v>41.368589</v>
      </c>
      <c r="I440" s="78" cm="1">
        <f t="array" ref="I440">_xlfn.IFS($G440=$G$5,I$5,$G440=$G$6,I$6,$G440=$G$7,I$7,$G440=$G$8,I$8,$G440=$G$9,I$9,$G440=$G$10,I$10,$G440=$G$11,I$11,$G440=$G$12,I$12,$G440=$G$13,I$13,$G440=$G$15,I$15,$G440=$G$16,I$16,$G440=$G$17,I$17,$G440=$G$18,I$18,$G440=$G$19,I$19,$G440=$G$20,I$20,$G440=$G$21,I$21,$G440=$G$22,I$22,$G440=$G$25,I$25,$G440=$G$26,I$26,$G440=$G$27,I$27,$G440=$G$29,I$29,$G440=$G$31,I$31,$G440=$G$32,I$150,$G440=$G$248,I$248,$G440=$G$250,I$250)</f>
        <v>2.1620900000000001</v>
      </c>
      <c r="J440" cm="1">
        <f t="array" ref="J440">_xlfn.IFS($G440=$G$5,J$5,$G440=$G$6,J$6,$G440=$G$7,J$7,$G440=$G$8,J$8,$G440=$G$9,J$9,$G440=$G$10,J$10,$G440=$G$11,J$11,$G440=$G$12,J$12,$G440=$G$13,J$13,$G440=$G$15,J$15,$G440=$G$16,J$16,$G440=$G$17,J$17,$G440=$G$18,J$18,$G440=$G$19,J$19,$G440=$G$20,J$20,$G440=$G$21,J$21,$G440=$G$22,J$22,$G440=$G$25,J$25,$G440=$G$26,J$26,$G440=$G$27,J$27,$G440=$G$29,J$29,$G440=$G$31,J$31,$G440=$G$32,J$150,$G440=$G$248,J$248,$G440=$G$250,J$250)</f>
        <v>95</v>
      </c>
      <c r="K440" t="str" cm="1">
        <f t="array" ref="K440">_xlfn.IFS($G440=$G$5,K$5,$G440=$G$6,K$6,$G440=$G$7,K$7,$G440=$G$8,K$8,$G440=$G$9,K$9,$G440=$G$10,K$10,$G440=$G$11,K$11,$G440=$G$12,K$12,$G440=$G$13,K$13,$G440=$G$15,K$15,$G440=$G$16,K$16,$G440=$G$17,K$17,$G440=$G$18,K$18,$G440=$G$19,K$19,$G440=$G$20,K$20,$G440=$G$21,K$21,$G440=$G$22,K$22,$G440=$G$25,K$25,$G440=$G$26,K$26,$G440=$G$27,K$27,$G440=$G$29,K$29,$G440=$G$31,K$31,$G440=$G$32,K$150,$G440=$G$248,K$248,$G440=$G$250,K$250)</f>
        <v>BG sentinel + BG lure7</v>
      </c>
      <c r="L440" s="48"/>
      <c r="M440" s="48"/>
      <c r="O440" s="45" t="str">
        <f t="shared" si="30"/>
        <v>A_SP_BCN_8_210722</v>
      </c>
      <c r="P440" s="64">
        <v>44399</v>
      </c>
      <c r="R440" s="72"/>
      <c r="S440" s="64">
        <v>44406</v>
      </c>
      <c r="U440" s="72"/>
      <c r="V440" s="54" t="s">
        <v>66</v>
      </c>
      <c r="X440" s="45">
        <f t="shared" si="31"/>
        <v>7</v>
      </c>
      <c r="Z440" s="69" t="s">
        <v>69</v>
      </c>
      <c r="AA440" s="45">
        <f t="shared" ref="AA440:AA589" si="36">SUM(AC440:AD440)</f>
        <v>30</v>
      </c>
      <c r="AB440" t="str">
        <f t="shared" si="33"/>
        <v>Adult</v>
      </c>
      <c r="AC440" s="69">
        <v>26</v>
      </c>
      <c r="AD440" s="69">
        <v>4</v>
      </c>
      <c r="AE440" s="45" t="str">
        <f t="shared" si="34"/>
        <v>Morphological</v>
      </c>
      <c r="AF440" s="56">
        <v>4</v>
      </c>
    </row>
    <row r="441" spans="1:32" ht="18" customHeight="1" x14ac:dyDescent="0.25">
      <c r="A441" s="45">
        <v>437</v>
      </c>
      <c r="B441" s="45" t="s">
        <v>60</v>
      </c>
      <c r="C441" s="45" t="s">
        <v>61</v>
      </c>
      <c r="D441" s="45" t="s">
        <v>62</v>
      </c>
      <c r="E441" s="45" t="s">
        <v>62</v>
      </c>
      <c r="F441" s="46" cm="1">
        <f t="array" ref="F441">_xlfn.IFS($G441=$G$5,F$5,$G441=$G$6,F$6,$G441=$G$7,F$7,$G441=$G$8,F$8,$G441=$G$9,F$9,$G441=$G$10,F$10,$G441=$G$11,F$11,$G441=$G$12,F$12,$G441=$G$13,F$13,$G441=$G$15,F$15,$G441=$G$16,F$16,$G441=$G$17,F$17,$G441=$G$18,F$18,$G441=$G$19,F$19,$G441=$G$20,F$20,$G441=$G$21,F$21,$G441=$G$22,F$22,$G441=$G$25,F$25,$G441=$G$26,F$26,$G441=$G$27,F$27,$G441=$G$29,F$29,$G441=$G$31,F$31,$G441=$G$32,F$32,$G441=$G$248,F$248,$G441=$G$250,F$250)</f>
        <v>8038</v>
      </c>
      <c r="G441" t="s">
        <v>75</v>
      </c>
      <c r="H441" s="66" cm="1">
        <f t="array" ref="H441">_xlfn.IFS($G441=$G$5,H$5,$G441=$G$6,H$6,$G441=$G$7,H$7,$G441=$G$8,H$8,$G441=$G$9,H$9,$G441=$G$10,H$10,$G441=$G$11,H$11,$G441=$G$12,H$12,$G441=$G$13,H$13,$G441=$G$15,H$15,$G441=$G$16,H$16,$G441=$G$17,H$17,$G441=$G$18,H$18,$G441=$G$19,H$19,$G441=$G$20,H$20,$G441=$G$21,H$21,$G441=$G$22,H$22,$G441=$G$25,H$25,$G441=$G$26,H$26,$G441=$G$27,H$27,$G441=$G$29,H$29,$G441=$G$31,H$31,$G441=$G$32,H$150,$G441=$G$248,H$248,$G441=$G$250,H$250)</f>
        <v>41.368589</v>
      </c>
      <c r="I441" s="78" cm="1">
        <f t="array" ref="I441">_xlfn.IFS($G441=$G$5,I$5,$G441=$G$6,I$6,$G441=$G$7,I$7,$G441=$G$8,I$8,$G441=$G$9,I$9,$G441=$G$10,I$10,$G441=$G$11,I$11,$G441=$G$12,I$12,$G441=$G$13,I$13,$G441=$G$15,I$15,$G441=$G$16,I$16,$G441=$G$17,I$17,$G441=$G$18,I$18,$G441=$G$19,I$19,$G441=$G$20,I$20,$G441=$G$21,I$21,$G441=$G$22,I$22,$G441=$G$25,I$25,$G441=$G$26,I$26,$G441=$G$27,I$27,$G441=$G$29,I$29,$G441=$G$31,I$31,$G441=$G$32,I$150,$G441=$G$248,I$248,$G441=$G$250,I$250)</f>
        <v>2.1620900000000001</v>
      </c>
      <c r="J441" cm="1">
        <f t="array" ref="J441">_xlfn.IFS($G441=$G$5,J$5,$G441=$G$6,J$6,$G441=$G$7,J$7,$G441=$G$8,J$8,$G441=$G$9,J$9,$G441=$G$10,J$10,$G441=$G$11,J$11,$G441=$G$12,J$12,$G441=$G$13,J$13,$G441=$G$15,J$15,$G441=$G$16,J$16,$G441=$G$17,J$17,$G441=$G$18,J$18,$G441=$G$19,J$19,$G441=$G$20,J$20,$G441=$G$21,J$21,$G441=$G$22,J$22,$G441=$G$25,J$25,$G441=$G$26,J$26,$G441=$G$27,J$27,$G441=$G$29,J$29,$G441=$G$31,J$31,$G441=$G$32,J$150,$G441=$G$248,J$248,$G441=$G$250,J$250)</f>
        <v>95</v>
      </c>
      <c r="K441" t="str" cm="1">
        <f t="array" ref="K441">_xlfn.IFS($G441=$G$5,K$5,$G441=$G$6,K$6,$G441=$G$7,K$7,$G441=$G$8,K$8,$G441=$G$9,K$9,$G441=$G$10,K$10,$G441=$G$11,K$11,$G441=$G$12,K$12,$G441=$G$13,K$13,$G441=$G$15,K$15,$G441=$G$16,K$16,$G441=$G$17,K$17,$G441=$G$18,K$18,$G441=$G$19,K$19,$G441=$G$20,K$20,$G441=$G$21,K$21,$G441=$G$22,K$22,$G441=$G$25,K$25,$G441=$G$26,K$26,$G441=$G$27,K$27,$G441=$G$29,K$29,$G441=$G$31,K$31,$G441=$G$32,K$150,$G441=$G$248,K$248,$G441=$G$250,K$250)</f>
        <v>BG sentinel + BG lure7</v>
      </c>
      <c r="L441" s="48" t="str" cm="1">
        <f t="array" ref="L441">_xlfn.IFS($G441=$G$5,L$5,$G441=$G$6,L$6,$G441=$G$7,L$7,$G441=$G$8,L$8,$G441=$G$9,L$9,$G441=$G$10,L$10,$G441=$G$11,L$11,$G441=$G$12,L$12,$G441=$G$13,L$13,$G441=$G$15,L$15,$G441=$G$16,L$16,$G441=$G$17,L$17,$G441=$G$18,L$18,$G441=$G$19,L$19,$G441=$G$20,L$20,$G441=$G$21,L$21,$G441=$G$22,L$22,$G441=$G$25,L$25,$G441=$G$26,L$26,$G441=$G$27,L$27,$G441=$G$29,L$29,$G441=$G$31,L$31,$G441=$G$32,L$32,$G441=$G$248,L$248,$G441=$G$250,L$250)</f>
        <v>Other</v>
      </c>
      <c r="M441" s="48"/>
      <c r="O441" s="45" t="str">
        <f t="shared" si="30"/>
        <v>A_SP_BCN_8_210722</v>
      </c>
      <c r="P441" s="64">
        <v>44399</v>
      </c>
      <c r="R441" s="72"/>
      <c r="S441" s="64">
        <v>44406</v>
      </c>
      <c r="U441" s="72"/>
      <c r="V441" s="54" t="s">
        <v>66</v>
      </c>
      <c r="X441" s="45">
        <f t="shared" si="31"/>
        <v>7</v>
      </c>
      <c r="Z441" s="45" t="s">
        <v>70</v>
      </c>
      <c r="AA441" s="45">
        <f t="shared" si="36"/>
        <v>13</v>
      </c>
      <c r="AB441" t="str">
        <f t="shared" si="33"/>
        <v>Adult</v>
      </c>
      <c r="AC441" s="69">
        <v>13</v>
      </c>
      <c r="AD441" s="69">
        <v>0</v>
      </c>
      <c r="AE441" s="45" t="str">
        <f t="shared" si="34"/>
        <v>Morphological</v>
      </c>
      <c r="AF441" s="56">
        <v>4</v>
      </c>
    </row>
    <row r="442" spans="1:32" ht="18" customHeight="1" x14ac:dyDescent="0.25">
      <c r="A442" s="45">
        <v>438</v>
      </c>
      <c r="B442" s="45" t="s">
        <v>60</v>
      </c>
      <c r="C442" s="45" t="s">
        <v>61</v>
      </c>
      <c r="D442" s="45" t="s">
        <v>62</v>
      </c>
      <c r="E442" s="45" t="s">
        <v>62</v>
      </c>
      <c r="F442" s="46" cm="1">
        <f t="array" ref="F442">_xlfn.IFS($G442=$G$5,F$5,$G442=$G$6,F$6,$G442=$G$7,F$7,$G442=$G$8,F$8,$G442=$G$9,F$9,$G442=$G$10,F$10,$G442=$G$11,F$11,$G442=$G$12,F$12,$G442=$G$13,F$13,$G442=$G$15,F$15,$G442=$G$16,F$16,$G442=$G$17,F$17,$G442=$G$18,F$18,$G442=$G$19,F$19,$G442=$G$20,F$20,$G442=$G$21,F$21,$G442=$G$22,F$22,$G442=$G$25,F$25,$G442=$G$26,F$26,$G442=$G$27,F$27,$G442=$G$29,F$29,$G442=$G$31,F$31,$G442=$G$32,F$32,$G442=$G$248,F$248,$G442=$G$250,F$250)</f>
        <v>8038</v>
      </c>
      <c r="G442" t="s">
        <v>75</v>
      </c>
      <c r="H442" s="66" cm="1">
        <f t="array" ref="H442">_xlfn.IFS($G442=$G$5,H$5,$G442=$G$6,H$6,$G442=$G$7,H$7,$G442=$G$8,H$8,$G442=$G$9,H$9,$G442=$G$10,H$10,$G442=$G$11,H$11,$G442=$G$12,H$12,$G442=$G$13,H$13,$G442=$G$15,H$15,$G442=$G$16,H$16,$G442=$G$17,H$17,$G442=$G$18,H$18,$G442=$G$19,H$19,$G442=$G$20,H$20,$G442=$G$21,H$21,$G442=$G$22,H$22,$G442=$G$25,H$25,$G442=$G$26,H$26,$G442=$G$27,H$27,$G442=$G$29,H$29,$G442=$G$31,H$31,$G442=$G$32,H$150,$G442=$G$248,H$248,$G442=$G$250,H$250)</f>
        <v>41.368589</v>
      </c>
      <c r="I442" s="78" cm="1">
        <f t="array" ref="I442">_xlfn.IFS($G442=$G$5,I$5,$G442=$G$6,I$6,$G442=$G$7,I$7,$G442=$G$8,I$8,$G442=$G$9,I$9,$G442=$G$10,I$10,$G442=$G$11,I$11,$G442=$G$12,I$12,$G442=$G$13,I$13,$G442=$G$15,I$15,$G442=$G$16,I$16,$G442=$G$17,I$17,$G442=$G$18,I$18,$G442=$G$19,I$19,$G442=$G$20,I$20,$G442=$G$21,I$21,$G442=$G$22,I$22,$G442=$G$25,I$25,$G442=$G$26,I$26,$G442=$G$27,I$27,$G442=$G$29,I$29,$G442=$G$31,I$31,$G442=$G$32,I$150,$G442=$G$248,I$248,$G442=$G$250,I$250)</f>
        <v>2.1620900000000001</v>
      </c>
      <c r="J442" cm="1">
        <f t="array" ref="J442">_xlfn.IFS($G442=$G$5,J$5,$G442=$G$6,J$6,$G442=$G$7,J$7,$G442=$G$8,J$8,$G442=$G$9,J$9,$G442=$G$10,J$10,$G442=$G$11,J$11,$G442=$G$12,J$12,$G442=$G$13,J$13,$G442=$G$15,J$15,$G442=$G$16,J$16,$G442=$G$17,J$17,$G442=$G$18,J$18,$G442=$G$19,J$19,$G442=$G$20,J$20,$G442=$G$21,J$21,$G442=$G$22,J$22,$G442=$G$25,J$25,$G442=$G$26,J$26,$G442=$G$27,J$27,$G442=$G$29,J$29,$G442=$G$31,J$31,$G442=$G$32,J$150,$G442=$G$248,J$248,$G442=$G$250,J$250)</f>
        <v>95</v>
      </c>
      <c r="K442" t="str" cm="1">
        <f t="array" ref="K442">_xlfn.IFS($G442=$G$5,K$5,$G442=$G$6,K$6,$G442=$G$7,K$7,$G442=$G$8,K$8,$G442=$G$9,K$9,$G442=$G$10,K$10,$G442=$G$11,K$11,$G442=$G$12,K$12,$G442=$G$13,K$13,$G442=$G$15,K$15,$G442=$G$16,K$16,$G442=$G$17,K$17,$G442=$G$18,K$18,$G442=$G$19,K$19,$G442=$G$20,K$20,$G442=$G$21,K$21,$G442=$G$22,K$22,$G442=$G$25,K$25,$G442=$G$26,K$26,$G442=$G$27,K$27,$G442=$G$29,K$29,$G442=$G$31,K$31,$G442=$G$32,K$150,$G442=$G$248,K$248,$G442=$G$250,K$250)</f>
        <v>BG sentinel + BG lure7</v>
      </c>
      <c r="L442" s="48" t="str" cm="1">
        <f t="array" ref="L442">_xlfn.IFS($G442=$G$5,L$5,$G442=$G$6,L$6,$G442=$G$7,L$7,$G442=$G$8,L$8,$G442=$G$9,L$9,$G442=$G$10,L$10,$G442=$G$11,L$11,$G442=$G$12,L$12,$G442=$G$13,L$13,$G442=$G$15,L$15,$G442=$G$16,L$16,$G442=$G$17,L$17,$G442=$G$18,L$18,$G442=$G$19,L$19,$G442=$G$20,L$20,$G442=$G$21,L$21,$G442=$G$22,L$22,$G442=$G$25,L$25,$G442=$G$26,L$26,$G442=$G$27,L$27,$G442=$G$29,L$29,$G442=$G$31,L$31,$G442=$G$32,L$32,$G442=$G$248,L$248,$G442=$G$250,L$250)</f>
        <v>Other</v>
      </c>
      <c r="M442" s="48"/>
      <c r="O442" s="45" t="str">
        <f t="shared" si="30"/>
        <v>A_SP_BCN_8_210722</v>
      </c>
      <c r="P442" s="64">
        <v>44399</v>
      </c>
      <c r="R442" s="72"/>
      <c r="S442" s="64">
        <v>44406</v>
      </c>
      <c r="U442" s="72"/>
      <c r="V442" s="54" t="s">
        <v>66</v>
      </c>
      <c r="X442" s="45">
        <f t="shared" si="31"/>
        <v>7</v>
      </c>
      <c r="Z442" s="45" t="s">
        <v>80</v>
      </c>
      <c r="AA442" s="45">
        <f t="shared" si="36"/>
        <v>4</v>
      </c>
      <c r="AB442" t="str">
        <f t="shared" si="33"/>
        <v>Adult</v>
      </c>
      <c r="AC442" s="69">
        <v>2</v>
      </c>
      <c r="AD442" s="69">
        <v>2</v>
      </c>
      <c r="AE442" s="45" t="str">
        <f t="shared" si="34"/>
        <v>Morphological</v>
      </c>
      <c r="AF442" s="56">
        <v>4</v>
      </c>
    </row>
    <row r="443" spans="1:32" ht="18" customHeight="1" x14ac:dyDescent="0.25">
      <c r="A443" s="45">
        <v>439</v>
      </c>
      <c r="B443" s="45" t="s">
        <v>60</v>
      </c>
      <c r="C443" s="45" t="s">
        <v>61</v>
      </c>
      <c r="D443" s="45" t="s">
        <v>62</v>
      </c>
      <c r="E443" s="45" t="s">
        <v>62</v>
      </c>
      <c r="F443" s="46" cm="1">
        <f t="array" ref="F443">_xlfn.IFS($G443=$G$5,F$5,$G443=$G$6,F$6,$G443=$G$7,F$7,$G443=$G$8,F$8,$G443=$G$9,F$9,$G443=$G$10,F$10,$G443=$G$11,F$11,$G443=$G$12,F$12,$G443=$G$13,F$13,$G443=$G$15,F$15,$G443=$G$16,F$16,$G443=$G$17,F$17,$G443=$G$18,F$18,$G443=$G$19,F$19,$G443=$G$20,F$20,$G443=$G$21,F$21,$G443=$G$22,F$22,$G443=$G$25,F$25,$G443=$G$26,F$26,$G443=$G$27,F$27,$G443=$G$29,F$29,$G443=$G$31,F$31,$G443=$G$32,F$32,$G443=$G$248,F$248,$G443=$G$250,F$250)</f>
        <v>8034</v>
      </c>
      <c r="G443" t="s">
        <v>78</v>
      </c>
      <c r="H443" s="66" cm="1">
        <f t="array" ref="H443">_xlfn.IFS($G443=$G$5,H$5,$G443=$G$6,H$6,$G443=$G$7,H$7,$G443=$G$8,H$8,$G443=$G$9,H$9,$G443=$G$10,H$10,$G443=$G$11,H$11,$G443=$G$12,H$12,$G443=$G$13,H$13,$G443=$G$15,H$15,$G443=$G$16,H$16,$G443=$G$17,H$17,$G443=$G$18,H$18,$G443=$G$19,H$19,$G443=$G$20,H$20,$G443=$G$21,H$21,$G443=$G$22,H$22,$G443=$G$25,H$25,$G443=$G$26,H$26,$G443=$G$27,H$27,$G443=$G$29,H$29,$G443=$G$31,H$31,$G443=$G$32,H$150,$G443=$G$248,H$248,$G443=$G$250,H$250)</f>
        <v>41.393644999999999</v>
      </c>
      <c r="I443" s="78" cm="1">
        <f t="array" ref="I443">_xlfn.IFS($G443=$G$5,I$5,$G443=$G$6,I$6,$G443=$G$7,I$7,$G443=$G$8,I$8,$G443=$G$9,I$9,$G443=$G$10,I$10,$G443=$G$11,I$11,$G443=$G$12,I$12,$G443=$G$13,I$13,$G443=$G$15,I$15,$G443=$G$16,I$16,$G443=$G$17,I$17,$G443=$G$18,I$18,$G443=$G$19,I$19,$G443=$G$20,I$20,$G443=$G$21,I$21,$G443=$G$22,I$22,$G443=$G$25,I$25,$G443=$G$26,I$26,$G443=$G$27,I$27,$G443=$G$29,I$29,$G443=$G$31,I$31,$G443=$G$32,I$150,$G443=$G$248,I$248,$G443=$G$250,I$250)</f>
        <v>2.1216780000000002</v>
      </c>
      <c r="J443" cm="1">
        <f t="array" ref="J443">_xlfn.IFS($G443=$G$5,J$5,$G443=$G$6,J$6,$G443=$G$7,J$7,$G443=$G$8,J$8,$G443=$G$9,J$9,$G443=$G$10,J$10,$G443=$G$11,J$11,$G443=$G$12,J$12,$G443=$G$13,J$13,$G443=$G$15,J$15,$G443=$G$16,J$16,$G443=$G$17,J$17,$G443=$G$18,J$18,$G443=$G$19,J$19,$G443=$G$20,J$20,$G443=$G$21,J$21,$G443=$G$22,J$22,$G443=$G$25,J$25,$G443=$G$26,J$26,$G443=$G$27,J$27,$G443=$G$29,J$29,$G443=$G$31,J$31,$G443=$G$32,J$150,$G443=$G$248,J$248,$G443=$G$250,J$250)</f>
        <v>98</v>
      </c>
      <c r="K443" t="str" cm="1">
        <f t="array" ref="K443">_xlfn.IFS($G443=$G$5,K$5,$G443=$G$6,K$6,$G443=$G$7,K$7,$G443=$G$8,K$8,$G443=$G$9,K$9,$G443=$G$10,K$10,$G443=$G$11,K$11,$G443=$G$12,K$12,$G443=$G$13,K$13,$G443=$G$15,K$15,$G443=$G$16,K$16,$G443=$G$17,K$17,$G443=$G$18,K$18,$G443=$G$19,K$19,$G443=$G$20,K$20,$G443=$G$21,K$21,$G443=$G$22,K$22,$G443=$G$25,K$25,$G443=$G$26,K$26,$G443=$G$27,K$27,$G443=$G$29,K$29,$G443=$G$31,K$31,$G443=$G$32,K$150,$G443=$G$248,K$248,$G443=$G$250,K$250)</f>
        <v>BG sentinel + BG lure7</v>
      </c>
      <c r="L443" s="48"/>
      <c r="M443" s="48"/>
      <c r="O443" s="45" t="str">
        <f t="shared" si="30"/>
        <v>A_SP_BCN_9_210721</v>
      </c>
      <c r="P443" s="64">
        <v>44398</v>
      </c>
      <c r="R443" s="72"/>
      <c r="S443" s="64">
        <v>44405</v>
      </c>
      <c r="U443" s="72"/>
      <c r="V443" s="54" t="s">
        <v>66</v>
      </c>
      <c r="X443" s="45">
        <f t="shared" si="31"/>
        <v>7</v>
      </c>
      <c r="Z443" s="45" t="s">
        <v>70</v>
      </c>
      <c r="AA443" s="45">
        <f t="shared" si="36"/>
        <v>1</v>
      </c>
      <c r="AB443" t="str">
        <f t="shared" si="33"/>
        <v>Adult</v>
      </c>
      <c r="AC443" s="69">
        <v>1</v>
      </c>
      <c r="AD443" s="69">
        <v>0</v>
      </c>
      <c r="AE443" s="45" t="str">
        <f t="shared" si="34"/>
        <v>Morphological</v>
      </c>
      <c r="AF443" s="56">
        <v>4</v>
      </c>
    </row>
    <row r="444" spans="1:32" ht="18" customHeight="1" x14ac:dyDescent="0.25">
      <c r="A444" s="45">
        <v>440</v>
      </c>
      <c r="B444" s="45" t="s">
        <v>60</v>
      </c>
      <c r="C444" s="45" t="s">
        <v>61</v>
      </c>
      <c r="D444" s="45" t="s">
        <v>62</v>
      </c>
      <c r="E444" s="45" t="s">
        <v>62</v>
      </c>
      <c r="F444" s="46" cm="1">
        <f t="array" ref="F444">_xlfn.IFS($G444=$G$5,F$5,$G444=$G$6,F$6,$G444=$G$7,F$7,$G444=$G$8,F$8,$G444=$G$9,F$9,$G444=$G$10,F$10,$G444=$G$11,F$11,$G444=$G$12,F$12,$G444=$G$13,F$13,$G444=$G$15,F$15,$G444=$G$16,F$16,$G444=$G$17,F$17,$G444=$G$18,F$18,$G444=$G$19,F$19,$G444=$G$20,F$20,$G444=$G$21,F$21,$G444=$G$22,F$22,$G444=$G$25,F$25,$G444=$G$26,F$26,$G444=$G$27,F$27,$G444=$G$29,F$29,$G444=$G$31,F$31,$G444=$G$32,F$32,$G444=$G$248,F$248,$G444=$G$250,F$250)</f>
        <v>8034</v>
      </c>
      <c r="G444" t="s">
        <v>78</v>
      </c>
      <c r="H444" s="66" cm="1">
        <f t="array" ref="H444">_xlfn.IFS($G444=$G$5,H$5,$G444=$G$6,H$6,$G444=$G$7,H$7,$G444=$G$8,H$8,$G444=$G$9,H$9,$G444=$G$10,H$10,$G444=$G$11,H$11,$G444=$G$12,H$12,$G444=$G$13,H$13,$G444=$G$15,H$15,$G444=$G$16,H$16,$G444=$G$17,H$17,$G444=$G$18,H$18,$G444=$G$19,H$19,$G444=$G$20,H$20,$G444=$G$21,H$21,$G444=$G$22,H$22,$G444=$G$25,H$25,$G444=$G$26,H$26,$G444=$G$27,H$27,$G444=$G$29,H$29,$G444=$G$31,H$31,$G444=$G$32,H$150,$G444=$G$248,H$248,$G444=$G$250,H$250)</f>
        <v>41.393644999999999</v>
      </c>
      <c r="I444" s="78" cm="1">
        <f t="array" ref="I444">_xlfn.IFS($G444=$G$5,I$5,$G444=$G$6,I$6,$G444=$G$7,I$7,$G444=$G$8,I$8,$G444=$G$9,I$9,$G444=$G$10,I$10,$G444=$G$11,I$11,$G444=$G$12,I$12,$G444=$G$13,I$13,$G444=$G$15,I$15,$G444=$G$16,I$16,$G444=$G$17,I$17,$G444=$G$18,I$18,$G444=$G$19,I$19,$G444=$G$20,I$20,$G444=$G$21,I$21,$G444=$G$22,I$22,$G444=$G$25,I$25,$G444=$G$26,I$26,$G444=$G$27,I$27,$G444=$G$29,I$29,$G444=$G$31,I$31,$G444=$G$32,I$150,$G444=$G$248,I$248,$G444=$G$250,I$250)</f>
        <v>2.1216780000000002</v>
      </c>
      <c r="J444" cm="1">
        <f t="array" ref="J444">_xlfn.IFS($G444=$G$5,J$5,$G444=$G$6,J$6,$G444=$G$7,J$7,$G444=$G$8,J$8,$G444=$G$9,J$9,$G444=$G$10,J$10,$G444=$G$11,J$11,$G444=$G$12,J$12,$G444=$G$13,J$13,$G444=$G$15,J$15,$G444=$G$16,J$16,$G444=$G$17,J$17,$G444=$G$18,J$18,$G444=$G$19,J$19,$G444=$G$20,J$20,$G444=$G$21,J$21,$G444=$G$22,J$22,$G444=$G$25,J$25,$G444=$G$26,J$26,$G444=$G$27,J$27,$G444=$G$29,J$29,$G444=$G$31,J$31,$G444=$G$32,J$150,$G444=$G$248,J$248,$G444=$G$250,J$250)</f>
        <v>98</v>
      </c>
      <c r="K444" t="str" cm="1">
        <f t="array" ref="K444">_xlfn.IFS($G444=$G$5,K$5,$G444=$G$6,K$6,$G444=$G$7,K$7,$G444=$G$8,K$8,$G444=$G$9,K$9,$G444=$G$10,K$10,$G444=$G$11,K$11,$G444=$G$12,K$12,$G444=$G$13,K$13,$G444=$G$15,K$15,$G444=$G$16,K$16,$G444=$G$17,K$17,$G444=$G$18,K$18,$G444=$G$19,K$19,$G444=$G$20,K$20,$G444=$G$21,K$21,$G444=$G$22,K$22,$G444=$G$25,K$25,$G444=$G$26,K$26,$G444=$G$27,K$27,$G444=$G$29,K$29,$G444=$G$31,K$31,$G444=$G$32,K$150,$G444=$G$248,K$248,$G444=$G$250,K$250)</f>
        <v>BG sentinel + BG lure7</v>
      </c>
      <c r="L444" s="48"/>
      <c r="M444" s="48"/>
      <c r="O444" s="45" t="str">
        <f t="shared" si="30"/>
        <v>A_SP_BCN_9_210721</v>
      </c>
      <c r="P444" s="64">
        <v>44398</v>
      </c>
      <c r="R444" s="72"/>
      <c r="S444" s="64">
        <v>44405</v>
      </c>
      <c r="U444" s="72"/>
      <c r="V444" s="54" t="s">
        <v>66</v>
      </c>
      <c r="X444" s="45">
        <f t="shared" si="31"/>
        <v>7</v>
      </c>
      <c r="Z444" s="45" t="s">
        <v>80</v>
      </c>
      <c r="AA444" s="45">
        <f t="shared" si="36"/>
        <v>2</v>
      </c>
      <c r="AB444" t="str">
        <f t="shared" si="33"/>
        <v>Adult</v>
      </c>
      <c r="AC444" s="69">
        <v>1</v>
      </c>
      <c r="AD444" s="69">
        <v>1</v>
      </c>
      <c r="AE444" s="45" t="str">
        <f t="shared" si="34"/>
        <v>Morphological</v>
      </c>
      <c r="AF444" s="56">
        <v>4</v>
      </c>
    </row>
    <row r="445" spans="1:32" ht="18" customHeight="1" x14ac:dyDescent="0.25">
      <c r="A445" s="45">
        <v>441</v>
      </c>
      <c r="B445" s="45" t="s">
        <v>60</v>
      </c>
      <c r="C445" s="45" t="s">
        <v>61</v>
      </c>
      <c r="D445" s="45" t="s">
        <v>62</v>
      </c>
      <c r="E445" s="45" t="s">
        <v>62</v>
      </c>
      <c r="F445" s="46" cm="1">
        <f t="array" ref="F445">_xlfn.IFS($G445=$G$5,F$5,$G445=$G$6,F$6,$G445=$G$7,F$7,$G445=$G$8,F$8,$G445=$G$9,F$9,$G445=$G$10,F$10,$G445=$G$11,F$11,$G445=$G$12,F$12,$G445=$G$13,F$13,$G445=$G$15,F$15,$G445=$G$16,F$16,$G445=$G$17,F$17,$G445=$G$18,F$18,$G445=$G$19,F$19,$G445=$G$20,F$20,$G445=$G$21,F$21,$G445=$G$22,F$22,$G445=$G$25,F$25,$G445=$G$26,F$26,$G445=$G$27,F$27,$G445=$G$29,F$29,$G445=$G$31,F$31,$G445=$G$32,F$32,$G445=$G$248,F$248,$G445=$G$250,F$250)</f>
        <v>8040</v>
      </c>
      <c r="G445" t="s">
        <v>81</v>
      </c>
      <c r="H445" s="66" cm="1">
        <f t="array" ref="H445">_xlfn.IFS($G445=$G$5,H$5,$G445=$G$6,H$6,$G445=$G$7,H$7,$G445=$G$8,H$8,$G445=$G$9,H$9,$G445=$G$10,H$10,$G445=$G$11,H$11,$G445=$G$12,H$12,$G445=$G$13,H$13,$G445=$G$15,H$15,$G445=$G$16,H$16,$G445=$G$17,H$17,$G445=$G$18,H$18,$G445=$G$19,H$19,$G445=$G$20,H$20,$G445=$G$21,H$21,$G445=$G$22,H$22,$G445=$G$25,H$25,$G445=$G$26,H$26,$G445=$G$27,H$27,$G445=$G$29,H$29,$G445=$G$31,H$31,$G445=$G$32,H$150,$G445=$G$248,H$248,$G445=$G$250,H$250)</f>
        <v>41.343685000000001</v>
      </c>
      <c r="I445" s="78" cm="1">
        <f t="array" ref="I445">_xlfn.IFS($G445=$G$5,I$5,$G445=$G$6,I$6,$G445=$G$7,I$7,$G445=$G$8,I$8,$G445=$G$9,I$9,$G445=$G$10,I$10,$G445=$G$11,I$11,$G445=$G$12,I$12,$G445=$G$13,I$13,$G445=$G$15,I$15,$G445=$G$16,I$16,$G445=$G$17,I$17,$G445=$G$18,I$18,$G445=$G$19,I$19,$G445=$G$20,I$20,$G445=$G$21,I$21,$G445=$G$22,I$22,$G445=$G$25,I$25,$G445=$G$26,I$26,$G445=$G$27,I$27,$G445=$G$29,I$29,$G445=$G$31,I$31,$G445=$G$32,I$150,$G445=$G$248,I$248,$G445=$G$250,I$250)</f>
        <v>2.1441490000000001</v>
      </c>
      <c r="J445" cm="1">
        <f t="array" ref="J445">_xlfn.IFS($G445=$G$5,J$5,$G445=$G$6,J$6,$G445=$G$7,J$7,$G445=$G$8,J$8,$G445=$G$9,J$9,$G445=$G$10,J$10,$G445=$G$11,J$11,$G445=$G$12,J$12,$G445=$G$13,J$13,$G445=$G$15,J$15,$G445=$G$16,J$16,$G445=$G$17,J$17,$G445=$G$18,J$18,$G445=$G$19,J$19,$G445=$G$20,J$20,$G445=$G$21,J$21,$G445=$G$22,J$22,$G445=$G$25,J$25,$G445=$G$26,J$26,$G445=$G$27,J$27,$G445=$G$29,J$29,$G445=$G$31,J$31,$G445=$G$32,J$150,$G445=$G$248,J$248,$G445=$G$250,J$250)</f>
        <v>4</v>
      </c>
      <c r="K445" t="str" cm="1">
        <f t="array" ref="K445">_xlfn.IFS($G445=$G$5,K$5,$G445=$G$6,K$6,$G445=$G$7,K$7,$G445=$G$8,K$8,$G445=$G$9,K$9,$G445=$G$10,K$10,$G445=$G$11,K$11,$G445=$G$12,K$12,$G445=$G$13,K$13,$G445=$G$15,K$15,$G445=$G$16,K$16,$G445=$G$17,K$17,$G445=$G$18,K$18,$G445=$G$19,K$19,$G445=$G$20,K$20,$G445=$G$21,K$21,$G445=$G$22,K$22,$G445=$G$25,K$25,$G445=$G$26,K$26,$G445=$G$27,K$27,$G445=$G$29,K$29,$G445=$G$31,K$31,$G445=$G$32,K$150,$G445=$G$248,K$248,$G445=$G$250,K$250)</f>
        <v>BG sentinel + BG lure7</v>
      </c>
      <c r="L445" s="48"/>
      <c r="M445" s="48"/>
      <c r="O445" s="45" t="str">
        <f t="shared" ref="O445:O508" si="37">G445&amp;"_"&amp;TEXT(P445, "AAMMDD")</f>
        <v>A_SP_BCN_10_210722</v>
      </c>
      <c r="P445" s="64">
        <v>44399</v>
      </c>
      <c r="R445" s="72"/>
      <c r="S445" s="64">
        <v>44406</v>
      </c>
      <c r="U445" s="72"/>
      <c r="V445" s="54" t="s">
        <v>66</v>
      </c>
      <c r="X445" s="45">
        <f t="shared" ref="X445:X510" si="38">S445-P445</f>
        <v>7</v>
      </c>
      <c r="Z445" s="69" t="s">
        <v>69</v>
      </c>
      <c r="AA445" s="45">
        <f t="shared" si="36"/>
        <v>29</v>
      </c>
      <c r="AB445" t="str">
        <f t="shared" ref="AB445:AB508" si="39">IF(AA445=0,"",IF(AA445="","",IF(AA445&gt;0,"Adult")))</f>
        <v>Adult</v>
      </c>
      <c r="AC445" s="69">
        <v>13</v>
      </c>
      <c r="AD445" s="69">
        <v>16</v>
      </c>
      <c r="AE445" s="45" t="str">
        <f t="shared" ref="AE445:AE508" si="40">IF(AA445=0,"",IF(AA445="","",IF(AA445&gt;0,"Morphological")))</f>
        <v>Morphological</v>
      </c>
      <c r="AF445" s="56">
        <v>4</v>
      </c>
    </row>
    <row r="446" spans="1:32" ht="18" customHeight="1" x14ac:dyDescent="0.25">
      <c r="A446" s="45">
        <v>442</v>
      </c>
      <c r="B446" s="45" t="s">
        <v>60</v>
      </c>
      <c r="C446" s="45" t="s">
        <v>61</v>
      </c>
      <c r="D446" s="45" t="s">
        <v>62</v>
      </c>
      <c r="E446" s="45" t="s">
        <v>62</v>
      </c>
      <c r="F446" s="46" cm="1">
        <f t="array" ref="F446">_xlfn.IFS($G446=$G$5,F$5,$G446=$G$6,F$6,$G446=$G$7,F$7,$G446=$G$8,F$8,$G446=$G$9,F$9,$G446=$G$10,F$10,$G446=$G$11,F$11,$G446=$G$12,F$12,$G446=$G$13,F$13,$G446=$G$15,F$15,$G446=$G$16,F$16,$G446=$G$17,F$17,$G446=$G$18,F$18,$G446=$G$19,F$19,$G446=$G$20,F$20,$G446=$G$21,F$21,$G446=$G$22,F$22,$G446=$G$25,F$25,$G446=$G$26,F$26,$G446=$G$27,F$27,$G446=$G$29,F$29,$G446=$G$31,F$31,$G446=$G$32,F$32,$G446=$G$248,F$248,$G446=$G$250,F$250)</f>
        <v>8040</v>
      </c>
      <c r="G446" t="s">
        <v>81</v>
      </c>
      <c r="H446" s="66" cm="1">
        <f t="array" ref="H446">_xlfn.IFS($G446=$G$5,H$5,$G446=$G$6,H$6,$G446=$G$7,H$7,$G446=$G$8,H$8,$G446=$G$9,H$9,$G446=$G$10,H$10,$G446=$G$11,H$11,$G446=$G$12,H$12,$G446=$G$13,H$13,$G446=$G$15,H$15,$G446=$G$16,H$16,$G446=$G$17,H$17,$G446=$G$18,H$18,$G446=$G$19,H$19,$G446=$G$20,H$20,$G446=$G$21,H$21,$G446=$G$22,H$22,$G446=$G$25,H$25,$G446=$G$26,H$26,$G446=$G$27,H$27,$G446=$G$29,H$29,$G446=$G$31,H$31,$G446=$G$32,H$150,$G446=$G$248,H$248,$G446=$G$250,H$250)</f>
        <v>41.343685000000001</v>
      </c>
      <c r="I446" s="78" cm="1">
        <f t="array" ref="I446">_xlfn.IFS($G446=$G$5,I$5,$G446=$G$6,I$6,$G446=$G$7,I$7,$G446=$G$8,I$8,$G446=$G$9,I$9,$G446=$G$10,I$10,$G446=$G$11,I$11,$G446=$G$12,I$12,$G446=$G$13,I$13,$G446=$G$15,I$15,$G446=$G$16,I$16,$G446=$G$17,I$17,$G446=$G$18,I$18,$G446=$G$19,I$19,$G446=$G$20,I$20,$G446=$G$21,I$21,$G446=$G$22,I$22,$G446=$G$25,I$25,$G446=$G$26,I$26,$G446=$G$27,I$27,$G446=$G$29,I$29,$G446=$G$31,I$31,$G446=$G$32,I$150,$G446=$G$248,I$248,$G446=$G$250,I$250)</f>
        <v>2.1441490000000001</v>
      </c>
      <c r="J446" cm="1">
        <f t="array" ref="J446">_xlfn.IFS($G446=$G$5,J$5,$G446=$G$6,J$6,$G446=$G$7,J$7,$G446=$G$8,J$8,$G446=$G$9,J$9,$G446=$G$10,J$10,$G446=$G$11,J$11,$G446=$G$12,J$12,$G446=$G$13,J$13,$G446=$G$15,J$15,$G446=$G$16,J$16,$G446=$G$17,J$17,$G446=$G$18,J$18,$G446=$G$19,J$19,$G446=$G$20,J$20,$G446=$G$21,J$21,$G446=$G$22,J$22,$G446=$G$25,J$25,$G446=$G$26,J$26,$G446=$G$27,J$27,$G446=$G$29,J$29,$G446=$G$31,J$31,$G446=$G$32,J$150,$G446=$G$248,J$248,$G446=$G$250,J$250)</f>
        <v>4</v>
      </c>
      <c r="K446" t="str" cm="1">
        <f t="array" ref="K446">_xlfn.IFS($G446=$G$5,K$5,$G446=$G$6,K$6,$G446=$G$7,K$7,$G446=$G$8,K$8,$G446=$G$9,K$9,$G446=$G$10,K$10,$G446=$G$11,K$11,$G446=$G$12,K$12,$G446=$G$13,K$13,$G446=$G$15,K$15,$G446=$G$16,K$16,$G446=$G$17,K$17,$G446=$G$18,K$18,$G446=$G$19,K$19,$G446=$G$20,K$20,$G446=$G$21,K$21,$G446=$G$22,K$22,$G446=$G$25,K$25,$G446=$G$26,K$26,$G446=$G$27,K$27,$G446=$G$29,K$29,$G446=$G$31,K$31,$G446=$G$32,K$150,$G446=$G$248,K$248,$G446=$G$250,K$250)</f>
        <v>BG sentinel + BG lure7</v>
      </c>
      <c r="L446" s="48"/>
      <c r="M446" s="48"/>
      <c r="O446" s="45" t="str">
        <f t="shared" si="37"/>
        <v>A_SP_BCN_10_210722</v>
      </c>
      <c r="P446" s="64">
        <v>44399</v>
      </c>
      <c r="R446" s="72"/>
      <c r="S446" s="64">
        <v>44406</v>
      </c>
      <c r="U446" s="72"/>
      <c r="V446" s="54" t="s">
        <v>66</v>
      </c>
      <c r="X446" s="45">
        <f t="shared" si="38"/>
        <v>7</v>
      </c>
      <c r="Z446" s="45" t="s">
        <v>70</v>
      </c>
      <c r="AA446" s="45">
        <f t="shared" si="36"/>
        <v>18</v>
      </c>
      <c r="AB446" t="str">
        <f t="shared" si="39"/>
        <v>Adult</v>
      </c>
      <c r="AC446" s="69">
        <v>16</v>
      </c>
      <c r="AD446" s="69">
        <v>2</v>
      </c>
      <c r="AE446" s="45" t="str">
        <f t="shared" si="40"/>
        <v>Morphological</v>
      </c>
      <c r="AF446" s="56">
        <v>4</v>
      </c>
    </row>
    <row r="447" spans="1:32" ht="18" customHeight="1" x14ac:dyDescent="0.25">
      <c r="A447" s="45">
        <v>443</v>
      </c>
      <c r="B447" s="45" t="s">
        <v>60</v>
      </c>
      <c r="C447" s="45" t="s">
        <v>61</v>
      </c>
      <c r="D447" s="45" t="s">
        <v>62</v>
      </c>
      <c r="E447" s="45" t="s">
        <v>62</v>
      </c>
      <c r="F447" s="46" cm="1">
        <f t="array" ref="F447">_xlfn.IFS($G447=$G$5,F$5,$G447=$G$6,F$6,$G447=$G$7,F$7,$G447=$G$8,F$8,$G447=$G$9,F$9,$G447=$G$10,F$10,$G447=$G$11,F$11,$G447=$G$12,F$12,$G447=$G$13,F$13,$G447=$G$15,F$15,$G447=$G$16,F$16,$G447=$G$17,F$17,$G447=$G$18,F$18,$G447=$G$19,F$19,$G447=$G$20,F$20,$G447=$G$21,F$21,$G447=$G$22,F$22,$G447=$G$25,F$25,$G447=$G$26,F$26,$G447=$G$27,F$27,$G447=$G$29,F$29,$G447=$G$31,F$31,$G447=$G$32,F$32,$G447=$G$248,F$248,$G447=$G$250,F$250)</f>
        <v>8040</v>
      </c>
      <c r="G447" t="s">
        <v>81</v>
      </c>
      <c r="H447" s="66" cm="1">
        <f t="array" ref="H447">_xlfn.IFS($G447=$G$5,H$5,$G447=$G$6,H$6,$G447=$G$7,H$7,$G447=$G$8,H$8,$G447=$G$9,H$9,$G447=$G$10,H$10,$G447=$G$11,H$11,$G447=$G$12,H$12,$G447=$G$13,H$13,$G447=$G$15,H$15,$G447=$G$16,H$16,$G447=$G$17,H$17,$G447=$G$18,H$18,$G447=$G$19,H$19,$G447=$G$20,H$20,$G447=$G$21,H$21,$G447=$G$22,H$22,$G447=$G$25,H$25,$G447=$G$26,H$26,$G447=$G$27,H$27,$G447=$G$29,H$29,$G447=$G$31,H$31,$G447=$G$32,H$150,$G447=$G$248,H$248,$G447=$G$250,H$250)</f>
        <v>41.343685000000001</v>
      </c>
      <c r="I447" s="78" cm="1">
        <f t="array" ref="I447">_xlfn.IFS($G447=$G$5,I$5,$G447=$G$6,I$6,$G447=$G$7,I$7,$G447=$G$8,I$8,$G447=$G$9,I$9,$G447=$G$10,I$10,$G447=$G$11,I$11,$G447=$G$12,I$12,$G447=$G$13,I$13,$G447=$G$15,I$15,$G447=$G$16,I$16,$G447=$G$17,I$17,$G447=$G$18,I$18,$G447=$G$19,I$19,$G447=$G$20,I$20,$G447=$G$21,I$21,$G447=$G$22,I$22,$G447=$G$25,I$25,$G447=$G$26,I$26,$G447=$G$27,I$27,$G447=$G$29,I$29,$G447=$G$31,I$31,$G447=$G$32,I$150,$G447=$G$248,I$248,$G447=$G$250,I$250)</f>
        <v>2.1441490000000001</v>
      </c>
      <c r="J447" cm="1">
        <f t="array" ref="J447">_xlfn.IFS($G447=$G$5,J$5,$G447=$G$6,J$6,$G447=$G$7,J$7,$G447=$G$8,J$8,$G447=$G$9,J$9,$G447=$G$10,J$10,$G447=$G$11,J$11,$G447=$G$12,J$12,$G447=$G$13,J$13,$G447=$G$15,J$15,$G447=$G$16,J$16,$G447=$G$17,J$17,$G447=$G$18,J$18,$G447=$G$19,J$19,$G447=$G$20,J$20,$G447=$G$21,J$21,$G447=$G$22,J$22,$G447=$G$25,J$25,$G447=$G$26,J$26,$G447=$G$27,J$27,$G447=$G$29,J$29,$G447=$G$31,J$31,$G447=$G$32,J$150,$G447=$G$248,J$248,$G447=$G$250,J$250)</f>
        <v>4</v>
      </c>
      <c r="K447" t="str" cm="1">
        <f t="array" ref="K447">_xlfn.IFS($G447=$G$5,K$5,$G447=$G$6,K$6,$G447=$G$7,K$7,$G447=$G$8,K$8,$G447=$G$9,K$9,$G447=$G$10,K$10,$G447=$G$11,K$11,$G447=$G$12,K$12,$G447=$G$13,K$13,$G447=$G$15,K$15,$G447=$G$16,K$16,$G447=$G$17,K$17,$G447=$G$18,K$18,$G447=$G$19,K$19,$G447=$G$20,K$20,$G447=$G$21,K$21,$G447=$G$22,K$22,$G447=$G$25,K$25,$G447=$G$26,K$26,$G447=$G$27,K$27,$G447=$G$29,K$29,$G447=$G$31,K$31,$G447=$G$32,K$150,$G447=$G$248,K$248,$G447=$G$250,K$250)</f>
        <v>BG sentinel + BG lure7</v>
      </c>
      <c r="L447" s="48"/>
      <c r="M447" s="48"/>
      <c r="O447" s="45" t="str">
        <f t="shared" si="37"/>
        <v>A_SP_BCN_10_210722</v>
      </c>
      <c r="P447" s="64">
        <v>44399</v>
      </c>
      <c r="R447" s="72"/>
      <c r="S447" s="64">
        <v>44406</v>
      </c>
      <c r="U447" s="72"/>
      <c r="V447" s="54" t="s">
        <v>66</v>
      </c>
      <c r="X447" s="45">
        <f t="shared" si="38"/>
        <v>7</v>
      </c>
      <c r="Z447" s="45" t="s">
        <v>80</v>
      </c>
      <c r="AA447" s="45">
        <f t="shared" si="36"/>
        <v>1</v>
      </c>
      <c r="AB447" t="str">
        <f t="shared" si="39"/>
        <v>Adult</v>
      </c>
      <c r="AC447" s="69">
        <v>1</v>
      </c>
      <c r="AD447" s="69">
        <v>0</v>
      </c>
      <c r="AE447" s="45" t="str">
        <f t="shared" si="40"/>
        <v>Morphological</v>
      </c>
      <c r="AF447" s="56">
        <v>4</v>
      </c>
    </row>
    <row r="448" spans="1:32" ht="18" customHeight="1" x14ac:dyDescent="0.25">
      <c r="A448" s="45">
        <v>444</v>
      </c>
      <c r="B448" s="45" t="s">
        <v>60</v>
      </c>
      <c r="C448" s="45" t="s">
        <v>61</v>
      </c>
      <c r="D448" s="45" t="s">
        <v>62</v>
      </c>
      <c r="E448" s="45" t="s">
        <v>62</v>
      </c>
      <c r="F448" s="46" cm="1">
        <f t="array" ref="F448">_xlfn.IFS($G448=$G$5,F$5,$G448=$G$6,F$6,$G448=$G$7,F$7,$G448=$G$8,F$8,$G448=$G$9,F$9,$G448=$G$10,F$10,$G448=$G$11,F$11,$G448=$G$12,F$12,$G448=$G$13,F$13,$G448=$G$15,F$15,$G448=$G$16,F$16,$G448=$G$17,F$17,$G448=$G$18,F$18,$G448=$G$19,F$19,$G448=$G$20,F$20,$G448=$G$21,F$21,$G448=$G$22,F$22,$G448=$G$25,F$25,$G448=$G$26,F$26,$G448=$G$27,F$27,$G448=$G$29,F$29,$G448=$G$31,F$31,$G448=$G$32,F$32,$G448=$G$248,F$248,$G448=$G$250,F$250)</f>
        <v>8038</v>
      </c>
      <c r="G448" t="s">
        <v>82</v>
      </c>
      <c r="H448" s="66" cm="1">
        <f t="array" ref="H448">_xlfn.IFS($G448=$G$5,H$5,$G448=$G$6,H$6,$G448=$G$7,H$7,$G448=$G$8,H$8,$G448=$G$9,H$9,$G448=$G$10,H$10,$G448=$G$11,H$11,$G448=$G$12,H$12,$G448=$G$13,H$13,$G448=$G$15,H$15,$G448=$G$16,H$16,$G448=$G$17,H$17,$G448=$G$18,H$18,$G448=$G$19,H$19,$G448=$G$20,H$20,$G448=$G$21,H$21,$G448=$G$22,H$22,$G448=$G$25,H$25,$G448=$G$26,H$26,$G448=$G$27,H$27,$G448=$G$29,H$29,$G448=$G$31,H$31,$G448=$G$32,H$150,$G448=$G$248,H$248,$G448=$G$250,H$250)</f>
        <v>41.367429999999999</v>
      </c>
      <c r="I448" s="78" cm="1">
        <f t="array" ref="I448">_xlfn.IFS($G448=$G$5,I$5,$G448=$G$6,I$6,$G448=$G$7,I$7,$G448=$G$8,I$8,$G448=$G$9,I$9,$G448=$G$10,I$10,$G448=$G$11,I$11,$G448=$G$12,I$12,$G448=$G$13,I$13,$G448=$G$15,I$15,$G448=$G$16,I$16,$G448=$G$17,I$17,$G448=$G$18,I$18,$G448=$G$19,I$19,$G448=$G$20,I$20,$G448=$G$21,I$21,$G448=$G$22,I$22,$G448=$G$25,I$25,$G448=$G$26,I$26,$G448=$G$27,I$27,$G448=$G$29,I$29,$G448=$G$31,I$31,$G448=$G$32,I$150,$G448=$G$248,I$248,$G448=$G$250,I$250)</f>
        <v>2.1569609999999999</v>
      </c>
      <c r="J448" cm="1">
        <f t="array" ref="J448">_xlfn.IFS($G448=$G$5,J$5,$G448=$G$6,J$6,$G448=$G$7,J$7,$G448=$G$8,J$8,$G448=$G$9,J$9,$G448=$G$10,J$10,$G448=$G$11,J$11,$G448=$G$12,J$12,$G448=$G$13,J$13,$G448=$G$15,J$15,$G448=$G$16,J$16,$G448=$G$17,J$17,$G448=$G$18,J$18,$G448=$G$19,J$19,$G448=$G$20,J$20,$G448=$G$21,J$21,$G448=$G$22,J$22,$G448=$G$25,J$25,$G448=$G$26,J$26,$G448=$G$27,J$27,$G448=$G$29,J$29,$G448=$G$31,J$31,$G448=$G$32,J$150,$G448=$G$248,J$248,$G448=$G$250,J$250)</f>
        <v>91</v>
      </c>
      <c r="K448" t="str" cm="1">
        <f t="array" ref="K448">_xlfn.IFS($G448=$G$5,K$5,$G448=$G$6,K$6,$G448=$G$7,K$7,$G448=$G$8,K$8,$G448=$G$9,K$9,$G448=$G$10,K$10,$G448=$G$11,K$11,$G448=$G$12,K$12,$G448=$G$13,K$13,$G448=$G$15,K$15,$G448=$G$16,K$16,$G448=$G$17,K$17,$G448=$G$18,K$18,$G448=$G$19,K$19,$G448=$G$20,K$20,$G448=$G$21,K$21,$G448=$G$22,K$22,$G448=$G$25,K$25,$G448=$G$26,K$26,$G448=$G$27,K$27,$G448=$G$29,K$29,$G448=$G$31,K$31,$G448=$G$32,K$150,$G448=$G$248,K$248,$G448=$G$250,K$250)</f>
        <v>BG sentinel + BG lure7</v>
      </c>
      <c r="L448" s="48"/>
      <c r="M448" s="48"/>
      <c r="O448" s="45" t="str">
        <f t="shared" si="37"/>
        <v>A_SP_BCN_11_210722</v>
      </c>
      <c r="P448" s="64">
        <v>44399</v>
      </c>
      <c r="R448" s="72"/>
      <c r="S448" s="64">
        <v>44406</v>
      </c>
      <c r="U448" s="72"/>
      <c r="V448" s="54" t="s">
        <v>66</v>
      </c>
      <c r="X448" s="45">
        <f t="shared" si="38"/>
        <v>7</v>
      </c>
      <c r="Z448" s="69" t="s">
        <v>69</v>
      </c>
      <c r="AA448" s="45">
        <f t="shared" si="36"/>
        <v>21</v>
      </c>
      <c r="AB448" t="str">
        <f t="shared" si="39"/>
        <v>Adult</v>
      </c>
      <c r="AC448" s="69">
        <v>17</v>
      </c>
      <c r="AD448" s="69">
        <v>4</v>
      </c>
      <c r="AE448" s="45" t="str">
        <f t="shared" si="40"/>
        <v>Morphological</v>
      </c>
      <c r="AF448" s="56">
        <v>4</v>
      </c>
    </row>
    <row r="449" spans="1:32" ht="18" customHeight="1" x14ac:dyDescent="0.25">
      <c r="A449" s="45">
        <v>445</v>
      </c>
      <c r="B449" s="45" t="s">
        <v>60</v>
      </c>
      <c r="C449" s="45" t="s">
        <v>61</v>
      </c>
      <c r="D449" s="45" t="s">
        <v>62</v>
      </c>
      <c r="E449" s="45" t="s">
        <v>62</v>
      </c>
      <c r="F449" s="46" cm="1">
        <f t="array" ref="F449">_xlfn.IFS($G449=$G$5,F$5,$G449=$G$6,F$6,$G449=$G$7,F$7,$G449=$G$8,F$8,$G449=$G$9,F$9,$G449=$G$10,F$10,$G449=$G$11,F$11,$G449=$G$12,F$12,$G449=$G$13,F$13,$G449=$G$15,F$15,$G449=$G$16,F$16,$G449=$G$17,F$17,$G449=$G$18,F$18,$G449=$G$19,F$19,$G449=$G$20,F$20,$G449=$G$21,F$21,$G449=$G$22,F$22,$G449=$G$25,F$25,$G449=$G$26,F$26,$G449=$G$27,F$27,$G449=$G$29,F$29,$G449=$G$31,F$31,$G449=$G$32,F$32,$G449=$G$248,F$248,$G449=$G$250,F$250)</f>
        <v>8038</v>
      </c>
      <c r="G449" t="s">
        <v>82</v>
      </c>
      <c r="H449" s="66" cm="1">
        <f t="array" ref="H449">_xlfn.IFS($G449=$G$5,H$5,$G449=$G$6,H$6,$G449=$G$7,H$7,$G449=$G$8,H$8,$G449=$G$9,H$9,$G449=$G$10,H$10,$G449=$G$11,H$11,$G449=$G$12,H$12,$G449=$G$13,H$13,$G449=$G$15,H$15,$G449=$G$16,H$16,$G449=$G$17,H$17,$G449=$G$18,H$18,$G449=$G$19,H$19,$G449=$G$20,H$20,$G449=$G$21,H$21,$G449=$G$22,H$22,$G449=$G$25,H$25,$G449=$G$26,H$26,$G449=$G$27,H$27,$G449=$G$29,H$29,$G449=$G$31,H$31,$G449=$G$32,H$150,$G449=$G$248,H$248,$G449=$G$250,H$250)</f>
        <v>41.367429999999999</v>
      </c>
      <c r="I449" s="78" cm="1">
        <f t="array" ref="I449">_xlfn.IFS($G449=$G$5,I$5,$G449=$G$6,I$6,$G449=$G$7,I$7,$G449=$G$8,I$8,$G449=$G$9,I$9,$G449=$G$10,I$10,$G449=$G$11,I$11,$G449=$G$12,I$12,$G449=$G$13,I$13,$G449=$G$15,I$15,$G449=$G$16,I$16,$G449=$G$17,I$17,$G449=$G$18,I$18,$G449=$G$19,I$19,$G449=$G$20,I$20,$G449=$G$21,I$21,$G449=$G$22,I$22,$G449=$G$25,I$25,$G449=$G$26,I$26,$G449=$G$27,I$27,$G449=$G$29,I$29,$G449=$G$31,I$31,$G449=$G$32,I$150,$G449=$G$248,I$248,$G449=$G$250,I$250)</f>
        <v>2.1569609999999999</v>
      </c>
      <c r="J449" cm="1">
        <f t="array" ref="J449">_xlfn.IFS($G449=$G$5,J$5,$G449=$G$6,J$6,$G449=$G$7,J$7,$G449=$G$8,J$8,$G449=$G$9,J$9,$G449=$G$10,J$10,$G449=$G$11,J$11,$G449=$G$12,J$12,$G449=$G$13,J$13,$G449=$G$15,J$15,$G449=$G$16,J$16,$G449=$G$17,J$17,$G449=$G$18,J$18,$G449=$G$19,J$19,$G449=$G$20,J$20,$G449=$G$21,J$21,$G449=$G$22,J$22,$G449=$G$25,J$25,$G449=$G$26,J$26,$G449=$G$27,J$27,$G449=$G$29,J$29,$G449=$G$31,J$31,$G449=$G$32,J$150,$G449=$G$248,J$248,$G449=$G$250,J$250)</f>
        <v>91</v>
      </c>
      <c r="K449" t="str" cm="1">
        <f t="array" ref="K449">_xlfn.IFS($G449=$G$5,K$5,$G449=$G$6,K$6,$G449=$G$7,K$7,$G449=$G$8,K$8,$G449=$G$9,K$9,$G449=$G$10,K$10,$G449=$G$11,K$11,$G449=$G$12,K$12,$G449=$G$13,K$13,$G449=$G$15,K$15,$G449=$G$16,K$16,$G449=$G$17,K$17,$G449=$G$18,K$18,$G449=$G$19,K$19,$G449=$G$20,K$20,$G449=$G$21,K$21,$G449=$G$22,K$22,$G449=$G$25,K$25,$G449=$G$26,K$26,$G449=$G$27,K$27,$G449=$G$29,K$29,$G449=$G$31,K$31,$G449=$G$32,K$150,$G449=$G$248,K$248,$G449=$G$250,K$250)</f>
        <v>BG sentinel + BG lure7</v>
      </c>
      <c r="L449" s="48"/>
      <c r="M449" s="48"/>
      <c r="O449" s="45" t="str">
        <f t="shared" si="37"/>
        <v>A_SP_BCN_11_210722</v>
      </c>
      <c r="P449" s="64">
        <v>44399</v>
      </c>
      <c r="R449" s="72"/>
      <c r="S449" s="64">
        <v>44406</v>
      </c>
      <c r="U449" s="72"/>
      <c r="V449" s="54" t="s">
        <v>66</v>
      </c>
      <c r="X449" s="45">
        <f t="shared" si="38"/>
        <v>7</v>
      </c>
      <c r="Z449" s="45" t="s">
        <v>70</v>
      </c>
      <c r="AA449" s="45">
        <f t="shared" si="36"/>
        <v>8</v>
      </c>
      <c r="AB449" t="str">
        <f t="shared" si="39"/>
        <v>Adult</v>
      </c>
      <c r="AC449" s="69">
        <v>5</v>
      </c>
      <c r="AD449" s="69">
        <v>3</v>
      </c>
      <c r="AE449" s="45" t="str">
        <f t="shared" si="40"/>
        <v>Morphological</v>
      </c>
      <c r="AF449" s="56">
        <v>4</v>
      </c>
    </row>
    <row r="450" spans="1:32" ht="18" customHeight="1" x14ac:dyDescent="0.25">
      <c r="A450" s="45">
        <v>446</v>
      </c>
      <c r="B450" s="45" t="s">
        <v>60</v>
      </c>
      <c r="C450" s="45" t="s">
        <v>61</v>
      </c>
      <c r="D450" s="45" t="s">
        <v>62</v>
      </c>
      <c r="E450" s="45" t="s">
        <v>62</v>
      </c>
      <c r="F450" s="46" cm="1">
        <f t="array" ref="F450">_xlfn.IFS($G450=$G$5,F$5,$G450=$G$6,F$6,$G450=$G$7,F$7,$G450=$G$8,F$8,$G450=$G$9,F$9,$G450=$G$10,F$10,$G450=$G$11,F$11,$G450=$G$12,F$12,$G450=$G$13,F$13,$G450=$G$15,F$15,$G450=$G$16,F$16,$G450=$G$17,F$17,$G450=$G$18,F$18,$G450=$G$19,F$19,$G450=$G$20,F$20,$G450=$G$21,F$21,$G450=$G$22,F$22,$G450=$G$25,F$25,$G450=$G$26,F$26,$G450=$G$27,F$27,$G450=$G$29,F$29,$G450=$G$31,F$31,$G450=$G$32,F$32,$G450=$G$248,F$248,$G450=$G$250,F$250)</f>
        <v>8038</v>
      </c>
      <c r="G450" t="s">
        <v>84</v>
      </c>
      <c r="H450" s="66" cm="1">
        <f t="array" ref="H450">_xlfn.IFS($G450=$G$5,H$5,$G450=$G$6,H$6,$G450=$G$7,H$7,$G450=$G$8,H$8,$G450=$G$9,H$9,$G450=$G$10,H$10,$G450=$G$11,H$11,$G450=$G$12,H$12,$G450=$G$13,H$13,$G450=$G$15,H$15,$G450=$G$16,H$16,$G450=$G$17,H$17,$G450=$G$18,H$18,$G450=$G$19,H$19,$G450=$G$20,H$20,$G450=$G$21,H$21,$G450=$G$22,H$22,$G450=$G$25,H$25,$G450=$G$26,H$26,$G450=$G$27,H$27,$G450=$G$29,H$29,$G450=$G$31,H$31,$G450=$G$32,H$150,$G450=$G$248,H$248,$G450=$G$250,H$250)</f>
        <v>41.363377999999997</v>
      </c>
      <c r="I450" s="78" cm="1">
        <f t="array" ref="I450">_xlfn.IFS($G450=$G$5,I$5,$G450=$G$6,I$6,$G450=$G$7,I$7,$G450=$G$8,I$8,$G450=$G$9,I$9,$G450=$G$10,I$10,$G450=$G$11,I$11,$G450=$G$12,I$12,$G450=$G$13,I$13,$G450=$G$15,I$15,$G450=$G$16,I$16,$G450=$G$17,I$17,$G450=$G$18,I$18,$G450=$G$19,I$19,$G450=$G$20,I$20,$G450=$G$21,I$21,$G450=$G$22,I$22,$G450=$G$25,I$25,$G450=$G$26,I$26,$G450=$G$27,I$27,$G450=$G$29,I$29,$G450=$G$31,I$31,$G450=$G$32,I$150,$G450=$G$248,I$248,$G450=$G$250,I$250)</f>
        <v>2.164879</v>
      </c>
      <c r="J450" cm="1">
        <f t="array" ref="J450">_xlfn.IFS($G450=$G$5,J$5,$G450=$G$6,J$6,$G450=$G$7,J$7,$G450=$G$8,J$8,$G450=$G$9,J$9,$G450=$G$10,J$10,$G450=$G$11,J$11,$G450=$G$12,J$12,$G450=$G$13,J$13,$G450=$G$15,J$15,$G450=$G$16,J$16,$G450=$G$17,J$17,$G450=$G$18,J$18,$G450=$G$19,J$19,$G450=$G$20,J$20,$G450=$G$21,J$21,$G450=$G$22,J$22,$G450=$G$25,J$25,$G450=$G$26,J$26,$G450=$G$27,J$27,$G450=$G$29,J$29,$G450=$G$31,J$31,$G450=$G$32,J$150,$G450=$G$248,J$248,$G450=$G$250,J$250)</f>
        <v>185</v>
      </c>
      <c r="K450" t="str" cm="1">
        <f t="array" ref="K450">_xlfn.IFS($G450=$G$5,K$5,$G450=$G$6,K$6,$G450=$G$7,K$7,$G450=$G$8,K$8,$G450=$G$9,K$9,$G450=$G$10,K$10,$G450=$G$11,K$11,$G450=$G$12,K$12,$G450=$G$13,K$13,$G450=$G$15,K$15,$G450=$G$16,K$16,$G450=$G$17,K$17,$G450=$G$18,K$18,$G450=$G$19,K$19,$G450=$G$20,K$20,$G450=$G$21,K$21,$G450=$G$22,K$22,$G450=$G$25,K$25,$G450=$G$26,K$26,$G450=$G$27,K$27,$G450=$G$29,K$29,$G450=$G$31,K$31,$G450=$G$32,K$150,$G450=$G$248,K$248,$G450=$G$250,K$250)</f>
        <v>BG sentinel + BG lure7</v>
      </c>
      <c r="L450" s="48"/>
      <c r="M450" s="48"/>
      <c r="O450" s="45" t="str">
        <f t="shared" si="37"/>
        <v>A_SP_BCN_12_210722</v>
      </c>
      <c r="P450" s="64">
        <v>44399</v>
      </c>
      <c r="R450" s="72"/>
      <c r="S450" s="64">
        <v>44406</v>
      </c>
      <c r="U450" s="72"/>
      <c r="V450" s="54" t="s">
        <v>66</v>
      </c>
      <c r="X450" s="45">
        <f t="shared" si="38"/>
        <v>7</v>
      </c>
      <c r="Z450" s="69" t="s">
        <v>69</v>
      </c>
      <c r="AA450" s="45">
        <f t="shared" si="36"/>
        <v>4</v>
      </c>
      <c r="AB450" t="str">
        <f t="shared" si="39"/>
        <v>Adult</v>
      </c>
      <c r="AC450" s="69">
        <v>3</v>
      </c>
      <c r="AD450" s="69">
        <v>1</v>
      </c>
      <c r="AE450" s="45" t="str">
        <f t="shared" si="40"/>
        <v>Morphological</v>
      </c>
      <c r="AF450" s="56">
        <v>4</v>
      </c>
    </row>
    <row r="451" spans="1:32" ht="18" customHeight="1" x14ac:dyDescent="0.25">
      <c r="A451" s="45">
        <v>447</v>
      </c>
      <c r="B451" s="45" t="s">
        <v>60</v>
      </c>
      <c r="C451" s="45" t="s">
        <v>61</v>
      </c>
      <c r="D451" s="45" t="s">
        <v>62</v>
      </c>
      <c r="E451" s="45" t="s">
        <v>62</v>
      </c>
      <c r="F451" s="46" cm="1">
        <f t="array" ref="F451">_xlfn.IFS($G451=$G$5,F$5,$G451=$G$6,F$6,$G451=$G$7,F$7,$G451=$G$8,F$8,$G451=$G$9,F$9,$G451=$G$10,F$10,$G451=$G$11,F$11,$G451=$G$12,F$12,$G451=$G$13,F$13,$G451=$G$15,F$15,$G451=$G$16,F$16,$G451=$G$17,F$17,$G451=$G$18,F$18,$G451=$G$19,F$19,$G451=$G$20,F$20,$G451=$G$21,F$21,$G451=$G$22,F$22,$G451=$G$25,F$25,$G451=$G$26,F$26,$G451=$G$27,F$27,$G451=$G$29,F$29,$G451=$G$31,F$31,$G451=$G$32,F$32,$G451=$G$248,F$248,$G451=$G$250,F$250)</f>
        <v>8038</v>
      </c>
      <c r="G451" t="s">
        <v>84</v>
      </c>
      <c r="H451" s="66" cm="1">
        <f t="array" ref="H451">_xlfn.IFS($G451=$G$5,H$5,$G451=$G$6,H$6,$G451=$G$7,H$7,$G451=$G$8,H$8,$G451=$G$9,H$9,$G451=$G$10,H$10,$G451=$G$11,H$11,$G451=$G$12,H$12,$G451=$G$13,H$13,$G451=$G$15,H$15,$G451=$G$16,H$16,$G451=$G$17,H$17,$G451=$G$18,H$18,$G451=$G$19,H$19,$G451=$G$20,H$20,$G451=$G$21,H$21,$G451=$G$22,H$22,$G451=$G$25,H$25,$G451=$G$26,H$26,$G451=$G$27,H$27,$G451=$G$29,H$29,$G451=$G$31,H$31,$G451=$G$32,H$150,$G451=$G$248,H$248,$G451=$G$250,H$250)</f>
        <v>41.363377999999997</v>
      </c>
      <c r="I451" s="78" cm="1">
        <f t="array" ref="I451">_xlfn.IFS($G451=$G$5,I$5,$G451=$G$6,I$6,$G451=$G$7,I$7,$G451=$G$8,I$8,$G451=$G$9,I$9,$G451=$G$10,I$10,$G451=$G$11,I$11,$G451=$G$12,I$12,$G451=$G$13,I$13,$G451=$G$15,I$15,$G451=$G$16,I$16,$G451=$G$17,I$17,$G451=$G$18,I$18,$G451=$G$19,I$19,$G451=$G$20,I$20,$G451=$G$21,I$21,$G451=$G$22,I$22,$G451=$G$25,I$25,$G451=$G$26,I$26,$G451=$G$27,I$27,$G451=$G$29,I$29,$G451=$G$31,I$31,$G451=$G$32,I$150,$G451=$G$248,I$248,$G451=$G$250,I$250)</f>
        <v>2.164879</v>
      </c>
      <c r="J451" cm="1">
        <f t="array" ref="J451">_xlfn.IFS($G451=$G$5,J$5,$G451=$G$6,J$6,$G451=$G$7,J$7,$G451=$G$8,J$8,$G451=$G$9,J$9,$G451=$G$10,J$10,$G451=$G$11,J$11,$G451=$G$12,J$12,$G451=$G$13,J$13,$G451=$G$15,J$15,$G451=$G$16,J$16,$G451=$G$17,J$17,$G451=$G$18,J$18,$G451=$G$19,J$19,$G451=$G$20,J$20,$G451=$G$21,J$21,$G451=$G$22,J$22,$G451=$G$25,J$25,$G451=$G$26,J$26,$G451=$G$27,J$27,$G451=$G$29,J$29,$G451=$G$31,J$31,$G451=$G$32,J$150,$G451=$G$248,J$248,$G451=$G$250,J$250)</f>
        <v>185</v>
      </c>
      <c r="K451" t="str" cm="1">
        <f t="array" ref="K451">_xlfn.IFS($G451=$G$5,K$5,$G451=$G$6,K$6,$G451=$G$7,K$7,$G451=$G$8,K$8,$G451=$G$9,K$9,$G451=$G$10,K$10,$G451=$G$11,K$11,$G451=$G$12,K$12,$G451=$G$13,K$13,$G451=$G$15,K$15,$G451=$G$16,K$16,$G451=$G$17,K$17,$G451=$G$18,K$18,$G451=$G$19,K$19,$G451=$G$20,K$20,$G451=$G$21,K$21,$G451=$G$22,K$22,$G451=$G$25,K$25,$G451=$G$26,K$26,$G451=$G$27,K$27,$G451=$G$29,K$29,$G451=$G$31,K$31,$G451=$G$32,K$150,$G451=$G$248,K$248,$G451=$G$250,K$250)</f>
        <v>BG sentinel + BG lure7</v>
      </c>
      <c r="L451" s="48"/>
      <c r="M451" s="48"/>
      <c r="O451" s="45" t="str">
        <f t="shared" si="37"/>
        <v>A_SP_BCN_12_210722</v>
      </c>
      <c r="P451" s="64">
        <v>44399</v>
      </c>
      <c r="R451" s="72"/>
      <c r="S451" s="64">
        <v>44406</v>
      </c>
      <c r="U451" s="72"/>
      <c r="V451" s="54" t="s">
        <v>66</v>
      </c>
      <c r="X451" s="45">
        <f t="shared" si="38"/>
        <v>7</v>
      </c>
      <c r="Z451" s="45" t="s">
        <v>70</v>
      </c>
      <c r="AA451" s="45">
        <f t="shared" si="36"/>
        <v>21</v>
      </c>
      <c r="AB451" t="str">
        <f t="shared" si="39"/>
        <v>Adult</v>
      </c>
      <c r="AC451" s="69">
        <v>18</v>
      </c>
      <c r="AD451" s="69">
        <v>3</v>
      </c>
      <c r="AE451" s="45" t="str">
        <f t="shared" si="40"/>
        <v>Morphological</v>
      </c>
      <c r="AF451" s="56">
        <v>4</v>
      </c>
    </row>
    <row r="452" spans="1:32" ht="18" customHeight="1" x14ac:dyDescent="0.25">
      <c r="A452" s="45">
        <v>448</v>
      </c>
      <c r="B452" s="45" t="s">
        <v>60</v>
      </c>
      <c r="C452" s="45" t="s">
        <v>61</v>
      </c>
      <c r="D452" s="45" t="s">
        <v>62</v>
      </c>
      <c r="E452" s="45" t="s">
        <v>62</v>
      </c>
      <c r="F452" s="46" cm="1">
        <f t="array" ref="F452">_xlfn.IFS($G452=$G$5,F$5,$G452=$G$6,F$6,$G452=$G$7,F$7,$G452=$G$8,F$8,$G452=$G$9,F$9,$G452=$G$10,F$10,$G452=$G$11,F$11,$G452=$G$12,F$12,$G452=$G$13,F$13,$G452=$G$15,F$15,$G452=$G$16,F$16,$G452=$G$17,F$17,$G452=$G$18,F$18,$G452=$G$19,F$19,$G452=$G$20,F$20,$G452=$G$21,F$21,$G452=$G$22,F$22,$G452=$G$25,F$25,$G452=$G$26,F$26,$G452=$G$27,F$27,$G452=$G$29,F$29,$G452=$G$31,F$31,$G452=$G$32,F$32,$G452=$G$248,F$248,$G452=$G$250,F$250)</f>
        <v>8038</v>
      </c>
      <c r="G452" t="s">
        <v>84</v>
      </c>
      <c r="H452" s="66" cm="1">
        <f t="array" ref="H452">_xlfn.IFS($G452=$G$5,H$5,$G452=$G$6,H$6,$G452=$G$7,H$7,$G452=$G$8,H$8,$G452=$G$9,H$9,$G452=$G$10,H$10,$G452=$G$11,H$11,$G452=$G$12,H$12,$G452=$G$13,H$13,$G452=$G$15,H$15,$G452=$G$16,H$16,$G452=$G$17,H$17,$G452=$G$18,H$18,$G452=$G$19,H$19,$G452=$G$20,H$20,$G452=$G$21,H$21,$G452=$G$22,H$22,$G452=$G$25,H$25,$G452=$G$26,H$26,$G452=$G$27,H$27,$G452=$G$29,H$29,$G452=$G$31,H$31,$G452=$G$32,H$150,$G452=$G$248,H$248,$G452=$G$250,H$250)</f>
        <v>41.363377999999997</v>
      </c>
      <c r="I452" s="78" cm="1">
        <f t="array" ref="I452">_xlfn.IFS($G452=$G$5,I$5,$G452=$G$6,I$6,$G452=$G$7,I$7,$G452=$G$8,I$8,$G452=$G$9,I$9,$G452=$G$10,I$10,$G452=$G$11,I$11,$G452=$G$12,I$12,$G452=$G$13,I$13,$G452=$G$15,I$15,$G452=$G$16,I$16,$G452=$G$17,I$17,$G452=$G$18,I$18,$G452=$G$19,I$19,$G452=$G$20,I$20,$G452=$G$21,I$21,$G452=$G$22,I$22,$G452=$G$25,I$25,$G452=$G$26,I$26,$G452=$G$27,I$27,$G452=$G$29,I$29,$G452=$G$31,I$31,$G452=$G$32,I$150,$G452=$G$248,I$248,$G452=$G$250,I$250)</f>
        <v>2.164879</v>
      </c>
      <c r="J452" cm="1">
        <f t="array" ref="J452">_xlfn.IFS($G452=$G$5,J$5,$G452=$G$6,J$6,$G452=$G$7,J$7,$G452=$G$8,J$8,$G452=$G$9,J$9,$G452=$G$10,J$10,$G452=$G$11,J$11,$G452=$G$12,J$12,$G452=$G$13,J$13,$G452=$G$15,J$15,$G452=$G$16,J$16,$G452=$G$17,J$17,$G452=$G$18,J$18,$G452=$G$19,J$19,$G452=$G$20,J$20,$G452=$G$21,J$21,$G452=$G$22,J$22,$G452=$G$25,J$25,$G452=$G$26,J$26,$G452=$G$27,J$27,$G452=$G$29,J$29,$G452=$G$31,J$31,$G452=$G$32,J$150,$G452=$G$248,J$248,$G452=$G$250,J$250)</f>
        <v>185</v>
      </c>
      <c r="K452" t="str" cm="1">
        <f t="array" ref="K452">_xlfn.IFS($G452=$G$5,K$5,$G452=$G$6,K$6,$G452=$G$7,K$7,$G452=$G$8,K$8,$G452=$G$9,K$9,$G452=$G$10,K$10,$G452=$G$11,K$11,$G452=$G$12,K$12,$G452=$G$13,K$13,$G452=$G$15,K$15,$G452=$G$16,K$16,$G452=$G$17,K$17,$G452=$G$18,K$18,$G452=$G$19,K$19,$G452=$G$20,K$20,$G452=$G$21,K$21,$G452=$G$22,K$22,$G452=$G$25,K$25,$G452=$G$26,K$26,$G452=$G$27,K$27,$G452=$G$29,K$29,$G452=$G$31,K$31,$G452=$G$32,K$150,$G452=$G$248,K$248,$G452=$G$250,K$250)</f>
        <v>BG sentinel + BG lure7</v>
      </c>
      <c r="L452" s="48"/>
      <c r="M452" s="48"/>
      <c r="O452" s="45" t="str">
        <f t="shared" si="37"/>
        <v>A_SP_BCN_12_210722</v>
      </c>
      <c r="P452" s="64">
        <v>44399</v>
      </c>
      <c r="R452" s="72"/>
      <c r="S452" s="64">
        <v>44406</v>
      </c>
      <c r="U452" s="72"/>
      <c r="V452" s="54" t="s">
        <v>66</v>
      </c>
      <c r="X452" s="45">
        <f t="shared" si="38"/>
        <v>7</v>
      </c>
      <c r="Z452" s="45" t="s">
        <v>80</v>
      </c>
      <c r="AA452" s="45">
        <f t="shared" si="36"/>
        <v>13</v>
      </c>
      <c r="AB452" t="str">
        <f t="shared" si="39"/>
        <v>Adult</v>
      </c>
      <c r="AC452" s="69">
        <v>7</v>
      </c>
      <c r="AD452" s="69">
        <v>6</v>
      </c>
      <c r="AE452" s="45" t="str">
        <f t="shared" si="40"/>
        <v>Morphological</v>
      </c>
      <c r="AF452" s="56">
        <v>4</v>
      </c>
    </row>
    <row r="453" spans="1:32" ht="18" customHeight="1" x14ac:dyDescent="0.25">
      <c r="A453" s="45">
        <v>449</v>
      </c>
      <c r="B453" s="45" t="s">
        <v>60</v>
      </c>
      <c r="C453" s="45" t="s">
        <v>61</v>
      </c>
      <c r="D453" s="45" t="s">
        <v>62</v>
      </c>
      <c r="E453" s="45" t="s">
        <v>62</v>
      </c>
      <c r="F453" s="46" cm="1">
        <f t="array" ref="F453">_xlfn.IFS($G453=$G$5,F$5,$G453=$G$6,F$6,$G453=$G$7,F$7,$G453=$G$8,F$8,$G453=$G$9,F$9,$G453=$G$10,F$10,$G453=$G$11,F$11,$G453=$G$12,F$12,$G453=$G$13,F$13,$G453=$G$15,F$15,$G453=$G$16,F$16,$G453=$G$17,F$17,$G453=$G$18,F$18,$G453=$G$19,F$19,$G453=$G$20,F$20,$G453=$G$21,F$21,$G453=$G$22,F$22,$G453=$G$25,F$25,$G453=$G$26,F$26,$G453=$G$27,F$27,$G453=$G$29,F$29,$G453=$G$31,F$31,$G453=$G$32,F$32,$G453=$G$248,F$248,$G453=$G$250,F$250)</f>
        <v>8035</v>
      </c>
      <c r="G453" t="s">
        <v>85</v>
      </c>
      <c r="H453" s="66" cm="1">
        <f t="array" ref="H453">_xlfn.IFS($G453=$G$5,H$5,$G453=$G$6,H$6,$G453=$G$7,H$7,$G453=$G$8,H$8,$G453=$G$9,H$9,$G453=$G$10,H$10,$G453=$G$11,H$11,$G453=$G$12,H$12,$G453=$G$13,H$13,$G453=$G$15,H$15,$G453=$G$16,H$16,$G453=$G$17,H$17,$G453=$G$18,H$18,$G453=$G$19,H$19,$G453=$G$20,H$20,$G453=$G$21,H$21,$G453=$G$22,H$22,$G453=$G$25,H$25,$G453=$G$26,H$26,$G453=$G$27,H$27,$G453=$G$29,H$29,$G453=$G$31,H$31,$G453=$G$32,H$150,$G453=$G$248,H$248,$G453=$G$250,H$250)</f>
        <v>41.434472</v>
      </c>
      <c r="I453" s="78" cm="1">
        <f t="array" ref="I453">_xlfn.IFS($G453=$G$5,I$5,$G453=$G$6,I$6,$G453=$G$7,I$7,$G453=$G$8,I$8,$G453=$G$9,I$9,$G453=$G$10,I$10,$G453=$G$11,I$11,$G453=$G$12,I$12,$G453=$G$13,I$13,$G453=$G$15,I$15,$G453=$G$16,I$16,$G453=$G$17,I$17,$G453=$G$18,I$18,$G453=$G$19,I$19,$G453=$G$20,I$20,$G453=$G$21,I$21,$G453=$G$22,I$22,$G453=$G$25,I$25,$G453=$G$26,I$26,$G453=$G$27,I$27,$G453=$G$29,I$29,$G453=$G$31,I$31,$G453=$G$32,I$150,$G453=$G$248,I$248,$G453=$G$250,I$250)</f>
        <v>2.1315789999999999</v>
      </c>
      <c r="J453" cm="1">
        <f t="array" ref="J453">_xlfn.IFS($G453=$G$5,J$5,$G453=$G$6,J$6,$G453=$G$7,J$7,$G453=$G$8,J$8,$G453=$G$9,J$9,$G453=$G$10,J$10,$G453=$G$11,J$11,$G453=$G$12,J$12,$G453=$G$13,J$13,$G453=$G$15,J$15,$G453=$G$16,J$16,$G453=$G$17,J$17,$G453=$G$18,J$18,$G453=$G$19,J$19,$G453=$G$20,J$20,$G453=$G$21,J$21,$G453=$G$22,J$22,$G453=$G$25,J$25,$G453=$G$26,J$26,$G453=$G$27,J$27,$G453=$G$29,J$29,$G453=$G$31,J$31,$G453=$G$32,J$150,$G453=$G$248,J$248,$G453=$G$250,J$250)</f>
        <v>365</v>
      </c>
      <c r="K453" t="str" cm="1">
        <f t="array" ref="K453">_xlfn.IFS($G453=$G$5,K$5,$G453=$G$6,K$6,$G453=$G$7,K$7,$G453=$G$8,K$8,$G453=$G$9,K$9,$G453=$G$10,K$10,$G453=$G$11,K$11,$G453=$G$12,K$12,$G453=$G$13,K$13,$G453=$G$15,K$15,$G453=$G$16,K$16,$G453=$G$17,K$17,$G453=$G$18,K$18,$G453=$G$19,K$19,$G453=$G$20,K$20,$G453=$G$21,K$21,$G453=$G$22,K$22,$G453=$G$25,K$25,$G453=$G$26,K$26,$G453=$G$27,K$27,$G453=$G$29,K$29,$G453=$G$31,K$31,$G453=$G$32,K$150,$G453=$G$248,K$248,$G453=$G$250,K$250)</f>
        <v>BG sentinel + BG lure7</v>
      </c>
      <c r="L453" s="48"/>
      <c r="M453" s="48"/>
      <c r="O453" s="45" t="str">
        <f t="shared" si="37"/>
        <v>A_SP_BCN_13_210721</v>
      </c>
      <c r="P453" s="64">
        <v>44398</v>
      </c>
      <c r="R453" s="72"/>
      <c r="S453" s="64">
        <v>44405</v>
      </c>
      <c r="U453" s="72"/>
      <c r="V453" s="54" t="s">
        <v>66</v>
      </c>
      <c r="X453" s="45">
        <f t="shared" si="38"/>
        <v>7</v>
      </c>
      <c r="Z453" s="69" t="s">
        <v>69</v>
      </c>
      <c r="AA453" s="45">
        <f t="shared" si="36"/>
        <v>1</v>
      </c>
      <c r="AB453" t="str">
        <f t="shared" si="39"/>
        <v>Adult</v>
      </c>
      <c r="AC453" s="69">
        <v>1</v>
      </c>
      <c r="AD453" s="69">
        <v>0</v>
      </c>
      <c r="AE453" s="45" t="str">
        <f t="shared" si="40"/>
        <v>Morphological</v>
      </c>
      <c r="AF453" s="56">
        <v>4</v>
      </c>
    </row>
    <row r="454" spans="1:32" ht="18" customHeight="1" x14ac:dyDescent="0.25">
      <c r="A454" s="45">
        <v>450</v>
      </c>
      <c r="B454" s="45" t="s">
        <v>60</v>
      </c>
      <c r="C454" s="45" t="s">
        <v>61</v>
      </c>
      <c r="D454" s="45" t="s">
        <v>62</v>
      </c>
      <c r="E454" s="45" t="s">
        <v>62</v>
      </c>
      <c r="F454" s="46" cm="1">
        <f t="array" ref="F454">_xlfn.IFS($G454=$G$5,F$5,$G454=$G$6,F$6,$G454=$G$7,F$7,$G454=$G$8,F$8,$G454=$G$9,F$9,$G454=$G$10,F$10,$G454=$G$11,F$11,$G454=$G$12,F$12,$G454=$G$13,F$13,$G454=$G$15,F$15,$G454=$G$16,F$16,$G454=$G$17,F$17,$G454=$G$18,F$18,$G454=$G$19,F$19,$G454=$G$20,F$20,$G454=$G$21,F$21,$G454=$G$22,F$22,$G454=$G$25,F$25,$G454=$G$26,F$26,$G454=$G$27,F$27,$G454=$G$29,F$29,$G454=$G$31,F$31,$G454=$G$32,F$32,$G454=$G$248,F$248,$G454=$G$250,F$250)</f>
        <v>8035</v>
      </c>
      <c r="G454" t="s">
        <v>85</v>
      </c>
      <c r="H454" s="66" cm="1">
        <f t="array" ref="H454">_xlfn.IFS($G454=$G$5,H$5,$G454=$G$6,H$6,$G454=$G$7,H$7,$G454=$G$8,H$8,$G454=$G$9,H$9,$G454=$G$10,H$10,$G454=$G$11,H$11,$G454=$G$12,H$12,$G454=$G$13,H$13,$G454=$G$15,H$15,$G454=$G$16,H$16,$G454=$G$17,H$17,$G454=$G$18,H$18,$G454=$G$19,H$19,$G454=$G$20,H$20,$G454=$G$21,H$21,$G454=$G$22,H$22,$G454=$G$25,H$25,$G454=$G$26,H$26,$G454=$G$27,H$27,$G454=$G$29,H$29,$G454=$G$31,H$31,$G454=$G$32,H$150,$G454=$G$248,H$248,$G454=$G$250,H$250)</f>
        <v>41.434472</v>
      </c>
      <c r="I454" s="78" cm="1">
        <f t="array" ref="I454">_xlfn.IFS($G454=$G$5,I$5,$G454=$G$6,I$6,$G454=$G$7,I$7,$G454=$G$8,I$8,$G454=$G$9,I$9,$G454=$G$10,I$10,$G454=$G$11,I$11,$G454=$G$12,I$12,$G454=$G$13,I$13,$G454=$G$15,I$15,$G454=$G$16,I$16,$G454=$G$17,I$17,$G454=$G$18,I$18,$G454=$G$19,I$19,$G454=$G$20,I$20,$G454=$G$21,I$21,$G454=$G$22,I$22,$G454=$G$25,I$25,$G454=$G$26,I$26,$G454=$G$27,I$27,$G454=$G$29,I$29,$G454=$G$31,I$31,$G454=$G$32,I$150,$G454=$G$248,I$248,$G454=$G$250,I$250)</f>
        <v>2.1315789999999999</v>
      </c>
      <c r="J454" cm="1">
        <f t="array" ref="J454">_xlfn.IFS($G454=$G$5,J$5,$G454=$G$6,J$6,$G454=$G$7,J$7,$G454=$G$8,J$8,$G454=$G$9,J$9,$G454=$G$10,J$10,$G454=$G$11,J$11,$G454=$G$12,J$12,$G454=$G$13,J$13,$G454=$G$15,J$15,$G454=$G$16,J$16,$G454=$G$17,J$17,$G454=$G$18,J$18,$G454=$G$19,J$19,$G454=$G$20,J$20,$G454=$G$21,J$21,$G454=$G$22,J$22,$G454=$G$25,J$25,$G454=$G$26,J$26,$G454=$G$27,J$27,$G454=$G$29,J$29,$G454=$G$31,J$31,$G454=$G$32,J$150,$G454=$G$248,J$248,$G454=$G$250,J$250)</f>
        <v>365</v>
      </c>
      <c r="K454" t="str" cm="1">
        <f t="array" ref="K454">_xlfn.IFS($G454=$G$5,K$5,$G454=$G$6,K$6,$G454=$G$7,K$7,$G454=$G$8,K$8,$G454=$G$9,K$9,$G454=$G$10,K$10,$G454=$G$11,K$11,$G454=$G$12,K$12,$G454=$G$13,K$13,$G454=$G$15,K$15,$G454=$G$16,K$16,$G454=$G$17,K$17,$G454=$G$18,K$18,$G454=$G$19,K$19,$G454=$G$20,K$20,$G454=$G$21,K$21,$G454=$G$22,K$22,$G454=$G$25,K$25,$G454=$G$26,K$26,$G454=$G$27,K$27,$G454=$G$29,K$29,$G454=$G$31,K$31,$G454=$G$32,K$150,$G454=$G$248,K$248,$G454=$G$250,K$250)</f>
        <v>BG sentinel + BG lure7</v>
      </c>
      <c r="L454" s="48"/>
      <c r="M454" s="48"/>
      <c r="O454" s="45" t="str">
        <f t="shared" si="37"/>
        <v>A_SP_BCN_13_210721</v>
      </c>
      <c r="P454" s="64">
        <v>44398</v>
      </c>
      <c r="R454" s="72"/>
      <c r="S454" s="64">
        <v>44405</v>
      </c>
      <c r="U454" s="72"/>
      <c r="V454" s="54" t="s">
        <v>66</v>
      </c>
      <c r="X454" s="45">
        <f t="shared" si="38"/>
        <v>7</v>
      </c>
      <c r="Z454" s="45" t="s">
        <v>80</v>
      </c>
      <c r="AA454" s="45">
        <f t="shared" si="36"/>
        <v>5</v>
      </c>
      <c r="AB454" t="str">
        <f t="shared" si="39"/>
        <v>Adult</v>
      </c>
      <c r="AC454" s="69">
        <v>4</v>
      </c>
      <c r="AD454" s="69">
        <v>1</v>
      </c>
      <c r="AE454" s="45" t="str">
        <f t="shared" si="40"/>
        <v>Morphological</v>
      </c>
      <c r="AF454" s="56">
        <v>4</v>
      </c>
    </row>
    <row r="455" spans="1:32" ht="18" customHeight="1" x14ac:dyDescent="0.25">
      <c r="A455" s="45">
        <v>451</v>
      </c>
      <c r="B455" s="45" t="s">
        <v>60</v>
      </c>
      <c r="C455" s="45" t="s">
        <v>61</v>
      </c>
      <c r="D455" s="45" t="s">
        <v>62</v>
      </c>
      <c r="E455" s="45" t="s">
        <v>62</v>
      </c>
      <c r="F455" s="46" cm="1">
        <f t="array" ref="F455">_xlfn.IFS($G455=$G$5,F$5,$G455=$G$6,F$6,$G455=$G$7,F$7,$G455=$G$8,F$8,$G455=$G$9,F$9,$G455=$G$10,F$10,$G455=$G$11,F$11,$G455=$G$12,F$12,$G455=$G$13,F$13,$G455=$G$15,F$15,$G455=$G$16,F$16,$G455=$G$17,F$17,$G455=$G$18,F$18,$G455=$G$19,F$19,$G455=$G$20,F$20,$G455=$G$21,F$21,$G455=$G$22,F$22,$G455=$G$25,F$25,$G455=$G$26,F$26,$G455=$G$27,F$27,$G455=$G$29,F$29,$G455=$G$31,F$31,$G455=$G$32,F$32,$G455=$G$248,F$248,$G455=$G$250,F$250)</f>
        <v>8017</v>
      </c>
      <c r="G455" t="s">
        <v>86</v>
      </c>
      <c r="H455" s="66" cm="1">
        <f t="array" ref="H455">_xlfn.IFS($G455=$G$5,H$5,$G455=$G$6,H$6,$G455=$G$7,H$7,$G455=$G$8,H$8,$G455=$G$9,H$9,$G455=$G$10,H$10,$G455=$G$11,H$11,$G455=$G$12,H$12,$G455=$G$13,H$13,$G455=$G$15,H$15,$G455=$G$16,H$16,$G455=$G$17,H$17,$G455=$G$18,H$18,$G455=$G$19,H$19,$G455=$G$20,H$20,$G455=$G$21,H$21,$G455=$G$22,H$22,$G455=$G$25,H$25,$G455=$G$26,H$26,$G455=$G$27,H$27,$G455=$G$29,H$29,$G455=$G$31,H$31,$G455=$G$32,H$150,$G455=$G$248,H$248,$G455=$G$250,H$250)</f>
        <v>41.428533999999999</v>
      </c>
      <c r="I455" s="78" cm="1">
        <f t="array" ref="I455">_xlfn.IFS($G455=$G$5,I$5,$G455=$G$6,I$6,$G455=$G$7,I$7,$G455=$G$8,I$8,$G455=$G$9,I$9,$G455=$G$10,I$10,$G455=$G$11,I$11,$G455=$G$12,I$12,$G455=$G$13,I$13,$G455=$G$15,I$15,$G455=$G$16,I$16,$G455=$G$17,I$17,$G455=$G$18,I$18,$G455=$G$19,I$19,$G455=$G$20,I$20,$G455=$G$21,I$21,$G455=$G$22,I$22,$G455=$G$25,I$25,$G455=$G$26,I$26,$G455=$G$27,I$27,$G455=$G$29,I$29,$G455=$G$31,I$31,$G455=$G$32,I$150,$G455=$G$248,I$248,$G455=$G$250,I$250)</f>
        <v>2.090954</v>
      </c>
      <c r="J455" cm="1">
        <f t="array" ref="J455">_xlfn.IFS($G455=$G$5,J$5,$G455=$G$6,J$6,$G455=$G$7,J$7,$G455=$G$8,J$8,$G455=$G$9,J$9,$G455=$G$10,J$10,$G455=$G$11,J$11,$G455=$G$12,J$12,$G455=$G$13,J$13,$G455=$G$15,J$15,$G455=$G$16,J$16,$G455=$G$17,J$17,$G455=$G$18,J$18,$G455=$G$19,J$19,$G455=$G$20,J$20,$G455=$G$21,J$21,$G455=$G$22,J$22,$G455=$G$25,J$25,$G455=$G$26,J$26,$G455=$G$27,J$27,$G455=$G$29,J$29,$G455=$G$31,J$31,$G455=$G$32,J$150,$G455=$G$248,J$248,$G455=$G$250,J$250)</f>
        <v>215</v>
      </c>
      <c r="K455" t="str" cm="1">
        <f t="array" ref="K455">_xlfn.IFS($G455=$G$5,K$5,$G455=$G$6,K$6,$G455=$G$7,K$7,$G455=$G$8,K$8,$G455=$G$9,K$9,$G455=$G$10,K$10,$G455=$G$11,K$11,$G455=$G$12,K$12,$G455=$G$13,K$13,$G455=$G$15,K$15,$G455=$G$16,K$16,$G455=$G$17,K$17,$G455=$G$18,K$18,$G455=$G$19,K$19,$G455=$G$20,K$20,$G455=$G$21,K$21,$G455=$G$22,K$22,$G455=$G$25,K$25,$G455=$G$26,K$26,$G455=$G$27,K$27,$G455=$G$29,K$29,$G455=$G$31,K$31,$G455=$G$32,K$150,$G455=$G$248,K$248,$G455=$G$250,K$250)</f>
        <v>BG sentinel + BG lure7</v>
      </c>
      <c r="L455" s="48"/>
      <c r="M455" s="48"/>
      <c r="O455" s="45" t="str">
        <f t="shared" si="37"/>
        <v>A_SP_BCN_14_210721</v>
      </c>
      <c r="P455" s="64">
        <v>44398</v>
      </c>
      <c r="R455" s="72"/>
      <c r="S455" s="64">
        <v>44405</v>
      </c>
      <c r="U455" s="72"/>
      <c r="V455" s="54" t="s">
        <v>66</v>
      </c>
      <c r="X455" s="45">
        <f t="shared" si="38"/>
        <v>7</v>
      </c>
      <c r="Z455" s="69" t="s">
        <v>69</v>
      </c>
      <c r="AA455" s="45">
        <f t="shared" si="36"/>
        <v>5</v>
      </c>
      <c r="AB455" t="str">
        <f t="shared" si="39"/>
        <v>Adult</v>
      </c>
      <c r="AC455" s="69">
        <v>4</v>
      </c>
      <c r="AD455" s="69">
        <v>1</v>
      </c>
      <c r="AE455" s="45" t="str">
        <f t="shared" si="40"/>
        <v>Morphological</v>
      </c>
      <c r="AF455" s="56">
        <v>4</v>
      </c>
    </row>
    <row r="456" spans="1:32" ht="18" customHeight="1" x14ac:dyDescent="0.25">
      <c r="A456" s="45">
        <v>452</v>
      </c>
      <c r="B456" s="45" t="s">
        <v>60</v>
      </c>
      <c r="C456" s="45" t="s">
        <v>61</v>
      </c>
      <c r="D456" s="45" t="s">
        <v>62</v>
      </c>
      <c r="E456" s="45" t="s">
        <v>62</v>
      </c>
      <c r="F456" s="46" cm="1">
        <f t="array" ref="F456">_xlfn.IFS($G456=$G$5,F$5,$G456=$G$6,F$6,$G456=$G$7,F$7,$G456=$G$8,F$8,$G456=$G$9,F$9,$G456=$G$10,F$10,$G456=$G$11,F$11,$G456=$G$12,F$12,$G456=$G$13,F$13,$G456=$G$15,F$15,$G456=$G$16,F$16,$G456=$G$17,F$17,$G456=$G$18,F$18,$G456=$G$19,F$19,$G456=$G$20,F$20,$G456=$G$21,F$21,$G456=$G$22,F$22,$G456=$G$25,F$25,$G456=$G$26,F$26,$G456=$G$27,F$27,$G456=$G$29,F$29,$G456=$G$31,F$31,$G456=$G$32,F$32,$G456=$G$248,F$248,$G456=$G$250,F$250)</f>
        <v>8017</v>
      </c>
      <c r="G456" t="s">
        <v>86</v>
      </c>
      <c r="H456" s="66" cm="1">
        <f t="array" ref="H456">_xlfn.IFS($G456=$G$5,H$5,$G456=$G$6,H$6,$G456=$G$7,H$7,$G456=$G$8,H$8,$G456=$G$9,H$9,$G456=$G$10,H$10,$G456=$G$11,H$11,$G456=$G$12,H$12,$G456=$G$13,H$13,$G456=$G$15,H$15,$G456=$G$16,H$16,$G456=$G$17,H$17,$G456=$G$18,H$18,$G456=$G$19,H$19,$G456=$G$20,H$20,$G456=$G$21,H$21,$G456=$G$22,H$22,$G456=$G$25,H$25,$G456=$G$26,H$26,$G456=$G$27,H$27,$G456=$G$29,H$29,$G456=$G$31,H$31,$G456=$G$32,H$150,$G456=$G$248,H$248,$G456=$G$250,H$250)</f>
        <v>41.428533999999999</v>
      </c>
      <c r="I456" s="78" cm="1">
        <f t="array" ref="I456">_xlfn.IFS($G456=$G$5,I$5,$G456=$G$6,I$6,$G456=$G$7,I$7,$G456=$G$8,I$8,$G456=$G$9,I$9,$G456=$G$10,I$10,$G456=$G$11,I$11,$G456=$G$12,I$12,$G456=$G$13,I$13,$G456=$G$15,I$15,$G456=$G$16,I$16,$G456=$G$17,I$17,$G456=$G$18,I$18,$G456=$G$19,I$19,$G456=$G$20,I$20,$G456=$G$21,I$21,$G456=$G$22,I$22,$G456=$G$25,I$25,$G456=$G$26,I$26,$G456=$G$27,I$27,$G456=$G$29,I$29,$G456=$G$31,I$31,$G456=$G$32,I$150,$G456=$G$248,I$248,$G456=$G$250,I$250)</f>
        <v>2.090954</v>
      </c>
      <c r="J456" cm="1">
        <f t="array" ref="J456">_xlfn.IFS($G456=$G$5,J$5,$G456=$G$6,J$6,$G456=$G$7,J$7,$G456=$G$8,J$8,$G456=$G$9,J$9,$G456=$G$10,J$10,$G456=$G$11,J$11,$G456=$G$12,J$12,$G456=$G$13,J$13,$G456=$G$15,J$15,$G456=$G$16,J$16,$G456=$G$17,J$17,$G456=$G$18,J$18,$G456=$G$19,J$19,$G456=$G$20,J$20,$G456=$G$21,J$21,$G456=$G$22,J$22,$G456=$G$25,J$25,$G456=$G$26,J$26,$G456=$G$27,J$27,$G456=$G$29,J$29,$G456=$G$31,J$31,$G456=$G$32,J$150,$G456=$G$248,J$248,$G456=$G$250,J$250)</f>
        <v>215</v>
      </c>
      <c r="K456" t="str" cm="1">
        <f t="array" ref="K456">_xlfn.IFS($G456=$G$5,K$5,$G456=$G$6,K$6,$G456=$G$7,K$7,$G456=$G$8,K$8,$G456=$G$9,K$9,$G456=$G$10,K$10,$G456=$G$11,K$11,$G456=$G$12,K$12,$G456=$G$13,K$13,$G456=$G$15,K$15,$G456=$G$16,K$16,$G456=$G$17,K$17,$G456=$G$18,K$18,$G456=$G$19,K$19,$G456=$G$20,K$20,$G456=$G$21,K$21,$G456=$G$22,K$22,$G456=$G$25,K$25,$G456=$G$26,K$26,$G456=$G$27,K$27,$G456=$G$29,K$29,$G456=$G$31,K$31,$G456=$G$32,K$150,$G456=$G$248,K$248,$G456=$G$250,K$250)</f>
        <v>BG sentinel + BG lure7</v>
      </c>
      <c r="L456" s="48"/>
      <c r="M456" s="48"/>
      <c r="O456" s="45" t="str">
        <f t="shared" si="37"/>
        <v>A_SP_BCN_14_210721</v>
      </c>
      <c r="P456" s="64">
        <v>44398</v>
      </c>
      <c r="R456" s="72"/>
      <c r="S456" s="64">
        <v>44405</v>
      </c>
      <c r="U456" s="72"/>
      <c r="V456" s="54" t="s">
        <v>66</v>
      </c>
      <c r="X456" s="45">
        <f t="shared" si="38"/>
        <v>7</v>
      </c>
      <c r="Z456" s="45" t="s">
        <v>80</v>
      </c>
      <c r="AA456" s="45">
        <f t="shared" si="36"/>
        <v>1</v>
      </c>
      <c r="AB456" t="str">
        <f t="shared" si="39"/>
        <v>Adult</v>
      </c>
      <c r="AC456" s="69">
        <v>1</v>
      </c>
      <c r="AD456" s="69">
        <v>0</v>
      </c>
      <c r="AE456" s="45" t="str">
        <f t="shared" si="40"/>
        <v>Morphological</v>
      </c>
      <c r="AF456" s="56">
        <v>4</v>
      </c>
    </row>
    <row r="457" spans="1:32" ht="18" customHeight="1" x14ac:dyDescent="0.25">
      <c r="A457" s="45">
        <v>453</v>
      </c>
      <c r="B457" s="45" t="s">
        <v>60</v>
      </c>
      <c r="C457" s="45" t="s">
        <v>61</v>
      </c>
      <c r="D457" s="45" t="s">
        <v>62</v>
      </c>
      <c r="E457" s="45" t="s">
        <v>62</v>
      </c>
      <c r="F457" s="46" cm="1">
        <f t="array" ref="F457">_xlfn.IFS($G457=$G$5,F$5,$G457=$G$6,F$6,$G457=$G$7,F$7,$G457=$G$8,F$8,$G457=$G$9,F$9,$G457=$G$10,F$10,$G457=$G$11,F$11,$G457=$G$12,F$12,$G457=$G$13,F$13,$G457=$G$15,F$15,$G457=$G$16,F$16,$G457=$G$17,F$17,$G457=$G$18,F$18,$G457=$G$19,F$19,$G457=$G$20,F$20,$G457=$G$21,F$21,$G457=$G$22,F$22,$G457=$G$25,F$25,$G457=$G$26,F$26,$G457=$G$27,F$27,$G457=$G$29,F$29,$G457=$G$31,F$31,$G457=$G$32,F$32,$G457=$G$248,F$248,$G457=$G$250,F$250)</f>
        <v>8017</v>
      </c>
      <c r="G457" t="s">
        <v>87</v>
      </c>
      <c r="H457" s="66" cm="1">
        <f t="array" ref="H457">_xlfn.IFS($G457=$G$5,H$5,$G457=$G$6,H$6,$G457=$G$7,H$7,$G457=$G$8,H$8,$G457=$G$9,H$9,$G457=$G$10,H$10,$G457=$G$11,H$11,$G457=$G$12,H$12,$G457=$G$13,H$13,$G457=$G$15,H$15,$G457=$G$16,H$16,$G457=$G$17,H$17,$G457=$G$18,H$18,$G457=$G$19,H$19,$G457=$G$20,H$20,$G457=$G$21,H$21,$G457=$G$22,H$22,$G457=$G$25,H$25,$G457=$G$26,H$26,$G457=$G$27,H$27,$G457=$G$29,H$29,$G457=$G$31,H$31,$G457=$G$32,H$150,$G457=$G$248,H$248,$G457=$G$250,H$250)</f>
        <v>41.419471000000001</v>
      </c>
      <c r="I457" s="78" cm="1">
        <f t="array" ref="I457">_xlfn.IFS($G457=$G$5,I$5,$G457=$G$6,I$6,$G457=$G$7,I$7,$G457=$G$8,I$8,$G457=$G$9,I$9,$G457=$G$10,I$10,$G457=$G$11,I$11,$G457=$G$12,I$12,$G457=$G$13,I$13,$G457=$G$15,I$15,$G457=$G$16,I$16,$G457=$G$17,I$17,$G457=$G$18,I$18,$G457=$G$19,I$19,$G457=$G$20,I$20,$G457=$G$21,I$21,$G457=$G$22,I$22,$G457=$G$25,I$25,$G457=$G$26,I$26,$G457=$G$27,I$27,$G457=$G$29,I$29,$G457=$G$31,I$31,$G457=$G$32,I$150,$G457=$G$248,I$248,$G457=$G$250,I$250)</f>
        <v>2.1010149999999999</v>
      </c>
      <c r="J457" cm="1">
        <f t="array" ref="J457">_xlfn.IFS($G457=$G$5,J$5,$G457=$G$6,J$6,$G457=$G$7,J$7,$G457=$G$8,J$8,$G457=$G$9,J$9,$G457=$G$10,J$10,$G457=$G$11,J$11,$G457=$G$12,J$12,$G457=$G$13,J$13,$G457=$G$15,J$15,$G457=$G$16,J$16,$G457=$G$17,J$17,$G457=$G$18,J$18,$G457=$G$19,J$19,$G457=$G$20,J$20,$G457=$G$21,J$21,$G457=$G$22,J$22,$G457=$G$25,J$25,$G457=$G$26,J$26,$G457=$G$27,J$27,$G457=$G$29,J$29,$G457=$G$31,J$31,$G457=$G$32,J$150,$G457=$G$248,J$248,$G457=$G$250,J$250)</f>
        <v>284</v>
      </c>
      <c r="K457" t="str" cm="1">
        <f t="array" ref="K457">_xlfn.IFS($G457=$G$5,K$5,$G457=$G$6,K$6,$G457=$G$7,K$7,$G457=$G$8,K$8,$G457=$G$9,K$9,$G457=$G$10,K$10,$G457=$G$11,K$11,$G457=$G$12,K$12,$G457=$G$13,K$13,$G457=$G$15,K$15,$G457=$G$16,K$16,$G457=$G$17,K$17,$G457=$G$18,K$18,$G457=$G$19,K$19,$G457=$G$20,K$20,$G457=$G$21,K$21,$G457=$G$22,K$22,$G457=$G$25,K$25,$G457=$G$26,K$26,$G457=$G$27,K$27,$G457=$G$29,K$29,$G457=$G$31,K$31,$G457=$G$32,K$150,$G457=$G$248,K$248,$G457=$G$250,K$250)</f>
        <v>BG sentinel + BG lure7</v>
      </c>
      <c r="L457" s="48"/>
      <c r="M457" s="48"/>
      <c r="O457" s="45" t="str">
        <f t="shared" si="37"/>
        <v>A_SP_BCN_15_210721</v>
      </c>
      <c r="P457" s="64">
        <v>44398</v>
      </c>
      <c r="R457" s="72"/>
      <c r="S457" s="64">
        <v>44405</v>
      </c>
      <c r="U457" s="72"/>
      <c r="V457" s="54" t="s">
        <v>66</v>
      </c>
      <c r="X457" s="45">
        <f t="shared" si="38"/>
        <v>7</v>
      </c>
      <c r="AA457" s="45">
        <f t="shared" si="36"/>
        <v>0</v>
      </c>
      <c r="AB457" t="str">
        <f t="shared" si="39"/>
        <v/>
      </c>
      <c r="AE457" s="45" t="str">
        <f t="shared" si="40"/>
        <v/>
      </c>
      <c r="AF457" s="56">
        <v>4</v>
      </c>
    </row>
    <row r="458" spans="1:32" ht="18" customHeight="1" x14ac:dyDescent="0.25">
      <c r="A458" s="45">
        <v>454</v>
      </c>
      <c r="B458" s="45" t="s">
        <v>60</v>
      </c>
      <c r="C458" s="45" t="s">
        <v>61</v>
      </c>
      <c r="D458" s="45" t="s">
        <v>62</v>
      </c>
      <c r="E458" s="45" t="s">
        <v>62</v>
      </c>
      <c r="F458" s="46" cm="1">
        <f t="array" ref="F458">_xlfn.IFS($G458=$G$5,F$5,$G458=$G$6,F$6,$G458=$G$7,F$7,$G458=$G$8,F$8,$G458=$G$9,F$9,$G458=$G$10,F$10,$G458=$G$11,F$11,$G458=$G$12,F$12,$G458=$G$13,F$13,$G458=$G$15,F$15,$G458=$G$16,F$16,$G458=$G$17,F$17,$G458=$G$18,F$18,$G458=$G$19,F$19,$G458=$G$20,F$20,$G458=$G$21,F$21,$G458=$G$22,F$22,$G458=$G$25,F$25,$G458=$G$26,F$26,$G458=$G$27,F$27,$G458=$G$29,F$29,$G458=$G$31,F$31,$G458=$G$32,F$32,$G458=$G$248,F$248,$G458=$G$250,F$250)</f>
        <v>8017</v>
      </c>
      <c r="G458" t="s">
        <v>88</v>
      </c>
      <c r="H458" s="66" cm="1">
        <f t="array" ref="H458">_xlfn.IFS($G458=$G$5,H$5,$G458=$G$6,H$6,$G458=$G$7,H$7,$G458=$G$8,H$8,$G458=$G$9,H$9,$G458=$G$10,H$10,$G458=$G$11,H$11,$G458=$G$12,H$12,$G458=$G$13,H$13,$G458=$G$15,H$15,$G458=$G$16,H$16,$G458=$G$17,H$17,$G458=$G$18,H$18,$G458=$G$19,H$19,$G458=$G$20,H$20,$G458=$G$21,H$21,$G458=$G$22,H$22,$G458=$G$25,H$25,$G458=$G$26,H$26,$G458=$G$27,H$27,$G458=$G$29,H$29,$G458=$G$31,H$31,$G458=$G$32,H$150,$G458=$G$248,H$248,$G458=$G$250,H$250)</f>
        <v>41.398387</v>
      </c>
      <c r="I458" s="78" cm="1">
        <f t="array" ref="I458">_xlfn.IFS($G458=$G$5,I$5,$G458=$G$6,I$6,$G458=$G$7,I$7,$G458=$G$8,I$8,$G458=$G$9,I$9,$G458=$G$10,I$10,$G458=$G$11,I$11,$G458=$G$12,I$12,$G458=$G$13,I$13,$G458=$G$15,I$15,$G458=$G$16,I$16,$G458=$G$17,I$17,$G458=$G$18,I$18,$G458=$G$19,I$19,$G458=$G$20,I$20,$G458=$G$21,I$21,$G458=$G$22,I$22,$G458=$G$25,I$25,$G458=$G$26,I$26,$G458=$G$27,I$27,$G458=$G$29,I$29,$G458=$G$31,I$31,$G458=$G$32,I$150,$G458=$G$248,I$248,$G458=$G$250,I$250)</f>
        <v>2.1244429999999999</v>
      </c>
      <c r="J458" cm="1">
        <f t="array" ref="J458">_xlfn.IFS($G458=$G$5,J$5,$G458=$G$6,J$6,$G458=$G$7,J$7,$G458=$G$8,J$8,$G458=$G$9,J$9,$G458=$G$10,J$10,$G458=$G$11,J$11,$G458=$G$12,J$12,$G458=$G$13,J$13,$G458=$G$15,J$15,$G458=$G$16,J$16,$G458=$G$17,J$17,$G458=$G$18,J$18,$G458=$G$19,J$19,$G458=$G$20,J$20,$G458=$G$21,J$21,$G458=$G$22,J$22,$G458=$G$25,J$25,$G458=$G$26,J$26,$G458=$G$27,J$27,$G458=$G$29,J$29,$G458=$G$31,J$31,$G458=$G$32,J$150,$G458=$G$248,J$248,$G458=$G$250,J$250)</f>
        <v>106</v>
      </c>
      <c r="K458" t="str" cm="1">
        <f t="array" ref="K458">_xlfn.IFS($G458=$G$5,K$5,$G458=$G$6,K$6,$G458=$G$7,K$7,$G458=$G$8,K$8,$G458=$G$9,K$9,$G458=$G$10,K$10,$G458=$G$11,K$11,$G458=$G$12,K$12,$G458=$G$13,K$13,$G458=$G$15,K$15,$G458=$G$16,K$16,$G458=$G$17,K$17,$G458=$G$18,K$18,$G458=$G$19,K$19,$G458=$G$20,K$20,$G458=$G$21,K$21,$G458=$G$22,K$22,$G458=$G$25,K$25,$G458=$G$26,K$26,$G458=$G$27,K$27,$G458=$G$29,K$29,$G458=$G$31,K$31,$G458=$G$32,K$150,$G458=$G$248,K$248,$G458=$G$250,K$250)</f>
        <v>BG sentinel + BG lure7</v>
      </c>
      <c r="L458" s="48"/>
      <c r="M458" s="48"/>
      <c r="O458" s="45" t="str">
        <f t="shared" si="37"/>
        <v>A_SP_BCN_16_210721</v>
      </c>
      <c r="P458" s="64">
        <v>44398</v>
      </c>
      <c r="R458" s="72"/>
      <c r="S458" s="64">
        <v>44405</v>
      </c>
      <c r="U458" s="72"/>
      <c r="V458" s="54" t="s">
        <v>66</v>
      </c>
      <c r="W458" t="s">
        <v>135</v>
      </c>
      <c r="X458" s="45">
        <f t="shared" si="38"/>
        <v>7</v>
      </c>
      <c r="Z458" s="69" t="s">
        <v>69</v>
      </c>
      <c r="AA458" s="45">
        <f t="shared" si="36"/>
        <v>19</v>
      </c>
      <c r="AB458" t="str">
        <f t="shared" si="39"/>
        <v>Adult</v>
      </c>
      <c r="AC458" s="69">
        <v>13</v>
      </c>
      <c r="AD458" s="69">
        <v>6</v>
      </c>
      <c r="AE458" s="45" t="str">
        <f t="shared" si="40"/>
        <v>Morphological</v>
      </c>
      <c r="AF458" s="56">
        <v>3</v>
      </c>
    </row>
    <row r="459" spans="1:32" ht="18" customHeight="1" x14ac:dyDescent="0.25">
      <c r="A459" s="45">
        <v>455</v>
      </c>
      <c r="B459" s="45" t="s">
        <v>60</v>
      </c>
      <c r="C459" s="45" t="s">
        <v>61</v>
      </c>
      <c r="D459" s="45" t="s">
        <v>62</v>
      </c>
      <c r="E459" s="45" t="s">
        <v>62</v>
      </c>
      <c r="F459" s="46" cm="1">
        <f t="array" ref="F459">_xlfn.IFS($G459=$G$5,F$5,$G459=$G$6,F$6,$G459=$G$7,F$7,$G459=$G$8,F$8,$G459=$G$9,F$9,$G459=$G$10,F$10,$G459=$G$11,F$11,$G459=$G$12,F$12,$G459=$G$13,F$13,$G459=$G$15,F$15,$G459=$G$16,F$16,$G459=$G$17,F$17,$G459=$G$18,F$18,$G459=$G$19,F$19,$G459=$G$20,F$20,$G459=$G$21,F$21,$G459=$G$22,F$22,$G459=$G$25,F$25,$G459=$G$26,F$26,$G459=$G$27,F$27,$G459=$G$29,F$29,$G459=$G$31,F$31,$G459=$G$32,F$32,$G459=$G$248,F$248,$G459=$G$250,F$250)</f>
        <v>8017</v>
      </c>
      <c r="G459" t="s">
        <v>88</v>
      </c>
      <c r="H459" s="66" cm="1">
        <f t="array" ref="H459">_xlfn.IFS($G459=$G$5,H$5,$G459=$G$6,H$6,$G459=$G$7,H$7,$G459=$G$8,H$8,$G459=$G$9,H$9,$G459=$G$10,H$10,$G459=$G$11,H$11,$G459=$G$12,H$12,$G459=$G$13,H$13,$G459=$G$15,H$15,$G459=$G$16,H$16,$G459=$G$17,H$17,$G459=$G$18,H$18,$G459=$G$19,H$19,$G459=$G$20,H$20,$G459=$G$21,H$21,$G459=$G$22,H$22,$G459=$G$25,H$25,$G459=$G$26,H$26,$G459=$G$27,H$27,$G459=$G$29,H$29,$G459=$G$31,H$31,$G459=$G$32,H$150,$G459=$G$248,H$248,$G459=$G$250,H$250)</f>
        <v>41.398387</v>
      </c>
      <c r="I459" s="78" cm="1">
        <f t="array" ref="I459">_xlfn.IFS($G459=$G$5,I$5,$G459=$G$6,I$6,$G459=$G$7,I$7,$G459=$G$8,I$8,$G459=$G$9,I$9,$G459=$G$10,I$10,$G459=$G$11,I$11,$G459=$G$12,I$12,$G459=$G$13,I$13,$G459=$G$15,I$15,$G459=$G$16,I$16,$G459=$G$17,I$17,$G459=$G$18,I$18,$G459=$G$19,I$19,$G459=$G$20,I$20,$G459=$G$21,I$21,$G459=$G$22,I$22,$G459=$G$25,I$25,$G459=$G$26,I$26,$G459=$G$27,I$27,$G459=$G$29,I$29,$G459=$G$31,I$31,$G459=$G$32,I$150,$G459=$G$248,I$248,$G459=$G$250,I$250)</f>
        <v>2.1244429999999999</v>
      </c>
      <c r="J459" cm="1">
        <f t="array" ref="J459">_xlfn.IFS($G459=$G$5,J$5,$G459=$G$6,J$6,$G459=$G$7,J$7,$G459=$G$8,J$8,$G459=$G$9,J$9,$G459=$G$10,J$10,$G459=$G$11,J$11,$G459=$G$12,J$12,$G459=$G$13,J$13,$G459=$G$15,J$15,$G459=$G$16,J$16,$G459=$G$17,J$17,$G459=$G$18,J$18,$G459=$G$19,J$19,$G459=$G$20,J$20,$G459=$G$21,J$21,$G459=$G$22,J$22,$G459=$G$25,J$25,$G459=$G$26,J$26,$G459=$G$27,J$27,$G459=$G$29,J$29,$G459=$G$31,J$31,$G459=$G$32,J$150,$G459=$G$248,J$248,$G459=$G$250,J$250)</f>
        <v>106</v>
      </c>
      <c r="K459" t="str" cm="1">
        <f t="array" ref="K459">_xlfn.IFS($G459=$G$5,K$5,$G459=$G$6,K$6,$G459=$G$7,K$7,$G459=$G$8,K$8,$G459=$G$9,K$9,$G459=$G$10,K$10,$G459=$G$11,K$11,$G459=$G$12,K$12,$G459=$G$13,K$13,$G459=$G$15,K$15,$G459=$G$16,K$16,$G459=$G$17,K$17,$G459=$G$18,K$18,$G459=$G$19,K$19,$G459=$G$20,K$20,$G459=$G$21,K$21,$G459=$G$22,K$22,$G459=$G$25,K$25,$G459=$G$26,K$26,$G459=$G$27,K$27,$G459=$G$29,K$29,$G459=$G$31,K$31,$G459=$G$32,K$150,$G459=$G$248,K$248,$G459=$G$250,K$250)</f>
        <v>BG sentinel + BG lure7</v>
      </c>
      <c r="L459" s="48"/>
      <c r="M459" s="48"/>
      <c r="O459" s="45" t="str">
        <f t="shared" si="37"/>
        <v>A_SP_BCN_16_210721</v>
      </c>
      <c r="P459" s="64">
        <v>44398</v>
      </c>
      <c r="R459" s="72"/>
      <c r="S459" s="64">
        <v>44405</v>
      </c>
      <c r="U459" s="72"/>
      <c r="V459" s="54" t="s">
        <v>66</v>
      </c>
      <c r="W459" t="s">
        <v>135</v>
      </c>
      <c r="X459" s="45">
        <f t="shared" si="38"/>
        <v>7</v>
      </c>
      <c r="Z459" s="45" t="s">
        <v>70</v>
      </c>
      <c r="AA459" s="45">
        <f t="shared" si="36"/>
        <v>13</v>
      </c>
      <c r="AB459" t="str">
        <f t="shared" si="39"/>
        <v>Adult</v>
      </c>
      <c r="AC459" s="69">
        <v>7</v>
      </c>
      <c r="AD459" s="69">
        <v>6</v>
      </c>
      <c r="AE459" s="45" t="str">
        <f t="shared" si="40"/>
        <v>Morphological</v>
      </c>
      <c r="AF459" s="56">
        <v>3</v>
      </c>
    </row>
    <row r="460" spans="1:32" ht="18" customHeight="1" x14ac:dyDescent="0.25">
      <c r="A460" s="45">
        <v>456</v>
      </c>
      <c r="B460" s="45" t="s">
        <v>60</v>
      </c>
      <c r="C460" s="45" t="s">
        <v>61</v>
      </c>
      <c r="D460" s="45" t="s">
        <v>62</v>
      </c>
      <c r="E460" s="45" t="s">
        <v>62</v>
      </c>
      <c r="F460" s="46" cm="1">
        <f t="array" ref="F460">_xlfn.IFS($G460=$G$5,F$5,$G460=$G$6,F$6,$G460=$G$7,F$7,$G460=$G$8,F$8,$G460=$G$9,F$9,$G460=$G$10,F$10,$G460=$G$11,F$11,$G460=$G$12,F$12,$G460=$G$13,F$13,$G460=$G$15,F$15,$G460=$G$16,F$16,$G460=$G$17,F$17,$G460=$G$18,F$18,$G460=$G$19,F$19,$G460=$G$20,F$20,$G460=$G$21,F$21,$G460=$G$22,F$22,$G460=$G$25,F$25,$G460=$G$26,F$26,$G460=$G$27,F$27,$G460=$G$29,F$29,$G460=$G$31,F$31,$G460=$G$32,F$32,$G460=$G$248,F$248,$G460=$G$250,F$250)</f>
        <v>8017</v>
      </c>
      <c r="G460" t="s">
        <v>88</v>
      </c>
      <c r="H460" s="66" cm="1">
        <f t="array" ref="H460">_xlfn.IFS($G460=$G$5,H$5,$G460=$G$6,H$6,$G460=$G$7,H$7,$G460=$G$8,H$8,$G460=$G$9,H$9,$G460=$G$10,H$10,$G460=$G$11,H$11,$G460=$G$12,H$12,$G460=$G$13,H$13,$G460=$G$15,H$15,$G460=$G$16,H$16,$G460=$G$17,H$17,$G460=$G$18,H$18,$G460=$G$19,H$19,$G460=$G$20,H$20,$G460=$G$21,H$21,$G460=$G$22,H$22,$G460=$G$25,H$25,$G460=$G$26,H$26,$G460=$G$27,H$27,$G460=$G$29,H$29,$G460=$G$31,H$31,$G460=$G$32,H$150,$G460=$G$248,H$248,$G460=$G$250,H$250)</f>
        <v>41.398387</v>
      </c>
      <c r="I460" s="78" cm="1">
        <f t="array" ref="I460">_xlfn.IFS($G460=$G$5,I$5,$G460=$G$6,I$6,$G460=$G$7,I$7,$G460=$G$8,I$8,$G460=$G$9,I$9,$G460=$G$10,I$10,$G460=$G$11,I$11,$G460=$G$12,I$12,$G460=$G$13,I$13,$G460=$G$15,I$15,$G460=$G$16,I$16,$G460=$G$17,I$17,$G460=$G$18,I$18,$G460=$G$19,I$19,$G460=$G$20,I$20,$G460=$G$21,I$21,$G460=$G$22,I$22,$G460=$G$25,I$25,$G460=$G$26,I$26,$G460=$G$27,I$27,$G460=$G$29,I$29,$G460=$G$31,I$31,$G460=$G$32,I$150,$G460=$G$248,I$248,$G460=$G$250,I$250)</f>
        <v>2.1244429999999999</v>
      </c>
      <c r="J460" cm="1">
        <f t="array" ref="J460">_xlfn.IFS($G460=$G$5,J$5,$G460=$G$6,J$6,$G460=$G$7,J$7,$G460=$G$8,J$8,$G460=$G$9,J$9,$G460=$G$10,J$10,$G460=$G$11,J$11,$G460=$G$12,J$12,$G460=$G$13,J$13,$G460=$G$15,J$15,$G460=$G$16,J$16,$G460=$G$17,J$17,$G460=$G$18,J$18,$G460=$G$19,J$19,$G460=$G$20,J$20,$G460=$G$21,J$21,$G460=$G$22,J$22,$G460=$G$25,J$25,$G460=$G$26,J$26,$G460=$G$27,J$27,$G460=$G$29,J$29,$G460=$G$31,J$31,$G460=$G$32,J$150,$G460=$G$248,J$248,$G460=$G$250,J$250)</f>
        <v>106</v>
      </c>
      <c r="K460" t="str" cm="1">
        <f t="array" ref="K460">_xlfn.IFS($G460=$G$5,K$5,$G460=$G$6,K$6,$G460=$G$7,K$7,$G460=$G$8,K$8,$G460=$G$9,K$9,$G460=$G$10,K$10,$G460=$G$11,K$11,$G460=$G$12,K$12,$G460=$G$13,K$13,$G460=$G$15,K$15,$G460=$G$16,K$16,$G460=$G$17,K$17,$G460=$G$18,K$18,$G460=$G$19,K$19,$G460=$G$20,K$20,$G460=$G$21,K$21,$G460=$G$22,K$22,$G460=$G$25,K$25,$G460=$G$26,K$26,$G460=$G$27,K$27,$G460=$G$29,K$29,$G460=$G$31,K$31,$G460=$G$32,K$150,$G460=$G$248,K$248,$G460=$G$250,K$250)</f>
        <v>BG sentinel + BG lure7</v>
      </c>
      <c r="L460" s="48"/>
      <c r="M460" s="48"/>
      <c r="O460" s="45" t="str">
        <f t="shared" si="37"/>
        <v>A_SP_BCN_16_210721</v>
      </c>
      <c r="P460" s="64">
        <v>44398</v>
      </c>
      <c r="R460" s="72"/>
      <c r="S460" s="64">
        <v>44405</v>
      </c>
      <c r="U460" s="72"/>
      <c r="V460" s="54" t="s">
        <v>66</v>
      </c>
      <c r="W460" t="s">
        <v>135</v>
      </c>
      <c r="X460" s="45">
        <f t="shared" si="38"/>
        <v>7</v>
      </c>
      <c r="Z460" s="45" t="s">
        <v>80</v>
      </c>
      <c r="AA460" s="45">
        <f t="shared" si="36"/>
        <v>5</v>
      </c>
      <c r="AB460" t="str">
        <f t="shared" si="39"/>
        <v>Adult</v>
      </c>
      <c r="AC460" s="69">
        <v>1</v>
      </c>
      <c r="AD460" s="69">
        <v>4</v>
      </c>
      <c r="AE460" s="45" t="str">
        <f t="shared" si="40"/>
        <v>Morphological</v>
      </c>
      <c r="AF460" s="56">
        <v>3</v>
      </c>
    </row>
    <row r="461" spans="1:32" ht="18" customHeight="1" x14ac:dyDescent="0.25">
      <c r="A461" s="45">
        <v>457</v>
      </c>
      <c r="B461" s="45" t="s">
        <v>60</v>
      </c>
      <c r="C461" s="45" t="s">
        <v>61</v>
      </c>
      <c r="D461" s="45" t="s">
        <v>62</v>
      </c>
      <c r="E461" s="45" t="s">
        <v>62</v>
      </c>
      <c r="F461" s="46" cm="1">
        <f t="array" ref="F461">_xlfn.IFS($G461=$G$5,F$5,$G461=$G$6,F$6,$G461=$G$7,F$7,$G461=$G$8,F$8,$G461=$G$9,F$9,$G461=$G$10,F$10,$G461=$G$11,F$11,$G461=$G$12,F$12,$G461=$G$13,F$13,$G461=$G$15,F$15,$G461=$G$16,F$16,$G461=$G$17,F$17,$G461=$G$18,F$18,$G461=$G$19,F$19,$G461=$G$20,F$20,$G461=$G$21,F$21,$G461=$G$22,F$22,$G461=$G$25,F$25,$G461=$G$26,F$26,$G461=$G$27,F$27,$G461=$G$29,F$29,$G461=$G$31,F$31,$G461=$G$32,F$32,$G461=$G$248,F$248,$G461=$G$250,F$250)</f>
        <v>8023</v>
      </c>
      <c r="G461" t="s">
        <v>89</v>
      </c>
      <c r="H461" s="66" cm="1">
        <f t="array" ref="H461">_xlfn.IFS($G461=$G$5,H$5,$G461=$G$6,H$6,$G461=$G$7,H$7,$G461=$G$8,H$8,$G461=$G$9,H$9,$G461=$G$10,H$10,$G461=$G$11,H$11,$G461=$G$12,H$12,$G461=$G$13,H$13,$G461=$G$15,H$15,$G461=$G$16,H$16,$G461=$G$17,H$17,$G461=$G$18,H$18,$G461=$G$19,H$19,$G461=$G$20,H$20,$G461=$G$21,H$21,$G461=$G$22,H$22,$G461=$G$25,H$25,$G461=$G$26,H$26,$G461=$G$27,H$27,$G461=$G$29,H$29,$G461=$G$31,H$31,$G461=$G$32,H$150,$G461=$G$248,H$248,$G461=$G$250,H$250)</f>
        <v>41.417256000000002</v>
      </c>
      <c r="I461" s="78" cm="1">
        <f t="array" ref="I461">_xlfn.IFS($G461=$G$5,I$5,$G461=$G$6,I$6,$G461=$G$7,I$7,$G461=$G$8,I$8,$G461=$G$9,I$9,$G461=$G$10,I$10,$G461=$G$11,I$11,$G461=$G$12,I$12,$G461=$G$13,I$13,$G461=$G$15,I$15,$G461=$G$16,I$16,$G461=$G$17,I$17,$G461=$G$18,I$18,$G461=$G$19,I$19,$G461=$G$20,I$20,$G461=$G$21,I$21,$G461=$G$22,I$22,$G461=$G$25,I$25,$G461=$G$26,I$26,$G461=$G$27,I$27,$G461=$G$29,I$29,$G461=$G$31,I$31,$G461=$G$32,I$150,$G461=$G$248,I$248,$G461=$G$250,I$250)</f>
        <v>2.1455709999999999</v>
      </c>
      <c r="J461" cm="1">
        <f t="array" ref="J461">_xlfn.IFS($G461=$G$5,J$5,$G461=$G$6,J$6,$G461=$G$7,J$7,$G461=$G$8,J$8,$G461=$G$9,J$9,$G461=$G$10,J$10,$G461=$G$11,J$11,$G461=$G$12,J$12,$G461=$G$13,J$13,$G461=$G$15,J$15,$G461=$G$16,J$16,$G461=$G$17,J$17,$G461=$G$18,J$18,$G461=$G$19,J$19,$G461=$G$20,J$20,$G461=$G$21,J$21,$G461=$G$22,J$22,$G461=$G$25,J$25,$G461=$G$26,J$26,$G461=$G$27,J$27,$G461=$G$29,J$29,$G461=$G$31,J$31,$G461=$G$32,J$150,$G461=$G$248,J$248,$G461=$G$250,J$250)</f>
        <v>186</v>
      </c>
      <c r="K461" t="str" cm="1">
        <f t="array" ref="K461">_xlfn.IFS($G461=$G$5,K$5,$G461=$G$6,K$6,$G461=$G$7,K$7,$G461=$G$8,K$8,$G461=$G$9,K$9,$G461=$G$10,K$10,$G461=$G$11,K$11,$G461=$G$12,K$12,$G461=$G$13,K$13,$G461=$G$15,K$15,$G461=$G$16,K$16,$G461=$G$17,K$17,$G461=$G$18,K$18,$G461=$G$19,K$19,$G461=$G$20,K$20,$G461=$G$21,K$21,$G461=$G$22,K$22,$G461=$G$25,K$25,$G461=$G$26,K$26,$G461=$G$27,K$27,$G461=$G$29,K$29,$G461=$G$31,K$31,$G461=$G$32,K$150,$G461=$G$248,K$248,$G461=$G$250,K$250)</f>
        <v>BG sentinel + BG lure7</v>
      </c>
      <c r="L461" s="48"/>
      <c r="M461" s="48"/>
      <c r="O461" s="45" t="str">
        <f t="shared" si="37"/>
        <v>A_SP_BCN_17_210721</v>
      </c>
      <c r="P461" s="64">
        <v>44398</v>
      </c>
      <c r="R461" s="72"/>
      <c r="S461" s="64">
        <v>44405</v>
      </c>
      <c r="U461" s="72"/>
      <c r="V461" s="54" t="s">
        <v>66</v>
      </c>
      <c r="W461" t="s">
        <v>135</v>
      </c>
      <c r="X461" s="45">
        <f t="shared" si="38"/>
        <v>7</v>
      </c>
      <c r="Z461" s="45" t="s">
        <v>80</v>
      </c>
      <c r="AA461" s="45">
        <f t="shared" si="36"/>
        <v>1</v>
      </c>
      <c r="AB461" t="str">
        <f t="shared" si="39"/>
        <v>Adult</v>
      </c>
      <c r="AC461" s="69">
        <v>0</v>
      </c>
      <c r="AD461" s="69">
        <v>1</v>
      </c>
      <c r="AE461" s="45" t="str">
        <f t="shared" si="40"/>
        <v>Morphological</v>
      </c>
      <c r="AF461" s="56">
        <v>3</v>
      </c>
    </row>
    <row r="462" spans="1:32" ht="18" customHeight="1" x14ac:dyDescent="0.25">
      <c r="A462" s="45">
        <v>458</v>
      </c>
      <c r="B462" s="45" t="s">
        <v>60</v>
      </c>
      <c r="C462" s="45" t="s">
        <v>61</v>
      </c>
      <c r="D462" s="45" t="s">
        <v>62</v>
      </c>
      <c r="E462" s="45" t="s">
        <v>62</v>
      </c>
      <c r="F462" s="46" cm="1">
        <f t="array" ref="F462">_xlfn.IFS($G462=$G$5,F$5,$G462=$G$6,F$6,$G462=$G$7,F$7,$G462=$G$8,F$8,$G462=$G$9,F$9,$G462=$G$10,F$10,$G462=$G$11,F$11,$G462=$G$12,F$12,$G462=$G$13,F$13,$G462=$G$15,F$15,$G462=$G$16,F$16,$G462=$G$17,F$17,$G462=$G$18,F$18,$G462=$G$19,F$19,$G462=$G$20,F$20,$G462=$G$21,F$21,$G462=$G$22,F$22,$G462=$G$25,F$25,$G462=$G$26,F$26,$G462=$G$27,F$27,$G462=$G$29,F$29,$G462=$G$31,F$31,$G462=$G$32,F$32,$G462=$G$248,F$248,$G462=$G$250,F$250)</f>
        <v>8031</v>
      </c>
      <c r="G462" t="s">
        <v>92</v>
      </c>
      <c r="H462" s="66" cm="1">
        <f t="array" ref="H462">_xlfn.IFS($G462=$G$5,H$5,$G462=$G$6,H$6,$G462=$G$7,H$7,$G462=$G$8,H$8,$G462=$G$9,H$9,$G462=$G$10,H$10,$G462=$G$11,H$11,$G462=$G$12,H$12,$G462=$G$13,H$13,$G462=$G$15,H$15,$G462=$G$16,H$16,$G462=$G$17,H$17,$G462=$G$18,H$18,$G462=$G$19,H$19,$G462=$G$20,H$20,$G462=$G$21,H$21,$G462=$G$22,H$22,$G462=$G$25,H$25,$G462=$G$26,H$26,$G462=$G$27,H$27,$G462=$G$29,H$29,$G462=$G$31,H$31,$G462=$G$32,H$150,$G462=$G$248,H$248,$G462=$G$250,H$250)</f>
        <v>41.433618000000003</v>
      </c>
      <c r="I462" s="78" cm="1">
        <f t="array" ref="I462">_xlfn.IFS($G462=$G$5,I$5,$G462=$G$6,I$6,$G462=$G$7,I$7,$G462=$G$8,I$8,$G462=$G$9,I$9,$G462=$G$10,I$10,$G462=$G$11,I$11,$G462=$G$12,I$12,$G462=$G$13,I$13,$G462=$G$15,I$15,$G462=$G$16,I$16,$G462=$G$17,I$17,$G462=$G$18,I$18,$G462=$G$19,I$19,$G462=$G$20,I$20,$G462=$G$21,I$21,$G462=$G$22,I$22,$G462=$G$25,I$25,$G462=$G$26,I$26,$G462=$G$27,I$27,$G462=$G$29,I$29,$G462=$G$31,I$31,$G462=$G$32,I$150,$G462=$G$248,I$248,$G462=$G$250,I$250)</f>
        <v>2.1677469999999999</v>
      </c>
      <c r="J462" cm="1">
        <f t="array" ref="J462">_xlfn.IFS($G462=$G$5,J$5,$G462=$G$6,J$6,$G462=$G$7,J$7,$G462=$G$8,J$8,$G462=$G$9,J$9,$G462=$G$10,J$10,$G462=$G$11,J$11,$G462=$G$12,J$12,$G462=$G$13,J$13,$G462=$G$15,J$15,$G462=$G$16,J$16,$G462=$G$17,J$17,$G462=$G$18,J$18,$G462=$G$19,J$19,$G462=$G$20,J$20,$G462=$G$21,J$21,$G462=$G$22,J$22,$G462=$G$25,J$25,$G462=$G$26,J$26,$G462=$G$27,J$27,$G462=$G$29,J$29,$G462=$G$31,J$31,$G462=$G$32,J$150,$G462=$G$248,J$248,$G462=$G$250,J$250)</f>
        <v>96.85</v>
      </c>
      <c r="K462" t="str" cm="1">
        <f t="array" ref="K462">_xlfn.IFS($G462=$G$5,K$5,$G462=$G$6,K$6,$G462=$G$7,K$7,$G462=$G$8,K$8,$G462=$G$9,K$9,$G462=$G$10,K$10,$G462=$G$11,K$11,$G462=$G$12,K$12,$G462=$G$13,K$13,$G462=$G$15,K$15,$G462=$G$16,K$16,$G462=$G$17,K$17,$G462=$G$18,K$18,$G462=$G$19,K$19,$G462=$G$20,K$20,$G462=$G$21,K$21,$G462=$G$22,K$22,$G462=$G$25,K$25,$G462=$G$26,K$26,$G462=$G$27,K$27,$G462=$G$29,K$29,$G462=$G$31,K$31,$G462=$G$32,K$150,$G462=$G$248,K$248,$G462=$G$250,K$250)</f>
        <v>BG sentinel + BG lure7</v>
      </c>
      <c r="L462" s="48"/>
      <c r="M462" s="48"/>
      <c r="O462" s="45" t="str">
        <f t="shared" si="37"/>
        <v>A_SP_BCN_18_210721</v>
      </c>
      <c r="P462" s="64">
        <v>44398</v>
      </c>
      <c r="R462" s="72"/>
      <c r="S462" s="64">
        <v>44405</v>
      </c>
      <c r="U462" s="72"/>
      <c r="V462" s="54" t="s">
        <v>66</v>
      </c>
      <c r="X462" s="45">
        <f t="shared" si="38"/>
        <v>7</v>
      </c>
      <c r="Z462" s="69" t="s">
        <v>69</v>
      </c>
      <c r="AA462" s="45">
        <f t="shared" si="36"/>
        <v>1</v>
      </c>
      <c r="AB462" t="str">
        <f t="shared" si="39"/>
        <v>Adult</v>
      </c>
      <c r="AC462" s="69">
        <v>1</v>
      </c>
      <c r="AD462" s="69">
        <v>0</v>
      </c>
      <c r="AE462" s="45" t="str">
        <f t="shared" si="40"/>
        <v>Morphological</v>
      </c>
      <c r="AF462" s="56">
        <v>4</v>
      </c>
    </row>
    <row r="463" spans="1:32" ht="18" customHeight="1" x14ac:dyDescent="0.25">
      <c r="A463" s="45">
        <v>459</v>
      </c>
      <c r="B463" s="45" t="s">
        <v>60</v>
      </c>
      <c r="C463" s="45" t="s">
        <v>61</v>
      </c>
      <c r="D463" s="45" t="s">
        <v>62</v>
      </c>
      <c r="E463" s="45" t="s">
        <v>62</v>
      </c>
      <c r="F463" s="46" cm="1">
        <f t="array" ref="F463">_xlfn.IFS($G463=$G$5,F$5,$G463=$G$6,F$6,$G463=$G$7,F$7,$G463=$G$8,F$8,$G463=$G$9,F$9,$G463=$G$10,F$10,$G463=$G$11,F$11,$G463=$G$12,F$12,$G463=$G$13,F$13,$G463=$G$15,F$15,$G463=$G$16,F$16,$G463=$G$17,F$17,$G463=$G$18,F$18,$G463=$G$19,F$19,$G463=$G$20,F$20,$G463=$G$21,F$21,$G463=$G$22,F$22,$G463=$G$25,F$25,$G463=$G$26,F$26,$G463=$G$27,F$27,$G463=$G$29,F$29,$G463=$G$31,F$31,$G463=$G$32,F$32,$G463=$G$248,F$248,$G463=$G$250,F$250)</f>
        <v>8031</v>
      </c>
      <c r="G463" t="s">
        <v>92</v>
      </c>
      <c r="H463" s="66" cm="1">
        <f t="array" ref="H463">_xlfn.IFS($G463=$G$5,H$5,$G463=$G$6,H$6,$G463=$G$7,H$7,$G463=$G$8,H$8,$G463=$G$9,H$9,$G463=$G$10,H$10,$G463=$G$11,H$11,$G463=$G$12,H$12,$G463=$G$13,H$13,$G463=$G$15,H$15,$G463=$G$16,H$16,$G463=$G$17,H$17,$G463=$G$18,H$18,$G463=$G$19,H$19,$G463=$G$20,H$20,$G463=$G$21,H$21,$G463=$G$22,H$22,$G463=$G$25,H$25,$G463=$G$26,H$26,$G463=$G$27,H$27,$G463=$G$29,H$29,$G463=$G$31,H$31,$G463=$G$32,H$150,$G463=$G$248,H$248,$G463=$G$250,H$250)</f>
        <v>41.433618000000003</v>
      </c>
      <c r="I463" s="78" cm="1">
        <f t="array" ref="I463">_xlfn.IFS($G463=$G$5,I$5,$G463=$G$6,I$6,$G463=$G$7,I$7,$G463=$G$8,I$8,$G463=$G$9,I$9,$G463=$G$10,I$10,$G463=$G$11,I$11,$G463=$G$12,I$12,$G463=$G$13,I$13,$G463=$G$15,I$15,$G463=$G$16,I$16,$G463=$G$17,I$17,$G463=$G$18,I$18,$G463=$G$19,I$19,$G463=$G$20,I$20,$G463=$G$21,I$21,$G463=$G$22,I$22,$G463=$G$25,I$25,$G463=$G$26,I$26,$G463=$G$27,I$27,$G463=$G$29,I$29,$G463=$G$31,I$31,$G463=$G$32,I$150,$G463=$G$248,I$248,$G463=$G$250,I$250)</f>
        <v>2.1677469999999999</v>
      </c>
      <c r="J463" cm="1">
        <f t="array" ref="J463">_xlfn.IFS($G463=$G$5,J$5,$G463=$G$6,J$6,$G463=$G$7,J$7,$G463=$G$8,J$8,$G463=$G$9,J$9,$G463=$G$10,J$10,$G463=$G$11,J$11,$G463=$G$12,J$12,$G463=$G$13,J$13,$G463=$G$15,J$15,$G463=$G$16,J$16,$G463=$G$17,J$17,$G463=$G$18,J$18,$G463=$G$19,J$19,$G463=$G$20,J$20,$G463=$G$21,J$21,$G463=$G$22,J$22,$G463=$G$25,J$25,$G463=$G$26,J$26,$G463=$G$27,J$27,$G463=$G$29,J$29,$G463=$G$31,J$31,$G463=$G$32,J$150,$G463=$G$248,J$248,$G463=$G$250,J$250)</f>
        <v>96.85</v>
      </c>
      <c r="K463" t="str" cm="1">
        <f t="array" ref="K463">_xlfn.IFS($G463=$G$5,K$5,$G463=$G$6,K$6,$G463=$G$7,K$7,$G463=$G$8,K$8,$G463=$G$9,K$9,$G463=$G$10,K$10,$G463=$G$11,K$11,$G463=$G$12,K$12,$G463=$G$13,K$13,$G463=$G$15,K$15,$G463=$G$16,K$16,$G463=$G$17,K$17,$G463=$G$18,K$18,$G463=$G$19,K$19,$G463=$G$20,K$20,$G463=$G$21,K$21,$G463=$G$22,K$22,$G463=$G$25,K$25,$G463=$G$26,K$26,$G463=$G$27,K$27,$G463=$G$29,K$29,$G463=$G$31,K$31,$G463=$G$32,K$150,$G463=$G$248,K$248,$G463=$G$250,K$250)</f>
        <v>BG sentinel + BG lure7</v>
      </c>
      <c r="L463" s="48"/>
      <c r="M463" s="48"/>
      <c r="O463" s="45" t="str">
        <f t="shared" si="37"/>
        <v>A_SP_BCN_18_210721</v>
      </c>
      <c r="P463" s="64">
        <v>44398</v>
      </c>
      <c r="R463" s="72"/>
      <c r="S463" s="64">
        <v>44405</v>
      </c>
      <c r="U463" s="72"/>
      <c r="V463" s="54" t="s">
        <v>66</v>
      </c>
      <c r="X463" s="45">
        <f t="shared" si="38"/>
        <v>7</v>
      </c>
      <c r="Z463" s="45" t="s">
        <v>80</v>
      </c>
      <c r="AA463" s="45">
        <f t="shared" si="36"/>
        <v>2</v>
      </c>
      <c r="AB463" t="str">
        <f t="shared" si="39"/>
        <v>Adult</v>
      </c>
      <c r="AC463" s="69">
        <v>2</v>
      </c>
      <c r="AD463" s="69">
        <v>0</v>
      </c>
      <c r="AE463" s="45" t="str">
        <f t="shared" si="40"/>
        <v>Morphological</v>
      </c>
      <c r="AF463" s="56">
        <v>4</v>
      </c>
    </row>
    <row r="464" spans="1:32" ht="18" customHeight="1" x14ac:dyDescent="0.25">
      <c r="A464" s="45">
        <v>460</v>
      </c>
      <c r="B464" s="45" t="s">
        <v>60</v>
      </c>
      <c r="C464" s="45" t="s">
        <v>61</v>
      </c>
      <c r="D464" s="45" t="s">
        <v>62</v>
      </c>
      <c r="E464" s="45" t="s">
        <v>62</v>
      </c>
      <c r="F464" s="46" cm="1">
        <f t="array" ref="F464">_xlfn.IFS($G464=$G$5,F$5,$G464=$G$6,F$6,$G464=$G$7,F$7,$G464=$G$8,F$8,$G464=$G$9,F$9,$G464=$G$10,F$10,$G464=$G$11,F$11,$G464=$G$12,F$12,$G464=$G$13,F$13,$G464=$G$15,F$15,$G464=$G$16,F$16,$G464=$G$17,F$17,$G464=$G$18,F$18,$G464=$G$19,F$19,$G464=$G$20,F$20,$G464=$G$21,F$21,$G464=$G$22,F$22,$G464=$G$25,F$25,$G464=$G$26,F$26,$G464=$G$27,F$27,$G464=$G$29,F$29,$G464=$G$31,F$31,$G464=$G$32,F$32,$G464=$G$248,F$248,$G464=$G$250,F$250)</f>
        <v>8038</v>
      </c>
      <c r="G464" t="s">
        <v>93</v>
      </c>
      <c r="H464" s="66" cm="1">
        <f t="array" ref="H464">_xlfn.IFS($G464=$G$5,H$5,$G464=$G$6,H$6,$G464=$G$7,H$7,$G464=$G$8,H$8,$G464=$G$9,H$9,$G464=$G$10,H$10,$G464=$G$11,H$11,$G464=$G$12,H$12,$G464=$G$13,H$13,$G464=$G$15,H$15,$G464=$G$16,H$16,$G464=$G$17,H$17,$G464=$G$18,H$18,$G464=$G$19,H$19,$G464=$G$20,H$20,$G464=$G$21,H$21,$G464=$G$22,H$22,$G464=$G$25,H$25,$G464=$G$26,H$26,$G464=$G$27,H$27,$G464=$G$29,H$29,$G464=$G$31,H$31,$G464=$G$32,H$150,$G464=$G$248,H$248,$G464=$G$250,H$250)</f>
        <v>41.359864999999999</v>
      </c>
      <c r="I464" s="78" cm="1">
        <f t="array" ref="I464">_xlfn.IFS($G464=$G$5,I$5,$G464=$G$6,I$6,$G464=$G$7,I$7,$G464=$G$8,I$8,$G464=$G$9,I$9,$G464=$G$10,I$10,$G464=$G$11,I$11,$G464=$G$12,I$12,$G464=$G$13,I$13,$G464=$G$15,I$15,$G464=$G$16,I$16,$G464=$G$17,I$17,$G464=$G$18,I$18,$G464=$G$19,I$19,$G464=$G$20,I$20,$G464=$G$21,I$21,$G464=$G$22,I$22,$G464=$G$25,I$25,$G464=$G$26,I$26,$G464=$G$27,I$27,$G464=$G$29,I$29,$G464=$G$31,I$31,$G464=$G$32,I$150,$G464=$G$248,I$248,$G464=$G$250,I$250)</f>
        <v>2.1445430000000001</v>
      </c>
      <c r="J464" cm="1">
        <f t="array" ref="J464">_xlfn.IFS($G464=$G$5,J$5,$G464=$G$6,J$6,$G464=$G$7,J$7,$G464=$G$8,J$8,$G464=$G$9,J$9,$G464=$G$10,J$10,$G464=$G$11,J$11,$G464=$G$12,J$12,$G464=$G$13,J$13,$G464=$G$15,J$15,$G464=$G$16,J$16,$G464=$G$17,J$17,$G464=$G$18,J$18,$G464=$G$19,J$19,$G464=$G$20,J$20,$G464=$G$21,J$21,$G464=$G$22,J$22,$G464=$G$25,J$25,$G464=$G$26,J$26,$G464=$G$27,J$27,$G464=$G$29,J$29,$G464=$G$31,J$31,$G464=$G$32,J$150,$G464=$G$248,J$248,$G464=$G$250,J$250)</f>
        <v>11.4</v>
      </c>
      <c r="K464" t="str" cm="1">
        <f t="array" ref="K464">_xlfn.IFS($G464=$G$5,K$5,$G464=$G$6,K$6,$G464=$G$7,K$7,$G464=$G$8,K$8,$G464=$G$9,K$9,$G464=$G$10,K$10,$G464=$G$11,K$11,$G464=$G$12,K$12,$G464=$G$13,K$13,$G464=$G$15,K$15,$G464=$G$16,K$16,$G464=$G$17,K$17,$G464=$G$18,K$18,$G464=$G$19,K$19,$G464=$G$20,K$20,$G464=$G$21,K$21,$G464=$G$22,K$22,$G464=$G$25,K$25,$G464=$G$26,K$26,$G464=$G$27,K$27,$G464=$G$29,K$29,$G464=$G$31,K$31,$G464=$G$32,K$150,$G464=$G$248,K$248,$G464=$G$250,K$250)</f>
        <v>BG sentinel + BG lure7</v>
      </c>
      <c r="L464" s="48"/>
      <c r="M464" s="48"/>
      <c r="O464" s="45" t="str">
        <f t="shared" si="37"/>
        <v>A_SP_BCN_19_210722</v>
      </c>
      <c r="P464" s="64">
        <v>44399</v>
      </c>
      <c r="R464" s="72"/>
      <c r="S464" s="64">
        <v>44406</v>
      </c>
      <c r="U464" s="72"/>
      <c r="V464" s="54" t="s">
        <v>66</v>
      </c>
      <c r="W464" t="s">
        <v>135</v>
      </c>
      <c r="X464" s="45">
        <f t="shared" si="38"/>
        <v>7</v>
      </c>
      <c r="Z464" s="69" t="s">
        <v>69</v>
      </c>
      <c r="AA464" s="45">
        <f t="shared" si="36"/>
        <v>83</v>
      </c>
      <c r="AB464" t="str">
        <f t="shared" si="39"/>
        <v>Adult</v>
      </c>
      <c r="AC464" s="69">
        <v>58</v>
      </c>
      <c r="AD464" s="69">
        <v>25</v>
      </c>
      <c r="AE464" s="45" t="str">
        <f t="shared" si="40"/>
        <v>Morphological</v>
      </c>
      <c r="AF464" s="56">
        <v>3</v>
      </c>
    </row>
    <row r="465" spans="1:32" ht="18" customHeight="1" x14ac:dyDescent="0.25">
      <c r="A465" s="45">
        <v>461</v>
      </c>
      <c r="B465" s="45" t="s">
        <v>60</v>
      </c>
      <c r="C465" s="45" t="s">
        <v>61</v>
      </c>
      <c r="D465" s="45" t="s">
        <v>62</v>
      </c>
      <c r="E465" s="45" t="s">
        <v>62</v>
      </c>
      <c r="F465" s="46" cm="1">
        <f t="array" ref="F465">_xlfn.IFS($G465=$G$5,F$5,$G465=$G$6,F$6,$G465=$G$7,F$7,$G465=$G$8,F$8,$G465=$G$9,F$9,$G465=$G$10,F$10,$G465=$G$11,F$11,$G465=$G$12,F$12,$G465=$G$13,F$13,$G465=$G$15,F$15,$G465=$G$16,F$16,$G465=$G$17,F$17,$G465=$G$18,F$18,$G465=$G$19,F$19,$G465=$G$20,F$20,$G465=$G$21,F$21,$G465=$G$22,F$22,$G465=$G$25,F$25,$G465=$G$26,F$26,$G465=$G$27,F$27,$G465=$G$29,F$29,$G465=$G$31,F$31,$G465=$G$32,F$32,$G465=$G$248,F$248,$G465=$G$250,F$250)</f>
        <v>8038</v>
      </c>
      <c r="G465" t="s">
        <v>93</v>
      </c>
      <c r="H465" s="66" cm="1">
        <f t="array" ref="H465">_xlfn.IFS($G465=$G$5,H$5,$G465=$G$6,H$6,$G465=$G$7,H$7,$G465=$G$8,H$8,$G465=$G$9,H$9,$G465=$G$10,H$10,$G465=$G$11,H$11,$G465=$G$12,H$12,$G465=$G$13,H$13,$G465=$G$15,H$15,$G465=$G$16,H$16,$G465=$G$17,H$17,$G465=$G$18,H$18,$G465=$G$19,H$19,$G465=$G$20,H$20,$G465=$G$21,H$21,$G465=$G$22,H$22,$G465=$G$25,H$25,$G465=$G$26,H$26,$G465=$G$27,H$27,$G465=$G$29,H$29,$G465=$G$31,H$31,$G465=$G$32,H$150,$G465=$G$248,H$248,$G465=$G$250,H$250)</f>
        <v>41.359864999999999</v>
      </c>
      <c r="I465" s="78" cm="1">
        <f t="array" ref="I465">_xlfn.IFS($G465=$G$5,I$5,$G465=$G$6,I$6,$G465=$G$7,I$7,$G465=$G$8,I$8,$G465=$G$9,I$9,$G465=$G$10,I$10,$G465=$G$11,I$11,$G465=$G$12,I$12,$G465=$G$13,I$13,$G465=$G$15,I$15,$G465=$G$16,I$16,$G465=$G$17,I$17,$G465=$G$18,I$18,$G465=$G$19,I$19,$G465=$G$20,I$20,$G465=$G$21,I$21,$G465=$G$22,I$22,$G465=$G$25,I$25,$G465=$G$26,I$26,$G465=$G$27,I$27,$G465=$G$29,I$29,$G465=$G$31,I$31,$G465=$G$32,I$150,$G465=$G$248,I$248,$G465=$G$250,I$250)</f>
        <v>2.1445430000000001</v>
      </c>
      <c r="J465" cm="1">
        <f t="array" ref="J465">_xlfn.IFS($G465=$G$5,J$5,$G465=$G$6,J$6,$G465=$G$7,J$7,$G465=$G$8,J$8,$G465=$G$9,J$9,$G465=$G$10,J$10,$G465=$G$11,J$11,$G465=$G$12,J$12,$G465=$G$13,J$13,$G465=$G$15,J$15,$G465=$G$16,J$16,$G465=$G$17,J$17,$G465=$G$18,J$18,$G465=$G$19,J$19,$G465=$G$20,J$20,$G465=$G$21,J$21,$G465=$G$22,J$22,$G465=$G$25,J$25,$G465=$G$26,J$26,$G465=$G$27,J$27,$G465=$G$29,J$29,$G465=$G$31,J$31,$G465=$G$32,J$150,$G465=$G$248,J$248,$G465=$G$250,J$250)</f>
        <v>11.4</v>
      </c>
      <c r="K465" t="str" cm="1">
        <f t="array" ref="K465">_xlfn.IFS($G465=$G$5,K$5,$G465=$G$6,K$6,$G465=$G$7,K$7,$G465=$G$8,K$8,$G465=$G$9,K$9,$G465=$G$10,K$10,$G465=$G$11,K$11,$G465=$G$12,K$12,$G465=$G$13,K$13,$G465=$G$15,K$15,$G465=$G$16,K$16,$G465=$G$17,K$17,$G465=$G$18,K$18,$G465=$G$19,K$19,$G465=$G$20,K$20,$G465=$G$21,K$21,$G465=$G$22,K$22,$G465=$G$25,K$25,$G465=$G$26,K$26,$G465=$G$27,K$27,$G465=$G$29,K$29,$G465=$G$31,K$31,$G465=$G$32,K$150,$G465=$G$248,K$248,$G465=$G$250,K$250)</f>
        <v>BG sentinel + BG lure7</v>
      </c>
      <c r="L465" s="48"/>
      <c r="M465" s="48"/>
      <c r="O465" s="45" t="str">
        <f t="shared" si="37"/>
        <v>A_SP_BCN_19_210722</v>
      </c>
      <c r="P465" s="64">
        <v>44399</v>
      </c>
      <c r="R465" s="72"/>
      <c r="S465" s="64">
        <v>44406</v>
      </c>
      <c r="U465" s="72"/>
      <c r="V465" s="54" t="s">
        <v>66</v>
      </c>
      <c r="W465" t="s">
        <v>135</v>
      </c>
      <c r="X465" s="45">
        <f t="shared" si="38"/>
        <v>7</v>
      </c>
      <c r="Z465" s="45" t="s">
        <v>70</v>
      </c>
      <c r="AA465" s="45">
        <f t="shared" si="36"/>
        <v>64</v>
      </c>
      <c r="AB465" t="str">
        <f t="shared" si="39"/>
        <v>Adult</v>
      </c>
      <c r="AC465" s="69">
        <v>64</v>
      </c>
      <c r="AD465" s="69">
        <v>0</v>
      </c>
      <c r="AE465" s="45" t="str">
        <f t="shared" si="40"/>
        <v>Morphological</v>
      </c>
      <c r="AF465" s="56">
        <v>3</v>
      </c>
    </row>
    <row r="466" spans="1:32" ht="18" customHeight="1" x14ac:dyDescent="0.25">
      <c r="A466" s="45">
        <v>462</v>
      </c>
      <c r="B466" s="45" t="s">
        <v>60</v>
      </c>
      <c r="C466" s="45" t="s">
        <v>61</v>
      </c>
      <c r="D466" s="45" t="s">
        <v>62</v>
      </c>
      <c r="E466" s="45" t="s">
        <v>62</v>
      </c>
      <c r="F466" s="46" cm="1">
        <f t="array" ref="F466">_xlfn.IFS($G466=$G$5,F$5,$G466=$G$6,F$6,$G466=$G$7,F$7,$G466=$G$8,F$8,$G466=$G$9,F$9,$G466=$G$10,F$10,$G466=$G$11,F$11,$G466=$G$12,F$12,$G466=$G$13,F$13,$G466=$G$15,F$15,$G466=$G$16,F$16,$G466=$G$17,F$17,$G466=$G$18,F$18,$G466=$G$19,F$19,$G466=$G$20,F$20,$G466=$G$21,F$21,$G466=$G$22,F$22,$G466=$G$25,F$25,$G466=$G$26,F$26,$G466=$G$27,F$27,$G466=$G$29,F$29,$G466=$G$31,F$31,$G466=$G$32,F$32,$G466=$G$248,F$248,$G466=$G$250,F$250)</f>
        <v>8038</v>
      </c>
      <c r="G466" t="s">
        <v>93</v>
      </c>
      <c r="H466" s="66" cm="1">
        <f t="array" ref="H466">_xlfn.IFS($G466=$G$5,H$5,$G466=$G$6,H$6,$G466=$G$7,H$7,$G466=$G$8,H$8,$G466=$G$9,H$9,$G466=$G$10,H$10,$G466=$G$11,H$11,$G466=$G$12,H$12,$G466=$G$13,H$13,$G466=$G$15,H$15,$G466=$G$16,H$16,$G466=$G$17,H$17,$G466=$G$18,H$18,$G466=$G$19,H$19,$G466=$G$20,H$20,$G466=$G$21,H$21,$G466=$G$22,H$22,$G466=$G$25,H$25,$G466=$G$26,H$26,$G466=$G$27,H$27,$G466=$G$29,H$29,$G466=$G$31,H$31,$G466=$G$32,H$150,$G466=$G$248,H$248,$G466=$G$250,H$250)</f>
        <v>41.359864999999999</v>
      </c>
      <c r="I466" s="78" cm="1">
        <f t="array" ref="I466">_xlfn.IFS($G466=$G$5,I$5,$G466=$G$6,I$6,$G466=$G$7,I$7,$G466=$G$8,I$8,$G466=$G$9,I$9,$G466=$G$10,I$10,$G466=$G$11,I$11,$G466=$G$12,I$12,$G466=$G$13,I$13,$G466=$G$15,I$15,$G466=$G$16,I$16,$G466=$G$17,I$17,$G466=$G$18,I$18,$G466=$G$19,I$19,$G466=$G$20,I$20,$G466=$G$21,I$21,$G466=$G$22,I$22,$G466=$G$25,I$25,$G466=$G$26,I$26,$G466=$G$27,I$27,$G466=$G$29,I$29,$G466=$G$31,I$31,$G466=$G$32,I$150,$G466=$G$248,I$248,$G466=$G$250,I$250)</f>
        <v>2.1445430000000001</v>
      </c>
      <c r="J466" cm="1">
        <f t="array" ref="J466">_xlfn.IFS($G466=$G$5,J$5,$G466=$G$6,J$6,$G466=$G$7,J$7,$G466=$G$8,J$8,$G466=$G$9,J$9,$G466=$G$10,J$10,$G466=$G$11,J$11,$G466=$G$12,J$12,$G466=$G$13,J$13,$G466=$G$15,J$15,$G466=$G$16,J$16,$G466=$G$17,J$17,$G466=$G$18,J$18,$G466=$G$19,J$19,$G466=$G$20,J$20,$G466=$G$21,J$21,$G466=$G$22,J$22,$G466=$G$25,J$25,$G466=$G$26,J$26,$G466=$G$27,J$27,$G466=$G$29,J$29,$G466=$G$31,J$31,$G466=$G$32,J$150,$G466=$G$248,J$248,$G466=$G$250,J$250)</f>
        <v>11.4</v>
      </c>
      <c r="K466" t="str" cm="1">
        <f t="array" ref="K466">_xlfn.IFS($G466=$G$5,K$5,$G466=$G$6,K$6,$G466=$G$7,K$7,$G466=$G$8,K$8,$G466=$G$9,K$9,$G466=$G$10,K$10,$G466=$G$11,K$11,$G466=$G$12,K$12,$G466=$G$13,K$13,$G466=$G$15,K$15,$G466=$G$16,K$16,$G466=$G$17,K$17,$G466=$G$18,K$18,$G466=$G$19,K$19,$G466=$G$20,K$20,$G466=$G$21,K$21,$G466=$G$22,K$22,$G466=$G$25,K$25,$G466=$G$26,K$26,$G466=$G$27,K$27,$G466=$G$29,K$29,$G466=$G$31,K$31,$G466=$G$32,K$150,$G466=$G$248,K$248,$G466=$G$250,K$250)</f>
        <v>BG sentinel + BG lure7</v>
      </c>
      <c r="L466" s="48"/>
      <c r="M466" s="48"/>
      <c r="O466" s="45" t="str">
        <f t="shared" si="37"/>
        <v>A_SP_BCN_19_210722</v>
      </c>
      <c r="P466" s="64">
        <v>44399</v>
      </c>
      <c r="R466" s="72"/>
      <c r="S466" s="64">
        <v>44406</v>
      </c>
      <c r="U466" s="72"/>
      <c r="V466" s="54" t="s">
        <v>66</v>
      </c>
      <c r="W466" t="s">
        <v>135</v>
      </c>
      <c r="X466" s="45">
        <f t="shared" si="38"/>
        <v>7</v>
      </c>
      <c r="Z466" s="45" t="s">
        <v>80</v>
      </c>
      <c r="AA466" s="45">
        <f t="shared" si="36"/>
        <v>1</v>
      </c>
      <c r="AB466" t="str">
        <f t="shared" si="39"/>
        <v>Adult</v>
      </c>
      <c r="AC466" s="69">
        <v>1</v>
      </c>
      <c r="AD466" s="69">
        <v>0</v>
      </c>
      <c r="AE466" s="45" t="str">
        <f t="shared" si="40"/>
        <v>Morphological</v>
      </c>
      <c r="AF466" s="56">
        <v>3</v>
      </c>
    </row>
    <row r="467" spans="1:32" ht="18" customHeight="1" x14ac:dyDescent="0.25">
      <c r="A467" s="45">
        <v>463</v>
      </c>
      <c r="B467" s="45" t="s">
        <v>60</v>
      </c>
      <c r="C467" s="45" t="s">
        <v>61</v>
      </c>
      <c r="D467" s="45" t="s">
        <v>62</v>
      </c>
      <c r="E467" s="45" t="s">
        <v>62</v>
      </c>
      <c r="F467" s="46" cm="1">
        <f t="array" ref="F467">_xlfn.IFS($G467=$G$5,F$5,$G467=$G$6,F$6,$G467=$G$7,F$7,$G467=$G$8,F$8,$G467=$G$9,F$9,$G467=$G$10,F$10,$G467=$G$11,F$11,$G467=$G$12,F$12,$G467=$G$13,F$13,$G467=$G$15,F$15,$G467=$G$16,F$16,$G467=$G$17,F$17,$G467=$G$18,F$18,$G467=$G$19,F$19,$G467=$G$20,F$20,$G467=$G$21,F$21,$G467=$G$22,F$22,$G467=$G$25,F$25,$G467=$G$26,F$26,$G467=$G$27,F$27,$G467=$G$29,F$29,$G467=$G$31,F$31,$G467=$G$32,F$32,$G467=$G$248,F$248,$G467=$G$250,F$250)</f>
        <v>8002</v>
      </c>
      <c r="G467" t="s">
        <v>94</v>
      </c>
      <c r="H467" s="66" cm="1">
        <f t="array" ref="H467">_xlfn.IFS($G467=$G$5,H$5,$G467=$G$6,H$6,$G467=$G$7,H$7,$G467=$G$8,H$8,$G467=$G$9,H$9,$G467=$G$10,H$10,$G467=$G$11,H$11,$G467=$G$12,H$12,$G467=$G$13,H$13,$G467=$G$15,H$15,$G467=$G$16,H$16,$G467=$G$17,H$17,$G467=$G$18,H$18,$G467=$G$19,H$19,$G467=$G$20,H$20,$G467=$G$21,H$21,$G467=$G$22,H$22,$G467=$G$25,H$25,$G467=$G$26,H$26,$G467=$G$27,H$27,$G467=$G$29,H$29,$G467=$G$31,H$31,$G467=$G$32,H$150,$G467=$G$248,H$248,$G467=$G$250,H$250)</f>
        <v>41.385213</v>
      </c>
      <c r="I467" s="78" cm="1">
        <f t="array" ref="I467">_xlfn.IFS($G467=$G$5,I$5,$G467=$G$6,I$6,$G467=$G$7,I$7,$G467=$G$8,I$8,$G467=$G$9,I$9,$G467=$G$10,I$10,$G467=$G$11,I$11,$G467=$G$12,I$12,$G467=$G$13,I$13,$G467=$G$15,I$15,$G467=$G$16,I$16,$G467=$G$17,I$17,$G467=$G$18,I$18,$G467=$G$19,I$19,$G467=$G$20,I$20,$G467=$G$21,I$21,$G467=$G$22,I$22,$G467=$G$25,I$25,$G467=$G$26,I$26,$G467=$G$27,I$27,$G467=$G$29,I$29,$G467=$G$31,I$31,$G467=$G$32,I$150,$G467=$G$248,I$248,$G467=$G$250,I$250)</f>
        <v>2.174852</v>
      </c>
      <c r="J467" cm="1">
        <f t="array" ref="J467">_xlfn.IFS($G467=$G$5,J$5,$G467=$G$6,J$6,$G467=$G$7,J$7,$G467=$G$8,J$8,$G467=$G$9,J$9,$G467=$G$10,J$10,$G467=$G$11,J$11,$G467=$G$12,J$12,$G467=$G$13,J$13,$G467=$G$15,J$15,$G467=$G$16,J$16,$G467=$G$17,J$17,$G467=$G$18,J$18,$G467=$G$19,J$19,$G467=$G$20,J$20,$G467=$G$21,J$21,$G467=$G$22,J$22,$G467=$G$25,J$25,$G467=$G$26,J$26,$G467=$G$27,J$27,$G467=$G$29,J$29,$G467=$G$31,J$31,$G467=$G$32,J$150,$G467=$G$248,J$248,$G467=$G$250,J$250)</f>
        <v>14</v>
      </c>
      <c r="K467" t="str" cm="1">
        <f t="array" ref="K467">_xlfn.IFS($G467=$G$5,K$5,$G467=$G$6,K$6,$G467=$G$7,K$7,$G467=$G$8,K$8,$G467=$G$9,K$9,$G467=$G$10,K$10,$G467=$G$11,K$11,$G467=$G$12,K$12,$G467=$G$13,K$13,$G467=$G$15,K$15,$G467=$G$16,K$16,$G467=$G$17,K$17,$G467=$G$18,K$18,$G467=$G$19,K$19,$G467=$G$20,K$20,$G467=$G$21,K$21,$G467=$G$22,K$22,$G467=$G$25,K$25,$G467=$G$26,K$26,$G467=$G$27,K$27,$G467=$G$29,K$29,$G467=$G$31,K$31,$G467=$G$32,K$150,$G467=$G$248,K$248,$G467=$G$250,K$250)</f>
        <v>BG sentinel + BG lure7</v>
      </c>
      <c r="L467" s="48"/>
      <c r="M467" s="48"/>
      <c r="O467" s="45" t="str">
        <f t="shared" si="37"/>
        <v>A_SP_BCN_20_210722</v>
      </c>
      <c r="P467" s="64">
        <v>44399</v>
      </c>
      <c r="R467" s="72"/>
      <c r="S467" s="64">
        <v>44406</v>
      </c>
      <c r="U467" s="72"/>
      <c r="V467" s="54" t="s">
        <v>66</v>
      </c>
      <c r="X467" s="45">
        <f t="shared" si="38"/>
        <v>7</v>
      </c>
      <c r="Z467" s="69" t="s">
        <v>69</v>
      </c>
      <c r="AA467" s="45">
        <f t="shared" si="36"/>
        <v>4</v>
      </c>
      <c r="AB467" t="str">
        <f t="shared" si="39"/>
        <v>Adult</v>
      </c>
      <c r="AC467" s="69">
        <v>2</v>
      </c>
      <c r="AD467" s="69">
        <v>2</v>
      </c>
      <c r="AE467" s="45" t="str">
        <f t="shared" si="40"/>
        <v>Morphological</v>
      </c>
      <c r="AF467" s="56">
        <v>4</v>
      </c>
    </row>
    <row r="468" spans="1:32" ht="18" customHeight="1" x14ac:dyDescent="0.25">
      <c r="A468" s="45">
        <v>464</v>
      </c>
      <c r="B468" s="45" t="s">
        <v>60</v>
      </c>
      <c r="C468" s="45" t="s">
        <v>61</v>
      </c>
      <c r="D468" s="45" t="s">
        <v>62</v>
      </c>
      <c r="E468" s="45" t="s">
        <v>62</v>
      </c>
      <c r="F468" s="46" cm="1">
        <f t="array" ref="F468">_xlfn.IFS($G468=$G$5,F$5,$G468=$G$6,F$6,$G468=$G$7,F$7,$G468=$G$8,F$8,$G468=$G$9,F$9,$G468=$G$10,F$10,$G468=$G$11,F$11,$G468=$G$12,F$12,$G468=$G$13,F$13,$G468=$G$15,F$15,$G468=$G$16,F$16,$G468=$G$17,F$17,$G468=$G$18,F$18,$G468=$G$19,F$19,$G468=$G$20,F$20,$G468=$G$21,F$21,$G468=$G$22,F$22,$G468=$G$25,F$25,$G468=$G$26,F$26,$G468=$G$27,F$27,$G468=$G$29,F$29,$G468=$G$31,F$31,$G468=$G$32,F$32,$G468=$G$248,F$248,$G468=$G$250,F$250)</f>
        <v>8002</v>
      </c>
      <c r="G468" t="s">
        <v>94</v>
      </c>
      <c r="H468" s="66" cm="1">
        <f t="array" ref="H468">_xlfn.IFS($G468=$G$5,H$5,$G468=$G$6,H$6,$G468=$G$7,H$7,$G468=$G$8,H$8,$G468=$G$9,H$9,$G468=$G$10,H$10,$G468=$G$11,H$11,$G468=$G$12,H$12,$G468=$G$13,H$13,$G468=$G$15,H$15,$G468=$G$16,H$16,$G468=$G$17,H$17,$G468=$G$18,H$18,$G468=$G$19,H$19,$G468=$G$20,H$20,$G468=$G$21,H$21,$G468=$G$22,H$22,$G468=$G$25,H$25,$G468=$G$26,H$26,$G468=$G$27,H$27,$G468=$G$29,H$29,$G468=$G$31,H$31,$G468=$G$32,H$150,$G468=$G$248,H$248,$G468=$G$250,H$250)</f>
        <v>41.385213</v>
      </c>
      <c r="I468" s="78" cm="1">
        <f t="array" ref="I468">_xlfn.IFS($G468=$G$5,I$5,$G468=$G$6,I$6,$G468=$G$7,I$7,$G468=$G$8,I$8,$G468=$G$9,I$9,$G468=$G$10,I$10,$G468=$G$11,I$11,$G468=$G$12,I$12,$G468=$G$13,I$13,$G468=$G$15,I$15,$G468=$G$16,I$16,$G468=$G$17,I$17,$G468=$G$18,I$18,$G468=$G$19,I$19,$G468=$G$20,I$20,$G468=$G$21,I$21,$G468=$G$22,I$22,$G468=$G$25,I$25,$G468=$G$26,I$26,$G468=$G$27,I$27,$G468=$G$29,I$29,$G468=$G$31,I$31,$G468=$G$32,I$150,$G468=$G$248,I$248,$G468=$G$250,I$250)</f>
        <v>2.174852</v>
      </c>
      <c r="J468" cm="1">
        <f t="array" ref="J468">_xlfn.IFS($G468=$G$5,J$5,$G468=$G$6,J$6,$G468=$G$7,J$7,$G468=$G$8,J$8,$G468=$G$9,J$9,$G468=$G$10,J$10,$G468=$G$11,J$11,$G468=$G$12,J$12,$G468=$G$13,J$13,$G468=$G$15,J$15,$G468=$G$16,J$16,$G468=$G$17,J$17,$G468=$G$18,J$18,$G468=$G$19,J$19,$G468=$G$20,J$20,$G468=$G$21,J$21,$G468=$G$22,J$22,$G468=$G$25,J$25,$G468=$G$26,J$26,$G468=$G$27,J$27,$G468=$G$29,J$29,$G468=$G$31,J$31,$G468=$G$32,J$150,$G468=$G$248,J$248,$G468=$G$250,J$250)</f>
        <v>14</v>
      </c>
      <c r="K468" t="str" cm="1">
        <f t="array" ref="K468">_xlfn.IFS($G468=$G$5,K$5,$G468=$G$6,K$6,$G468=$G$7,K$7,$G468=$G$8,K$8,$G468=$G$9,K$9,$G468=$G$10,K$10,$G468=$G$11,K$11,$G468=$G$12,K$12,$G468=$G$13,K$13,$G468=$G$15,K$15,$G468=$G$16,K$16,$G468=$G$17,K$17,$G468=$G$18,K$18,$G468=$G$19,K$19,$G468=$G$20,K$20,$G468=$G$21,K$21,$G468=$G$22,K$22,$G468=$G$25,K$25,$G468=$G$26,K$26,$G468=$G$27,K$27,$G468=$G$29,K$29,$G468=$G$31,K$31,$G468=$G$32,K$150,$G468=$G$248,K$248,$G468=$G$250,K$250)</f>
        <v>BG sentinel + BG lure7</v>
      </c>
      <c r="L468" s="48"/>
      <c r="M468" s="48"/>
      <c r="O468" s="45" t="str">
        <f t="shared" si="37"/>
        <v>A_SP_BCN_20_210722</v>
      </c>
      <c r="P468" s="64">
        <v>44399</v>
      </c>
      <c r="R468" s="72"/>
      <c r="S468" s="64">
        <v>44406</v>
      </c>
      <c r="U468" s="72"/>
      <c r="V468" s="54" t="s">
        <v>66</v>
      </c>
      <c r="X468" s="45">
        <f t="shared" si="38"/>
        <v>7</v>
      </c>
      <c r="Z468" s="45" t="s">
        <v>70</v>
      </c>
      <c r="AA468" s="45">
        <f t="shared" si="36"/>
        <v>11</v>
      </c>
      <c r="AB468" t="str">
        <f t="shared" si="39"/>
        <v>Adult</v>
      </c>
      <c r="AC468" s="69">
        <v>7</v>
      </c>
      <c r="AD468" s="69">
        <v>4</v>
      </c>
      <c r="AE468" s="45" t="str">
        <f t="shared" si="40"/>
        <v>Morphological</v>
      </c>
      <c r="AF468" s="56">
        <v>4</v>
      </c>
    </row>
    <row r="469" spans="1:32" ht="18" customHeight="1" x14ac:dyDescent="0.25">
      <c r="A469" s="45">
        <v>465</v>
      </c>
      <c r="B469" s="45" t="s">
        <v>60</v>
      </c>
      <c r="C469" s="45" t="s">
        <v>61</v>
      </c>
      <c r="D469" s="45" t="s">
        <v>62</v>
      </c>
      <c r="E469" s="45" t="s">
        <v>62</v>
      </c>
      <c r="F469" s="46" cm="1">
        <f t="array" ref="F469">_xlfn.IFS($G469=$G$5,F$5,$G469=$G$6,F$6,$G469=$G$7,F$7,$G469=$G$8,F$8,$G469=$G$9,F$9,$G469=$G$10,F$10,$G469=$G$11,F$11,$G469=$G$12,F$12,$G469=$G$13,F$13,$G469=$G$15,F$15,$G469=$G$16,F$16,$G469=$G$17,F$17,$G469=$G$18,F$18,$G469=$G$19,F$19,$G469=$G$20,F$20,$G469=$G$21,F$21,$G469=$G$22,F$22,$G469=$G$25,F$25,$G469=$G$26,F$26,$G469=$G$27,F$27,$G469=$G$29,F$29,$G469=$G$31,F$31,$G469=$G$32,F$32,$G469=$G$248,F$248,$G469=$G$250,F$250)</f>
        <v>8002</v>
      </c>
      <c r="G469" t="s">
        <v>94</v>
      </c>
      <c r="H469" s="66" cm="1">
        <f t="array" ref="H469">_xlfn.IFS($G469=$G$5,H$5,$G469=$G$6,H$6,$G469=$G$7,H$7,$G469=$G$8,H$8,$G469=$G$9,H$9,$G469=$G$10,H$10,$G469=$G$11,H$11,$G469=$G$12,H$12,$G469=$G$13,H$13,$G469=$G$15,H$15,$G469=$G$16,H$16,$G469=$G$17,H$17,$G469=$G$18,H$18,$G469=$G$19,H$19,$G469=$G$20,H$20,$G469=$G$21,H$21,$G469=$G$22,H$22,$G469=$G$25,H$25,$G469=$G$26,H$26,$G469=$G$27,H$27,$G469=$G$29,H$29,$G469=$G$31,H$31,$G469=$G$32,H$150,$G469=$G$248,H$248,$G469=$G$250,H$250)</f>
        <v>41.385213</v>
      </c>
      <c r="I469" s="78" cm="1">
        <f t="array" ref="I469">_xlfn.IFS($G469=$G$5,I$5,$G469=$G$6,I$6,$G469=$G$7,I$7,$G469=$G$8,I$8,$G469=$G$9,I$9,$G469=$G$10,I$10,$G469=$G$11,I$11,$G469=$G$12,I$12,$G469=$G$13,I$13,$G469=$G$15,I$15,$G469=$G$16,I$16,$G469=$G$17,I$17,$G469=$G$18,I$18,$G469=$G$19,I$19,$G469=$G$20,I$20,$G469=$G$21,I$21,$G469=$G$22,I$22,$G469=$G$25,I$25,$G469=$G$26,I$26,$G469=$G$27,I$27,$G469=$G$29,I$29,$G469=$G$31,I$31,$G469=$G$32,I$150,$G469=$G$248,I$248,$G469=$G$250,I$250)</f>
        <v>2.174852</v>
      </c>
      <c r="J469" cm="1">
        <f t="array" ref="J469">_xlfn.IFS($G469=$G$5,J$5,$G469=$G$6,J$6,$G469=$G$7,J$7,$G469=$G$8,J$8,$G469=$G$9,J$9,$G469=$G$10,J$10,$G469=$G$11,J$11,$G469=$G$12,J$12,$G469=$G$13,J$13,$G469=$G$15,J$15,$G469=$G$16,J$16,$G469=$G$17,J$17,$G469=$G$18,J$18,$G469=$G$19,J$19,$G469=$G$20,J$20,$G469=$G$21,J$21,$G469=$G$22,J$22,$G469=$G$25,J$25,$G469=$G$26,J$26,$G469=$G$27,J$27,$G469=$G$29,J$29,$G469=$G$31,J$31,$G469=$G$32,J$150,$G469=$G$248,J$248,$G469=$G$250,J$250)</f>
        <v>14</v>
      </c>
      <c r="K469" t="str" cm="1">
        <f t="array" ref="K469">_xlfn.IFS($G469=$G$5,K$5,$G469=$G$6,K$6,$G469=$G$7,K$7,$G469=$G$8,K$8,$G469=$G$9,K$9,$G469=$G$10,K$10,$G469=$G$11,K$11,$G469=$G$12,K$12,$G469=$G$13,K$13,$G469=$G$15,K$15,$G469=$G$16,K$16,$G469=$G$17,K$17,$G469=$G$18,K$18,$G469=$G$19,K$19,$G469=$G$20,K$20,$G469=$G$21,K$21,$G469=$G$22,K$22,$G469=$G$25,K$25,$G469=$G$26,K$26,$G469=$G$27,K$27,$G469=$G$29,K$29,$G469=$G$31,K$31,$G469=$G$32,K$150,$G469=$G$248,K$248,$G469=$G$250,K$250)</f>
        <v>BG sentinel + BG lure7</v>
      </c>
      <c r="L469" s="48"/>
      <c r="M469" s="48"/>
      <c r="O469" s="45" t="str">
        <f t="shared" si="37"/>
        <v>A_SP_BCN_20_210722</v>
      </c>
      <c r="P469" s="64">
        <v>44399</v>
      </c>
      <c r="R469" s="72"/>
      <c r="S469" s="64">
        <v>44406</v>
      </c>
      <c r="U469" s="72"/>
      <c r="V469" s="54" t="s">
        <v>66</v>
      </c>
      <c r="X469" s="45">
        <f t="shared" si="38"/>
        <v>7</v>
      </c>
      <c r="Z469" s="45" t="s">
        <v>80</v>
      </c>
      <c r="AA469" s="45">
        <f t="shared" si="36"/>
        <v>6</v>
      </c>
      <c r="AB469" t="str">
        <f t="shared" si="39"/>
        <v>Adult</v>
      </c>
      <c r="AC469" s="69">
        <v>2</v>
      </c>
      <c r="AD469" s="69">
        <v>4</v>
      </c>
      <c r="AE469" s="45" t="str">
        <f t="shared" si="40"/>
        <v>Morphological</v>
      </c>
      <c r="AF469" s="56">
        <v>4</v>
      </c>
    </row>
    <row r="470" spans="1:32" ht="18" customHeight="1" x14ac:dyDescent="0.25">
      <c r="A470" s="45">
        <v>466</v>
      </c>
      <c r="B470" s="45" t="s">
        <v>60</v>
      </c>
      <c r="C470" s="45" t="s">
        <v>61</v>
      </c>
      <c r="D470" s="45" t="s">
        <v>62</v>
      </c>
      <c r="E470" s="45" t="s">
        <v>62</v>
      </c>
      <c r="F470" s="46" cm="1">
        <f t="array" ref="F470">_xlfn.IFS($G470=$G$5,F$5,$G470=$G$6,F$6,$G470=$G$7,F$7,$G470=$G$8,F$8,$G470=$G$9,F$9,$G470=$G$10,F$10,$G470=$G$11,F$11,$G470=$G$12,F$12,$G470=$G$13,F$13,$G470=$G$15,F$15,$G470=$G$16,F$16,$G470=$G$17,F$17,$G470=$G$18,F$18,$G470=$G$19,F$19,$G470=$G$20,F$20,$G470=$G$21,F$21,$G470=$G$22,F$22,$G470=$G$25,F$25,$G470=$G$26,F$26,$G470=$G$27,F$27,$G470=$G$29,F$29,$G470=$G$31,F$31,$G470=$G$32,F$32,$G470=$G$248,F$248,$G470=$G$250,F$250)</f>
        <v>8017</v>
      </c>
      <c r="G470" t="s">
        <v>98</v>
      </c>
      <c r="H470" s="66" cm="1">
        <f t="array" ref="H470">_xlfn.IFS($G470=$G$5,H$5,$G470=$G$6,H$6,$G470=$G$7,H$7,$G470=$G$8,H$8,$G470=$G$9,H$9,$G470=$G$10,H$10,$G470=$G$11,H$11,$G470=$G$12,H$12,$G470=$G$13,H$13,$G470=$G$15,H$15,$G470=$G$16,H$16,$G470=$G$17,H$17,$G470=$G$18,H$18,$G470=$G$19,H$19,$G470=$G$20,H$20,$G470=$G$21,H$21,$G470=$G$22,H$22,$G470=$G$25,H$25,$G470=$G$26,H$26,$G470=$G$27,H$27,$G470=$G$29,H$29,$G470=$G$31,H$31,$G470=$G$32,H$150,$G470=$G$248,H$248,$G470=$G$250,H$250)</f>
        <v>41.430315999999998</v>
      </c>
      <c r="I470" s="78" cm="1">
        <f t="array" ref="I470">_xlfn.IFS($G470=$G$5,I$5,$G470=$G$6,I$6,$G470=$G$7,I$7,$G470=$G$8,I$8,$G470=$G$9,I$9,$G470=$G$10,I$10,$G470=$G$11,I$11,$G470=$G$12,I$12,$G470=$G$13,I$13,$G470=$G$15,I$15,$G470=$G$16,I$16,$G470=$G$17,I$17,$G470=$G$18,I$18,$G470=$G$19,I$19,$G470=$G$20,I$20,$G470=$G$21,I$21,$G470=$G$22,I$22,$G470=$G$25,I$25,$G470=$G$26,I$26,$G470=$G$27,I$27,$G470=$G$29,I$29,$G470=$G$31,I$31,$G470=$G$32,I$150,$G470=$G$248,I$248,$G470=$G$250,I$250)</f>
        <v>2.077556</v>
      </c>
      <c r="J470" cm="1">
        <f t="array" ref="J470">_xlfn.IFS($G470=$G$5,J$5,$G470=$G$6,J$6,$G470=$G$7,J$7,$G470=$G$8,J$8,$G470=$G$9,J$9,$G470=$G$10,J$10,$G470=$G$11,J$11,$G470=$G$12,J$12,$G470=$G$13,J$13,$G470=$G$15,J$15,$G470=$G$16,J$16,$G470=$G$17,J$17,$G470=$G$18,J$18,$G470=$G$19,J$19,$G470=$G$20,J$20,$G470=$G$21,J$21,$G470=$G$22,J$22,$G470=$G$25,J$25,$G470=$G$26,J$26,$G470=$G$27,J$27,$G470=$G$29,J$29,$G470=$G$31,J$31,$G470=$G$32,J$150,$G470=$G$248,J$248,$G470=$G$250,J$250)</f>
        <v>243.3</v>
      </c>
      <c r="K470" t="str" cm="1">
        <f t="array" ref="K470">_xlfn.IFS($G470=$G$5,K$5,$G470=$G$6,K$6,$G470=$G$7,K$7,$G470=$G$8,K$8,$G470=$G$9,K$9,$G470=$G$10,K$10,$G470=$G$11,K$11,$G470=$G$12,K$12,$G470=$G$13,K$13,$G470=$G$15,K$15,$G470=$G$16,K$16,$G470=$G$17,K$17,$G470=$G$18,K$18,$G470=$G$19,K$19,$G470=$G$20,K$20,$G470=$G$21,K$21,$G470=$G$22,K$22,$G470=$G$25,K$25,$G470=$G$26,K$26,$G470=$G$27,K$27,$G470=$G$29,K$29,$G470=$G$31,K$31,$G470=$G$32,K$150,$G470=$G$248,K$248,$G470=$G$250,K$250)</f>
        <v>BG sentinel + BG lure7</v>
      </c>
      <c r="O470" s="45" t="str">
        <f t="shared" si="37"/>
        <v>A_SP_BCN_22_210721</v>
      </c>
      <c r="P470" s="64">
        <v>44398</v>
      </c>
      <c r="R470" s="72"/>
      <c r="S470" s="64">
        <v>44405</v>
      </c>
      <c r="U470" s="72"/>
      <c r="V470" s="54" t="s">
        <v>66</v>
      </c>
      <c r="X470" s="45">
        <f t="shared" si="38"/>
        <v>7</v>
      </c>
      <c r="Z470" s="69" t="s">
        <v>69</v>
      </c>
      <c r="AA470" s="45">
        <f t="shared" si="36"/>
        <v>4</v>
      </c>
      <c r="AB470" t="str">
        <f t="shared" si="39"/>
        <v>Adult</v>
      </c>
      <c r="AC470" s="69">
        <v>4</v>
      </c>
      <c r="AD470" s="69">
        <v>0</v>
      </c>
      <c r="AE470" s="45" t="str">
        <f t="shared" si="40"/>
        <v>Morphological</v>
      </c>
      <c r="AF470" s="56">
        <v>4</v>
      </c>
    </row>
    <row r="471" spans="1:32" ht="18" customHeight="1" x14ac:dyDescent="0.25">
      <c r="A471" s="45">
        <v>467</v>
      </c>
      <c r="B471" s="45" t="s">
        <v>60</v>
      </c>
      <c r="C471" s="45" t="s">
        <v>61</v>
      </c>
      <c r="D471" s="45" t="s">
        <v>62</v>
      </c>
      <c r="E471" s="45" t="s">
        <v>62</v>
      </c>
      <c r="F471" s="46" cm="1">
        <f t="array" ref="F471">_xlfn.IFS($G471=$G$5,F$5,$G471=$G$6,F$6,$G471=$G$7,F$7,$G471=$G$8,F$8,$G471=$G$9,F$9,$G471=$G$10,F$10,$G471=$G$11,F$11,$G471=$G$12,F$12,$G471=$G$13,F$13,$G471=$G$15,F$15,$G471=$G$16,F$16,$G471=$G$17,F$17,$G471=$G$18,F$18,$G471=$G$19,F$19,$G471=$G$20,F$20,$G471=$G$21,F$21,$G471=$G$22,F$22,$G471=$G$25,F$25,$G471=$G$26,F$26,$G471=$G$27,F$27,$G471=$G$29,F$29,$G471=$G$31,F$31,$G471=$G$32,F$32,$G471=$G$248,F$248,$G471=$G$250,F$250)</f>
        <v>8038</v>
      </c>
      <c r="G471" t="s">
        <v>103</v>
      </c>
      <c r="H471" s="66" cm="1">
        <f t="array" ref="H471">_xlfn.IFS($G471=$G$5,H$5,$G471=$G$6,H$6,$G471=$G$7,H$7,$G471=$G$8,H$8,$G471=$G$9,H$9,$G471=$G$10,H$10,$G471=$G$11,H$11,$G471=$G$12,H$12,$G471=$G$13,H$13,$G471=$G$15,H$15,$G471=$G$16,H$16,$G471=$G$17,H$17,$G471=$G$18,H$18,$G471=$G$19,H$19,$G471=$G$20,H$20,$G471=$G$21,H$21,$G471=$G$22,H$22,$G471=$G$25,H$25,$G471=$G$26,H$26,$G471=$G$27,H$27,$G471=$G$29,H$29,$G471=$G$31,H$31,$G471=$G$32,H$150,$G471=$G$248,H$248,$G471=$G$250,H$250)</f>
        <v>41.367100000000001</v>
      </c>
      <c r="I471" s="78" cm="1">
        <f t="array" ref="I471">_xlfn.IFS($G471=$G$5,I$5,$G471=$G$6,I$6,$G471=$G$7,I$7,$G471=$G$8,I$8,$G471=$G$9,I$9,$G471=$G$10,I$10,$G471=$G$11,I$11,$G471=$G$12,I$12,$G471=$G$13,I$13,$G471=$G$15,I$15,$G471=$G$16,I$16,$G471=$G$17,I$17,$G471=$G$18,I$18,$G471=$G$19,I$19,$G471=$G$20,I$20,$G471=$G$21,I$21,$G471=$G$22,I$22,$G471=$G$25,I$25,$G471=$G$26,I$26,$G471=$G$27,I$27,$G471=$G$29,I$29,$G471=$G$31,I$31,$G471=$G$32,I$150,$G471=$G$248,I$248,$G471=$G$250,I$250)</f>
        <v>2.1539079999999999</v>
      </c>
      <c r="J471" cm="1">
        <f t="array" ref="J471">_xlfn.IFS($G471=$G$5,J$5,$G471=$G$6,J$6,$G471=$G$7,J$7,$G471=$G$8,J$8,$G471=$G$9,J$9,$G471=$G$10,J$10,$G471=$G$11,J$11,$G471=$G$12,J$12,$G471=$G$13,J$13,$G471=$G$15,J$15,$G471=$G$16,J$16,$G471=$G$17,J$17,$G471=$G$18,J$18,$G471=$G$19,J$19,$G471=$G$20,J$20,$G471=$G$21,J$21,$G471=$G$22,J$22,$G471=$G$25,J$25,$G471=$G$26,J$26,$G471=$G$27,J$27,$G471=$G$29,J$29,$G471=$G$31,J$31,$G471=$G$32,J$150,$G471=$G$248,J$248,$G471=$G$250,J$250)</f>
        <v>68</v>
      </c>
      <c r="K471" t="str" cm="1">
        <f t="array" ref="K471">_xlfn.IFS($G471=$G$5,K$5,$G471=$G$6,K$6,$G471=$G$7,K$7,$G471=$G$8,K$8,$G471=$G$9,K$9,$G471=$G$10,K$10,$G471=$G$11,K$11,$G471=$G$12,K$12,$G471=$G$13,K$13,$G471=$G$15,K$15,$G471=$G$16,K$16,$G471=$G$17,K$17,$G471=$G$18,K$18,$G471=$G$19,K$19,$G471=$G$20,K$20,$G471=$G$21,K$21,$G471=$G$22,K$22,$G471=$G$25,K$25,$G471=$G$26,K$26,$G471=$G$27,K$27,$G471=$G$29,K$29,$G471=$G$31,K$31,$G471=$G$32,K$150,$G471=$G$248,K$248,$G471=$G$250,K$250)</f>
        <v>BG sentinel + BG lure7</v>
      </c>
      <c r="O471" s="45" t="str">
        <f t="shared" si="37"/>
        <v>A_SP_BCN_23_210722</v>
      </c>
      <c r="P471" s="64">
        <v>44399</v>
      </c>
      <c r="R471" s="72"/>
      <c r="S471" s="64">
        <v>44406</v>
      </c>
      <c r="U471" s="72"/>
      <c r="V471" s="54" t="s">
        <v>66</v>
      </c>
      <c r="X471" s="45">
        <f t="shared" si="38"/>
        <v>7</v>
      </c>
      <c r="Z471" s="69" t="s">
        <v>69</v>
      </c>
      <c r="AA471" s="45">
        <f t="shared" si="36"/>
        <v>34</v>
      </c>
      <c r="AB471" t="str">
        <f t="shared" si="39"/>
        <v>Adult</v>
      </c>
      <c r="AC471" s="69">
        <v>27</v>
      </c>
      <c r="AD471" s="69">
        <v>7</v>
      </c>
      <c r="AE471" s="45" t="str">
        <f t="shared" si="40"/>
        <v>Morphological</v>
      </c>
      <c r="AF471" s="56">
        <v>4</v>
      </c>
    </row>
    <row r="472" spans="1:32" ht="18" customHeight="1" x14ac:dyDescent="0.25">
      <c r="A472" s="45">
        <v>468</v>
      </c>
      <c r="B472" s="45" t="s">
        <v>60</v>
      </c>
      <c r="C472" s="45" t="s">
        <v>61</v>
      </c>
      <c r="D472" s="45" t="s">
        <v>62</v>
      </c>
      <c r="E472" s="45" t="s">
        <v>62</v>
      </c>
      <c r="F472" s="46" cm="1">
        <f t="array" ref="F472">_xlfn.IFS($G472=$G$5,F$5,$G472=$G$6,F$6,$G472=$G$7,F$7,$G472=$G$8,F$8,$G472=$G$9,F$9,$G472=$G$10,F$10,$G472=$G$11,F$11,$G472=$G$12,F$12,$G472=$G$13,F$13,$G472=$G$15,F$15,$G472=$G$16,F$16,$G472=$G$17,F$17,$G472=$G$18,F$18,$G472=$G$19,F$19,$G472=$G$20,F$20,$G472=$G$21,F$21,$G472=$G$22,F$22,$G472=$G$25,F$25,$G472=$G$26,F$26,$G472=$G$27,F$27,$G472=$G$29,F$29,$G472=$G$31,F$31,$G472=$G$32,F$32,$G472=$G$248,F$248,$G472=$G$250,F$250)</f>
        <v>8038</v>
      </c>
      <c r="G472" t="s">
        <v>103</v>
      </c>
      <c r="H472" s="66" cm="1">
        <f t="array" ref="H472">_xlfn.IFS($G472=$G$5,H$5,$G472=$G$6,H$6,$G472=$G$7,H$7,$G472=$G$8,H$8,$G472=$G$9,H$9,$G472=$G$10,H$10,$G472=$G$11,H$11,$G472=$G$12,H$12,$G472=$G$13,H$13,$G472=$G$15,H$15,$G472=$G$16,H$16,$G472=$G$17,H$17,$G472=$G$18,H$18,$G472=$G$19,H$19,$G472=$G$20,H$20,$G472=$G$21,H$21,$G472=$G$22,H$22,$G472=$G$25,H$25,$G472=$G$26,H$26,$G472=$G$27,H$27,$G472=$G$29,H$29,$G472=$G$31,H$31,$G472=$G$32,H$150,$G472=$G$248,H$248,$G472=$G$250,H$250)</f>
        <v>41.367100000000001</v>
      </c>
      <c r="I472" s="78" cm="1">
        <f t="array" ref="I472">_xlfn.IFS($G472=$G$5,I$5,$G472=$G$6,I$6,$G472=$G$7,I$7,$G472=$G$8,I$8,$G472=$G$9,I$9,$G472=$G$10,I$10,$G472=$G$11,I$11,$G472=$G$12,I$12,$G472=$G$13,I$13,$G472=$G$15,I$15,$G472=$G$16,I$16,$G472=$G$17,I$17,$G472=$G$18,I$18,$G472=$G$19,I$19,$G472=$G$20,I$20,$G472=$G$21,I$21,$G472=$G$22,I$22,$G472=$G$25,I$25,$G472=$G$26,I$26,$G472=$G$27,I$27,$G472=$G$29,I$29,$G472=$G$31,I$31,$G472=$G$32,I$150,$G472=$G$248,I$248,$G472=$G$250,I$250)</f>
        <v>2.1539079999999999</v>
      </c>
      <c r="J472" cm="1">
        <f t="array" ref="J472">_xlfn.IFS($G472=$G$5,J$5,$G472=$G$6,J$6,$G472=$G$7,J$7,$G472=$G$8,J$8,$G472=$G$9,J$9,$G472=$G$10,J$10,$G472=$G$11,J$11,$G472=$G$12,J$12,$G472=$G$13,J$13,$G472=$G$15,J$15,$G472=$G$16,J$16,$G472=$G$17,J$17,$G472=$G$18,J$18,$G472=$G$19,J$19,$G472=$G$20,J$20,$G472=$G$21,J$21,$G472=$G$22,J$22,$G472=$G$25,J$25,$G472=$G$26,J$26,$G472=$G$27,J$27,$G472=$G$29,J$29,$G472=$G$31,J$31,$G472=$G$32,J$150,$G472=$G$248,J$248,$G472=$G$250,J$250)</f>
        <v>68</v>
      </c>
      <c r="K472" t="str" cm="1">
        <f t="array" ref="K472">_xlfn.IFS($G472=$G$5,K$5,$G472=$G$6,K$6,$G472=$G$7,K$7,$G472=$G$8,K$8,$G472=$G$9,K$9,$G472=$G$10,K$10,$G472=$G$11,K$11,$G472=$G$12,K$12,$G472=$G$13,K$13,$G472=$G$15,K$15,$G472=$G$16,K$16,$G472=$G$17,K$17,$G472=$G$18,K$18,$G472=$G$19,K$19,$G472=$G$20,K$20,$G472=$G$21,K$21,$G472=$G$22,K$22,$G472=$G$25,K$25,$G472=$G$26,K$26,$G472=$G$27,K$27,$G472=$G$29,K$29,$G472=$G$31,K$31,$G472=$G$32,K$150,$G472=$G$248,K$248,$G472=$G$250,K$250)</f>
        <v>BG sentinel + BG lure7</v>
      </c>
      <c r="O472" s="45" t="str">
        <f t="shared" si="37"/>
        <v>A_SP_BCN_23_210722</v>
      </c>
      <c r="P472" s="64">
        <v>44399</v>
      </c>
      <c r="R472" s="72"/>
      <c r="S472" s="64">
        <v>44406</v>
      </c>
      <c r="U472" s="72"/>
      <c r="V472" s="54" t="s">
        <v>66</v>
      </c>
      <c r="X472" s="45">
        <f t="shared" si="38"/>
        <v>7</v>
      </c>
      <c r="Z472" s="45" t="s">
        <v>70</v>
      </c>
      <c r="AA472" s="45">
        <f t="shared" si="36"/>
        <v>4</v>
      </c>
      <c r="AB472" t="str">
        <f t="shared" si="39"/>
        <v>Adult</v>
      </c>
      <c r="AC472" s="69">
        <v>2</v>
      </c>
      <c r="AD472" s="69">
        <v>2</v>
      </c>
      <c r="AE472" s="45" t="str">
        <f t="shared" si="40"/>
        <v>Morphological</v>
      </c>
      <c r="AF472" s="56">
        <v>4</v>
      </c>
    </row>
    <row r="473" spans="1:32" ht="18" customHeight="1" x14ac:dyDescent="0.25">
      <c r="A473" s="45">
        <v>469</v>
      </c>
      <c r="B473" s="45" t="s">
        <v>60</v>
      </c>
      <c r="C473" s="45" t="s">
        <v>61</v>
      </c>
      <c r="D473" s="45" t="s">
        <v>62</v>
      </c>
      <c r="E473" s="45" t="s">
        <v>62</v>
      </c>
      <c r="F473" s="46" cm="1">
        <f t="array" ref="F473">_xlfn.IFS($G473=$G$5,F$5,$G473=$G$6,F$6,$G473=$G$7,F$7,$G473=$G$8,F$8,$G473=$G$9,F$9,$G473=$G$10,F$10,$G473=$G$11,F$11,$G473=$G$12,F$12,$G473=$G$13,F$13,$G473=$G$15,F$15,$G473=$G$16,F$16,$G473=$G$17,F$17,$G473=$G$18,F$18,$G473=$G$19,F$19,$G473=$G$20,F$20,$G473=$G$21,F$21,$G473=$G$22,F$22,$G473=$G$25,F$25,$G473=$G$26,F$26,$G473=$G$27,F$27,$G473=$G$29,F$29,$G473=$G$31,F$31,$G473=$G$32,F$32,$G473=$G$248,F$248,$G473=$G$250,F$250)</f>
        <v>8038</v>
      </c>
      <c r="G473" t="s">
        <v>103</v>
      </c>
      <c r="H473" s="66" cm="1">
        <f t="array" ref="H473">_xlfn.IFS($G473=$G$5,H$5,$G473=$G$6,H$6,$G473=$G$7,H$7,$G473=$G$8,H$8,$G473=$G$9,H$9,$G473=$G$10,H$10,$G473=$G$11,H$11,$G473=$G$12,H$12,$G473=$G$13,H$13,$G473=$G$15,H$15,$G473=$G$16,H$16,$G473=$G$17,H$17,$G473=$G$18,H$18,$G473=$G$19,H$19,$G473=$G$20,H$20,$G473=$G$21,H$21,$G473=$G$22,H$22,$G473=$G$25,H$25,$G473=$G$26,H$26,$G473=$G$27,H$27,$G473=$G$29,H$29,$G473=$G$31,H$31,$G473=$G$32,H$150,$G473=$G$248,H$248,$G473=$G$250,H$250)</f>
        <v>41.367100000000001</v>
      </c>
      <c r="I473" s="78" cm="1">
        <f t="array" ref="I473">_xlfn.IFS($G473=$G$5,I$5,$G473=$G$6,I$6,$G473=$G$7,I$7,$G473=$G$8,I$8,$G473=$G$9,I$9,$G473=$G$10,I$10,$G473=$G$11,I$11,$G473=$G$12,I$12,$G473=$G$13,I$13,$G473=$G$15,I$15,$G473=$G$16,I$16,$G473=$G$17,I$17,$G473=$G$18,I$18,$G473=$G$19,I$19,$G473=$G$20,I$20,$G473=$G$21,I$21,$G473=$G$22,I$22,$G473=$G$25,I$25,$G473=$G$26,I$26,$G473=$G$27,I$27,$G473=$G$29,I$29,$G473=$G$31,I$31,$G473=$G$32,I$150,$G473=$G$248,I$248,$G473=$G$250,I$250)</f>
        <v>2.1539079999999999</v>
      </c>
      <c r="J473" cm="1">
        <f t="array" ref="J473">_xlfn.IFS($G473=$G$5,J$5,$G473=$G$6,J$6,$G473=$G$7,J$7,$G473=$G$8,J$8,$G473=$G$9,J$9,$G473=$G$10,J$10,$G473=$G$11,J$11,$G473=$G$12,J$12,$G473=$G$13,J$13,$G473=$G$15,J$15,$G473=$G$16,J$16,$G473=$G$17,J$17,$G473=$G$18,J$18,$G473=$G$19,J$19,$G473=$G$20,J$20,$G473=$G$21,J$21,$G473=$G$22,J$22,$G473=$G$25,J$25,$G473=$G$26,J$26,$G473=$G$27,J$27,$G473=$G$29,J$29,$G473=$G$31,J$31,$G473=$G$32,J$150,$G473=$G$248,J$248,$G473=$G$250,J$250)</f>
        <v>68</v>
      </c>
      <c r="K473" t="str" cm="1">
        <f t="array" ref="K473">_xlfn.IFS($G473=$G$5,K$5,$G473=$G$6,K$6,$G473=$G$7,K$7,$G473=$G$8,K$8,$G473=$G$9,K$9,$G473=$G$10,K$10,$G473=$G$11,K$11,$G473=$G$12,K$12,$G473=$G$13,K$13,$G473=$G$15,K$15,$G473=$G$16,K$16,$G473=$G$17,K$17,$G473=$G$18,K$18,$G473=$G$19,K$19,$G473=$G$20,K$20,$G473=$G$21,K$21,$G473=$G$22,K$22,$G473=$G$25,K$25,$G473=$G$26,K$26,$G473=$G$27,K$27,$G473=$G$29,K$29,$G473=$G$31,K$31,$G473=$G$32,K$150,$G473=$G$248,K$248,$G473=$G$250,K$250)</f>
        <v>BG sentinel + BG lure7</v>
      </c>
      <c r="O473" s="45" t="str">
        <f t="shared" si="37"/>
        <v>A_SP_BCN_23_210722</v>
      </c>
      <c r="P473" s="64">
        <v>44399</v>
      </c>
      <c r="R473" s="72"/>
      <c r="S473" s="64">
        <v>44406</v>
      </c>
      <c r="U473" s="72"/>
      <c r="V473" s="54" t="s">
        <v>66</v>
      </c>
      <c r="X473" s="45">
        <f t="shared" si="38"/>
        <v>7</v>
      </c>
      <c r="Z473" s="45" t="s">
        <v>80</v>
      </c>
      <c r="AA473" s="45">
        <f t="shared" si="36"/>
        <v>2</v>
      </c>
      <c r="AB473" t="str">
        <f t="shared" si="39"/>
        <v>Adult</v>
      </c>
      <c r="AC473" s="69">
        <v>1</v>
      </c>
      <c r="AD473" s="69">
        <v>1</v>
      </c>
      <c r="AE473" s="45" t="str">
        <f t="shared" si="40"/>
        <v>Morphological</v>
      </c>
      <c r="AF473" s="56">
        <v>4</v>
      </c>
    </row>
    <row r="474" spans="1:32" ht="18" customHeight="1" x14ac:dyDescent="0.25">
      <c r="A474" s="45">
        <v>470</v>
      </c>
      <c r="B474" s="45" t="s">
        <v>60</v>
      </c>
      <c r="C474" s="45" t="s">
        <v>61</v>
      </c>
      <c r="D474" s="45" t="s">
        <v>62</v>
      </c>
      <c r="E474" s="45" t="s">
        <v>62</v>
      </c>
      <c r="F474" s="46" cm="1">
        <f t="array" ref="F474">_xlfn.IFS($G474=$G$5,F$5,$G474=$G$6,F$6,$G474=$G$7,F$7,$G474=$G$8,F$8,$G474=$G$9,F$9,$G474=$G$10,F$10,$G474=$G$11,F$11,$G474=$G$12,F$12,$G474=$G$13,F$13,$G474=$G$15,F$15,$G474=$G$16,F$16,$G474=$G$17,F$17,$G474=$G$18,F$18,$G474=$G$19,F$19,$G474=$G$20,F$20,$G474=$G$21,F$21,$G474=$G$22,F$22,$G474=$G$25,F$25,$G474=$G$26,F$26,$G474=$G$27,F$27,$G474=$G$29,F$29,$G474=$G$31,F$31,$G474=$G$32,F$32,$G474=$G$248,F$248,$G474=$G$250,F$250)</f>
        <v>8015</v>
      </c>
      <c r="G474" t="s">
        <v>109</v>
      </c>
      <c r="H474" s="66" cm="1">
        <f t="array" ref="H474">_xlfn.IFS($G474=$G$5,H$5,$G474=$G$6,H$6,$G474=$G$7,H$7,$G474=$G$8,H$8,$G474=$G$9,H$9,$G474=$G$10,H$10,$G474=$G$11,H$11,$G474=$G$12,H$12,$G474=$G$13,H$13,$G474=$G$15,H$15,$G474=$G$16,H$16,$G474=$G$17,H$17,$G474=$G$18,H$18,$G474=$G$19,H$19,$G474=$G$20,H$20,$G474=$G$21,H$21,$G474=$G$22,H$22,$G474=$G$25,H$25,$G474=$G$26,H$26,$G474=$G$27,H$27,$G474=$G$29,H$29,$G474=$G$31,H$31,$G474=$G$32,H$150,$G474=$G$248,H$248,$G474=$G$250,H$250)</f>
        <v>41.381725000000003</v>
      </c>
      <c r="I474" s="78" cm="1">
        <f t="array" ref="I474">_xlfn.IFS($G474=$G$5,I$5,$G474=$G$6,I$6,$G474=$G$7,I$7,$G474=$G$8,I$8,$G474=$G$9,I$9,$G474=$G$10,I$10,$G474=$G$11,I$11,$G474=$G$12,I$12,$G474=$G$13,I$13,$G474=$G$15,I$15,$G474=$G$16,I$16,$G474=$G$17,I$17,$G474=$G$18,I$18,$G474=$G$19,I$19,$G474=$G$20,I$20,$G474=$G$21,I$21,$G474=$G$22,I$22,$G474=$G$25,I$25,$G474=$G$26,I$26,$G474=$G$27,I$27,$G474=$G$29,I$29,$G474=$G$31,I$31,$G474=$G$32,I$150,$G474=$G$248,I$248,$G474=$G$250,I$250)</f>
        <v>2.1543679999999998</v>
      </c>
      <c r="J474" cm="1">
        <f t="array" ref="J474">_xlfn.IFS($G474=$G$5,J$5,$G474=$G$6,J$6,$G474=$G$7,J$7,$G474=$G$8,J$8,$G474=$G$9,J$9,$G474=$G$10,J$10,$G474=$G$11,J$11,$G474=$G$12,J$12,$G474=$G$13,J$13,$G474=$G$15,J$15,$G474=$G$16,J$16,$G474=$G$17,J$17,$G474=$G$18,J$18,$G474=$G$19,J$19,$G474=$G$20,J$20,$G474=$G$21,J$21,$G474=$G$22,J$22,$G474=$G$25,J$25,$G474=$G$26,J$26,$G474=$G$27,J$27,$G474=$G$29,J$29,$G474=$G$31,J$31,$G474=$G$32,J$150,$G474=$G$248,J$248,$G474=$G$250,J$250)</f>
        <v>20.7</v>
      </c>
      <c r="K474" t="str" cm="1">
        <f t="array" ref="K474">_xlfn.IFS($G474=$G$5,K$5,$G474=$G$6,K$6,$G474=$G$7,K$7,$G474=$G$8,K$8,$G474=$G$9,K$9,$G474=$G$10,K$10,$G474=$G$11,K$11,$G474=$G$12,K$12,$G474=$G$13,K$13,$G474=$G$15,K$15,$G474=$G$16,K$16,$G474=$G$17,K$17,$G474=$G$18,K$18,$G474=$G$19,K$19,$G474=$G$20,K$20,$G474=$G$21,K$21,$G474=$G$22,K$22,$G474=$G$25,K$25,$G474=$G$26,K$26,$G474=$G$27,K$27,$G474=$G$29,K$29,$G474=$G$31,K$31,$G474=$G$32,K$150,$G474=$G$248,K$248,$G474=$G$250,K$250)</f>
        <v>BG sentinel + BG lure7</v>
      </c>
      <c r="L474" s="48"/>
      <c r="M474" s="48"/>
      <c r="O474" s="45" t="str">
        <f t="shared" si="37"/>
        <v>A_SP_BCN_24_210721</v>
      </c>
      <c r="P474" s="64">
        <v>44398</v>
      </c>
      <c r="R474" s="72"/>
      <c r="S474" s="64">
        <v>44405</v>
      </c>
      <c r="U474" s="72"/>
      <c r="V474" s="54" t="s">
        <v>66</v>
      </c>
      <c r="X474" s="45">
        <f t="shared" si="38"/>
        <v>7</v>
      </c>
      <c r="Z474" s="69" t="s">
        <v>69</v>
      </c>
      <c r="AA474" s="45">
        <f t="shared" si="36"/>
        <v>7</v>
      </c>
      <c r="AB474" t="str">
        <f t="shared" si="39"/>
        <v>Adult</v>
      </c>
      <c r="AC474" s="69">
        <v>4</v>
      </c>
      <c r="AD474" s="69">
        <v>3</v>
      </c>
      <c r="AE474" s="45" t="str">
        <f t="shared" si="40"/>
        <v>Morphological</v>
      </c>
      <c r="AF474" s="56">
        <v>4</v>
      </c>
    </row>
    <row r="475" spans="1:32" ht="18" customHeight="1" x14ac:dyDescent="0.25">
      <c r="A475" s="45">
        <v>471</v>
      </c>
      <c r="B475" s="45" t="s">
        <v>60</v>
      </c>
      <c r="C475" s="45" t="s">
        <v>61</v>
      </c>
      <c r="D475" s="45" t="s">
        <v>62</v>
      </c>
      <c r="E475" s="45" t="s">
        <v>62</v>
      </c>
      <c r="F475" s="46" cm="1">
        <f t="array" ref="F475">_xlfn.IFS($G475=$G$5,F$5,$G475=$G$6,F$6,$G475=$G$7,F$7,$G475=$G$8,F$8,$G475=$G$9,F$9,$G475=$G$10,F$10,$G475=$G$11,F$11,$G475=$G$12,F$12,$G475=$G$13,F$13,$G475=$G$15,F$15,$G475=$G$16,F$16,$G475=$G$17,F$17,$G475=$G$18,F$18,$G475=$G$19,F$19,$G475=$G$20,F$20,$G475=$G$21,F$21,$G475=$G$22,F$22,$G475=$G$25,F$25,$G475=$G$26,F$26,$G475=$G$27,F$27,$G475=$G$29,F$29,$G475=$G$31,F$31,$G475=$G$32,F$32,$G475=$G$248,F$248,$G475=$G$250,F$250)</f>
        <v>8015</v>
      </c>
      <c r="G475" t="s">
        <v>109</v>
      </c>
      <c r="H475" s="66" cm="1">
        <f t="array" ref="H475">_xlfn.IFS($G475=$G$5,H$5,$G475=$G$6,H$6,$G475=$G$7,H$7,$G475=$G$8,H$8,$G475=$G$9,H$9,$G475=$G$10,H$10,$G475=$G$11,H$11,$G475=$G$12,H$12,$G475=$G$13,H$13,$G475=$G$15,H$15,$G475=$G$16,H$16,$G475=$G$17,H$17,$G475=$G$18,H$18,$G475=$G$19,H$19,$G475=$G$20,H$20,$G475=$G$21,H$21,$G475=$G$22,H$22,$G475=$G$25,H$25,$G475=$G$26,H$26,$G475=$G$27,H$27,$G475=$G$29,H$29,$G475=$G$31,H$31,$G475=$G$32,H$150,$G475=$G$248,H$248,$G475=$G$250,H$250)</f>
        <v>41.381725000000003</v>
      </c>
      <c r="I475" s="78" cm="1">
        <f t="array" ref="I475">_xlfn.IFS($G475=$G$5,I$5,$G475=$G$6,I$6,$G475=$G$7,I$7,$G475=$G$8,I$8,$G475=$G$9,I$9,$G475=$G$10,I$10,$G475=$G$11,I$11,$G475=$G$12,I$12,$G475=$G$13,I$13,$G475=$G$15,I$15,$G475=$G$16,I$16,$G475=$G$17,I$17,$G475=$G$18,I$18,$G475=$G$19,I$19,$G475=$G$20,I$20,$G475=$G$21,I$21,$G475=$G$22,I$22,$G475=$G$25,I$25,$G475=$G$26,I$26,$G475=$G$27,I$27,$G475=$G$29,I$29,$G475=$G$31,I$31,$G475=$G$32,I$150,$G475=$G$248,I$248,$G475=$G$250,I$250)</f>
        <v>2.1543679999999998</v>
      </c>
      <c r="J475" cm="1">
        <f t="array" ref="J475">_xlfn.IFS($G475=$G$5,J$5,$G475=$G$6,J$6,$G475=$G$7,J$7,$G475=$G$8,J$8,$G475=$G$9,J$9,$G475=$G$10,J$10,$G475=$G$11,J$11,$G475=$G$12,J$12,$G475=$G$13,J$13,$G475=$G$15,J$15,$G475=$G$16,J$16,$G475=$G$17,J$17,$G475=$G$18,J$18,$G475=$G$19,J$19,$G475=$G$20,J$20,$G475=$G$21,J$21,$G475=$G$22,J$22,$G475=$G$25,J$25,$G475=$G$26,J$26,$G475=$G$27,J$27,$G475=$G$29,J$29,$G475=$G$31,J$31,$G475=$G$32,J$150,$G475=$G$248,J$248,$G475=$G$250,J$250)</f>
        <v>20.7</v>
      </c>
      <c r="K475" t="str" cm="1">
        <f t="array" ref="K475">_xlfn.IFS($G475=$G$5,K$5,$G475=$G$6,K$6,$G475=$G$7,K$7,$G475=$G$8,K$8,$G475=$G$9,K$9,$G475=$G$10,K$10,$G475=$G$11,K$11,$G475=$G$12,K$12,$G475=$G$13,K$13,$G475=$G$15,K$15,$G475=$G$16,K$16,$G475=$G$17,K$17,$G475=$G$18,K$18,$G475=$G$19,K$19,$G475=$G$20,K$20,$G475=$G$21,K$21,$G475=$G$22,K$22,$G475=$G$25,K$25,$G475=$G$26,K$26,$G475=$G$27,K$27,$G475=$G$29,K$29,$G475=$G$31,K$31,$G475=$G$32,K$150,$G475=$G$248,K$248,$G475=$G$250,K$250)</f>
        <v>BG sentinel + BG lure7</v>
      </c>
      <c r="L475" s="48"/>
      <c r="M475" s="48"/>
      <c r="O475" s="45" t="str">
        <f t="shared" si="37"/>
        <v>A_SP_BCN_24_210721</v>
      </c>
      <c r="P475" s="64">
        <v>44398</v>
      </c>
      <c r="R475" s="72"/>
      <c r="S475" s="64">
        <v>44405</v>
      </c>
      <c r="U475" s="72"/>
      <c r="V475" s="54" t="s">
        <v>66</v>
      </c>
      <c r="X475" s="45">
        <f t="shared" si="38"/>
        <v>7</v>
      </c>
      <c r="Z475" s="45" t="s">
        <v>70</v>
      </c>
      <c r="AA475" s="45">
        <f t="shared" si="36"/>
        <v>1</v>
      </c>
      <c r="AB475" t="str">
        <f t="shared" si="39"/>
        <v>Adult</v>
      </c>
      <c r="AC475" s="69">
        <v>1</v>
      </c>
      <c r="AD475" s="69">
        <v>0</v>
      </c>
      <c r="AE475" s="45" t="str">
        <f t="shared" si="40"/>
        <v>Morphological</v>
      </c>
      <c r="AF475" s="56">
        <v>4</v>
      </c>
    </row>
    <row r="476" spans="1:32" ht="18" customHeight="1" x14ac:dyDescent="0.25">
      <c r="A476" s="45">
        <v>472</v>
      </c>
      <c r="B476" s="45" t="s">
        <v>60</v>
      </c>
      <c r="C476" s="45" t="s">
        <v>61</v>
      </c>
      <c r="D476" s="45" t="s">
        <v>62</v>
      </c>
      <c r="E476" s="45" t="s">
        <v>62</v>
      </c>
      <c r="F476" s="46" cm="1">
        <f t="array" ref="F476">_xlfn.IFS($G476=$G$5,F$5,$G476=$G$6,F$6,$G476=$G$7,F$7,$G476=$G$8,F$8,$G476=$G$9,F$9,$G476=$G$10,F$10,$G476=$G$11,F$11,$G476=$G$12,F$12,$G476=$G$13,F$13,$G476=$G$15,F$15,$G476=$G$16,F$16,$G476=$G$17,F$17,$G476=$G$18,F$18,$G476=$G$19,F$19,$G476=$G$20,F$20,$G476=$G$21,F$21,$G476=$G$22,F$22,$G476=$G$25,F$25,$G476=$G$26,F$26,$G476=$G$27,F$27,$G476=$G$29,F$29,$G476=$G$31,F$31,$G476=$G$32,F$32,$G476=$G$248,F$248,$G476=$G$250,F$250)</f>
        <v>8024</v>
      </c>
      <c r="G476" t="s">
        <v>63</v>
      </c>
      <c r="H476" s="66" cm="1">
        <f t="array" ref="H476">_xlfn.IFS($G476=$G$5,H$5,$G476=$G$6,H$6,$G476=$G$7,H$7,$G476=$G$8,H$8,$G476=$G$9,H$9,$G476=$G$10,H$10,$G476=$G$11,H$11,$G476=$G$12,H$12,$G476=$G$13,H$13,$G476=$G$15,H$15,$G476=$G$16,H$16,$G476=$G$17,H$17,$G476=$G$18,H$18,$G476=$G$19,H$19,$G476=$G$20,H$20,$G476=$G$21,H$21,$G476=$G$22,H$22,$G476=$G$25,H$25,$G476=$G$26,H$26,$G476=$G$27,H$27,$G476=$G$29,H$29,$G476=$G$31,H$31,$G476=$G$32,H$150,$G476=$G$248,H$248,$G476=$G$250,H$250)</f>
        <v>41.413573999999997</v>
      </c>
      <c r="I476" s="78" cm="1">
        <f t="array" ref="I476">_xlfn.IFS($G476=$G$5,I$5,$G476=$G$6,I$6,$G476=$G$7,I$7,$G476=$G$8,I$8,$G476=$G$9,I$9,$G476=$G$10,I$10,$G476=$G$11,I$11,$G476=$G$12,I$12,$G476=$G$13,I$13,$G476=$G$15,I$15,$G476=$G$16,I$16,$G476=$G$17,I$17,$G476=$G$18,I$18,$G476=$G$19,I$19,$G476=$G$20,I$20,$G476=$G$21,I$21,$G476=$G$22,I$22,$G476=$G$25,I$25,$G476=$G$26,I$26,$G476=$G$27,I$27,$G476=$G$29,I$29,$G476=$G$31,I$31,$G476=$G$32,I$150,$G476=$G$248,I$248,$G476=$G$250,I$250)</f>
        <v>2.1520730000000001</v>
      </c>
      <c r="J476" cm="1">
        <f t="array" ref="J476">_xlfn.IFS($G476=$G$5,J$5,$G476=$G$6,J$6,$G476=$G$7,J$7,$G476=$G$8,J$8,$G476=$G$9,J$9,$G476=$G$10,J$10,$G476=$G$11,J$11,$G476=$G$12,J$12,$G476=$G$13,J$13,$G476=$G$15,J$15,$G476=$G$16,J$16,$G476=$G$17,J$17,$G476=$G$18,J$18,$G476=$G$19,J$19,$G476=$G$20,J$20,$G476=$G$21,J$21,$G476=$G$22,J$22,$G476=$G$25,J$25,$G476=$G$26,J$26,$G476=$G$27,J$27,$G476=$G$29,J$29,$G476=$G$31,J$31,$G476=$G$32,J$150,$G476=$G$248,J$248,$G476=$G$250,J$250)</f>
        <v>141</v>
      </c>
      <c r="K476" t="str" cm="1">
        <f t="array" ref="K476">_xlfn.IFS($G476=$G$5,K$5,$G476=$G$6,K$6,$G476=$G$7,K$7,$G476=$G$8,K$8,$G476=$G$9,K$9,$G476=$G$10,K$10,$G476=$G$11,K$11,$G476=$G$12,K$12,$G476=$G$13,K$13,$G476=$G$15,K$15,$G476=$G$16,K$16,$G476=$G$17,K$17,$G476=$G$18,K$18,$G476=$G$19,K$19,$G476=$G$20,K$20,$G476=$G$21,K$21,$G476=$G$22,K$22,$G476=$G$25,K$25,$G476=$G$26,K$26,$G476=$G$27,K$27,$G476=$G$29,K$29,$G476=$G$31,K$31,$G476=$G$32,K$150,$G476=$G$248,K$248,$G476=$G$250,K$250)</f>
        <v>BG sentinel + BG lure7</v>
      </c>
      <c r="L476" s="48"/>
      <c r="M476" s="48"/>
      <c r="O476" s="45" t="str">
        <f t="shared" si="37"/>
        <v>A_SP_BCN_1_210728</v>
      </c>
      <c r="P476" s="64">
        <v>44405</v>
      </c>
      <c r="R476" s="72"/>
      <c r="S476" s="64">
        <v>44440</v>
      </c>
      <c r="U476" s="72"/>
      <c r="V476" s="54" t="s">
        <v>137</v>
      </c>
      <c r="X476" s="45">
        <f t="shared" si="38"/>
        <v>35</v>
      </c>
      <c r="Z476" s="69" t="s">
        <v>69</v>
      </c>
      <c r="AA476" s="45">
        <f t="shared" si="36"/>
        <v>3</v>
      </c>
      <c r="AB476" t="str">
        <f t="shared" si="39"/>
        <v>Adult</v>
      </c>
      <c r="AC476" s="69">
        <v>1</v>
      </c>
      <c r="AD476" s="69">
        <v>2</v>
      </c>
      <c r="AE476" s="45" t="str">
        <f t="shared" si="40"/>
        <v>Morphological</v>
      </c>
      <c r="AF476" s="56">
        <v>1</v>
      </c>
    </row>
    <row r="477" spans="1:32" ht="18" customHeight="1" x14ac:dyDescent="0.25">
      <c r="A477" s="45">
        <v>473</v>
      </c>
      <c r="B477" s="45" t="s">
        <v>60</v>
      </c>
      <c r="C477" s="45" t="s">
        <v>61</v>
      </c>
      <c r="D477" s="45" t="s">
        <v>62</v>
      </c>
      <c r="E477" s="45" t="s">
        <v>62</v>
      </c>
      <c r="F477" s="46" cm="1">
        <f t="array" ref="F477">_xlfn.IFS($G477=$G$5,F$5,$G477=$G$6,F$6,$G477=$G$7,F$7,$G477=$G$8,F$8,$G477=$G$9,F$9,$G477=$G$10,F$10,$G477=$G$11,F$11,$G477=$G$12,F$12,$G477=$G$13,F$13,$G477=$G$15,F$15,$G477=$G$16,F$16,$G477=$G$17,F$17,$G477=$G$18,F$18,$G477=$G$19,F$19,$G477=$G$20,F$20,$G477=$G$21,F$21,$G477=$G$22,F$22,$G477=$G$25,F$25,$G477=$G$26,F$26,$G477=$G$27,F$27,$G477=$G$29,F$29,$G477=$G$31,F$31,$G477=$G$32,F$32,$G477=$G$248,F$248,$G477=$G$250,F$250)</f>
        <v>8035</v>
      </c>
      <c r="G477" t="s">
        <v>67</v>
      </c>
      <c r="H477" s="66" cm="1">
        <f t="array" ref="H477">_xlfn.IFS($G477=$G$5,H$5,$G477=$G$6,H$6,$G477=$G$7,H$7,$G477=$G$8,H$8,$G477=$G$9,H$9,$G477=$G$10,H$10,$G477=$G$11,H$11,$G477=$G$12,H$12,$G477=$G$13,H$13,$G477=$G$15,H$15,$G477=$G$16,H$16,$G477=$G$17,H$17,$G477=$G$18,H$18,$G477=$G$19,H$19,$G477=$G$20,H$20,$G477=$G$21,H$21,$G477=$G$22,H$22,$G477=$G$25,H$25,$G477=$G$26,H$26,$G477=$G$27,H$27,$G477=$G$29,H$29,$G477=$G$31,H$31,$G477=$G$32,H$150,$G477=$G$248,H$248,$G477=$G$250,H$250)</f>
        <v>41.424387000000003</v>
      </c>
      <c r="I477" s="78" cm="1">
        <f t="array" ref="I477">_xlfn.IFS($G477=$G$5,I$5,$G477=$G$6,I$6,$G477=$G$7,I$7,$G477=$G$8,I$8,$G477=$G$9,I$9,$G477=$G$10,I$10,$G477=$G$11,I$11,$G477=$G$12,I$12,$G477=$G$13,I$13,$G477=$G$15,I$15,$G477=$G$16,I$16,$G477=$G$17,I$17,$G477=$G$18,I$18,$G477=$G$19,I$19,$G477=$G$20,I$20,$G477=$G$21,I$21,$G477=$G$22,I$22,$G477=$G$25,I$25,$G477=$G$26,I$26,$G477=$G$27,I$27,$G477=$G$29,I$29,$G477=$G$31,I$31,$G477=$G$32,I$150,$G477=$G$248,I$248,$G477=$G$250,I$250)</f>
        <v>2.1431439999999999</v>
      </c>
      <c r="J477" cm="1">
        <f t="array" ref="J477">_xlfn.IFS($G477=$G$5,J$5,$G477=$G$6,J$6,$G477=$G$7,J$7,$G477=$G$8,J$8,$G477=$G$9,J$9,$G477=$G$10,J$10,$G477=$G$11,J$11,$G477=$G$12,J$12,$G477=$G$13,J$13,$G477=$G$15,J$15,$G477=$G$16,J$16,$G477=$G$17,J$17,$G477=$G$18,J$18,$G477=$G$19,J$19,$G477=$G$20,J$20,$G477=$G$21,J$21,$G477=$G$22,J$22,$G477=$G$25,J$25,$G477=$G$26,J$26,$G477=$G$27,J$27,$G477=$G$29,J$29,$G477=$G$31,J$31,$G477=$G$32,J$150,$G477=$G$248,J$248,$G477=$G$250,J$250)</f>
        <v>160</v>
      </c>
      <c r="K477" t="str" cm="1">
        <f t="array" ref="K477">_xlfn.IFS($G477=$G$5,K$5,$G477=$G$6,K$6,$G477=$G$7,K$7,$G477=$G$8,K$8,$G477=$G$9,K$9,$G477=$G$10,K$10,$G477=$G$11,K$11,$G477=$G$12,K$12,$G477=$G$13,K$13,$G477=$G$15,K$15,$G477=$G$16,K$16,$G477=$G$17,K$17,$G477=$G$18,K$18,$G477=$G$19,K$19,$G477=$G$20,K$20,$G477=$G$21,K$21,$G477=$G$22,K$22,$G477=$G$25,K$25,$G477=$G$26,K$26,$G477=$G$27,K$27,$G477=$G$29,K$29,$G477=$G$31,K$31,$G477=$G$32,K$150,$G477=$G$248,K$248,$G477=$G$250,K$250)</f>
        <v>BG sentinel + BG lure7</v>
      </c>
      <c r="L477" s="48"/>
      <c r="M477" s="48"/>
      <c r="O477" s="45" t="str">
        <f t="shared" si="37"/>
        <v>A_SP_BCN_2_210728</v>
      </c>
      <c r="P477" s="64">
        <v>44405</v>
      </c>
      <c r="R477" s="72"/>
      <c r="S477" s="64">
        <v>44412</v>
      </c>
      <c r="U477" s="72"/>
      <c r="V477" s="54" t="s">
        <v>66</v>
      </c>
      <c r="X477" s="45">
        <f t="shared" si="38"/>
        <v>7</v>
      </c>
      <c r="Z477" s="69" t="s">
        <v>69</v>
      </c>
      <c r="AA477" s="45">
        <f t="shared" si="36"/>
        <v>2</v>
      </c>
      <c r="AB477" t="str">
        <f t="shared" si="39"/>
        <v>Adult</v>
      </c>
      <c r="AC477" s="69">
        <v>2</v>
      </c>
      <c r="AD477" s="69">
        <v>0</v>
      </c>
      <c r="AE477" s="45" t="str">
        <f t="shared" si="40"/>
        <v>Morphological</v>
      </c>
      <c r="AF477" s="56">
        <v>4</v>
      </c>
    </row>
    <row r="478" spans="1:32" ht="18" customHeight="1" x14ac:dyDescent="0.25">
      <c r="A478" s="45">
        <v>474</v>
      </c>
      <c r="B478" s="45" t="s">
        <v>60</v>
      </c>
      <c r="C478" s="45" t="s">
        <v>61</v>
      </c>
      <c r="D478" s="45" t="s">
        <v>62</v>
      </c>
      <c r="E478" s="45" t="s">
        <v>62</v>
      </c>
      <c r="F478" s="46" cm="1">
        <f t="array" ref="F478">_xlfn.IFS($G478=$G$5,F$5,$G478=$G$6,F$6,$G478=$G$7,F$7,$G478=$G$8,F$8,$G478=$G$9,F$9,$G478=$G$10,F$10,$G478=$G$11,F$11,$G478=$G$12,F$12,$G478=$G$13,F$13,$G478=$G$15,F$15,$G478=$G$16,F$16,$G478=$G$17,F$17,$G478=$G$18,F$18,$G478=$G$19,F$19,$G478=$G$20,F$20,$G478=$G$21,F$21,$G478=$G$22,F$22,$G478=$G$25,F$25,$G478=$G$26,F$26,$G478=$G$27,F$27,$G478=$G$29,F$29,$G478=$G$31,F$31,$G478=$G$32,F$32,$G478=$G$248,F$248,$G478=$G$250,F$250)</f>
        <v>8016</v>
      </c>
      <c r="G478" t="s">
        <v>68</v>
      </c>
      <c r="H478" s="66" cm="1">
        <f t="array" ref="H478">_xlfn.IFS($G478=$G$5,H$5,$G478=$G$6,H$6,$G478=$G$7,H$7,$G478=$G$8,H$8,$G478=$G$9,H$9,$G478=$G$10,H$10,$G478=$G$11,H$11,$G478=$G$12,H$12,$G478=$G$13,H$13,$G478=$G$15,H$15,$G478=$G$16,H$16,$G478=$G$17,H$17,$G478=$G$18,H$18,$G478=$G$19,H$19,$G478=$G$20,H$20,$G478=$G$21,H$21,$G478=$G$22,H$22,$G478=$G$25,H$25,$G478=$G$26,H$26,$G478=$G$27,H$27,$G478=$G$29,H$29,$G478=$G$31,H$31,$G478=$G$32,H$150,$G478=$G$248,H$248,$G478=$G$250,H$250)</f>
        <v>41.437435000000001</v>
      </c>
      <c r="I478" s="78" cm="1">
        <f t="array" ref="I478">_xlfn.IFS($G478=$G$5,I$5,$G478=$G$6,I$6,$G478=$G$7,I$7,$G478=$G$8,I$8,$G478=$G$9,I$9,$G478=$G$10,I$10,$G478=$G$11,I$11,$G478=$G$12,I$12,$G478=$G$13,I$13,$G478=$G$15,I$15,$G478=$G$16,I$16,$G478=$G$17,I$17,$G478=$G$18,I$18,$G478=$G$19,I$19,$G478=$G$20,I$20,$G478=$G$21,I$21,$G478=$G$22,I$22,$G478=$G$25,I$25,$G478=$G$26,I$26,$G478=$G$27,I$27,$G478=$G$29,I$29,$G478=$G$31,I$31,$G478=$G$32,I$150,$G478=$G$248,I$248,$G478=$G$250,I$250)</f>
        <v>2.1812779999999998</v>
      </c>
      <c r="J478" cm="1">
        <f t="array" ref="J478">_xlfn.IFS($G478=$G$5,J$5,$G478=$G$6,J$6,$G478=$G$7,J$7,$G478=$G$8,J$8,$G478=$G$9,J$9,$G478=$G$10,J$10,$G478=$G$11,J$11,$G478=$G$12,J$12,$G478=$G$13,J$13,$G478=$G$15,J$15,$G478=$G$16,J$16,$G478=$G$17,J$17,$G478=$G$18,J$18,$G478=$G$19,J$19,$G478=$G$20,J$20,$G478=$G$21,J$21,$G478=$G$22,J$22,$G478=$G$25,J$25,$G478=$G$26,J$26,$G478=$G$27,J$27,$G478=$G$29,J$29,$G478=$G$31,J$31,$G478=$G$32,J$150,$G478=$G$248,J$248,$G478=$G$250,J$250)</f>
        <v>47</v>
      </c>
      <c r="K478" t="str" cm="1">
        <f t="array" ref="K478">_xlfn.IFS($G478=$G$5,K$5,$G478=$G$6,K$6,$G478=$G$7,K$7,$G478=$G$8,K$8,$G478=$G$9,K$9,$G478=$G$10,K$10,$G478=$G$11,K$11,$G478=$G$12,K$12,$G478=$G$13,K$13,$G478=$G$15,K$15,$G478=$G$16,K$16,$G478=$G$17,K$17,$G478=$G$18,K$18,$G478=$G$19,K$19,$G478=$G$20,K$20,$G478=$G$21,K$21,$G478=$G$22,K$22,$G478=$G$25,K$25,$G478=$G$26,K$26,$G478=$G$27,K$27,$G478=$G$29,K$29,$G478=$G$31,K$31,$G478=$G$32,K$150,$G478=$G$248,K$248,$G478=$G$250,K$250)</f>
        <v>BG sentinel + BG lure7</v>
      </c>
      <c r="L478" s="48"/>
      <c r="M478" s="48"/>
      <c r="O478" s="45" t="str">
        <f t="shared" si="37"/>
        <v>A_SP_BCN_3_210728</v>
      </c>
      <c r="P478" s="64">
        <v>44405</v>
      </c>
      <c r="R478" s="72"/>
      <c r="S478" s="64">
        <v>44412</v>
      </c>
      <c r="U478" s="72"/>
      <c r="V478" s="54" t="s">
        <v>66</v>
      </c>
      <c r="X478" s="45">
        <f t="shared" si="38"/>
        <v>7</v>
      </c>
      <c r="Z478" s="45" t="s">
        <v>70</v>
      </c>
      <c r="AA478" s="45">
        <f t="shared" si="36"/>
        <v>1</v>
      </c>
      <c r="AB478" t="str">
        <f t="shared" si="39"/>
        <v>Adult</v>
      </c>
      <c r="AC478" s="69">
        <v>1</v>
      </c>
      <c r="AD478" s="69">
        <v>0</v>
      </c>
      <c r="AE478" s="45" t="str">
        <f t="shared" si="40"/>
        <v>Morphological</v>
      </c>
      <c r="AF478" s="56">
        <v>4</v>
      </c>
    </row>
    <row r="479" spans="1:32" ht="18" customHeight="1" x14ac:dyDescent="0.25">
      <c r="A479" s="45">
        <v>475</v>
      </c>
      <c r="B479" s="45" t="s">
        <v>60</v>
      </c>
      <c r="C479" s="45" t="s">
        <v>61</v>
      </c>
      <c r="D479" s="45" t="s">
        <v>62</v>
      </c>
      <c r="E479" s="45" t="s">
        <v>62</v>
      </c>
      <c r="F479" s="46" cm="1">
        <f t="array" ref="F479">_xlfn.IFS($G479=$G$5,F$5,$G479=$G$6,F$6,$G479=$G$7,F$7,$G479=$G$8,F$8,$G479=$G$9,F$9,$G479=$G$10,F$10,$G479=$G$11,F$11,$G479=$G$12,F$12,$G479=$G$13,F$13,$G479=$G$15,F$15,$G479=$G$16,F$16,$G479=$G$17,F$17,$G479=$G$18,F$18,$G479=$G$19,F$19,$G479=$G$20,F$20,$G479=$G$21,F$21,$G479=$G$22,F$22,$G479=$G$25,F$25,$G479=$G$26,F$26,$G479=$G$27,F$27,$G479=$G$29,F$29,$G479=$G$31,F$31,$G479=$G$32,F$32,$G479=$G$248,F$248,$G479=$G$250,F$250)</f>
        <v>8018</v>
      </c>
      <c r="G479" t="s">
        <v>71</v>
      </c>
      <c r="H479" s="66" cm="1">
        <f t="array" ref="H479">_xlfn.IFS($G479=$G$5,H$5,$G479=$G$6,H$6,$G479=$G$7,H$7,$G479=$G$8,H$8,$G479=$G$9,H$9,$G479=$G$10,H$10,$G479=$G$11,H$11,$G479=$G$12,H$12,$G479=$G$13,H$13,$G479=$G$15,H$15,$G479=$G$16,H$16,$G479=$G$17,H$17,$G479=$G$18,H$18,$G479=$G$19,H$19,$G479=$G$20,H$20,$G479=$G$21,H$21,$G479=$G$22,H$22,$G479=$G$25,H$25,$G479=$G$26,H$26,$G479=$G$27,H$27,$G479=$G$29,H$29,$G479=$G$31,H$31,$G479=$G$32,H$150,$G479=$G$248,H$248,$G479=$G$250,H$250)</f>
        <v>41.410684000000003</v>
      </c>
      <c r="I479" s="78" cm="1">
        <f t="array" ref="I479">_xlfn.IFS($G479=$G$5,I$5,$G479=$G$6,I$6,$G479=$G$7,I$7,$G479=$G$8,I$8,$G479=$G$9,I$9,$G479=$G$10,I$10,$G479=$G$11,I$11,$G479=$G$12,I$12,$G479=$G$13,I$13,$G479=$G$15,I$15,$G479=$G$16,I$16,$G479=$G$17,I$17,$G479=$G$18,I$18,$G479=$G$19,I$19,$G479=$G$20,I$20,$G479=$G$21,I$21,$G479=$G$22,I$22,$G479=$G$25,I$25,$G479=$G$26,I$26,$G479=$G$27,I$27,$G479=$G$29,I$29,$G479=$G$31,I$31,$G479=$G$32,I$150,$G479=$G$248,I$248,$G479=$G$250,I$250)</f>
        <v>2.2208019999999999</v>
      </c>
      <c r="J479" cm="1">
        <f t="array" ref="J479">_xlfn.IFS($G479=$G$5,J$5,$G479=$G$6,J$6,$G479=$G$7,J$7,$G479=$G$8,J$8,$G479=$G$9,J$9,$G479=$G$10,J$10,$G479=$G$11,J$11,$G479=$G$12,J$12,$G479=$G$13,J$13,$G479=$G$15,J$15,$G479=$G$16,J$16,$G479=$G$17,J$17,$G479=$G$18,J$18,$G479=$G$19,J$19,$G479=$G$20,J$20,$G479=$G$21,J$21,$G479=$G$22,J$22,$G479=$G$25,J$25,$G479=$G$26,J$26,$G479=$G$27,J$27,$G479=$G$29,J$29,$G479=$G$31,J$31,$G479=$G$32,J$150,$G479=$G$248,J$248,$G479=$G$250,J$250)</f>
        <v>4</v>
      </c>
      <c r="K479" t="str" cm="1">
        <f t="array" ref="K479">_xlfn.IFS($G479=$G$5,K$5,$G479=$G$6,K$6,$G479=$G$7,K$7,$G479=$G$8,K$8,$G479=$G$9,K$9,$G479=$G$10,K$10,$G479=$G$11,K$11,$G479=$G$12,K$12,$G479=$G$13,K$13,$G479=$G$15,K$15,$G479=$G$16,K$16,$G479=$G$17,K$17,$G479=$G$18,K$18,$G479=$G$19,K$19,$G479=$G$20,K$20,$G479=$G$21,K$21,$G479=$G$22,K$22,$G479=$G$25,K$25,$G479=$G$26,K$26,$G479=$G$27,K$27,$G479=$G$29,K$29,$G479=$G$31,K$31,$G479=$G$32,K$150,$G479=$G$248,K$248,$G479=$G$250,K$250)</f>
        <v>BG sentinel + BG lure7</v>
      </c>
      <c r="L479" s="48"/>
      <c r="M479" s="48"/>
      <c r="O479" s="45" t="str">
        <f t="shared" si="37"/>
        <v>A_SP_BCN_4_210729</v>
      </c>
      <c r="P479" s="64">
        <v>44406</v>
      </c>
      <c r="R479" s="72"/>
      <c r="S479" s="64">
        <v>44413</v>
      </c>
      <c r="U479" s="72"/>
      <c r="V479" s="54" t="s">
        <v>66</v>
      </c>
      <c r="X479" s="45">
        <f t="shared" si="38"/>
        <v>7</v>
      </c>
      <c r="Z479" s="69" t="s">
        <v>69</v>
      </c>
      <c r="AA479" s="45">
        <f t="shared" si="36"/>
        <v>2</v>
      </c>
      <c r="AB479" t="str">
        <f t="shared" si="39"/>
        <v>Adult</v>
      </c>
      <c r="AC479" s="69">
        <v>1</v>
      </c>
      <c r="AD479" s="69">
        <v>1</v>
      </c>
      <c r="AE479" s="45" t="str">
        <f t="shared" si="40"/>
        <v>Morphological</v>
      </c>
      <c r="AF479" s="56">
        <v>4</v>
      </c>
    </row>
    <row r="480" spans="1:32" ht="18" customHeight="1" x14ac:dyDescent="0.25">
      <c r="A480" s="45">
        <v>476</v>
      </c>
      <c r="B480" s="45" t="s">
        <v>60</v>
      </c>
      <c r="C480" s="45" t="s">
        <v>61</v>
      </c>
      <c r="D480" s="45" t="s">
        <v>62</v>
      </c>
      <c r="E480" s="45" t="s">
        <v>62</v>
      </c>
      <c r="F480" s="46" cm="1">
        <f t="array" ref="F480">_xlfn.IFS($G480=$G$5,F$5,$G480=$G$6,F$6,$G480=$G$7,F$7,$G480=$G$8,F$8,$G480=$G$9,F$9,$G480=$G$10,F$10,$G480=$G$11,F$11,$G480=$G$12,F$12,$G480=$G$13,F$13,$G480=$G$15,F$15,$G480=$G$16,F$16,$G480=$G$17,F$17,$G480=$G$18,F$18,$G480=$G$19,F$19,$G480=$G$20,F$20,$G480=$G$21,F$21,$G480=$G$22,F$22,$G480=$G$25,F$25,$G480=$G$26,F$26,$G480=$G$27,F$27,$G480=$G$29,F$29,$G480=$G$31,F$31,$G480=$G$32,F$32,$G480=$G$248,F$248,$G480=$G$250,F$250)</f>
        <v>8018</v>
      </c>
      <c r="G480" t="s">
        <v>71</v>
      </c>
      <c r="H480" s="66" cm="1">
        <f t="array" ref="H480">_xlfn.IFS($G480=$G$5,H$5,$G480=$G$6,H$6,$G480=$G$7,H$7,$G480=$G$8,H$8,$G480=$G$9,H$9,$G480=$G$10,H$10,$G480=$G$11,H$11,$G480=$G$12,H$12,$G480=$G$13,H$13,$G480=$G$15,H$15,$G480=$G$16,H$16,$G480=$G$17,H$17,$G480=$G$18,H$18,$G480=$G$19,H$19,$G480=$G$20,H$20,$G480=$G$21,H$21,$G480=$G$22,H$22,$G480=$G$25,H$25,$G480=$G$26,H$26,$G480=$G$27,H$27,$G480=$G$29,H$29,$G480=$G$31,H$31,$G480=$G$32,H$150,$G480=$G$248,H$248,$G480=$G$250,H$250)</f>
        <v>41.410684000000003</v>
      </c>
      <c r="I480" s="78" cm="1">
        <f t="array" ref="I480">_xlfn.IFS($G480=$G$5,I$5,$G480=$G$6,I$6,$G480=$G$7,I$7,$G480=$G$8,I$8,$G480=$G$9,I$9,$G480=$G$10,I$10,$G480=$G$11,I$11,$G480=$G$12,I$12,$G480=$G$13,I$13,$G480=$G$15,I$15,$G480=$G$16,I$16,$G480=$G$17,I$17,$G480=$G$18,I$18,$G480=$G$19,I$19,$G480=$G$20,I$20,$G480=$G$21,I$21,$G480=$G$22,I$22,$G480=$G$25,I$25,$G480=$G$26,I$26,$G480=$G$27,I$27,$G480=$G$29,I$29,$G480=$G$31,I$31,$G480=$G$32,I$150,$G480=$G$248,I$248,$G480=$G$250,I$250)</f>
        <v>2.2208019999999999</v>
      </c>
      <c r="J480" cm="1">
        <f t="array" ref="J480">_xlfn.IFS($G480=$G$5,J$5,$G480=$G$6,J$6,$G480=$G$7,J$7,$G480=$G$8,J$8,$G480=$G$9,J$9,$G480=$G$10,J$10,$G480=$G$11,J$11,$G480=$G$12,J$12,$G480=$G$13,J$13,$G480=$G$15,J$15,$G480=$G$16,J$16,$G480=$G$17,J$17,$G480=$G$18,J$18,$G480=$G$19,J$19,$G480=$G$20,J$20,$G480=$G$21,J$21,$G480=$G$22,J$22,$G480=$G$25,J$25,$G480=$G$26,J$26,$G480=$G$27,J$27,$G480=$G$29,J$29,$G480=$G$31,J$31,$G480=$G$32,J$150,$G480=$G$248,J$248,$G480=$G$250,J$250)</f>
        <v>4</v>
      </c>
      <c r="K480" t="str" cm="1">
        <f t="array" ref="K480">_xlfn.IFS($G480=$G$5,K$5,$G480=$G$6,K$6,$G480=$G$7,K$7,$G480=$G$8,K$8,$G480=$G$9,K$9,$G480=$G$10,K$10,$G480=$G$11,K$11,$G480=$G$12,K$12,$G480=$G$13,K$13,$G480=$G$15,K$15,$G480=$G$16,K$16,$G480=$G$17,K$17,$G480=$G$18,K$18,$G480=$G$19,K$19,$G480=$G$20,K$20,$G480=$G$21,K$21,$G480=$G$22,K$22,$G480=$G$25,K$25,$G480=$G$26,K$26,$G480=$G$27,K$27,$G480=$G$29,K$29,$G480=$G$31,K$31,$G480=$G$32,K$150,$G480=$G$248,K$248,$G480=$G$250,K$250)</f>
        <v>BG sentinel + BG lure7</v>
      </c>
      <c r="L480" s="48" t="str" cm="1">
        <f t="array" ref="L480">_xlfn.IFS($G480=$G$5,L$5,$G480=$G$6,L$6,$G480=$G$7,L$7,$G480=$G$8,L$8,$G480=$G$9,L$9,$G480=$G$10,L$10,$G480=$G$11,L$11,$G480=$G$12,L$12,$G480=$G$13,L$13,$G480=$G$15,L$15,$G480=$G$16,L$16,$G480=$G$17,L$17,$G480=$G$18,L$18,$G480=$G$19,L$19,$G480=$G$20,L$20,$G480=$G$21,L$21,$G480=$G$22,L$22,$G480=$G$25,L$25,$G480=$G$26,L$26,$G480=$G$27,L$27,$G480=$G$29,L$29,$G480=$G$31,L$31,$G480=$G$32,L$32,$G480=$G$248,L$248,$G480=$G$250,L$250)</f>
        <v>Urban habitat</v>
      </c>
      <c r="M480" s="48"/>
      <c r="O480" s="45" t="str">
        <f t="shared" si="37"/>
        <v>A_SP_BCN_4_210729</v>
      </c>
      <c r="P480" s="64">
        <v>44406</v>
      </c>
      <c r="R480" s="72"/>
      <c r="S480" s="64">
        <v>44413</v>
      </c>
      <c r="U480" s="72"/>
      <c r="V480" s="54" t="s">
        <v>66</v>
      </c>
      <c r="X480" s="45">
        <f t="shared" si="38"/>
        <v>7</v>
      </c>
      <c r="Z480" s="45" t="s">
        <v>70</v>
      </c>
      <c r="AA480" s="45">
        <f t="shared" si="36"/>
        <v>4</v>
      </c>
      <c r="AB480" t="str">
        <f t="shared" si="39"/>
        <v>Adult</v>
      </c>
      <c r="AC480" s="69">
        <v>4</v>
      </c>
      <c r="AD480" s="69">
        <v>0</v>
      </c>
      <c r="AE480" s="45" t="str">
        <f t="shared" si="40"/>
        <v>Morphological</v>
      </c>
      <c r="AF480" s="56">
        <v>4</v>
      </c>
    </row>
    <row r="481" spans="1:32" ht="18" customHeight="1" x14ac:dyDescent="0.25">
      <c r="A481" s="45">
        <v>477</v>
      </c>
      <c r="B481" s="45" t="s">
        <v>60</v>
      </c>
      <c r="C481" s="45" t="s">
        <v>61</v>
      </c>
      <c r="D481" s="45" t="s">
        <v>62</v>
      </c>
      <c r="E481" s="45" t="s">
        <v>62</v>
      </c>
      <c r="F481" s="46" cm="1">
        <f t="array" ref="F481">_xlfn.IFS($G481=$G$5,F$5,$G481=$G$6,F$6,$G481=$G$7,F$7,$G481=$G$8,F$8,$G481=$G$9,F$9,$G481=$G$10,F$10,$G481=$G$11,F$11,$G481=$G$12,F$12,$G481=$G$13,F$13,$G481=$G$15,F$15,$G481=$G$16,F$16,$G481=$G$17,F$17,$G481=$G$18,F$18,$G481=$G$19,F$19,$G481=$G$20,F$20,$G481=$G$21,F$21,$G481=$G$22,F$22,$G481=$G$25,F$25,$G481=$G$26,F$26,$G481=$G$27,F$27,$G481=$G$29,F$29,$G481=$G$31,F$31,$G481=$G$32,F$32,$G481=$G$248,F$248,$G481=$G$250,F$250)</f>
        <v>8018</v>
      </c>
      <c r="G481" t="s">
        <v>71</v>
      </c>
      <c r="H481" s="66" cm="1">
        <f t="array" ref="H481">_xlfn.IFS($G481=$G$5,H$5,$G481=$G$6,H$6,$G481=$G$7,H$7,$G481=$G$8,H$8,$G481=$G$9,H$9,$G481=$G$10,H$10,$G481=$G$11,H$11,$G481=$G$12,H$12,$G481=$G$13,H$13,$G481=$G$15,H$15,$G481=$G$16,H$16,$G481=$G$17,H$17,$G481=$G$18,H$18,$G481=$G$19,H$19,$G481=$G$20,H$20,$G481=$G$21,H$21,$G481=$G$22,H$22,$G481=$G$25,H$25,$G481=$G$26,H$26,$G481=$G$27,H$27,$G481=$G$29,H$29,$G481=$G$31,H$31,$G481=$G$32,H$150,$G481=$G$248,H$248,$G481=$G$250,H$250)</f>
        <v>41.410684000000003</v>
      </c>
      <c r="I481" s="78" cm="1">
        <f t="array" ref="I481">_xlfn.IFS($G481=$G$5,I$5,$G481=$G$6,I$6,$G481=$G$7,I$7,$G481=$G$8,I$8,$G481=$G$9,I$9,$G481=$G$10,I$10,$G481=$G$11,I$11,$G481=$G$12,I$12,$G481=$G$13,I$13,$G481=$G$15,I$15,$G481=$G$16,I$16,$G481=$G$17,I$17,$G481=$G$18,I$18,$G481=$G$19,I$19,$G481=$G$20,I$20,$G481=$G$21,I$21,$G481=$G$22,I$22,$G481=$G$25,I$25,$G481=$G$26,I$26,$G481=$G$27,I$27,$G481=$G$29,I$29,$G481=$G$31,I$31,$G481=$G$32,I$150,$G481=$G$248,I$248,$G481=$G$250,I$250)</f>
        <v>2.2208019999999999</v>
      </c>
      <c r="J481" cm="1">
        <f t="array" ref="J481">_xlfn.IFS($G481=$G$5,J$5,$G481=$G$6,J$6,$G481=$G$7,J$7,$G481=$G$8,J$8,$G481=$G$9,J$9,$G481=$G$10,J$10,$G481=$G$11,J$11,$G481=$G$12,J$12,$G481=$G$13,J$13,$G481=$G$15,J$15,$G481=$G$16,J$16,$G481=$G$17,J$17,$G481=$G$18,J$18,$G481=$G$19,J$19,$G481=$G$20,J$20,$G481=$G$21,J$21,$G481=$G$22,J$22,$G481=$G$25,J$25,$G481=$G$26,J$26,$G481=$G$27,J$27,$G481=$G$29,J$29,$G481=$G$31,J$31,$G481=$G$32,J$150,$G481=$G$248,J$248,$G481=$G$250,J$250)</f>
        <v>4</v>
      </c>
      <c r="K481" t="str" cm="1">
        <f t="array" ref="K481">_xlfn.IFS($G481=$G$5,K$5,$G481=$G$6,K$6,$G481=$G$7,K$7,$G481=$G$8,K$8,$G481=$G$9,K$9,$G481=$G$10,K$10,$G481=$G$11,K$11,$G481=$G$12,K$12,$G481=$G$13,K$13,$G481=$G$15,K$15,$G481=$G$16,K$16,$G481=$G$17,K$17,$G481=$G$18,K$18,$G481=$G$19,K$19,$G481=$G$20,K$20,$G481=$G$21,K$21,$G481=$G$22,K$22,$G481=$G$25,K$25,$G481=$G$26,K$26,$G481=$G$27,K$27,$G481=$G$29,K$29,$G481=$G$31,K$31,$G481=$G$32,K$150,$G481=$G$248,K$248,$G481=$G$250,K$250)</f>
        <v>BG sentinel + BG lure7</v>
      </c>
      <c r="L481" s="48" t="str" cm="1">
        <f t="array" ref="L481">_xlfn.IFS($G481=$G$5,L$5,$G481=$G$6,L$6,$G481=$G$7,L$7,$G481=$G$8,L$8,$G481=$G$9,L$9,$G481=$G$10,L$10,$G481=$G$11,L$11,$G481=$G$12,L$12,$G481=$G$13,L$13,$G481=$G$15,L$15,$G481=$G$16,L$16,$G481=$G$17,L$17,$G481=$G$18,L$18,$G481=$G$19,L$19,$G481=$G$20,L$20,$G481=$G$21,L$21,$G481=$G$22,L$22,$G481=$G$25,L$25,$G481=$G$26,L$26,$G481=$G$27,L$27,$G481=$G$29,L$29,$G481=$G$31,L$31,$G481=$G$32,L$32,$G481=$G$248,L$248,$G481=$G$250,L$250)</f>
        <v>Urban habitat</v>
      </c>
      <c r="M481" s="48"/>
      <c r="O481" s="45" t="str">
        <f t="shared" si="37"/>
        <v>A_SP_BCN_4_210729</v>
      </c>
      <c r="P481" s="64">
        <v>44406</v>
      </c>
      <c r="R481" s="72"/>
      <c r="S481" s="64">
        <v>44413</v>
      </c>
      <c r="U481" s="72"/>
      <c r="V481" s="54" t="s">
        <v>66</v>
      </c>
      <c r="X481" s="45">
        <f t="shared" si="38"/>
        <v>7</v>
      </c>
      <c r="Z481" s="45" t="s">
        <v>80</v>
      </c>
      <c r="AA481" s="45">
        <f t="shared" si="36"/>
        <v>1</v>
      </c>
      <c r="AB481" t="str">
        <f t="shared" si="39"/>
        <v>Adult</v>
      </c>
      <c r="AC481" s="69">
        <v>1</v>
      </c>
      <c r="AD481" s="69">
        <v>0</v>
      </c>
      <c r="AE481" s="45" t="str">
        <f t="shared" si="40"/>
        <v>Morphological</v>
      </c>
      <c r="AF481" s="56">
        <v>4</v>
      </c>
    </row>
    <row r="482" spans="1:32" ht="18" customHeight="1" x14ac:dyDescent="0.25">
      <c r="A482" s="45">
        <v>478</v>
      </c>
      <c r="B482" s="45" t="s">
        <v>60</v>
      </c>
      <c r="C482" s="45" t="s">
        <v>61</v>
      </c>
      <c r="D482" s="45" t="s">
        <v>62</v>
      </c>
      <c r="E482" s="45" t="s">
        <v>62</v>
      </c>
      <c r="F482" s="46" cm="1">
        <f t="array" ref="F482">_xlfn.IFS($G482=$G$5,F$5,$G482=$G$6,F$6,$G482=$G$7,F$7,$G482=$G$8,F$8,$G482=$G$9,F$9,$G482=$G$10,F$10,$G482=$G$11,F$11,$G482=$G$12,F$12,$G482=$G$13,F$13,$G482=$G$15,F$15,$G482=$G$16,F$16,$G482=$G$17,F$17,$G482=$G$18,F$18,$G482=$G$19,F$19,$G482=$G$20,F$20,$G482=$G$21,F$21,$G482=$G$22,F$22,$G482=$G$25,F$25,$G482=$G$26,F$26,$G482=$G$27,F$27,$G482=$G$29,F$29,$G482=$G$31,F$31,$G482=$G$32,F$32,$G482=$G$248,F$248,$G482=$G$250,F$250)</f>
        <v>8019</v>
      </c>
      <c r="G482" t="s">
        <v>72</v>
      </c>
      <c r="H482" s="66" cm="1">
        <f t="array" ref="H482">_xlfn.IFS($G482=$G$5,H$5,$G482=$G$6,H$6,$G482=$G$7,H$7,$G482=$G$8,H$8,$G482=$G$9,H$9,$G482=$G$10,H$10,$G482=$G$11,H$11,$G482=$G$12,H$12,$G482=$G$13,H$13,$G482=$G$15,H$15,$G482=$G$16,H$16,$G482=$G$17,H$17,$G482=$G$18,H$18,$G482=$G$19,H$19,$G482=$G$20,H$20,$G482=$G$21,H$21,$G482=$G$22,H$22,$G482=$G$25,H$25,$G482=$G$26,H$26,$G482=$G$27,H$27,$G482=$G$29,H$29,$G482=$G$31,H$31,$G482=$G$32,H$150,$G482=$G$248,H$248,$G482=$G$250,H$250)</f>
        <v>41.382339999999999</v>
      </c>
      <c r="I482" s="78" cm="1">
        <f t="array" ref="I482">_xlfn.IFS($G482=$G$5,I$5,$G482=$G$6,I$6,$G482=$G$7,I$7,$G482=$G$8,I$8,$G482=$G$9,I$9,$G482=$G$10,I$10,$G482=$G$11,I$11,$G482=$G$12,I$12,$G482=$G$13,I$13,$G482=$G$15,I$15,$G482=$G$16,I$16,$G482=$G$17,I$17,$G482=$G$18,I$18,$G482=$G$19,I$19,$G482=$G$20,I$20,$G482=$G$21,I$21,$G482=$G$22,I$22,$G482=$G$25,I$25,$G482=$G$26,I$26,$G482=$G$27,I$27,$G482=$G$29,I$29,$G482=$G$31,I$31,$G482=$G$32,I$150,$G482=$G$248,I$248,$G482=$G$250,I$250)</f>
        <v>2.1714790000000002</v>
      </c>
      <c r="J482" cm="1">
        <f t="array" ref="J482">_xlfn.IFS($G482=$G$5,J$5,$G482=$G$6,J$6,$G482=$G$7,J$7,$G482=$G$8,J$8,$G482=$G$9,J$9,$G482=$G$10,J$10,$G482=$G$11,J$11,$G482=$G$12,J$12,$G482=$G$13,J$13,$G482=$G$15,J$15,$G482=$G$16,J$16,$G482=$G$17,J$17,$G482=$G$18,J$18,$G482=$G$19,J$19,$G482=$G$20,J$20,$G482=$G$21,J$21,$G482=$G$22,J$22,$G482=$G$25,J$25,$G482=$G$26,J$26,$G482=$G$27,J$27,$G482=$G$29,J$29,$G482=$G$31,J$31,$G482=$G$32,J$150,$G482=$G$248,J$248,$G482=$G$250,J$250)</f>
        <v>18</v>
      </c>
      <c r="K482" t="str" cm="1">
        <f t="array" ref="K482">_xlfn.IFS($G482=$G$5,K$5,$G482=$G$6,K$6,$G482=$G$7,K$7,$G482=$G$8,K$8,$G482=$G$9,K$9,$G482=$G$10,K$10,$G482=$G$11,K$11,$G482=$G$12,K$12,$G482=$G$13,K$13,$G482=$G$15,K$15,$G482=$G$16,K$16,$G482=$G$17,K$17,$G482=$G$18,K$18,$G482=$G$19,K$19,$G482=$G$20,K$20,$G482=$G$21,K$21,$G482=$G$22,K$22,$G482=$G$25,K$25,$G482=$G$26,K$26,$G482=$G$27,K$27,$G482=$G$29,K$29,$G482=$G$31,K$31,$G482=$G$32,K$150,$G482=$G$248,K$248,$G482=$G$250,K$250)</f>
        <v>BG sentinel + BG lure7</v>
      </c>
      <c r="L482" s="48"/>
      <c r="M482" s="48"/>
      <c r="O482" s="45" t="str">
        <f t="shared" si="37"/>
        <v>A_SP_BCN_5_210729</v>
      </c>
      <c r="P482" s="64">
        <v>44406</v>
      </c>
      <c r="R482" s="72"/>
      <c r="S482" s="64">
        <v>44413</v>
      </c>
      <c r="U482" s="72"/>
      <c r="V482" s="54" t="s">
        <v>66</v>
      </c>
      <c r="X482" s="45">
        <f t="shared" si="38"/>
        <v>7</v>
      </c>
      <c r="Z482" s="45" t="s">
        <v>70</v>
      </c>
      <c r="AA482" s="45">
        <f t="shared" si="36"/>
        <v>5</v>
      </c>
      <c r="AB482" t="str">
        <f t="shared" si="39"/>
        <v>Adult</v>
      </c>
      <c r="AC482" s="69">
        <v>5</v>
      </c>
      <c r="AD482" s="69">
        <v>0</v>
      </c>
      <c r="AE482" s="45" t="str">
        <f t="shared" si="40"/>
        <v>Morphological</v>
      </c>
      <c r="AF482" s="56">
        <v>4</v>
      </c>
    </row>
    <row r="483" spans="1:32" ht="18" customHeight="1" x14ac:dyDescent="0.25">
      <c r="A483" s="45">
        <v>479</v>
      </c>
      <c r="B483" s="45" t="s">
        <v>60</v>
      </c>
      <c r="C483" s="45" t="s">
        <v>61</v>
      </c>
      <c r="D483" s="45" t="s">
        <v>62</v>
      </c>
      <c r="E483" s="45" t="s">
        <v>62</v>
      </c>
      <c r="F483" s="46" cm="1">
        <f t="array" ref="F483">_xlfn.IFS($G483=$G$5,F$5,$G483=$G$6,F$6,$G483=$G$7,F$7,$G483=$G$8,F$8,$G483=$G$9,F$9,$G483=$G$10,F$10,$G483=$G$11,F$11,$G483=$G$12,F$12,$G483=$G$13,F$13,$G483=$G$15,F$15,$G483=$G$16,F$16,$G483=$G$17,F$17,$G483=$G$18,F$18,$G483=$G$19,F$19,$G483=$G$20,F$20,$G483=$G$21,F$21,$G483=$G$22,F$22,$G483=$G$25,F$25,$G483=$G$26,F$26,$G483=$G$27,F$27,$G483=$G$29,F$29,$G483=$G$31,F$31,$G483=$G$32,F$32,$G483=$G$248,F$248,$G483=$G$250,F$250)</f>
        <v>8002</v>
      </c>
      <c r="G483" t="s">
        <v>73</v>
      </c>
      <c r="H483" s="66" cm="1">
        <f t="array" ref="H483">_xlfn.IFS($G483=$G$5,H$5,$G483=$G$6,H$6,$G483=$G$7,H$7,$G483=$G$8,H$8,$G483=$G$9,H$9,$G483=$G$10,H$10,$G483=$G$11,H$11,$G483=$G$12,H$12,$G483=$G$13,H$13,$G483=$G$15,H$15,$G483=$G$16,H$16,$G483=$G$17,H$17,$G483=$G$18,H$18,$G483=$G$19,H$19,$G483=$G$20,H$20,$G483=$G$21,H$21,$G483=$G$22,H$22,$G483=$G$25,H$25,$G483=$G$26,H$26,$G483=$G$27,H$27,$G483=$G$29,H$29,$G483=$G$31,H$31,$G483=$G$32,H$150,$G483=$G$248,H$248,$G483=$G$250,H$250)</f>
        <v>41.371864000000002</v>
      </c>
      <c r="I483" s="78" cm="1">
        <f t="array" ref="I483">_xlfn.IFS($G483=$G$5,I$5,$G483=$G$6,I$6,$G483=$G$7,I$7,$G483=$G$8,I$8,$G483=$G$9,I$9,$G483=$G$10,I$10,$G483=$G$11,I$11,$G483=$G$12,I$12,$G483=$G$13,I$13,$G483=$G$15,I$15,$G483=$G$16,I$16,$G483=$G$17,I$17,$G483=$G$18,I$18,$G483=$G$19,I$19,$G483=$G$20,I$20,$G483=$G$21,I$21,$G483=$G$22,I$22,$G483=$G$25,I$25,$G483=$G$26,I$26,$G483=$G$27,I$27,$G483=$G$29,I$29,$G483=$G$31,I$31,$G483=$G$32,I$150,$G483=$G$248,I$248,$G483=$G$250,I$250)</f>
        <v>2.173899</v>
      </c>
      <c r="J483" cm="1">
        <f t="array" ref="J483">_xlfn.IFS($G483=$G$5,J$5,$G483=$G$6,J$6,$G483=$G$7,J$7,$G483=$G$8,J$8,$G483=$G$9,J$9,$G483=$G$10,J$10,$G483=$G$11,J$11,$G483=$G$12,J$12,$G483=$G$13,J$13,$G483=$G$15,J$15,$G483=$G$16,J$16,$G483=$G$17,J$17,$G483=$G$18,J$18,$G483=$G$19,J$19,$G483=$G$20,J$20,$G483=$G$21,J$21,$G483=$G$22,J$22,$G483=$G$25,J$25,$G483=$G$26,J$26,$G483=$G$27,J$27,$G483=$G$29,J$29,$G483=$G$31,J$31,$G483=$G$32,J$150,$G483=$G$248,J$248,$G483=$G$250,J$250)</f>
        <v>19</v>
      </c>
      <c r="K483" t="str" cm="1">
        <f t="array" ref="K483">_xlfn.IFS($G483=$G$5,K$5,$G483=$G$6,K$6,$G483=$G$7,K$7,$G483=$G$8,K$8,$G483=$G$9,K$9,$G483=$G$10,K$10,$G483=$G$11,K$11,$G483=$G$12,K$12,$G483=$G$13,K$13,$G483=$G$15,K$15,$G483=$G$16,K$16,$G483=$G$17,K$17,$G483=$G$18,K$18,$G483=$G$19,K$19,$G483=$G$20,K$20,$G483=$G$21,K$21,$G483=$G$22,K$22,$G483=$G$25,K$25,$G483=$G$26,K$26,$G483=$G$27,K$27,$G483=$G$29,K$29,$G483=$G$31,K$31,$G483=$G$32,K$150,$G483=$G$248,K$248,$G483=$G$250,K$250)</f>
        <v>BG sentinel + BG lure7</v>
      </c>
      <c r="L483" s="48"/>
      <c r="M483" s="48"/>
      <c r="O483" s="45" t="str">
        <f t="shared" si="37"/>
        <v>A_SP_BCN_6_210729</v>
      </c>
      <c r="P483" s="64">
        <v>44406</v>
      </c>
      <c r="R483" s="72"/>
      <c r="S483" s="64">
        <v>44413</v>
      </c>
      <c r="U483" s="72"/>
      <c r="V483" s="54" t="s">
        <v>66</v>
      </c>
      <c r="X483" s="45">
        <f t="shared" si="38"/>
        <v>7</v>
      </c>
      <c r="Z483" s="69" t="s">
        <v>69</v>
      </c>
      <c r="AA483" s="45">
        <f t="shared" si="36"/>
        <v>2</v>
      </c>
      <c r="AB483" t="str">
        <f t="shared" si="39"/>
        <v>Adult</v>
      </c>
      <c r="AC483" s="69">
        <v>2</v>
      </c>
      <c r="AD483" s="69">
        <v>0</v>
      </c>
      <c r="AE483" s="45" t="str">
        <f t="shared" si="40"/>
        <v>Morphological</v>
      </c>
      <c r="AF483" s="56">
        <v>4</v>
      </c>
    </row>
    <row r="484" spans="1:32" ht="18" customHeight="1" x14ac:dyDescent="0.25">
      <c r="A484" s="45">
        <v>480</v>
      </c>
      <c r="B484" s="45" t="s">
        <v>60</v>
      </c>
      <c r="C484" s="45" t="s">
        <v>61</v>
      </c>
      <c r="D484" s="45" t="s">
        <v>62</v>
      </c>
      <c r="E484" s="45" t="s">
        <v>62</v>
      </c>
      <c r="F484" s="46" cm="1">
        <f t="array" ref="F484">_xlfn.IFS($G484=$G$5,F$5,$G484=$G$6,F$6,$G484=$G$7,F$7,$G484=$G$8,F$8,$G484=$G$9,F$9,$G484=$G$10,F$10,$G484=$G$11,F$11,$G484=$G$12,F$12,$G484=$G$13,F$13,$G484=$G$15,F$15,$G484=$G$16,F$16,$G484=$G$17,F$17,$G484=$G$18,F$18,$G484=$G$19,F$19,$G484=$G$20,F$20,$G484=$G$21,F$21,$G484=$G$22,F$22,$G484=$G$25,F$25,$G484=$G$26,F$26,$G484=$G$27,F$27,$G484=$G$29,F$29,$G484=$G$31,F$31,$G484=$G$32,F$32,$G484=$G$248,F$248,$G484=$G$250,F$250)</f>
        <v>8002</v>
      </c>
      <c r="G484" t="s">
        <v>73</v>
      </c>
      <c r="H484" s="66" cm="1">
        <f t="array" ref="H484">_xlfn.IFS($G484=$G$5,H$5,$G484=$G$6,H$6,$G484=$G$7,H$7,$G484=$G$8,H$8,$G484=$G$9,H$9,$G484=$G$10,H$10,$G484=$G$11,H$11,$G484=$G$12,H$12,$G484=$G$13,H$13,$G484=$G$15,H$15,$G484=$G$16,H$16,$G484=$G$17,H$17,$G484=$G$18,H$18,$G484=$G$19,H$19,$G484=$G$20,H$20,$G484=$G$21,H$21,$G484=$G$22,H$22,$G484=$G$25,H$25,$G484=$G$26,H$26,$G484=$G$27,H$27,$G484=$G$29,H$29,$G484=$G$31,H$31,$G484=$G$32,H$150,$G484=$G$248,H$248,$G484=$G$250,H$250)</f>
        <v>41.371864000000002</v>
      </c>
      <c r="I484" s="78" cm="1">
        <f t="array" ref="I484">_xlfn.IFS($G484=$G$5,I$5,$G484=$G$6,I$6,$G484=$G$7,I$7,$G484=$G$8,I$8,$G484=$G$9,I$9,$G484=$G$10,I$10,$G484=$G$11,I$11,$G484=$G$12,I$12,$G484=$G$13,I$13,$G484=$G$15,I$15,$G484=$G$16,I$16,$G484=$G$17,I$17,$G484=$G$18,I$18,$G484=$G$19,I$19,$G484=$G$20,I$20,$G484=$G$21,I$21,$G484=$G$22,I$22,$G484=$G$25,I$25,$G484=$G$26,I$26,$G484=$G$27,I$27,$G484=$G$29,I$29,$G484=$G$31,I$31,$G484=$G$32,I$150,$G484=$G$248,I$248,$G484=$G$250,I$250)</f>
        <v>2.173899</v>
      </c>
      <c r="J484" cm="1">
        <f t="array" ref="J484">_xlfn.IFS($G484=$G$5,J$5,$G484=$G$6,J$6,$G484=$G$7,J$7,$G484=$G$8,J$8,$G484=$G$9,J$9,$G484=$G$10,J$10,$G484=$G$11,J$11,$G484=$G$12,J$12,$G484=$G$13,J$13,$G484=$G$15,J$15,$G484=$G$16,J$16,$G484=$G$17,J$17,$G484=$G$18,J$18,$G484=$G$19,J$19,$G484=$G$20,J$20,$G484=$G$21,J$21,$G484=$G$22,J$22,$G484=$G$25,J$25,$G484=$G$26,J$26,$G484=$G$27,J$27,$G484=$G$29,J$29,$G484=$G$31,J$31,$G484=$G$32,J$150,$G484=$G$248,J$248,$G484=$G$250,J$250)</f>
        <v>19</v>
      </c>
      <c r="K484" t="str" cm="1">
        <f t="array" ref="K484">_xlfn.IFS($G484=$G$5,K$5,$G484=$G$6,K$6,$G484=$G$7,K$7,$G484=$G$8,K$8,$G484=$G$9,K$9,$G484=$G$10,K$10,$G484=$G$11,K$11,$G484=$G$12,K$12,$G484=$G$13,K$13,$G484=$G$15,K$15,$G484=$G$16,K$16,$G484=$G$17,K$17,$G484=$G$18,K$18,$G484=$G$19,K$19,$G484=$G$20,K$20,$G484=$G$21,K$21,$G484=$G$22,K$22,$G484=$G$25,K$25,$G484=$G$26,K$26,$G484=$G$27,K$27,$G484=$G$29,K$29,$G484=$G$31,K$31,$G484=$G$32,K$150,$G484=$G$248,K$248,$G484=$G$250,K$250)</f>
        <v>BG sentinel + BG lure7</v>
      </c>
      <c r="L484" s="48"/>
      <c r="M484" s="48"/>
      <c r="O484" s="45" t="str">
        <f t="shared" si="37"/>
        <v>A_SP_BCN_6_210729</v>
      </c>
      <c r="P484" s="64">
        <v>44406</v>
      </c>
      <c r="R484" s="72"/>
      <c r="S484" s="64">
        <v>44413</v>
      </c>
      <c r="U484" s="72"/>
      <c r="V484" s="54" t="s">
        <v>66</v>
      </c>
      <c r="X484" s="45">
        <f t="shared" si="38"/>
        <v>7</v>
      </c>
      <c r="Z484" s="45" t="s">
        <v>70</v>
      </c>
      <c r="AA484" s="45">
        <f t="shared" si="36"/>
        <v>1</v>
      </c>
      <c r="AB484" t="str">
        <f t="shared" si="39"/>
        <v>Adult</v>
      </c>
      <c r="AC484" s="69">
        <v>1</v>
      </c>
      <c r="AD484" s="69">
        <v>0</v>
      </c>
      <c r="AE484" s="45" t="str">
        <f t="shared" si="40"/>
        <v>Morphological</v>
      </c>
      <c r="AF484" s="56">
        <v>4</v>
      </c>
    </row>
    <row r="485" spans="1:32" ht="18" customHeight="1" x14ac:dyDescent="0.25">
      <c r="A485" s="45">
        <v>481</v>
      </c>
      <c r="B485" s="45" t="s">
        <v>60</v>
      </c>
      <c r="C485" s="45" t="s">
        <v>61</v>
      </c>
      <c r="D485" s="45" t="s">
        <v>62</v>
      </c>
      <c r="E485" s="45" t="s">
        <v>62</v>
      </c>
      <c r="F485" s="46" cm="1">
        <f t="array" ref="F485">_xlfn.IFS($G485=$G$5,F$5,$G485=$G$6,F$6,$G485=$G$7,F$7,$G485=$G$8,F$8,$G485=$G$9,F$9,$G485=$G$10,F$10,$G485=$G$11,F$11,$G485=$G$12,F$12,$G485=$G$13,F$13,$G485=$G$15,F$15,$G485=$G$16,F$16,$G485=$G$17,F$17,$G485=$G$18,F$18,$G485=$G$19,F$19,$G485=$G$20,F$20,$G485=$G$21,F$21,$G485=$G$22,F$22,$G485=$G$25,F$25,$G485=$G$26,F$26,$G485=$G$27,F$27,$G485=$G$29,F$29,$G485=$G$31,F$31,$G485=$G$32,F$32,$G485=$G$248,F$248,$G485=$G$250,F$250)</f>
        <v>8038</v>
      </c>
      <c r="G485" t="s">
        <v>74</v>
      </c>
      <c r="H485" s="66" cm="1">
        <f t="array" ref="H485">_xlfn.IFS($G485=$G$5,H$5,$G485=$G$6,H$6,$G485=$G$7,H$7,$G485=$G$8,H$8,$G485=$G$9,H$9,$G485=$G$10,H$10,$G485=$G$11,H$11,$G485=$G$12,H$12,$G485=$G$13,H$13,$G485=$G$15,H$15,$G485=$G$16,H$16,$G485=$G$17,H$17,$G485=$G$18,H$18,$G485=$G$19,H$19,$G485=$G$20,H$20,$G485=$G$21,H$21,$G485=$G$22,H$22,$G485=$G$25,H$25,$G485=$G$26,H$26,$G485=$G$27,H$27,$G485=$G$29,H$29,$G485=$G$31,H$31,$G485=$G$32,H$150,$G485=$G$248,H$248,$G485=$G$250,H$250)</f>
        <v>41.371864000000002</v>
      </c>
      <c r="I485" s="78" cm="1">
        <f t="array" ref="I485">_xlfn.IFS($G485=$G$5,I$5,$G485=$G$6,I$6,$G485=$G$7,I$7,$G485=$G$8,I$8,$G485=$G$9,I$9,$G485=$G$10,I$10,$G485=$G$11,I$11,$G485=$G$12,I$12,$G485=$G$13,I$13,$G485=$G$15,I$15,$G485=$G$16,I$16,$G485=$G$17,I$17,$G485=$G$18,I$18,$G485=$G$19,I$19,$G485=$G$20,I$20,$G485=$G$21,I$21,$G485=$G$22,I$22,$G485=$G$25,I$25,$G485=$G$26,I$26,$G485=$G$27,I$27,$G485=$G$29,I$29,$G485=$G$31,I$31,$G485=$G$32,I$150,$G485=$G$248,I$248,$G485=$G$250,I$250)</f>
        <v>2.173899</v>
      </c>
      <c r="J485" cm="1">
        <f t="array" ref="J485">_xlfn.IFS($G485=$G$5,J$5,$G485=$G$6,J$6,$G485=$G$7,J$7,$G485=$G$8,J$8,$G485=$G$9,J$9,$G485=$G$10,J$10,$G485=$G$11,J$11,$G485=$G$12,J$12,$G485=$G$13,J$13,$G485=$G$15,J$15,$G485=$G$16,J$16,$G485=$G$17,J$17,$G485=$G$18,J$18,$G485=$G$19,J$19,$G485=$G$20,J$20,$G485=$G$21,J$21,$G485=$G$22,J$22,$G485=$G$25,J$25,$G485=$G$26,J$26,$G485=$G$27,J$27,$G485=$G$29,J$29,$G485=$G$31,J$31,$G485=$G$32,J$150,$G485=$G$248,J$248,$G485=$G$250,J$250)</f>
        <v>5</v>
      </c>
      <c r="K485" t="str" cm="1">
        <f t="array" ref="K485">_xlfn.IFS($G485=$G$5,K$5,$G485=$G$6,K$6,$G485=$G$7,K$7,$G485=$G$8,K$8,$G485=$G$9,K$9,$G485=$G$10,K$10,$G485=$G$11,K$11,$G485=$G$12,K$12,$G485=$G$13,K$13,$G485=$G$15,K$15,$G485=$G$16,K$16,$G485=$G$17,K$17,$G485=$G$18,K$18,$G485=$G$19,K$19,$G485=$G$20,K$20,$G485=$G$21,K$21,$G485=$G$22,K$22,$G485=$G$25,K$25,$G485=$G$26,K$26,$G485=$G$27,K$27,$G485=$G$29,K$29,$G485=$G$31,K$31,$G485=$G$32,K$150,$G485=$G$248,K$248,$G485=$G$250,K$250)</f>
        <v>BG sentinel + BG lure7</v>
      </c>
      <c r="L485" s="48"/>
      <c r="M485" s="48"/>
      <c r="O485" s="45" t="str">
        <f t="shared" si="37"/>
        <v>A_SP_BCN_7_210729</v>
      </c>
      <c r="P485" s="64">
        <v>44406</v>
      </c>
      <c r="R485" s="72"/>
      <c r="S485" s="64">
        <v>44413</v>
      </c>
      <c r="U485" s="72"/>
      <c r="V485" t="s">
        <v>116</v>
      </c>
      <c r="X485" s="45">
        <f t="shared" si="38"/>
        <v>7</v>
      </c>
      <c r="Z485" s="69" t="s">
        <v>69</v>
      </c>
      <c r="AA485" s="45">
        <f t="shared" si="36"/>
        <v>1</v>
      </c>
      <c r="AB485" t="str">
        <f t="shared" si="39"/>
        <v>Adult</v>
      </c>
      <c r="AC485" s="69">
        <v>1</v>
      </c>
      <c r="AD485" s="69">
        <v>0</v>
      </c>
      <c r="AE485" s="45" t="str">
        <f t="shared" si="40"/>
        <v>Morphological</v>
      </c>
      <c r="AF485">
        <v>1</v>
      </c>
    </row>
    <row r="486" spans="1:32" ht="18" customHeight="1" x14ac:dyDescent="0.25">
      <c r="A486" s="45">
        <v>482</v>
      </c>
      <c r="B486" s="45" t="s">
        <v>60</v>
      </c>
      <c r="C486" s="45" t="s">
        <v>61</v>
      </c>
      <c r="D486" s="45" t="s">
        <v>62</v>
      </c>
      <c r="E486" s="45" t="s">
        <v>62</v>
      </c>
      <c r="F486" s="46" cm="1">
        <f t="array" ref="F486">_xlfn.IFS($G486=$G$5,F$5,$G486=$G$6,F$6,$G486=$G$7,F$7,$G486=$G$8,F$8,$G486=$G$9,F$9,$G486=$G$10,F$10,$G486=$G$11,F$11,$G486=$G$12,F$12,$G486=$G$13,F$13,$G486=$G$15,F$15,$G486=$G$16,F$16,$G486=$G$17,F$17,$G486=$G$18,F$18,$G486=$G$19,F$19,$G486=$G$20,F$20,$G486=$G$21,F$21,$G486=$G$22,F$22,$G486=$G$25,F$25,$G486=$G$26,F$26,$G486=$G$27,F$27,$G486=$G$29,F$29,$G486=$G$31,F$31,$G486=$G$32,F$32,$G486=$G$248,F$248,$G486=$G$250,F$250)</f>
        <v>8038</v>
      </c>
      <c r="G486" t="s">
        <v>74</v>
      </c>
      <c r="H486" s="66" cm="1">
        <f t="array" ref="H486">_xlfn.IFS($G486=$G$5,H$5,$G486=$G$6,H$6,$G486=$G$7,H$7,$G486=$G$8,H$8,$G486=$G$9,H$9,$G486=$G$10,H$10,$G486=$G$11,H$11,$G486=$G$12,H$12,$G486=$G$13,H$13,$G486=$G$15,H$15,$G486=$G$16,H$16,$G486=$G$17,H$17,$G486=$G$18,H$18,$G486=$G$19,H$19,$G486=$G$20,H$20,$G486=$G$21,H$21,$G486=$G$22,H$22,$G486=$G$25,H$25,$G486=$G$26,H$26,$G486=$G$27,H$27,$G486=$G$29,H$29,$G486=$G$31,H$31,$G486=$G$32,H$150,$G486=$G$248,H$248,$G486=$G$250,H$250)</f>
        <v>41.371864000000002</v>
      </c>
      <c r="I486" s="78" cm="1">
        <f t="array" ref="I486">_xlfn.IFS($G486=$G$5,I$5,$G486=$G$6,I$6,$G486=$G$7,I$7,$G486=$G$8,I$8,$G486=$G$9,I$9,$G486=$G$10,I$10,$G486=$G$11,I$11,$G486=$G$12,I$12,$G486=$G$13,I$13,$G486=$G$15,I$15,$G486=$G$16,I$16,$G486=$G$17,I$17,$G486=$G$18,I$18,$G486=$G$19,I$19,$G486=$G$20,I$20,$G486=$G$21,I$21,$G486=$G$22,I$22,$G486=$G$25,I$25,$G486=$G$26,I$26,$G486=$G$27,I$27,$G486=$G$29,I$29,$G486=$G$31,I$31,$G486=$G$32,I$150,$G486=$G$248,I$248,$G486=$G$250,I$250)</f>
        <v>2.173899</v>
      </c>
      <c r="J486" cm="1">
        <f t="array" ref="J486">_xlfn.IFS($G486=$G$5,J$5,$G486=$G$6,J$6,$G486=$G$7,J$7,$G486=$G$8,J$8,$G486=$G$9,J$9,$G486=$G$10,J$10,$G486=$G$11,J$11,$G486=$G$12,J$12,$G486=$G$13,J$13,$G486=$G$15,J$15,$G486=$G$16,J$16,$G486=$G$17,J$17,$G486=$G$18,J$18,$G486=$G$19,J$19,$G486=$G$20,J$20,$G486=$G$21,J$21,$G486=$G$22,J$22,$G486=$G$25,J$25,$G486=$G$26,J$26,$G486=$G$27,J$27,$G486=$G$29,J$29,$G486=$G$31,J$31,$G486=$G$32,J$150,$G486=$G$248,J$248,$G486=$G$250,J$250)</f>
        <v>5</v>
      </c>
      <c r="K486" t="str" cm="1">
        <f t="array" ref="K486">_xlfn.IFS($G486=$G$5,K$5,$G486=$G$6,K$6,$G486=$G$7,K$7,$G486=$G$8,K$8,$G486=$G$9,K$9,$G486=$G$10,K$10,$G486=$G$11,K$11,$G486=$G$12,K$12,$G486=$G$13,K$13,$G486=$G$15,K$15,$G486=$G$16,K$16,$G486=$G$17,K$17,$G486=$G$18,K$18,$G486=$G$19,K$19,$G486=$G$20,K$20,$G486=$G$21,K$21,$G486=$G$22,K$22,$G486=$G$25,K$25,$G486=$G$26,K$26,$G486=$G$27,K$27,$G486=$G$29,K$29,$G486=$G$31,K$31,$G486=$G$32,K$150,$G486=$G$248,K$248,$G486=$G$250,K$250)</f>
        <v>BG sentinel + BG lure7</v>
      </c>
      <c r="L486" s="48"/>
      <c r="M486" s="48"/>
      <c r="O486" s="45" t="str">
        <f t="shared" si="37"/>
        <v>A_SP_BCN_7_210729</v>
      </c>
      <c r="P486" s="64">
        <v>44406</v>
      </c>
      <c r="R486" s="72"/>
      <c r="S486" s="64">
        <v>44413</v>
      </c>
      <c r="U486" s="72"/>
      <c r="V486" t="s">
        <v>116</v>
      </c>
      <c r="X486" s="45">
        <f t="shared" si="38"/>
        <v>7</v>
      </c>
      <c r="Z486" s="45" t="s">
        <v>70</v>
      </c>
      <c r="AA486" s="45">
        <f t="shared" si="36"/>
        <v>1</v>
      </c>
      <c r="AB486" t="str">
        <f t="shared" si="39"/>
        <v>Adult</v>
      </c>
      <c r="AC486" s="69">
        <v>1</v>
      </c>
      <c r="AD486" s="69">
        <v>0</v>
      </c>
      <c r="AE486" s="45" t="str">
        <f t="shared" si="40"/>
        <v>Morphological</v>
      </c>
      <c r="AF486">
        <v>1</v>
      </c>
    </row>
    <row r="487" spans="1:32" ht="18" customHeight="1" x14ac:dyDescent="0.25">
      <c r="A487" s="45">
        <v>483</v>
      </c>
      <c r="B487" s="45" t="s">
        <v>60</v>
      </c>
      <c r="C487" s="45" t="s">
        <v>61</v>
      </c>
      <c r="D487" s="45" t="s">
        <v>62</v>
      </c>
      <c r="E487" s="45" t="s">
        <v>62</v>
      </c>
      <c r="F487" s="46" cm="1">
        <f t="array" ref="F487">_xlfn.IFS($G487=$G$5,F$5,$G487=$G$6,F$6,$G487=$G$7,F$7,$G487=$G$8,F$8,$G487=$G$9,F$9,$G487=$G$10,F$10,$G487=$G$11,F$11,$G487=$G$12,F$12,$G487=$G$13,F$13,$G487=$G$15,F$15,$G487=$G$16,F$16,$G487=$G$17,F$17,$G487=$G$18,F$18,$G487=$G$19,F$19,$G487=$G$20,F$20,$G487=$G$21,F$21,$G487=$G$22,F$22,$G487=$G$25,F$25,$G487=$G$26,F$26,$G487=$G$27,F$27,$G487=$G$29,F$29,$G487=$G$31,F$31,$G487=$G$32,F$32,$G487=$G$248,F$248,$G487=$G$250,F$250)</f>
        <v>8038</v>
      </c>
      <c r="G487" t="s">
        <v>75</v>
      </c>
      <c r="H487" s="66" cm="1">
        <f t="array" ref="H487">_xlfn.IFS($G487=$G$5,H$5,$G487=$G$6,H$6,$G487=$G$7,H$7,$G487=$G$8,H$8,$G487=$G$9,H$9,$G487=$G$10,H$10,$G487=$G$11,H$11,$G487=$G$12,H$12,$G487=$G$13,H$13,$G487=$G$15,H$15,$G487=$G$16,H$16,$G487=$G$17,H$17,$G487=$G$18,H$18,$G487=$G$19,H$19,$G487=$G$20,H$20,$G487=$G$21,H$21,$G487=$G$22,H$22,$G487=$G$25,H$25,$G487=$G$26,H$26,$G487=$G$27,H$27,$G487=$G$29,H$29,$G487=$G$31,H$31,$G487=$G$32,H$150,$G487=$G$248,H$248,$G487=$G$250,H$250)</f>
        <v>41.368589</v>
      </c>
      <c r="I487" s="78" cm="1">
        <f t="array" ref="I487">_xlfn.IFS($G487=$G$5,I$5,$G487=$G$6,I$6,$G487=$G$7,I$7,$G487=$G$8,I$8,$G487=$G$9,I$9,$G487=$G$10,I$10,$G487=$G$11,I$11,$G487=$G$12,I$12,$G487=$G$13,I$13,$G487=$G$15,I$15,$G487=$G$16,I$16,$G487=$G$17,I$17,$G487=$G$18,I$18,$G487=$G$19,I$19,$G487=$G$20,I$20,$G487=$G$21,I$21,$G487=$G$22,I$22,$G487=$G$25,I$25,$G487=$G$26,I$26,$G487=$G$27,I$27,$G487=$G$29,I$29,$G487=$G$31,I$31,$G487=$G$32,I$150,$G487=$G$248,I$248,$G487=$G$250,I$250)</f>
        <v>2.1620900000000001</v>
      </c>
      <c r="J487" cm="1">
        <f t="array" ref="J487">_xlfn.IFS($G487=$G$5,J$5,$G487=$G$6,J$6,$G487=$G$7,J$7,$G487=$G$8,J$8,$G487=$G$9,J$9,$G487=$G$10,J$10,$G487=$G$11,J$11,$G487=$G$12,J$12,$G487=$G$13,J$13,$G487=$G$15,J$15,$G487=$G$16,J$16,$G487=$G$17,J$17,$G487=$G$18,J$18,$G487=$G$19,J$19,$G487=$G$20,J$20,$G487=$G$21,J$21,$G487=$G$22,J$22,$G487=$G$25,J$25,$G487=$G$26,J$26,$G487=$G$27,J$27,$G487=$G$29,J$29,$G487=$G$31,J$31,$G487=$G$32,J$150,$G487=$G$248,J$248,$G487=$G$250,J$250)</f>
        <v>95</v>
      </c>
      <c r="K487" t="str" cm="1">
        <f t="array" ref="K487">_xlfn.IFS($G487=$G$5,K$5,$G487=$G$6,K$6,$G487=$G$7,K$7,$G487=$G$8,K$8,$G487=$G$9,K$9,$G487=$G$10,K$10,$G487=$G$11,K$11,$G487=$G$12,K$12,$G487=$G$13,K$13,$G487=$G$15,K$15,$G487=$G$16,K$16,$G487=$G$17,K$17,$G487=$G$18,K$18,$G487=$G$19,K$19,$G487=$G$20,K$20,$G487=$G$21,K$21,$G487=$G$22,K$22,$G487=$G$25,K$25,$G487=$G$26,K$26,$G487=$G$27,K$27,$G487=$G$29,K$29,$G487=$G$31,K$31,$G487=$G$32,K$150,$G487=$G$248,K$248,$G487=$G$250,K$250)</f>
        <v>BG sentinel + BG lure7</v>
      </c>
      <c r="L487" s="48"/>
      <c r="M487" s="48"/>
      <c r="O487" s="45" t="str">
        <f t="shared" si="37"/>
        <v>A_SP_BCN_8_210729</v>
      </c>
      <c r="P487" s="64">
        <v>44406</v>
      </c>
      <c r="R487" s="72"/>
      <c r="S487" s="64">
        <v>44413</v>
      </c>
      <c r="U487" s="72"/>
      <c r="V487" s="54" t="s">
        <v>66</v>
      </c>
      <c r="W487" t="s">
        <v>131</v>
      </c>
      <c r="X487" s="45">
        <f t="shared" si="38"/>
        <v>7</v>
      </c>
      <c r="Z487" s="69" t="s">
        <v>69</v>
      </c>
      <c r="AA487" s="45">
        <f t="shared" si="36"/>
        <v>21</v>
      </c>
      <c r="AB487" t="str">
        <f t="shared" si="39"/>
        <v>Adult</v>
      </c>
      <c r="AC487" s="69">
        <v>19</v>
      </c>
      <c r="AD487" s="69">
        <v>2</v>
      </c>
      <c r="AE487" s="45" t="str">
        <f t="shared" si="40"/>
        <v>Morphological</v>
      </c>
      <c r="AF487" s="56">
        <v>3</v>
      </c>
    </row>
    <row r="488" spans="1:32" ht="18" customHeight="1" x14ac:dyDescent="0.25">
      <c r="A488" s="45">
        <v>484</v>
      </c>
      <c r="B488" s="45" t="s">
        <v>60</v>
      </c>
      <c r="C488" s="45" t="s">
        <v>61</v>
      </c>
      <c r="D488" s="45" t="s">
        <v>62</v>
      </c>
      <c r="E488" s="45" t="s">
        <v>62</v>
      </c>
      <c r="F488" s="46" cm="1">
        <f t="array" ref="F488">_xlfn.IFS($G488=$G$5,F$5,$G488=$G$6,F$6,$G488=$G$7,F$7,$G488=$G$8,F$8,$G488=$G$9,F$9,$G488=$G$10,F$10,$G488=$G$11,F$11,$G488=$G$12,F$12,$G488=$G$13,F$13,$G488=$G$15,F$15,$G488=$G$16,F$16,$G488=$G$17,F$17,$G488=$G$18,F$18,$G488=$G$19,F$19,$G488=$G$20,F$20,$G488=$G$21,F$21,$G488=$G$22,F$22,$G488=$G$25,F$25,$G488=$G$26,F$26,$G488=$G$27,F$27,$G488=$G$29,F$29,$G488=$G$31,F$31,$G488=$G$32,F$32,$G488=$G$248,F$248,$G488=$G$250,F$250)</f>
        <v>8038</v>
      </c>
      <c r="G488" t="s">
        <v>75</v>
      </c>
      <c r="H488" s="66" cm="1">
        <f t="array" ref="H488">_xlfn.IFS($G488=$G$5,H$5,$G488=$G$6,H$6,$G488=$G$7,H$7,$G488=$G$8,H$8,$G488=$G$9,H$9,$G488=$G$10,H$10,$G488=$G$11,H$11,$G488=$G$12,H$12,$G488=$G$13,H$13,$G488=$G$15,H$15,$G488=$G$16,H$16,$G488=$G$17,H$17,$G488=$G$18,H$18,$G488=$G$19,H$19,$G488=$G$20,H$20,$G488=$G$21,H$21,$G488=$G$22,H$22,$G488=$G$25,H$25,$G488=$G$26,H$26,$G488=$G$27,H$27,$G488=$G$29,H$29,$G488=$G$31,H$31,$G488=$G$32,H$150,$G488=$G$248,H$248,$G488=$G$250,H$250)</f>
        <v>41.368589</v>
      </c>
      <c r="I488" s="78" cm="1">
        <f t="array" ref="I488">_xlfn.IFS($G488=$G$5,I$5,$G488=$G$6,I$6,$G488=$G$7,I$7,$G488=$G$8,I$8,$G488=$G$9,I$9,$G488=$G$10,I$10,$G488=$G$11,I$11,$G488=$G$12,I$12,$G488=$G$13,I$13,$G488=$G$15,I$15,$G488=$G$16,I$16,$G488=$G$17,I$17,$G488=$G$18,I$18,$G488=$G$19,I$19,$G488=$G$20,I$20,$G488=$G$21,I$21,$G488=$G$22,I$22,$G488=$G$25,I$25,$G488=$G$26,I$26,$G488=$G$27,I$27,$G488=$G$29,I$29,$G488=$G$31,I$31,$G488=$G$32,I$150,$G488=$G$248,I$248,$G488=$G$250,I$250)</f>
        <v>2.1620900000000001</v>
      </c>
      <c r="J488" cm="1">
        <f t="array" ref="J488">_xlfn.IFS($G488=$G$5,J$5,$G488=$G$6,J$6,$G488=$G$7,J$7,$G488=$G$8,J$8,$G488=$G$9,J$9,$G488=$G$10,J$10,$G488=$G$11,J$11,$G488=$G$12,J$12,$G488=$G$13,J$13,$G488=$G$15,J$15,$G488=$G$16,J$16,$G488=$G$17,J$17,$G488=$G$18,J$18,$G488=$G$19,J$19,$G488=$G$20,J$20,$G488=$G$21,J$21,$G488=$G$22,J$22,$G488=$G$25,J$25,$G488=$G$26,J$26,$G488=$G$27,J$27,$G488=$G$29,J$29,$G488=$G$31,J$31,$G488=$G$32,J$150,$G488=$G$248,J$248,$G488=$G$250,J$250)</f>
        <v>95</v>
      </c>
      <c r="K488" t="str" cm="1">
        <f t="array" ref="K488">_xlfn.IFS($G488=$G$5,K$5,$G488=$G$6,K$6,$G488=$G$7,K$7,$G488=$G$8,K$8,$G488=$G$9,K$9,$G488=$G$10,K$10,$G488=$G$11,K$11,$G488=$G$12,K$12,$G488=$G$13,K$13,$G488=$G$15,K$15,$G488=$G$16,K$16,$G488=$G$17,K$17,$G488=$G$18,K$18,$G488=$G$19,K$19,$G488=$G$20,K$20,$G488=$G$21,K$21,$G488=$G$22,K$22,$G488=$G$25,K$25,$G488=$G$26,K$26,$G488=$G$27,K$27,$G488=$G$29,K$29,$G488=$G$31,K$31,$G488=$G$32,K$150,$G488=$G$248,K$248,$G488=$G$250,K$250)</f>
        <v>BG sentinel + BG lure7</v>
      </c>
      <c r="L488" s="48"/>
      <c r="M488" s="48"/>
      <c r="O488" s="45" t="str">
        <f t="shared" si="37"/>
        <v>A_SP_BCN_8_210729</v>
      </c>
      <c r="P488" s="64">
        <v>44406</v>
      </c>
      <c r="R488" s="72"/>
      <c r="S488" s="64">
        <v>44413</v>
      </c>
      <c r="U488" s="72"/>
      <c r="V488" s="54" t="s">
        <v>66</v>
      </c>
      <c r="W488" t="s">
        <v>131</v>
      </c>
      <c r="X488" s="45">
        <f t="shared" si="38"/>
        <v>7</v>
      </c>
      <c r="Z488" s="45" t="s">
        <v>70</v>
      </c>
      <c r="AA488" s="45">
        <f t="shared" si="36"/>
        <v>8</v>
      </c>
      <c r="AB488" t="str">
        <f t="shared" si="39"/>
        <v>Adult</v>
      </c>
      <c r="AC488" s="69">
        <v>6</v>
      </c>
      <c r="AD488" s="69">
        <v>2</v>
      </c>
      <c r="AE488" s="45" t="str">
        <f t="shared" si="40"/>
        <v>Morphological</v>
      </c>
      <c r="AF488" s="56">
        <v>3</v>
      </c>
    </row>
    <row r="489" spans="1:32" ht="18" customHeight="1" x14ac:dyDescent="0.25">
      <c r="A489" s="45">
        <v>485</v>
      </c>
      <c r="B489" s="45" t="s">
        <v>60</v>
      </c>
      <c r="C489" s="45" t="s">
        <v>61</v>
      </c>
      <c r="D489" s="45" t="s">
        <v>62</v>
      </c>
      <c r="E489" s="45" t="s">
        <v>62</v>
      </c>
      <c r="F489" s="46" cm="1">
        <f t="array" ref="F489">_xlfn.IFS($G489=$G$5,F$5,$G489=$G$6,F$6,$G489=$G$7,F$7,$G489=$G$8,F$8,$G489=$G$9,F$9,$G489=$G$10,F$10,$G489=$G$11,F$11,$G489=$G$12,F$12,$G489=$G$13,F$13,$G489=$G$15,F$15,$G489=$G$16,F$16,$G489=$G$17,F$17,$G489=$G$18,F$18,$G489=$G$19,F$19,$G489=$G$20,F$20,$G489=$G$21,F$21,$G489=$G$22,F$22,$G489=$G$25,F$25,$G489=$G$26,F$26,$G489=$G$27,F$27,$G489=$G$29,F$29,$G489=$G$31,F$31,$G489=$G$32,F$32,$G489=$G$248,F$248,$G489=$G$250,F$250)</f>
        <v>8038</v>
      </c>
      <c r="G489" t="s">
        <v>75</v>
      </c>
      <c r="H489" s="66" cm="1">
        <f t="array" ref="H489">_xlfn.IFS($G489=$G$5,H$5,$G489=$G$6,H$6,$G489=$G$7,H$7,$G489=$G$8,H$8,$G489=$G$9,H$9,$G489=$G$10,H$10,$G489=$G$11,H$11,$G489=$G$12,H$12,$G489=$G$13,H$13,$G489=$G$15,H$15,$G489=$G$16,H$16,$G489=$G$17,H$17,$G489=$G$18,H$18,$G489=$G$19,H$19,$G489=$G$20,H$20,$G489=$G$21,H$21,$G489=$G$22,H$22,$G489=$G$25,H$25,$G489=$G$26,H$26,$G489=$G$27,H$27,$G489=$G$29,H$29,$G489=$G$31,H$31,$G489=$G$32,H$150,$G489=$G$248,H$248,$G489=$G$250,H$250)</f>
        <v>41.368589</v>
      </c>
      <c r="I489" s="78" cm="1">
        <f t="array" ref="I489">_xlfn.IFS($G489=$G$5,I$5,$G489=$G$6,I$6,$G489=$G$7,I$7,$G489=$G$8,I$8,$G489=$G$9,I$9,$G489=$G$10,I$10,$G489=$G$11,I$11,$G489=$G$12,I$12,$G489=$G$13,I$13,$G489=$G$15,I$15,$G489=$G$16,I$16,$G489=$G$17,I$17,$G489=$G$18,I$18,$G489=$G$19,I$19,$G489=$G$20,I$20,$G489=$G$21,I$21,$G489=$G$22,I$22,$G489=$G$25,I$25,$G489=$G$26,I$26,$G489=$G$27,I$27,$G489=$G$29,I$29,$G489=$G$31,I$31,$G489=$G$32,I$150,$G489=$G$248,I$248,$G489=$G$250,I$250)</f>
        <v>2.1620900000000001</v>
      </c>
      <c r="J489" cm="1">
        <f t="array" ref="J489">_xlfn.IFS($G489=$G$5,J$5,$G489=$G$6,J$6,$G489=$G$7,J$7,$G489=$G$8,J$8,$G489=$G$9,J$9,$G489=$G$10,J$10,$G489=$G$11,J$11,$G489=$G$12,J$12,$G489=$G$13,J$13,$G489=$G$15,J$15,$G489=$G$16,J$16,$G489=$G$17,J$17,$G489=$G$18,J$18,$G489=$G$19,J$19,$G489=$G$20,J$20,$G489=$G$21,J$21,$G489=$G$22,J$22,$G489=$G$25,J$25,$G489=$G$26,J$26,$G489=$G$27,J$27,$G489=$G$29,J$29,$G489=$G$31,J$31,$G489=$G$32,J$150,$G489=$G$248,J$248,$G489=$G$250,J$250)</f>
        <v>95</v>
      </c>
      <c r="K489" t="str" cm="1">
        <f t="array" ref="K489">_xlfn.IFS($G489=$G$5,K$5,$G489=$G$6,K$6,$G489=$G$7,K$7,$G489=$G$8,K$8,$G489=$G$9,K$9,$G489=$G$10,K$10,$G489=$G$11,K$11,$G489=$G$12,K$12,$G489=$G$13,K$13,$G489=$G$15,K$15,$G489=$G$16,K$16,$G489=$G$17,K$17,$G489=$G$18,K$18,$G489=$G$19,K$19,$G489=$G$20,K$20,$G489=$G$21,K$21,$G489=$G$22,K$22,$G489=$G$25,K$25,$G489=$G$26,K$26,$G489=$G$27,K$27,$G489=$G$29,K$29,$G489=$G$31,K$31,$G489=$G$32,K$150,$G489=$G$248,K$248,$G489=$G$250,K$250)</f>
        <v>BG sentinel + BG lure7</v>
      </c>
      <c r="L489" s="48"/>
      <c r="M489" s="48"/>
      <c r="O489" s="45" t="str">
        <f t="shared" si="37"/>
        <v>A_SP_BCN_8_210729</v>
      </c>
      <c r="P489" s="64">
        <v>44406</v>
      </c>
      <c r="R489" s="72"/>
      <c r="S489" s="64">
        <v>44413</v>
      </c>
      <c r="U489" s="72"/>
      <c r="V489" s="54" t="s">
        <v>66</v>
      </c>
      <c r="W489" t="s">
        <v>131</v>
      </c>
      <c r="X489" s="45">
        <f t="shared" si="38"/>
        <v>7</v>
      </c>
      <c r="Z489" s="45" t="s">
        <v>80</v>
      </c>
      <c r="AA489" s="45">
        <f t="shared" si="36"/>
        <v>5</v>
      </c>
      <c r="AB489" t="str">
        <f t="shared" si="39"/>
        <v>Adult</v>
      </c>
      <c r="AC489" s="69">
        <v>2</v>
      </c>
      <c r="AD489" s="69">
        <v>3</v>
      </c>
      <c r="AE489" s="45" t="str">
        <f t="shared" si="40"/>
        <v>Morphological</v>
      </c>
      <c r="AF489" s="56">
        <v>3</v>
      </c>
    </row>
    <row r="490" spans="1:32" ht="18" customHeight="1" x14ac:dyDescent="0.25">
      <c r="A490" s="45">
        <v>486</v>
      </c>
      <c r="B490" s="45" t="s">
        <v>60</v>
      </c>
      <c r="C490" s="45" t="s">
        <v>61</v>
      </c>
      <c r="D490" s="45" t="s">
        <v>62</v>
      </c>
      <c r="E490" s="45" t="s">
        <v>62</v>
      </c>
      <c r="F490" s="46" cm="1">
        <f t="array" ref="F490">_xlfn.IFS($G490=$G$5,F$5,$G490=$G$6,F$6,$G490=$G$7,F$7,$G490=$G$8,F$8,$G490=$G$9,F$9,$G490=$G$10,F$10,$G490=$G$11,F$11,$G490=$G$12,F$12,$G490=$G$13,F$13,$G490=$G$15,F$15,$G490=$G$16,F$16,$G490=$G$17,F$17,$G490=$G$18,F$18,$G490=$G$19,F$19,$G490=$G$20,F$20,$G490=$G$21,F$21,$G490=$G$22,F$22,$G490=$G$25,F$25,$G490=$G$26,F$26,$G490=$G$27,F$27,$G490=$G$29,F$29,$G490=$G$31,F$31,$G490=$G$32,F$32,$G490=$G$248,F$248,$G490=$G$250,F$250)</f>
        <v>8034</v>
      </c>
      <c r="G490" t="s">
        <v>78</v>
      </c>
      <c r="H490" s="66" cm="1">
        <f t="array" ref="H490">_xlfn.IFS($G490=$G$5,H$5,$G490=$G$6,H$6,$G490=$G$7,H$7,$G490=$G$8,H$8,$G490=$G$9,H$9,$G490=$G$10,H$10,$G490=$G$11,H$11,$G490=$G$12,H$12,$G490=$G$13,H$13,$G490=$G$15,H$15,$G490=$G$16,H$16,$G490=$G$17,H$17,$G490=$G$18,H$18,$G490=$G$19,H$19,$G490=$G$20,H$20,$G490=$G$21,H$21,$G490=$G$22,H$22,$G490=$G$25,H$25,$G490=$G$26,H$26,$G490=$G$27,H$27,$G490=$G$29,H$29,$G490=$G$31,H$31,$G490=$G$32,H$150,$G490=$G$248,H$248,$G490=$G$250,H$250)</f>
        <v>41.393644999999999</v>
      </c>
      <c r="I490" s="78" cm="1">
        <f t="array" ref="I490">_xlfn.IFS($G490=$G$5,I$5,$G490=$G$6,I$6,$G490=$G$7,I$7,$G490=$G$8,I$8,$G490=$G$9,I$9,$G490=$G$10,I$10,$G490=$G$11,I$11,$G490=$G$12,I$12,$G490=$G$13,I$13,$G490=$G$15,I$15,$G490=$G$16,I$16,$G490=$G$17,I$17,$G490=$G$18,I$18,$G490=$G$19,I$19,$G490=$G$20,I$20,$G490=$G$21,I$21,$G490=$G$22,I$22,$G490=$G$25,I$25,$G490=$G$26,I$26,$G490=$G$27,I$27,$G490=$G$29,I$29,$G490=$G$31,I$31,$G490=$G$32,I$150,$G490=$G$248,I$248,$G490=$G$250,I$250)</f>
        <v>2.1216780000000002</v>
      </c>
      <c r="J490" cm="1">
        <f t="array" ref="J490">_xlfn.IFS($G490=$G$5,J$5,$G490=$G$6,J$6,$G490=$G$7,J$7,$G490=$G$8,J$8,$G490=$G$9,J$9,$G490=$G$10,J$10,$G490=$G$11,J$11,$G490=$G$12,J$12,$G490=$G$13,J$13,$G490=$G$15,J$15,$G490=$G$16,J$16,$G490=$G$17,J$17,$G490=$G$18,J$18,$G490=$G$19,J$19,$G490=$G$20,J$20,$G490=$G$21,J$21,$G490=$G$22,J$22,$G490=$G$25,J$25,$G490=$G$26,J$26,$G490=$G$27,J$27,$G490=$G$29,J$29,$G490=$G$31,J$31,$G490=$G$32,J$150,$G490=$G$248,J$248,$G490=$G$250,J$250)</f>
        <v>98</v>
      </c>
      <c r="K490" t="str" cm="1">
        <f t="array" ref="K490">_xlfn.IFS($G490=$G$5,K$5,$G490=$G$6,K$6,$G490=$G$7,K$7,$G490=$G$8,K$8,$G490=$G$9,K$9,$G490=$G$10,K$10,$G490=$G$11,K$11,$G490=$G$12,K$12,$G490=$G$13,K$13,$G490=$G$15,K$15,$G490=$G$16,K$16,$G490=$G$17,K$17,$G490=$G$18,K$18,$G490=$G$19,K$19,$G490=$G$20,K$20,$G490=$G$21,K$21,$G490=$G$22,K$22,$G490=$G$25,K$25,$G490=$G$26,K$26,$G490=$G$27,K$27,$G490=$G$29,K$29,$G490=$G$31,K$31,$G490=$G$32,K$150,$G490=$G$248,K$248,$G490=$G$250,K$250)</f>
        <v>BG sentinel + BG lure7</v>
      </c>
      <c r="L490" s="48"/>
      <c r="M490" s="48"/>
      <c r="O490" s="45" t="str">
        <f t="shared" si="37"/>
        <v>A_SP_BCN_9_210728</v>
      </c>
      <c r="P490" s="64">
        <v>44405</v>
      </c>
      <c r="R490" s="72"/>
      <c r="S490" s="64">
        <v>44440</v>
      </c>
      <c r="U490" s="72"/>
      <c r="V490" s="54" t="s">
        <v>138</v>
      </c>
      <c r="X490" s="45">
        <f t="shared" si="38"/>
        <v>35</v>
      </c>
      <c r="Z490" s="45" t="s">
        <v>80</v>
      </c>
      <c r="AA490" s="45">
        <f t="shared" si="36"/>
        <v>1</v>
      </c>
      <c r="AB490" t="str">
        <f t="shared" si="39"/>
        <v>Adult</v>
      </c>
      <c r="AC490" s="69">
        <v>1</v>
      </c>
      <c r="AD490" s="69">
        <v>0</v>
      </c>
      <c r="AE490" s="45" t="str">
        <f t="shared" si="40"/>
        <v>Morphological</v>
      </c>
      <c r="AF490" s="56">
        <v>1</v>
      </c>
    </row>
    <row r="491" spans="1:32" ht="18" customHeight="1" x14ac:dyDescent="0.25">
      <c r="A491" s="45">
        <v>487</v>
      </c>
      <c r="B491" s="45" t="s">
        <v>60</v>
      </c>
      <c r="C491" s="45" t="s">
        <v>61</v>
      </c>
      <c r="D491" s="45" t="s">
        <v>62</v>
      </c>
      <c r="E491" s="45" t="s">
        <v>62</v>
      </c>
      <c r="F491" s="46" cm="1">
        <f t="array" ref="F491">_xlfn.IFS($G491=$G$5,F$5,$G491=$G$6,F$6,$G491=$G$7,F$7,$G491=$G$8,F$8,$G491=$G$9,F$9,$G491=$G$10,F$10,$G491=$G$11,F$11,$G491=$G$12,F$12,$G491=$G$13,F$13,$G491=$G$15,F$15,$G491=$G$16,F$16,$G491=$G$17,F$17,$G491=$G$18,F$18,$G491=$G$19,F$19,$G491=$G$20,F$20,$G491=$G$21,F$21,$G491=$G$22,F$22,$G491=$G$25,F$25,$G491=$G$26,F$26,$G491=$G$27,F$27,$G491=$G$29,F$29,$G491=$G$31,F$31,$G491=$G$32,F$32,$G491=$G$248,F$248,$G491=$G$250,F$250)</f>
        <v>8040</v>
      </c>
      <c r="G491" t="s">
        <v>81</v>
      </c>
      <c r="H491" s="66" cm="1">
        <f t="array" ref="H491">_xlfn.IFS($G491=$G$5,H$5,$G491=$G$6,H$6,$G491=$G$7,H$7,$G491=$G$8,H$8,$G491=$G$9,H$9,$G491=$G$10,H$10,$G491=$G$11,H$11,$G491=$G$12,H$12,$G491=$G$13,H$13,$G491=$G$15,H$15,$G491=$G$16,H$16,$G491=$G$17,H$17,$G491=$G$18,H$18,$G491=$G$19,H$19,$G491=$G$20,H$20,$G491=$G$21,H$21,$G491=$G$22,H$22,$G491=$G$25,H$25,$G491=$G$26,H$26,$G491=$G$27,H$27,$G491=$G$29,H$29,$G491=$G$31,H$31,$G491=$G$32,H$150,$G491=$G$248,H$248,$G491=$G$250,H$250)</f>
        <v>41.343685000000001</v>
      </c>
      <c r="I491" s="78" cm="1">
        <f t="array" ref="I491">_xlfn.IFS($G491=$G$5,I$5,$G491=$G$6,I$6,$G491=$G$7,I$7,$G491=$G$8,I$8,$G491=$G$9,I$9,$G491=$G$10,I$10,$G491=$G$11,I$11,$G491=$G$12,I$12,$G491=$G$13,I$13,$G491=$G$15,I$15,$G491=$G$16,I$16,$G491=$G$17,I$17,$G491=$G$18,I$18,$G491=$G$19,I$19,$G491=$G$20,I$20,$G491=$G$21,I$21,$G491=$G$22,I$22,$G491=$G$25,I$25,$G491=$G$26,I$26,$G491=$G$27,I$27,$G491=$G$29,I$29,$G491=$G$31,I$31,$G491=$G$32,I$150,$G491=$G$248,I$248,$G491=$G$250,I$250)</f>
        <v>2.1441490000000001</v>
      </c>
      <c r="J491" cm="1">
        <f t="array" ref="J491">_xlfn.IFS($G491=$G$5,J$5,$G491=$G$6,J$6,$G491=$G$7,J$7,$G491=$G$8,J$8,$G491=$G$9,J$9,$G491=$G$10,J$10,$G491=$G$11,J$11,$G491=$G$12,J$12,$G491=$G$13,J$13,$G491=$G$15,J$15,$G491=$G$16,J$16,$G491=$G$17,J$17,$G491=$G$18,J$18,$G491=$G$19,J$19,$G491=$G$20,J$20,$G491=$G$21,J$21,$G491=$G$22,J$22,$G491=$G$25,J$25,$G491=$G$26,J$26,$G491=$G$27,J$27,$G491=$G$29,J$29,$G491=$G$31,J$31,$G491=$G$32,J$150,$G491=$G$248,J$248,$G491=$G$250,J$250)</f>
        <v>4</v>
      </c>
      <c r="K491" t="str" cm="1">
        <f t="array" ref="K491">_xlfn.IFS($G491=$G$5,K$5,$G491=$G$6,K$6,$G491=$G$7,K$7,$G491=$G$8,K$8,$G491=$G$9,K$9,$G491=$G$10,K$10,$G491=$G$11,K$11,$G491=$G$12,K$12,$G491=$G$13,K$13,$G491=$G$15,K$15,$G491=$G$16,K$16,$G491=$G$17,K$17,$G491=$G$18,K$18,$G491=$G$19,K$19,$G491=$G$20,K$20,$G491=$G$21,K$21,$G491=$G$22,K$22,$G491=$G$25,K$25,$G491=$G$26,K$26,$G491=$G$27,K$27,$G491=$G$29,K$29,$G491=$G$31,K$31,$G491=$G$32,K$150,$G491=$G$248,K$248,$G491=$G$250,K$250)</f>
        <v>BG sentinel + BG lure7</v>
      </c>
      <c r="L491" s="48"/>
      <c r="M491" s="48"/>
      <c r="O491" s="45" t="str">
        <f t="shared" si="37"/>
        <v>A_SP_BCN_10_210729</v>
      </c>
      <c r="P491" s="64">
        <v>44406</v>
      </c>
      <c r="R491" s="72"/>
      <c r="S491" s="64">
        <v>44413</v>
      </c>
      <c r="U491" s="72"/>
      <c r="V491" s="54" t="s">
        <v>66</v>
      </c>
      <c r="X491" s="45">
        <f t="shared" si="38"/>
        <v>7</v>
      </c>
      <c r="Z491" s="69" t="s">
        <v>69</v>
      </c>
      <c r="AA491" s="45">
        <f t="shared" si="36"/>
        <v>11</v>
      </c>
      <c r="AB491" t="str">
        <f t="shared" si="39"/>
        <v>Adult</v>
      </c>
      <c r="AC491" s="69">
        <v>9</v>
      </c>
      <c r="AD491" s="69">
        <v>2</v>
      </c>
      <c r="AE491" s="45" t="str">
        <f t="shared" si="40"/>
        <v>Morphological</v>
      </c>
      <c r="AF491" s="56">
        <v>4</v>
      </c>
    </row>
    <row r="492" spans="1:32" ht="18" customHeight="1" x14ac:dyDescent="0.25">
      <c r="A492" s="45">
        <v>488</v>
      </c>
      <c r="B492" s="45" t="s">
        <v>60</v>
      </c>
      <c r="C492" s="45" t="s">
        <v>61</v>
      </c>
      <c r="D492" s="45" t="s">
        <v>62</v>
      </c>
      <c r="E492" s="45" t="s">
        <v>62</v>
      </c>
      <c r="F492" s="46" cm="1">
        <f t="array" ref="F492">_xlfn.IFS($G492=$G$5,F$5,$G492=$G$6,F$6,$G492=$G$7,F$7,$G492=$G$8,F$8,$G492=$G$9,F$9,$G492=$G$10,F$10,$G492=$G$11,F$11,$G492=$G$12,F$12,$G492=$G$13,F$13,$G492=$G$15,F$15,$G492=$G$16,F$16,$G492=$G$17,F$17,$G492=$G$18,F$18,$G492=$G$19,F$19,$G492=$G$20,F$20,$G492=$G$21,F$21,$G492=$G$22,F$22,$G492=$G$25,F$25,$G492=$G$26,F$26,$G492=$G$27,F$27,$G492=$G$29,F$29,$G492=$G$31,F$31,$G492=$G$32,F$32,$G492=$G$248,F$248,$G492=$G$250,F$250)</f>
        <v>8040</v>
      </c>
      <c r="G492" t="s">
        <v>81</v>
      </c>
      <c r="H492" s="66" cm="1">
        <f t="array" ref="H492">_xlfn.IFS($G492=$G$5,H$5,$G492=$G$6,H$6,$G492=$G$7,H$7,$G492=$G$8,H$8,$G492=$G$9,H$9,$G492=$G$10,H$10,$G492=$G$11,H$11,$G492=$G$12,H$12,$G492=$G$13,H$13,$G492=$G$15,H$15,$G492=$G$16,H$16,$G492=$G$17,H$17,$G492=$G$18,H$18,$G492=$G$19,H$19,$G492=$G$20,H$20,$G492=$G$21,H$21,$G492=$G$22,H$22,$G492=$G$25,H$25,$G492=$G$26,H$26,$G492=$G$27,H$27,$G492=$G$29,H$29,$G492=$G$31,H$31,$G492=$G$32,H$150,$G492=$G$248,H$248,$G492=$G$250,H$250)</f>
        <v>41.343685000000001</v>
      </c>
      <c r="I492" s="78" cm="1">
        <f t="array" ref="I492">_xlfn.IFS($G492=$G$5,I$5,$G492=$G$6,I$6,$G492=$G$7,I$7,$G492=$G$8,I$8,$G492=$G$9,I$9,$G492=$G$10,I$10,$G492=$G$11,I$11,$G492=$G$12,I$12,$G492=$G$13,I$13,$G492=$G$15,I$15,$G492=$G$16,I$16,$G492=$G$17,I$17,$G492=$G$18,I$18,$G492=$G$19,I$19,$G492=$G$20,I$20,$G492=$G$21,I$21,$G492=$G$22,I$22,$G492=$G$25,I$25,$G492=$G$26,I$26,$G492=$G$27,I$27,$G492=$G$29,I$29,$G492=$G$31,I$31,$G492=$G$32,I$150,$G492=$G$248,I$248,$G492=$G$250,I$250)</f>
        <v>2.1441490000000001</v>
      </c>
      <c r="J492" cm="1">
        <f t="array" ref="J492">_xlfn.IFS($G492=$G$5,J$5,$G492=$G$6,J$6,$G492=$G$7,J$7,$G492=$G$8,J$8,$G492=$G$9,J$9,$G492=$G$10,J$10,$G492=$G$11,J$11,$G492=$G$12,J$12,$G492=$G$13,J$13,$G492=$G$15,J$15,$G492=$G$16,J$16,$G492=$G$17,J$17,$G492=$G$18,J$18,$G492=$G$19,J$19,$G492=$G$20,J$20,$G492=$G$21,J$21,$G492=$G$22,J$22,$G492=$G$25,J$25,$G492=$G$26,J$26,$G492=$G$27,J$27,$G492=$G$29,J$29,$G492=$G$31,J$31,$G492=$G$32,J$150,$G492=$G$248,J$248,$G492=$G$250,J$250)</f>
        <v>4</v>
      </c>
      <c r="K492" t="str" cm="1">
        <f t="array" ref="K492">_xlfn.IFS($G492=$G$5,K$5,$G492=$G$6,K$6,$G492=$G$7,K$7,$G492=$G$8,K$8,$G492=$G$9,K$9,$G492=$G$10,K$10,$G492=$G$11,K$11,$G492=$G$12,K$12,$G492=$G$13,K$13,$G492=$G$15,K$15,$G492=$G$16,K$16,$G492=$G$17,K$17,$G492=$G$18,K$18,$G492=$G$19,K$19,$G492=$G$20,K$20,$G492=$G$21,K$21,$G492=$G$22,K$22,$G492=$G$25,K$25,$G492=$G$26,K$26,$G492=$G$27,K$27,$G492=$G$29,K$29,$G492=$G$31,K$31,$G492=$G$32,K$150,$G492=$G$248,K$248,$G492=$G$250,K$250)</f>
        <v>BG sentinel + BG lure7</v>
      </c>
      <c r="L492" s="48"/>
      <c r="M492" s="48"/>
      <c r="O492" s="45" t="str">
        <f t="shared" si="37"/>
        <v>A_SP_BCN_10_210729</v>
      </c>
      <c r="P492" s="64">
        <v>44406</v>
      </c>
      <c r="R492" s="72"/>
      <c r="S492" s="64">
        <v>44413</v>
      </c>
      <c r="U492" s="72"/>
      <c r="V492" s="54" t="s">
        <v>66</v>
      </c>
      <c r="X492" s="45">
        <f t="shared" si="38"/>
        <v>7</v>
      </c>
      <c r="Z492" s="45" t="s">
        <v>70</v>
      </c>
      <c r="AA492" s="45">
        <f t="shared" si="36"/>
        <v>7</v>
      </c>
      <c r="AB492" t="str">
        <f t="shared" si="39"/>
        <v>Adult</v>
      </c>
      <c r="AC492" s="69">
        <v>7</v>
      </c>
      <c r="AD492" s="69">
        <v>0</v>
      </c>
      <c r="AE492" s="45" t="str">
        <f t="shared" si="40"/>
        <v>Morphological</v>
      </c>
      <c r="AF492" s="56">
        <v>4</v>
      </c>
    </row>
    <row r="493" spans="1:32" ht="18" customHeight="1" x14ac:dyDescent="0.25">
      <c r="A493" s="45">
        <v>489</v>
      </c>
      <c r="B493" s="45" t="s">
        <v>60</v>
      </c>
      <c r="C493" s="45" t="s">
        <v>61</v>
      </c>
      <c r="D493" s="45" t="s">
        <v>62</v>
      </c>
      <c r="E493" s="45" t="s">
        <v>62</v>
      </c>
      <c r="F493" s="46" cm="1">
        <f t="array" ref="F493">_xlfn.IFS($G493=$G$5,F$5,$G493=$G$6,F$6,$G493=$G$7,F$7,$G493=$G$8,F$8,$G493=$G$9,F$9,$G493=$G$10,F$10,$G493=$G$11,F$11,$G493=$G$12,F$12,$G493=$G$13,F$13,$G493=$G$15,F$15,$G493=$G$16,F$16,$G493=$G$17,F$17,$G493=$G$18,F$18,$G493=$G$19,F$19,$G493=$G$20,F$20,$G493=$G$21,F$21,$G493=$G$22,F$22,$G493=$G$25,F$25,$G493=$G$26,F$26,$G493=$G$27,F$27,$G493=$G$29,F$29,$G493=$G$31,F$31,$G493=$G$32,F$32,$G493=$G$248,F$248,$G493=$G$250,F$250)</f>
        <v>8038</v>
      </c>
      <c r="G493" t="s">
        <v>82</v>
      </c>
      <c r="H493" s="66" cm="1">
        <f t="array" ref="H493">_xlfn.IFS($G493=$G$5,H$5,$G493=$G$6,H$6,$G493=$G$7,H$7,$G493=$G$8,H$8,$G493=$G$9,H$9,$G493=$G$10,H$10,$G493=$G$11,H$11,$G493=$G$12,H$12,$G493=$G$13,H$13,$G493=$G$15,H$15,$G493=$G$16,H$16,$G493=$G$17,H$17,$G493=$G$18,H$18,$G493=$G$19,H$19,$G493=$G$20,H$20,$G493=$G$21,H$21,$G493=$G$22,H$22,$G493=$G$25,H$25,$G493=$G$26,H$26,$G493=$G$27,H$27,$G493=$G$29,H$29,$G493=$G$31,H$31,$G493=$G$32,H$150,$G493=$G$248,H$248,$G493=$G$250,H$250)</f>
        <v>41.367429999999999</v>
      </c>
      <c r="I493" s="78" cm="1">
        <f t="array" ref="I493">_xlfn.IFS($G493=$G$5,I$5,$G493=$G$6,I$6,$G493=$G$7,I$7,$G493=$G$8,I$8,$G493=$G$9,I$9,$G493=$G$10,I$10,$G493=$G$11,I$11,$G493=$G$12,I$12,$G493=$G$13,I$13,$G493=$G$15,I$15,$G493=$G$16,I$16,$G493=$G$17,I$17,$G493=$G$18,I$18,$G493=$G$19,I$19,$G493=$G$20,I$20,$G493=$G$21,I$21,$G493=$G$22,I$22,$G493=$G$25,I$25,$G493=$G$26,I$26,$G493=$G$27,I$27,$G493=$G$29,I$29,$G493=$G$31,I$31,$G493=$G$32,I$150,$G493=$G$248,I$248,$G493=$G$250,I$250)</f>
        <v>2.1569609999999999</v>
      </c>
      <c r="J493" cm="1">
        <f t="array" ref="J493">_xlfn.IFS($G493=$G$5,J$5,$G493=$G$6,J$6,$G493=$G$7,J$7,$G493=$G$8,J$8,$G493=$G$9,J$9,$G493=$G$10,J$10,$G493=$G$11,J$11,$G493=$G$12,J$12,$G493=$G$13,J$13,$G493=$G$15,J$15,$G493=$G$16,J$16,$G493=$G$17,J$17,$G493=$G$18,J$18,$G493=$G$19,J$19,$G493=$G$20,J$20,$G493=$G$21,J$21,$G493=$G$22,J$22,$G493=$G$25,J$25,$G493=$G$26,J$26,$G493=$G$27,J$27,$G493=$G$29,J$29,$G493=$G$31,J$31,$G493=$G$32,J$150,$G493=$G$248,J$248,$G493=$G$250,J$250)</f>
        <v>91</v>
      </c>
      <c r="K493" t="str" cm="1">
        <f t="array" ref="K493">_xlfn.IFS($G493=$G$5,K$5,$G493=$G$6,K$6,$G493=$G$7,K$7,$G493=$G$8,K$8,$G493=$G$9,K$9,$G493=$G$10,K$10,$G493=$G$11,K$11,$G493=$G$12,K$12,$G493=$G$13,K$13,$G493=$G$15,K$15,$G493=$G$16,K$16,$G493=$G$17,K$17,$G493=$G$18,K$18,$G493=$G$19,K$19,$G493=$G$20,K$20,$G493=$G$21,K$21,$G493=$G$22,K$22,$G493=$G$25,K$25,$G493=$G$26,K$26,$G493=$G$27,K$27,$G493=$G$29,K$29,$G493=$G$31,K$31,$G493=$G$32,K$150,$G493=$G$248,K$248,$G493=$G$250,K$250)</f>
        <v>BG sentinel + BG lure7</v>
      </c>
      <c r="L493" s="48"/>
      <c r="M493" s="48"/>
      <c r="O493" s="45" t="str">
        <f t="shared" si="37"/>
        <v>A_SP_BCN_11_210729</v>
      </c>
      <c r="P493" s="64">
        <v>44406</v>
      </c>
      <c r="R493" s="72"/>
      <c r="S493" s="64">
        <v>44413</v>
      </c>
      <c r="U493" s="72"/>
      <c r="V493" s="54" t="s">
        <v>66</v>
      </c>
      <c r="W493" t="s">
        <v>135</v>
      </c>
      <c r="X493" s="45">
        <f t="shared" si="38"/>
        <v>7</v>
      </c>
      <c r="Z493" s="69" t="s">
        <v>69</v>
      </c>
      <c r="AA493" s="45">
        <f t="shared" si="36"/>
        <v>13</v>
      </c>
      <c r="AB493" t="str">
        <f t="shared" si="39"/>
        <v>Adult</v>
      </c>
      <c r="AC493" s="69">
        <v>9</v>
      </c>
      <c r="AD493" s="69">
        <v>4</v>
      </c>
      <c r="AE493" s="45" t="str">
        <f t="shared" si="40"/>
        <v>Morphological</v>
      </c>
      <c r="AF493" s="56">
        <v>3</v>
      </c>
    </row>
    <row r="494" spans="1:32" ht="18" customHeight="1" x14ac:dyDescent="0.25">
      <c r="A494" s="45">
        <v>490</v>
      </c>
      <c r="B494" s="45" t="s">
        <v>60</v>
      </c>
      <c r="C494" s="45" t="s">
        <v>61</v>
      </c>
      <c r="D494" s="45" t="s">
        <v>62</v>
      </c>
      <c r="E494" s="45" t="s">
        <v>62</v>
      </c>
      <c r="F494" s="46" cm="1">
        <f t="array" ref="F494">_xlfn.IFS($G494=$G$5,F$5,$G494=$G$6,F$6,$G494=$G$7,F$7,$G494=$G$8,F$8,$G494=$G$9,F$9,$G494=$G$10,F$10,$G494=$G$11,F$11,$G494=$G$12,F$12,$G494=$G$13,F$13,$G494=$G$15,F$15,$G494=$G$16,F$16,$G494=$G$17,F$17,$G494=$G$18,F$18,$G494=$G$19,F$19,$G494=$G$20,F$20,$G494=$G$21,F$21,$G494=$G$22,F$22,$G494=$G$25,F$25,$G494=$G$26,F$26,$G494=$G$27,F$27,$G494=$G$29,F$29,$G494=$G$31,F$31,$G494=$G$32,F$32,$G494=$G$248,F$248,$G494=$G$250,F$250)</f>
        <v>8038</v>
      </c>
      <c r="G494" t="s">
        <v>82</v>
      </c>
      <c r="H494" s="66" cm="1">
        <f t="array" ref="H494">_xlfn.IFS($G494=$G$5,H$5,$G494=$G$6,H$6,$G494=$G$7,H$7,$G494=$G$8,H$8,$G494=$G$9,H$9,$G494=$G$10,H$10,$G494=$G$11,H$11,$G494=$G$12,H$12,$G494=$G$13,H$13,$G494=$G$15,H$15,$G494=$G$16,H$16,$G494=$G$17,H$17,$G494=$G$18,H$18,$G494=$G$19,H$19,$G494=$G$20,H$20,$G494=$G$21,H$21,$G494=$G$22,H$22,$G494=$G$25,H$25,$G494=$G$26,H$26,$G494=$G$27,H$27,$G494=$G$29,H$29,$G494=$G$31,H$31,$G494=$G$32,H$150,$G494=$G$248,H$248,$G494=$G$250,H$250)</f>
        <v>41.367429999999999</v>
      </c>
      <c r="I494" s="78" cm="1">
        <f t="array" ref="I494">_xlfn.IFS($G494=$G$5,I$5,$G494=$G$6,I$6,$G494=$G$7,I$7,$G494=$G$8,I$8,$G494=$G$9,I$9,$G494=$G$10,I$10,$G494=$G$11,I$11,$G494=$G$12,I$12,$G494=$G$13,I$13,$G494=$G$15,I$15,$G494=$G$16,I$16,$G494=$G$17,I$17,$G494=$G$18,I$18,$G494=$G$19,I$19,$G494=$G$20,I$20,$G494=$G$21,I$21,$G494=$G$22,I$22,$G494=$G$25,I$25,$G494=$G$26,I$26,$G494=$G$27,I$27,$G494=$G$29,I$29,$G494=$G$31,I$31,$G494=$G$32,I$150,$G494=$G$248,I$248,$G494=$G$250,I$250)</f>
        <v>2.1569609999999999</v>
      </c>
      <c r="J494" cm="1">
        <f t="array" ref="J494">_xlfn.IFS($G494=$G$5,J$5,$G494=$G$6,J$6,$G494=$G$7,J$7,$G494=$G$8,J$8,$G494=$G$9,J$9,$G494=$G$10,J$10,$G494=$G$11,J$11,$G494=$G$12,J$12,$G494=$G$13,J$13,$G494=$G$15,J$15,$G494=$G$16,J$16,$G494=$G$17,J$17,$G494=$G$18,J$18,$G494=$G$19,J$19,$G494=$G$20,J$20,$G494=$G$21,J$21,$G494=$G$22,J$22,$G494=$G$25,J$25,$G494=$G$26,J$26,$G494=$G$27,J$27,$G494=$G$29,J$29,$G494=$G$31,J$31,$G494=$G$32,J$150,$G494=$G$248,J$248,$G494=$G$250,J$250)</f>
        <v>91</v>
      </c>
      <c r="K494" t="str" cm="1">
        <f t="array" ref="K494">_xlfn.IFS($G494=$G$5,K$5,$G494=$G$6,K$6,$G494=$G$7,K$7,$G494=$G$8,K$8,$G494=$G$9,K$9,$G494=$G$10,K$10,$G494=$G$11,K$11,$G494=$G$12,K$12,$G494=$G$13,K$13,$G494=$G$15,K$15,$G494=$G$16,K$16,$G494=$G$17,K$17,$G494=$G$18,K$18,$G494=$G$19,K$19,$G494=$G$20,K$20,$G494=$G$21,K$21,$G494=$G$22,K$22,$G494=$G$25,K$25,$G494=$G$26,K$26,$G494=$G$27,K$27,$G494=$G$29,K$29,$G494=$G$31,K$31,$G494=$G$32,K$150,$G494=$G$248,K$248,$G494=$G$250,K$250)</f>
        <v>BG sentinel + BG lure7</v>
      </c>
      <c r="L494" s="48"/>
      <c r="M494" s="48"/>
      <c r="O494" s="45" t="str">
        <f t="shared" si="37"/>
        <v>A_SP_BCN_11_210729</v>
      </c>
      <c r="P494" s="64">
        <v>44406</v>
      </c>
      <c r="R494" s="72"/>
      <c r="S494" s="64">
        <v>44413</v>
      </c>
      <c r="U494" s="72"/>
      <c r="V494" s="54" t="s">
        <v>66</v>
      </c>
      <c r="W494" t="s">
        <v>135</v>
      </c>
      <c r="X494" s="45">
        <f t="shared" si="38"/>
        <v>7</v>
      </c>
      <c r="Z494" s="45" t="s">
        <v>70</v>
      </c>
      <c r="AA494" s="45">
        <f t="shared" si="36"/>
        <v>1</v>
      </c>
      <c r="AB494" t="str">
        <f t="shared" si="39"/>
        <v>Adult</v>
      </c>
      <c r="AC494" s="69">
        <v>1</v>
      </c>
      <c r="AD494" s="69">
        <v>0</v>
      </c>
      <c r="AE494" s="45" t="str">
        <f t="shared" si="40"/>
        <v>Morphological</v>
      </c>
      <c r="AF494" s="56">
        <v>3</v>
      </c>
    </row>
    <row r="495" spans="1:32" ht="18" customHeight="1" x14ac:dyDescent="0.25">
      <c r="A495" s="45">
        <v>491</v>
      </c>
      <c r="B495" s="45" t="s">
        <v>60</v>
      </c>
      <c r="C495" s="45" t="s">
        <v>61</v>
      </c>
      <c r="D495" s="45" t="s">
        <v>62</v>
      </c>
      <c r="E495" s="45" t="s">
        <v>62</v>
      </c>
      <c r="F495" s="46" cm="1">
        <f t="array" ref="F495">_xlfn.IFS($G495=$G$5,F$5,$G495=$G$6,F$6,$G495=$G$7,F$7,$G495=$G$8,F$8,$G495=$G$9,F$9,$G495=$G$10,F$10,$G495=$G$11,F$11,$G495=$G$12,F$12,$G495=$G$13,F$13,$G495=$G$15,F$15,$G495=$G$16,F$16,$G495=$G$17,F$17,$G495=$G$18,F$18,$G495=$G$19,F$19,$G495=$G$20,F$20,$G495=$G$21,F$21,$G495=$G$22,F$22,$G495=$G$25,F$25,$G495=$G$26,F$26,$G495=$G$27,F$27,$G495=$G$29,F$29,$G495=$G$31,F$31,$G495=$G$32,F$32,$G495=$G$248,F$248,$G495=$G$250,F$250)</f>
        <v>8038</v>
      </c>
      <c r="G495" t="s">
        <v>82</v>
      </c>
      <c r="H495" s="66" cm="1">
        <f t="array" ref="H495">_xlfn.IFS($G495=$G$5,H$5,$G495=$G$6,H$6,$G495=$G$7,H$7,$G495=$G$8,H$8,$G495=$G$9,H$9,$G495=$G$10,H$10,$G495=$G$11,H$11,$G495=$G$12,H$12,$G495=$G$13,H$13,$G495=$G$15,H$15,$G495=$G$16,H$16,$G495=$G$17,H$17,$G495=$G$18,H$18,$G495=$G$19,H$19,$G495=$G$20,H$20,$G495=$G$21,H$21,$G495=$G$22,H$22,$G495=$G$25,H$25,$G495=$G$26,H$26,$G495=$G$27,H$27,$G495=$G$29,H$29,$G495=$G$31,H$31,$G495=$G$32,H$150,$G495=$G$248,H$248,$G495=$G$250,H$250)</f>
        <v>41.367429999999999</v>
      </c>
      <c r="I495" s="78" cm="1">
        <f t="array" ref="I495">_xlfn.IFS($G495=$G$5,I$5,$G495=$G$6,I$6,$G495=$G$7,I$7,$G495=$G$8,I$8,$G495=$G$9,I$9,$G495=$G$10,I$10,$G495=$G$11,I$11,$G495=$G$12,I$12,$G495=$G$13,I$13,$G495=$G$15,I$15,$G495=$G$16,I$16,$G495=$G$17,I$17,$G495=$G$18,I$18,$G495=$G$19,I$19,$G495=$G$20,I$20,$G495=$G$21,I$21,$G495=$G$22,I$22,$G495=$G$25,I$25,$G495=$G$26,I$26,$G495=$G$27,I$27,$G495=$G$29,I$29,$G495=$G$31,I$31,$G495=$G$32,I$150,$G495=$G$248,I$248,$G495=$G$250,I$250)</f>
        <v>2.1569609999999999</v>
      </c>
      <c r="J495" cm="1">
        <f t="array" ref="J495">_xlfn.IFS($G495=$G$5,J$5,$G495=$G$6,J$6,$G495=$G$7,J$7,$G495=$G$8,J$8,$G495=$G$9,J$9,$G495=$G$10,J$10,$G495=$G$11,J$11,$G495=$G$12,J$12,$G495=$G$13,J$13,$G495=$G$15,J$15,$G495=$G$16,J$16,$G495=$G$17,J$17,$G495=$G$18,J$18,$G495=$G$19,J$19,$G495=$G$20,J$20,$G495=$G$21,J$21,$G495=$G$22,J$22,$G495=$G$25,J$25,$G495=$G$26,J$26,$G495=$G$27,J$27,$G495=$G$29,J$29,$G495=$G$31,J$31,$G495=$G$32,J$150,$G495=$G$248,J$248,$G495=$G$250,J$250)</f>
        <v>91</v>
      </c>
      <c r="K495" t="str" cm="1">
        <f t="array" ref="K495">_xlfn.IFS($G495=$G$5,K$5,$G495=$G$6,K$6,$G495=$G$7,K$7,$G495=$G$8,K$8,$G495=$G$9,K$9,$G495=$G$10,K$10,$G495=$G$11,K$11,$G495=$G$12,K$12,$G495=$G$13,K$13,$G495=$G$15,K$15,$G495=$G$16,K$16,$G495=$G$17,K$17,$G495=$G$18,K$18,$G495=$G$19,K$19,$G495=$G$20,K$20,$G495=$G$21,K$21,$G495=$G$22,K$22,$G495=$G$25,K$25,$G495=$G$26,K$26,$G495=$G$27,K$27,$G495=$G$29,K$29,$G495=$G$31,K$31,$G495=$G$32,K$150,$G495=$G$248,K$248,$G495=$G$250,K$250)</f>
        <v>BG sentinel + BG lure7</v>
      </c>
      <c r="L495" s="48"/>
      <c r="M495" s="48"/>
      <c r="O495" s="45" t="str">
        <f t="shared" si="37"/>
        <v>A_SP_BCN_11_210729</v>
      </c>
      <c r="P495" s="64">
        <v>44406</v>
      </c>
      <c r="R495" s="72"/>
      <c r="S495" s="64">
        <v>44413</v>
      </c>
      <c r="U495" s="72"/>
      <c r="V495" s="54" t="s">
        <v>66</v>
      </c>
      <c r="W495" t="s">
        <v>135</v>
      </c>
      <c r="X495" s="45">
        <f t="shared" si="38"/>
        <v>7</v>
      </c>
      <c r="Z495" s="45" t="s">
        <v>80</v>
      </c>
      <c r="AA495" s="45">
        <f t="shared" si="36"/>
        <v>1</v>
      </c>
      <c r="AB495" t="str">
        <f t="shared" si="39"/>
        <v>Adult</v>
      </c>
      <c r="AC495" s="69">
        <v>1</v>
      </c>
      <c r="AD495" s="69">
        <v>0</v>
      </c>
      <c r="AE495" s="45" t="str">
        <f t="shared" si="40"/>
        <v>Morphological</v>
      </c>
      <c r="AF495" s="56">
        <v>3</v>
      </c>
    </row>
    <row r="496" spans="1:32" ht="18" customHeight="1" x14ac:dyDescent="0.25">
      <c r="A496" s="45">
        <v>492</v>
      </c>
      <c r="B496" s="45" t="s">
        <v>60</v>
      </c>
      <c r="C496" s="45" t="s">
        <v>61</v>
      </c>
      <c r="D496" s="45" t="s">
        <v>62</v>
      </c>
      <c r="E496" s="45" t="s">
        <v>62</v>
      </c>
      <c r="F496" s="46" cm="1">
        <f t="array" ref="F496">_xlfn.IFS($G496=$G$5,F$5,$G496=$G$6,F$6,$G496=$G$7,F$7,$G496=$G$8,F$8,$G496=$G$9,F$9,$G496=$G$10,F$10,$G496=$G$11,F$11,$G496=$G$12,F$12,$G496=$G$13,F$13,$G496=$G$15,F$15,$G496=$G$16,F$16,$G496=$G$17,F$17,$G496=$G$18,F$18,$G496=$G$19,F$19,$G496=$G$20,F$20,$G496=$G$21,F$21,$G496=$G$22,F$22,$G496=$G$25,F$25,$G496=$G$26,F$26,$G496=$G$27,F$27,$G496=$G$29,F$29,$G496=$G$31,F$31,$G496=$G$32,F$32,$G496=$G$248,F$248,$G496=$G$250,F$250)</f>
        <v>8038</v>
      </c>
      <c r="G496" t="s">
        <v>84</v>
      </c>
      <c r="H496" s="66" cm="1">
        <f t="array" ref="H496">_xlfn.IFS($G496=$G$5,H$5,$G496=$G$6,H$6,$G496=$G$7,H$7,$G496=$G$8,H$8,$G496=$G$9,H$9,$G496=$G$10,H$10,$G496=$G$11,H$11,$G496=$G$12,H$12,$G496=$G$13,H$13,$G496=$G$15,H$15,$G496=$G$16,H$16,$G496=$G$17,H$17,$G496=$G$18,H$18,$G496=$G$19,H$19,$G496=$G$20,H$20,$G496=$G$21,H$21,$G496=$G$22,H$22,$G496=$G$25,H$25,$G496=$G$26,H$26,$G496=$G$27,H$27,$G496=$G$29,H$29,$G496=$G$31,H$31,$G496=$G$32,H$150,$G496=$G$248,H$248,$G496=$G$250,H$250)</f>
        <v>41.363377999999997</v>
      </c>
      <c r="I496" s="78" cm="1">
        <f t="array" ref="I496">_xlfn.IFS($G496=$G$5,I$5,$G496=$G$6,I$6,$G496=$G$7,I$7,$G496=$G$8,I$8,$G496=$G$9,I$9,$G496=$G$10,I$10,$G496=$G$11,I$11,$G496=$G$12,I$12,$G496=$G$13,I$13,$G496=$G$15,I$15,$G496=$G$16,I$16,$G496=$G$17,I$17,$G496=$G$18,I$18,$G496=$G$19,I$19,$G496=$G$20,I$20,$G496=$G$21,I$21,$G496=$G$22,I$22,$G496=$G$25,I$25,$G496=$G$26,I$26,$G496=$G$27,I$27,$G496=$G$29,I$29,$G496=$G$31,I$31,$G496=$G$32,I$150,$G496=$G$248,I$248,$G496=$G$250,I$250)</f>
        <v>2.164879</v>
      </c>
      <c r="J496" cm="1">
        <f t="array" ref="J496">_xlfn.IFS($G496=$G$5,J$5,$G496=$G$6,J$6,$G496=$G$7,J$7,$G496=$G$8,J$8,$G496=$G$9,J$9,$G496=$G$10,J$10,$G496=$G$11,J$11,$G496=$G$12,J$12,$G496=$G$13,J$13,$G496=$G$15,J$15,$G496=$G$16,J$16,$G496=$G$17,J$17,$G496=$G$18,J$18,$G496=$G$19,J$19,$G496=$G$20,J$20,$G496=$G$21,J$21,$G496=$G$22,J$22,$G496=$G$25,J$25,$G496=$G$26,J$26,$G496=$G$27,J$27,$G496=$G$29,J$29,$G496=$G$31,J$31,$G496=$G$32,J$150,$G496=$G$248,J$248,$G496=$G$250,J$250)</f>
        <v>185</v>
      </c>
      <c r="K496" t="str" cm="1">
        <f t="array" ref="K496">_xlfn.IFS($G496=$G$5,K$5,$G496=$G$6,K$6,$G496=$G$7,K$7,$G496=$G$8,K$8,$G496=$G$9,K$9,$G496=$G$10,K$10,$G496=$G$11,K$11,$G496=$G$12,K$12,$G496=$G$13,K$13,$G496=$G$15,K$15,$G496=$G$16,K$16,$G496=$G$17,K$17,$G496=$G$18,K$18,$G496=$G$19,K$19,$G496=$G$20,K$20,$G496=$G$21,K$21,$G496=$G$22,K$22,$G496=$G$25,K$25,$G496=$G$26,K$26,$G496=$G$27,K$27,$G496=$G$29,K$29,$G496=$G$31,K$31,$G496=$G$32,K$150,$G496=$G$248,K$248,$G496=$G$250,K$250)</f>
        <v>BG sentinel + BG lure7</v>
      </c>
      <c r="L496" s="48"/>
      <c r="M496" s="48"/>
      <c r="O496" s="45" t="str">
        <f t="shared" si="37"/>
        <v>A_SP_BCN_12_210729</v>
      </c>
      <c r="P496" s="64">
        <v>44406</v>
      </c>
      <c r="R496" s="72"/>
      <c r="S496" s="64">
        <v>44413</v>
      </c>
      <c r="U496" s="72"/>
      <c r="V496" s="54" t="s">
        <v>66</v>
      </c>
      <c r="X496" s="45">
        <f t="shared" si="38"/>
        <v>7</v>
      </c>
      <c r="Z496" s="69" t="s">
        <v>69</v>
      </c>
      <c r="AA496" s="45">
        <f t="shared" si="36"/>
        <v>3</v>
      </c>
      <c r="AB496" t="str">
        <f t="shared" si="39"/>
        <v>Adult</v>
      </c>
      <c r="AC496" s="69">
        <v>3</v>
      </c>
      <c r="AD496" s="69">
        <v>0</v>
      </c>
      <c r="AE496" s="45" t="str">
        <f t="shared" si="40"/>
        <v>Morphological</v>
      </c>
      <c r="AF496" s="56">
        <v>4</v>
      </c>
    </row>
    <row r="497" spans="1:32" ht="18" customHeight="1" x14ac:dyDescent="0.25">
      <c r="A497" s="45">
        <v>493</v>
      </c>
      <c r="B497" s="45" t="s">
        <v>60</v>
      </c>
      <c r="C497" s="45" t="s">
        <v>61</v>
      </c>
      <c r="D497" s="45" t="s">
        <v>62</v>
      </c>
      <c r="E497" s="45" t="s">
        <v>62</v>
      </c>
      <c r="F497" s="46" cm="1">
        <f t="array" ref="F497">_xlfn.IFS($G497=$G$5,F$5,$G497=$G$6,F$6,$G497=$G$7,F$7,$G497=$G$8,F$8,$G497=$G$9,F$9,$G497=$G$10,F$10,$G497=$G$11,F$11,$G497=$G$12,F$12,$G497=$G$13,F$13,$G497=$G$15,F$15,$G497=$G$16,F$16,$G497=$G$17,F$17,$G497=$G$18,F$18,$G497=$G$19,F$19,$G497=$G$20,F$20,$G497=$G$21,F$21,$G497=$G$22,F$22,$G497=$G$25,F$25,$G497=$G$26,F$26,$G497=$G$27,F$27,$G497=$G$29,F$29,$G497=$G$31,F$31,$G497=$G$32,F$32,$G497=$G$248,F$248,$G497=$G$250,F$250)</f>
        <v>8038</v>
      </c>
      <c r="G497" t="s">
        <v>84</v>
      </c>
      <c r="H497" s="66" cm="1">
        <f t="array" ref="H497">_xlfn.IFS($G497=$G$5,H$5,$G497=$G$6,H$6,$G497=$G$7,H$7,$G497=$G$8,H$8,$G497=$G$9,H$9,$G497=$G$10,H$10,$G497=$G$11,H$11,$G497=$G$12,H$12,$G497=$G$13,H$13,$G497=$G$15,H$15,$G497=$G$16,H$16,$G497=$G$17,H$17,$G497=$G$18,H$18,$G497=$G$19,H$19,$G497=$G$20,H$20,$G497=$G$21,H$21,$G497=$G$22,H$22,$G497=$G$25,H$25,$G497=$G$26,H$26,$G497=$G$27,H$27,$G497=$G$29,H$29,$G497=$G$31,H$31,$G497=$G$32,H$150,$G497=$G$248,H$248,$G497=$G$250,H$250)</f>
        <v>41.363377999999997</v>
      </c>
      <c r="I497" s="78" cm="1">
        <f t="array" ref="I497">_xlfn.IFS($G497=$G$5,I$5,$G497=$G$6,I$6,$G497=$G$7,I$7,$G497=$G$8,I$8,$G497=$G$9,I$9,$G497=$G$10,I$10,$G497=$G$11,I$11,$G497=$G$12,I$12,$G497=$G$13,I$13,$G497=$G$15,I$15,$G497=$G$16,I$16,$G497=$G$17,I$17,$G497=$G$18,I$18,$G497=$G$19,I$19,$G497=$G$20,I$20,$G497=$G$21,I$21,$G497=$G$22,I$22,$G497=$G$25,I$25,$G497=$G$26,I$26,$G497=$G$27,I$27,$G497=$G$29,I$29,$G497=$G$31,I$31,$G497=$G$32,I$150,$G497=$G$248,I$248,$G497=$G$250,I$250)</f>
        <v>2.164879</v>
      </c>
      <c r="J497" cm="1">
        <f t="array" ref="J497">_xlfn.IFS($G497=$G$5,J$5,$G497=$G$6,J$6,$G497=$G$7,J$7,$G497=$G$8,J$8,$G497=$G$9,J$9,$G497=$G$10,J$10,$G497=$G$11,J$11,$G497=$G$12,J$12,$G497=$G$13,J$13,$G497=$G$15,J$15,$G497=$G$16,J$16,$G497=$G$17,J$17,$G497=$G$18,J$18,$G497=$G$19,J$19,$G497=$G$20,J$20,$G497=$G$21,J$21,$G497=$G$22,J$22,$G497=$G$25,J$25,$G497=$G$26,J$26,$G497=$G$27,J$27,$G497=$G$29,J$29,$G497=$G$31,J$31,$G497=$G$32,J$150,$G497=$G$248,J$248,$G497=$G$250,J$250)</f>
        <v>185</v>
      </c>
      <c r="K497" t="str" cm="1">
        <f t="array" ref="K497">_xlfn.IFS($G497=$G$5,K$5,$G497=$G$6,K$6,$G497=$G$7,K$7,$G497=$G$8,K$8,$G497=$G$9,K$9,$G497=$G$10,K$10,$G497=$G$11,K$11,$G497=$G$12,K$12,$G497=$G$13,K$13,$G497=$G$15,K$15,$G497=$G$16,K$16,$G497=$G$17,K$17,$G497=$G$18,K$18,$G497=$G$19,K$19,$G497=$G$20,K$20,$G497=$G$21,K$21,$G497=$G$22,K$22,$G497=$G$25,K$25,$G497=$G$26,K$26,$G497=$G$27,K$27,$G497=$G$29,K$29,$G497=$G$31,K$31,$G497=$G$32,K$150,$G497=$G$248,K$248,$G497=$G$250,K$250)</f>
        <v>BG sentinel + BG lure7</v>
      </c>
      <c r="L497" s="48"/>
      <c r="M497" s="48"/>
      <c r="O497" s="45" t="str">
        <f t="shared" si="37"/>
        <v>A_SP_BCN_12_210729</v>
      </c>
      <c r="P497" s="64">
        <v>44406</v>
      </c>
      <c r="R497" s="72"/>
      <c r="S497" s="64">
        <v>44413</v>
      </c>
      <c r="U497" s="72"/>
      <c r="V497" s="54" t="s">
        <v>66</v>
      </c>
      <c r="X497" s="45">
        <f t="shared" si="38"/>
        <v>7</v>
      </c>
      <c r="Z497" s="45" t="s">
        <v>70</v>
      </c>
      <c r="AA497" s="45">
        <f t="shared" si="36"/>
        <v>23</v>
      </c>
      <c r="AB497" t="str">
        <f t="shared" si="39"/>
        <v>Adult</v>
      </c>
      <c r="AC497" s="69">
        <v>19</v>
      </c>
      <c r="AD497" s="69">
        <v>4</v>
      </c>
      <c r="AE497" s="45" t="str">
        <f t="shared" si="40"/>
        <v>Morphological</v>
      </c>
      <c r="AF497" s="56">
        <v>4</v>
      </c>
    </row>
    <row r="498" spans="1:32" ht="18" customHeight="1" x14ac:dyDescent="0.25">
      <c r="A498" s="45">
        <v>494</v>
      </c>
      <c r="B498" s="45" t="s">
        <v>60</v>
      </c>
      <c r="C498" s="45" t="s">
        <v>61</v>
      </c>
      <c r="D498" s="45" t="s">
        <v>62</v>
      </c>
      <c r="E498" s="45" t="s">
        <v>62</v>
      </c>
      <c r="F498" s="46" cm="1">
        <f t="array" ref="F498">_xlfn.IFS($G498=$G$5,F$5,$G498=$G$6,F$6,$G498=$G$7,F$7,$G498=$G$8,F$8,$G498=$G$9,F$9,$G498=$G$10,F$10,$G498=$G$11,F$11,$G498=$G$12,F$12,$G498=$G$13,F$13,$G498=$G$15,F$15,$G498=$G$16,F$16,$G498=$G$17,F$17,$G498=$G$18,F$18,$G498=$G$19,F$19,$G498=$G$20,F$20,$G498=$G$21,F$21,$G498=$G$22,F$22,$G498=$G$25,F$25,$G498=$G$26,F$26,$G498=$G$27,F$27,$G498=$G$29,F$29,$G498=$G$31,F$31,$G498=$G$32,F$32,$G498=$G$248,F$248,$G498=$G$250,F$250)</f>
        <v>8038</v>
      </c>
      <c r="G498" t="s">
        <v>84</v>
      </c>
      <c r="H498" s="66" cm="1">
        <f t="array" ref="H498">_xlfn.IFS($G498=$G$5,H$5,$G498=$G$6,H$6,$G498=$G$7,H$7,$G498=$G$8,H$8,$G498=$G$9,H$9,$G498=$G$10,H$10,$G498=$G$11,H$11,$G498=$G$12,H$12,$G498=$G$13,H$13,$G498=$G$15,H$15,$G498=$G$16,H$16,$G498=$G$17,H$17,$G498=$G$18,H$18,$G498=$G$19,H$19,$G498=$G$20,H$20,$G498=$G$21,H$21,$G498=$G$22,H$22,$G498=$G$25,H$25,$G498=$G$26,H$26,$G498=$G$27,H$27,$G498=$G$29,H$29,$G498=$G$31,H$31,$G498=$G$32,H$150,$G498=$G$248,H$248,$G498=$G$250,H$250)</f>
        <v>41.363377999999997</v>
      </c>
      <c r="I498" s="78" cm="1">
        <f t="array" ref="I498">_xlfn.IFS($G498=$G$5,I$5,$G498=$G$6,I$6,$G498=$G$7,I$7,$G498=$G$8,I$8,$G498=$G$9,I$9,$G498=$G$10,I$10,$G498=$G$11,I$11,$G498=$G$12,I$12,$G498=$G$13,I$13,$G498=$G$15,I$15,$G498=$G$16,I$16,$G498=$G$17,I$17,$G498=$G$18,I$18,$G498=$G$19,I$19,$G498=$G$20,I$20,$G498=$G$21,I$21,$G498=$G$22,I$22,$G498=$G$25,I$25,$G498=$G$26,I$26,$G498=$G$27,I$27,$G498=$G$29,I$29,$G498=$G$31,I$31,$G498=$G$32,I$150,$G498=$G$248,I$248,$G498=$G$250,I$250)</f>
        <v>2.164879</v>
      </c>
      <c r="J498" cm="1">
        <f t="array" ref="J498">_xlfn.IFS($G498=$G$5,J$5,$G498=$G$6,J$6,$G498=$G$7,J$7,$G498=$G$8,J$8,$G498=$G$9,J$9,$G498=$G$10,J$10,$G498=$G$11,J$11,$G498=$G$12,J$12,$G498=$G$13,J$13,$G498=$G$15,J$15,$G498=$G$16,J$16,$G498=$G$17,J$17,$G498=$G$18,J$18,$G498=$G$19,J$19,$G498=$G$20,J$20,$G498=$G$21,J$21,$G498=$G$22,J$22,$G498=$G$25,J$25,$G498=$G$26,J$26,$G498=$G$27,J$27,$G498=$G$29,J$29,$G498=$G$31,J$31,$G498=$G$32,J$150,$G498=$G$248,J$248,$G498=$G$250,J$250)</f>
        <v>185</v>
      </c>
      <c r="K498" t="str" cm="1">
        <f t="array" ref="K498">_xlfn.IFS($G498=$G$5,K$5,$G498=$G$6,K$6,$G498=$G$7,K$7,$G498=$G$8,K$8,$G498=$G$9,K$9,$G498=$G$10,K$10,$G498=$G$11,K$11,$G498=$G$12,K$12,$G498=$G$13,K$13,$G498=$G$15,K$15,$G498=$G$16,K$16,$G498=$G$17,K$17,$G498=$G$18,K$18,$G498=$G$19,K$19,$G498=$G$20,K$20,$G498=$G$21,K$21,$G498=$G$22,K$22,$G498=$G$25,K$25,$G498=$G$26,K$26,$G498=$G$27,K$27,$G498=$G$29,K$29,$G498=$G$31,K$31,$G498=$G$32,K$150,$G498=$G$248,K$248,$G498=$G$250,K$250)</f>
        <v>BG sentinel + BG lure7</v>
      </c>
      <c r="L498" s="48"/>
      <c r="M498" s="48"/>
      <c r="O498" s="45" t="str">
        <f t="shared" si="37"/>
        <v>A_SP_BCN_12_210729</v>
      </c>
      <c r="P498" s="64">
        <v>44406</v>
      </c>
      <c r="R498" s="72"/>
      <c r="S498" s="64">
        <v>44413</v>
      </c>
      <c r="U498" s="72"/>
      <c r="V498" s="54" t="s">
        <v>66</v>
      </c>
      <c r="X498" s="45">
        <f t="shared" si="38"/>
        <v>7</v>
      </c>
      <c r="Z498" s="45" t="s">
        <v>80</v>
      </c>
      <c r="AA498" s="45">
        <f t="shared" si="36"/>
        <v>3</v>
      </c>
      <c r="AB498" t="str">
        <f t="shared" si="39"/>
        <v>Adult</v>
      </c>
      <c r="AC498" s="69">
        <v>0</v>
      </c>
      <c r="AD498" s="69">
        <v>3</v>
      </c>
      <c r="AE498" s="45" t="str">
        <f t="shared" si="40"/>
        <v>Morphological</v>
      </c>
      <c r="AF498" s="56">
        <v>4</v>
      </c>
    </row>
    <row r="499" spans="1:32" ht="18" customHeight="1" x14ac:dyDescent="0.25">
      <c r="A499" s="45">
        <v>495</v>
      </c>
      <c r="B499" s="45" t="s">
        <v>60</v>
      </c>
      <c r="C499" s="45" t="s">
        <v>61</v>
      </c>
      <c r="D499" s="45" t="s">
        <v>62</v>
      </c>
      <c r="E499" s="45" t="s">
        <v>62</v>
      </c>
      <c r="F499" s="46" cm="1">
        <f t="array" ref="F499">_xlfn.IFS($G499=$G$5,F$5,$G499=$G$6,F$6,$G499=$G$7,F$7,$G499=$G$8,F$8,$G499=$G$9,F$9,$G499=$G$10,F$10,$G499=$G$11,F$11,$G499=$G$12,F$12,$G499=$G$13,F$13,$G499=$G$15,F$15,$G499=$G$16,F$16,$G499=$G$17,F$17,$G499=$G$18,F$18,$G499=$G$19,F$19,$G499=$G$20,F$20,$G499=$G$21,F$21,$G499=$G$22,F$22,$G499=$G$25,F$25,$G499=$G$26,F$26,$G499=$G$27,F$27,$G499=$G$29,F$29,$G499=$G$31,F$31,$G499=$G$32,F$32,$G499=$G$248,F$248,$G499=$G$250,F$250)</f>
        <v>8035</v>
      </c>
      <c r="G499" t="s">
        <v>85</v>
      </c>
      <c r="H499" s="66" cm="1">
        <f t="array" ref="H499">_xlfn.IFS($G499=$G$5,H$5,$G499=$G$6,H$6,$G499=$G$7,H$7,$G499=$G$8,H$8,$G499=$G$9,H$9,$G499=$G$10,H$10,$G499=$G$11,H$11,$G499=$G$12,H$12,$G499=$G$13,H$13,$G499=$G$15,H$15,$G499=$G$16,H$16,$G499=$G$17,H$17,$G499=$G$18,H$18,$G499=$G$19,H$19,$G499=$G$20,H$20,$G499=$G$21,H$21,$G499=$G$22,H$22,$G499=$G$25,H$25,$G499=$G$26,H$26,$G499=$G$27,H$27,$G499=$G$29,H$29,$G499=$G$31,H$31,$G499=$G$32,H$150,$G499=$G$248,H$248,$G499=$G$250,H$250)</f>
        <v>41.434472</v>
      </c>
      <c r="I499" s="78" cm="1">
        <f t="array" ref="I499">_xlfn.IFS($G499=$G$5,I$5,$G499=$G$6,I$6,$G499=$G$7,I$7,$G499=$G$8,I$8,$G499=$G$9,I$9,$G499=$G$10,I$10,$G499=$G$11,I$11,$G499=$G$12,I$12,$G499=$G$13,I$13,$G499=$G$15,I$15,$G499=$G$16,I$16,$G499=$G$17,I$17,$G499=$G$18,I$18,$G499=$G$19,I$19,$G499=$G$20,I$20,$G499=$G$21,I$21,$G499=$G$22,I$22,$G499=$G$25,I$25,$G499=$G$26,I$26,$G499=$G$27,I$27,$G499=$G$29,I$29,$G499=$G$31,I$31,$G499=$G$32,I$150,$G499=$G$248,I$248,$G499=$G$250,I$250)</f>
        <v>2.1315789999999999</v>
      </c>
      <c r="J499" cm="1">
        <f t="array" ref="J499">_xlfn.IFS($G499=$G$5,J$5,$G499=$G$6,J$6,$G499=$G$7,J$7,$G499=$G$8,J$8,$G499=$G$9,J$9,$G499=$G$10,J$10,$G499=$G$11,J$11,$G499=$G$12,J$12,$G499=$G$13,J$13,$G499=$G$15,J$15,$G499=$G$16,J$16,$G499=$G$17,J$17,$G499=$G$18,J$18,$G499=$G$19,J$19,$G499=$G$20,J$20,$G499=$G$21,J$21,$G499=$G$22,J$22,$G499=$G$25,J$25,$G499=$G$26,J$26,$G499=$G$27,J$27,$G499=$G$29,J$29,$G499=$G$31,J$31,$G499=$G$32,J$150,$G499=$G$248,J$248,$G499=$G$250,J$250)</f>
        <v>365</v>
      </c>
      <c r="K499" t="str" cm="1">
        <f t="array" ref="K499">_xlfn.IFS($G499=$G$5,K$5,$G499=$G$6,K$6,$G499=$G$7,K$7,$G499=$G$8,K$8,$G499=$G$9,K$9,$G499=$G$10,K$10,$G499=$G$11,K$11,$G499=$G$12,K$12,$G499=$G$13,K$13,$G499=$G$15,K$15,$G499=$G$16,K$16,$G499=$G$17,K$17,$G499=$G$18,K$18,$G499=$G$19,K$19,$G499=$G$20,K$20,$G499=$G$21,K$21,$G499=$G$22,K$22,$G499=$G$25,K$25,$G499=$G$26,K$26,$G499=$G$27,K$27,$G499=$G$29,K$29,$G499=$G$31,K$31,$G499=$G$32,K$150,$G499=$G$248,K$248,$G499=$G$250,K$250)</f>
        <v>BG sentinel + BG lure7</v>
      </c>
      <c r="L499" s="48"/>
      <c r="M499" s="48"/>
      <c r="O499" s="45" t="str">
        <f t="shared" si="37"/>
        <v>A_SP_BCN_13_210728</v>
      </c>
      <c r="P499" s="64">
        <v>44405</v>
      </c>
      <c r="R499" s="72"/>
      <c r="S499" s="64">
        <v>44412</v>
      </c>
      <c r="U499" s="72"/>
      <c r="V499" s="54" t="s">
        <v>66</v>
      </c>
      <c r="W499" t="s">
        <v>139</v>
      </c>
      <c r="X499" s="45">
        <f t="shared" si="38"/>
        <v>7</v>
      </c>
      <c r="Z499" s="69" t="s">
        <v>69</v>
      </c>
      <c r="AA499" s="45">
        <f t="shared" si="36"/>
        <v>1</v>
      </c>
      <c r="AB499" t="str">
        <f t="shared" si="39"/>
        <v>Adult</v>
      </c>
      <c r="AC499" s="69">
        <v>1</v>
      </c>
      <c r="AD499" s="69">
        <v>0</v>
      </c>
      <c r="AE499" s="45" t="str">
        <f t="shared" si="40"/>
        <v>Morphological</v>
      </c>
      <c r="AF499" s="56">
        <v>4</v>
      </c>
    </row>
    <row r="500" spans="1:32" ht="18" customHeight="1" x14ac:dyDescent="0.25">
      <c r="A500" s="45">
        <v>496</v>
      </c>
      <c r="B500" s="45" t="s">
        <v>60</v>
      </c>
      <c r="C500" s="45" t="s">
        <v>61</v>
      </c>
      <c r="D500" s="45" t="s">
        <v>62</v>
      </c>
      <c r="E500" s="45" t="s">
        <v>62</v>
      </c>
      <c r="F500" s="46" cm="1">
        <f t="array" ref="F500">_xlfn.IFS($G500=$G$5,F$5,$G500=$G$6,F$6,$G500=$G$7,F$7,$G500=$G$8,F$8,$G500=$G$9,F$9,$G500=$G$10,F$10,$G500=$G$11,F$11,$G500=$G$12,F$12,$G500=$G$13,F$13,$G500=$G$15,F$15,$G500=$G$16,F$16,$G500=$G$17,F$17,$G500=$G$18,F$18,$G500=$G$19,F$19,$G500=$G$20,F$20,$G500=$G$21,F$21,$G500=$G$22,F$22,$G500=$G$25,F$25,$G500=$G$26,F$26,$G500=$G$27,F$27,$G500=$G$29,F$29,$G500=$G$31,F$31,$G500=$G$32,F$32,$G500=$G$248,F$248,$G500=$G$250,F$250)</f>
        <v>8035</v>
      </c>
      <c r="G500" t="s">
        <v>85</v>
      </c>
      <c r="H500" s="66" cm="1">
        <f t="array" ref="H500">_xlfn.IFS($G500=$G$5,H$5,$G500=$G$6,H$6,$G500=$G$7,H$7,$G500=$G$8,H$8,$G500=$G$9,H$9,$G500=$G$10,H$10,$G500=$G$11,H$11,$G500=$G$12,H$12,$G500=$G$13,H$13,$G500=$G$15,H$15,$G500=$G$16,H$16,$G500=$G$17,H$17,$G500=$G$18,H$18,$G500=$G$19,H$19,$G500=$G$20,H$20,$G500=$G$21,H$21,$G500=$G$22,H$22,$G500=$G$25,H$25,$G500=$G$26,H$26,$G500=$G$27,H$27,$G500=$G$29,H$29,$G500=$G$31,H$31,$G500=$G$32,H$150,$G500=$G$248,H$248,$G500=$G$250,H$250)</f>
        <v>41.434472</v>
      </c>
      <c r="I500" s="78" cm="1">
        <f t="array" ref="I500">_xlfn.IFS($G500=$G$5,I$5,$G500=$G$6,I$6,$G500=$G$7,I$7,$G500=$G$8,I$8,$G500=$G$9,I$9,$G500=$G$10,I$10,$G500=$G$11,I$11,$G500=$G$12,I$12,$G500=$G$13,I$13,$G500=$G$15,I$15,$G500=$G$16,I$16,$G500=$G$17,I$17,$G500=$G$18,I$18,$G500=$G$19,I$19,$G500=$G$20,I$20,$G500=$G$21,I$21,$G500=$G$22,I$22,$G500=$G$25,I$25,$G500=$G$26,I$26,$G500=$G$27,I$27,$G500=$G$29,I$29,$G500=$G$31,I$31,$G500=$G$32,I$150,$G500=$G$248,I$248,$G500=$G$250,I$250)</f>
        <v>2.1315789999999999</v>
      </c>
      <c r="J500" cm="1">
        <f t="array" ref="J500">_xlfn.IFS($G500=$G$5,J$5,$G500=$G$6,J$6,$G500=$G$7,J$7,$G500=$G$8,J$8,$G500=$G$9,J$9,$G500=$G$10,J$10,$G500=$G$11,J$11,$G500=$G$12,J$12,$G500=$G$13,J$13,$G500=$G$15,J$15,$G500=$G$16,J$16,$G500=$G$17,J$17,$G500=$G$18,J$18,$G500=$G$19,J$19,$G500=$G$20,J$20,$G500=$G$21,J$21,$G500=$G$22,J$22,$G500=$G$25,J$25,$G500=$G$26,J$26,$G500=$G$27,J$27,$G500=$G$29,J$29,$G500=$G$31,J$31,$G500=$G$32,J$150,$G500=$G$248,J$248,$G500=$G$250,J$250)</f>
        <v>365</v>
      </c>
      <c r="K500" t="str" cm="1">
        <f t="array" ref="K500">_xlfn.IFS($G500=$G$5,K$5,$G500=$G$6,K$6,$G500=$G$7,K$7,$G500=$G$8,K$8,$G500=$G$9,K$9,$G500=$G$10,K$10,$G500=$G$11,K$11,$G500=$G$12,K$12,$G500=$G$13,K$13,$G500=$G$15,K$15,$G500=$G$16,K$16,$G500=$G$17,K$17,$G500=$G$18,K$18,$G500=$G$19,K$19,$G500=$G$20,K$20,$G500=$G$21,K$21,$G500=$G$22,K$22,$G500=$G$25,K$25,$G500=$G$26,K$26,$G500=$G$27,K$27,$G500=$G$29,K$29,$G500=$G$31,K$31,$G500=$G$32,K$150,$G500=$G$248,K$248,$G500=$G$250,K$250)</f>
        <v>BG sentinel + BG lure7</v>
      </c>
      <c r="L500" s="48"/>
      <c r="M500" s="48"/>
      <c r="O500" s="45" t="str">
        <f t="shared" si="37"/>
        <v>A_SP_BCN_13_210728</v>
      </c>
      <c r="P500" s="64">
        <v>44405</v>
      </c>
      <c r="R500" s="72"/>
      <c r="S500" s="64">
        <v>44412</v>
      </c>
      <c r="U500" s="72"/>
      <c r="V500" s="54" t="s">
        <v>66</v>
      </c>
      <c r="W500" t="s">
        <v>139</v>
      </c>
      <c r="X500" s="45">
        <f t="shared" si="38"/>
        <v>7</v>
      </c>
      <c r="Z500" s="45" t="s">
        <v>70</v>
      </c>
      <c r="AA500" s="45">
        <f t="shared" si="36"/>
        <v>1</v>
      </c>
      <c r="AB500" t="str">
        <f t="shared" si="39"/>
        <v>Adult</v>
      </c>
      <c r="AC500" s="69">
        <v>1</v>
      </c>
      <c r="AD500" s="69">
        <v>0</v>
      </c>
      <c r="AE500" s="45" t="str">
        <f t="shared" si="40"/>
        <v>Morphological</v>
      </c>
      <c r="AF500" s="56">
        <v>4</v>
      </c>
    </row>
    <row r="501" spans="1:32" ht="18" customHeight="1" x14ac:dyDescent="0.25">
      <c r="A501" s="45">
        <v>497</v>
      </c>
      <c r="B501" s="45" t="s">
        <v>60</v>
      </c>
      <c r="C501" s="45" t="s">
        <v>61</v>
      </c>
      <c r="D501" s="45" t="s">
        <v>62</v>
      </c>
      <c r="E501" s="45" t="s">
        <v>62</v>
      </c>
      <c r="F501" s="46" cm="1">
        <f t="array" ref="F501">_xlfn.IFS($G501=$G$5,F$5,$G501=$G$6,F$6,$G501=$G$7,F$7,$G501=$G$8,F$8,$G501=$G$9,F$9,$G501=$G$10,F$10,$G501=$G$11,F$11,$G501=$G$12,F$12,$G501=$G$13,F$13,$G501=$G$15,F$15,$G501=$G$16,F$16,$G501=$G$17,F$17,$G501=$G$18,F$18,$G501=$G$19,F$19,$G501=$G$20,F$20,$G501=$G$21,F$21,$G501=$G$22,F$22,$G501=$G$25,F$25,$G501=$G$26,F$26,$G501=$G$27,F$27,$G501=$G$29,F$29,$G501=$G$31,F$31,$G501=$G$32,F$32,$G501=$G$248,F$248,$G501=$G$250,F$250)</f>
        <v>8035</v>
      </c>
      <c r="G501" t="s">
        <v>85</v>
      </c>
      <c r="H501" s="66" cm="1">
        <f t="array" ref="H501">_xlfn.IFS($G501=$G$5,H$5,$G501=$G$6,H$6,$G501=$G$7,H$7,$G501=$G$8,H$8,$G501=$G$9,H$9,$G501=$G$10,H$10,$G501=$G$11,H$11,$G501=$G$12,H$12,$G501=$G$13,H$13,$G501=$G$15,H$15,$G501=$G$16,H$16,$G501=$G$17,H$17,$G501=$G$18,H$18,$G501=$G$19,H$19,$G501=$G$20,H$20,$G501=$G$21,H$21,$G501=$G$22,H$22,$G501=$G$25,H$25,$G501=$G$26,H$26,$G501=$G$27,H$27,$G501=$G$29,H$29,$G501=$G$31,H$31,$G501=$G$32,H$150,$G501=$G$248,H$248,$G501=$G$250,H$250)</f>
        <v>41.434472</v>
      </c>
      <c r="I501" s="78" cm="1">
        <f t="array" ref="I501">_xlfn.IFS($G501=$G$5,I$5,$G501=$G$6,I$6,$G501=$G$7,I$7,$G501=$G$8,I$8,$G501=$G$9,I$9,$G501=$G$10,I$10,$G501=$G$11,I$11,$G501=$G$12,I$12,$G501=$G$13,I$13,$G501=$G$15,I$15,$G501=$G$16,I$16,$G501=$G$17,I$17,$G501=$G$18,I$18,$G501=$G$19,I$19,$G501=$G$20,I$20,$G501=$G$21,I$21,$G501=$G$22,I$22,$G501=$G$25,I$25,$G501=$G$26,I$26,$G501=$G$27,I$27,$G501=$G$29,I$29,$G501=$G$31,I$31,$G501=$G$32,I$150,$G501=$G$248,I$248,$G501=$G$250,I$250)</f>
        <v>2.1315789999999999</v>
      </c>
      <c r="J501" cm="1">
        <f t="array" ref="J501">_xlfn.IFS($G501=$G$5,J$5,$G501=$G$6,J$6,$G501=$G$7,J$7,$G501=$G$8,J$8,$G501=$G$9,J$9,$G501=$G$10,J$10,$G501=$G$11,J$11,$G501=$G$12,J$12,$G501=$G$13,J$13,$G501=$G$15,J$15,$G501=$G$16,J$16,$G501=$G$17,J$17,$G501=$G$18,J$18,$G501=$G$19,J$19,$G501=$G$20,J$20,$G501=$G$21,J$21,$G501=$G$22,J$22,$G501=$G$25,J$25,$G501=$G$26,J$26,$G501=$G$27,J$27,$G501=$G$29,J$29,$G501=$G$31,J$31,$G501=$G$32,J$150,$G501=$G$248,J$248,$G501=$G$250,J$250)</f>
        <v>365</v>
      </c>
      <c r="K501" t="str" cm="1">
        <f t="array" ref="K501">_xlfn.IFS($G501=$G$5,K$5,$G501=$G$6,K$6,$G501=$G$7,K$7,$G501=$G$8,K$8,$G501=$G$9,K$9,$G501=$G$10,K$10,$G501=$G$11,K$11,$G501=$G$12,K$12,$G501=$G$13,K$13,$G501=$G$15,K$15,$G501=$G$16,K$16,$G501=$G$17,K$17,$G501=$G$18,K$18,$G501=$G$19,K$19,$G501=$G$20,K$20,$G501=$G$21,K$21,$G501=$G$22,K$22,$G501=$G$25,K$25,$G501=$G$26,K$26,$G501=$G$27,K$27,$G501=$G$29,K$29,$G501=$G$31,K$31,$G501=$G$32,K$150,$G501=$G$248,K$248,$G501=$G$250,K$250)</f>
        <v>BG sentinel + BG lure7</v>
      </c>
      <c r="L501" s="48"/>
      <c r="M501" s="48"/>
      <c r="O501" s="45" t="str">
        <f t="shared" si="37"/>
        <v>A_SP_BCN_13_210728</v>
      </c>
      <c r="P501" s="64">
        <v>44405</v>
      </c>
      <c r="R501" s="72"/>
      <c r="S501" s="64">
        <v>44412</v>
      </c>
      <c r="U501" s="72"/>
      <c r="V501" s="54" t="s">
        <v>66</v>
      </c>
      <c r="W501" t="s">
        <v>139</v>
      </c>
      <c r="X501" s="45">
        <f t="shared" si="38"/>
        <v>7</v>
      </c>
      <c r="Z501" s="45" t="s">
        <v>80</v>
      </c>
      <c r="AA501" s="45">
        <f t="shared" si="36"/>
        <v>1</v>
      </c>
      <c r="AB501" t="str">
        <f t="shared" si="39"/>
        <v>Adult</v>
      </c>
      <c r="AC501" s="69">
        <v>0</v>
      </c>
      <c r="AD501" s="69">
        <v>1</v>
      </c>
      <c r="AE501" s="45" t="str">
        <f t="shared" si="40"/>
        <v>Morphological</v>
      </c>
      <c r="AF501" s="56">
        <v>4</v>
      </c>
    </row>
    <row r="502" spans="1:32" ht="18" customHeight="1" x14ac:dyDescent="0.25">
      <c r="A502" s="45">
        <v>498</v>
      </c>
      <c r="B502" s="45" t="s">
        <v>60</v>
      </c>
      <c r="C502" s="45" t="s">
        <v>61</v>
      </c>
      <c r="D502" s="45" t="s">
        <v>62</v>
      </c>
      <c r="E502" s="45" t="s">
        <v>62</v>
      </c>
      <c r="F502" s="46" cm="1">
        <f t="array" ref="F502">_xlfn.IFS($G502=$G$5,F$5,$G502=$G$6,F$6,$G502=$G$7,F$7,$G502=$G$8,F$8,$G502=$G$9,F$9,$G502=$G$10,F$10,$G502=$G$11,F$11,$G502=$G$12,F$12,$G502=$G$13,F$13,$G502=$G$15,F$15,$G502=$G$16,F$16,$G502=$G$17,F$17,$G502=$G$18,F$18,$G502=$G$19,F$19,$G502=$G$20,F$20,$G502=$G$21,F$21,$G502=$G$22,F$22,$G502=$G$25,F$25,$G502=$G$26,F$26,$G502=$G$27,F$27,$G502=$G$29,F$29,$G502=$G$31,F$31,$G502=$G$32,F$32,$G502=$G$248,F$248,$G502=$G$250,F$250)</f>
        <v>8017</v>
      </c>
      <c r="G502" t="s">
        <v>86</v>
      </c>
      <c r="H502" s="66" cm="1">
        <f t="array" ref="H502">_xlfn.IFS($G502=$G$5,H$5,$G502=$G$6,H$6,$G502=$G$7,H$7,$G502=$G$8,H$8,$G502=$G$9,H$9,$G502=$G$10,H$10,$G502=$G$11,H$11,$G502=$G$12,H$12,$G502=$G$13,H$13,$G502=$G$15,H$15,$G502=$G$16,H$16,$G502=$G$17,H$17,$G502=$G$18,H$18,$G502=$G$19,H$19,$G502=$G$20,H$20,$G502=$G$21,H$21,$G502=$G$22,H$22,$G502=$G$25,H$25,$G502=$G$26,H$26,$G502=$G$27,H$27,$G502=$G$29,H$29,$G502=$G$31,H$31,$G502=$G$32,H$150,$G502=$G$248,H$248,$G502=$G$250,H$250)</f>
        <v>41.428533999999999</v>
      </c>
      <c r="I502" s="78" cm="1">
        <f t="array" ref="I502">_xlfn.IFS($G502=$G$5,I$5,$G502=$G$6,I$6,$G502=$G$7,I$7,$G502=$G$8,I$8,$G502=$G$9,I$9,$G502=$G$10,I$10,$G502=$G$11,I$11,$G502=$G$12,I$12,$G502=$G$13,I$13,$G502=$G$15,I$15,$G502=$G$16,I$16,$G502=$G$17,I$17,$G502=$G$18,I$18,$G502=$G$19,I$19,$G502=$G$20,I$20,$G502=$G$21,I$21,$G502=$G$22,I$22,$G502=$G$25,I$25,$G502=$G$26,I$26,$G502=$G$27,I$27,$G502=$G$29,I$29,$G502=$G$31,I$31,$G502=$G$32,I$150,$G502=$G$248,I$248,$G502=$G$250,I$250)</f>
        <v>2.090954</v>
      </c>
      <c r="J502" cm="1">
        <f t="array" ref="J502">_xlfn.IFS($G502=$G$5,J$5,$G502=$G$6,J$6,$G502=$G$7,J$7,$G502=$G$8,J$8,$G502=$G$9,J$9,$G502=$G$10,J$10,$G502=$G$11,J$11,$G502=$G$12,J$12,$G502=$G$13,J$13,$G502=$G$15,J$15,$G502=$G$16,J$16,$G502=$G$17,J$17,$G502=$G$18,J$18,$G502=$G$19,J$19,$G502=$G$20,J$20,$G502=$G$21,J$21,$G502=$G$22,J$22,$G502=$G$25,J$25,$G502=$G$26,J$26,$G502=$G$27,J$27,$G502=$G$29,J$29,$G502=$G$31,J$31,$G502=$G$32,J$150,$G502=$G$248,J$248,$G502=$G$250,J$250)</f>
        <v>215</v>
      </c>
      <c r="K502" t="str" cm="1">
        <f t="array" ref="K502">_xlfn.IFS($G502=$G$5,K$5,$G502=$G$6,K$6,$G502=$G$7,K$7,$G502=$G$8,K$8,$G502=$G$9,K$9,$G502=$G$10,K$10,$G502=$G$11,K$11,$G502=$G$12,K$12,$G502=$G$13,K$13,$G502=$G$15,K$15,$G502=$G$16,K$16,$G502=$G$17,K$17,$G502=$G$18,K$18,$G502=$G$19,K$19,$G502=$G$20,K$20,$G502=$G$21,K$21,$G502=$G$22,K$22,$G502=$G$25,K$25,$G502=$G$26,K$26,$G502=$G$27,K$27,$G502=$G$29,K$29,$G502=$G$31,K$31,$G502=$G$32,K$150,$G502=$G$248,K$248,$G502=$G$250,K$250)</f>
        <v>BG sentinel + BG lure7</v>
      </c>
      <c r="L502" s="48"/>
      <c r="M502" s="48"/>
      <c r="O502" s="45" t="str">
        <f t="shared" si="37"/>
        <v>A_SP_BCN_14_210728</v>
      </c>
      <c r="P502" s="64">
        <v>44405</v>
      </c>
      <c r="R502" s="72"/>
      <c r="S502" s="64">
        <v>44412</v>
      </c>
      <c r="U502" s="72"/>
      <c r="V502" s="54" t="s">
        <v>66</v>
      </c>
      <c r="W502" t="s">
        <v>140</v>
      </c>
      <c r="X502" s="45">
        <f t="shared" si="38"/>
        <v>7</v>
      </c>
      <c r="Z502" s="69" t="s">
        <v>69</v>
      </c>
      <c r="AA502" s="45">
        <f t="shared" si="36"/>
        <v>4</v>
      </c>
      <c r="AB502" t="str">
        <f t="shared" si="39"/>
        <v>Adult</v>
      </c>
      <c r="AC502" s="69">
        <v>4</v>
      </c>
      <c r="AD502" s="69">
        <v>0</v>
      </c>
      <c r="AE502" s="45" t="str">
        <f t="shared" si="40"/>
        <v>Morphological</v>
      </c>
      <c r="AF502" s="56">
        <v>3</v>
      </c>
    </row>
    <row r="503" spans="1:32" ht="18" customHeight="1" x14ac:dyDescent="0.25">
      <c r="A503" s="45">
        <v>499</v>
      </c>
      <c r="B503" s="45" t="s">
        <v>60</v>
      </c>
      <c r="C503" s="45" t="s">
        <v>61</v>
      </c>
      <c r="D503" s="45" t="s">
        <v>62</v>
      </c>
      <c r="E503" s="45" t="s">
        <v>62</v>
      </c>
      <c r="F503" s="46" cm="1">
        <f t="array" ref="F503">_xlfn.IFS($G503=$G$5,F$5,$G503=$G$6,F$6,$G503=$G$7,F$7,$G503=$G$8,F$8,$G503=$G$9,F$9,$G503=$G$10,F$10,$G503=$G$11,F$11,$G503=$G$12,F$12,$G503=$G$13,F$13,$G503=$G$15,F$15,$G503=$G$16,F$16,$G503=$G$17,F$17,$G503=$G$18,F$18,$G503=$G$19,F$19,$G503=$G$20,F$20,$G503=$G$21,F$21,$G503=$G$22,F$22,$G503=$G$25,F$25,$G503=$G$26,F$26,$G503=$G$27,F$27,$G503=$G$29,F$29,$G503=$G$31,F$31,$G503=$G$32,F$32,$G503=$G$248,F$248,$G503=$G$250,F$250)</f>
        <v>8017</v>
      </c>
      <c r="G503" t="s">
        <v>87</v>
      </c>
      <c r="H503" s="66" cm="1">
        <f t="array" ref="H503">_xlfn.IFS($G503=$G$5,H$5,$G503=$G$6,H$6,$G503=$G$7,H$7,$G503=$G$8,H$8,$G503=$G$9,H$9,$G503=$G$10,H$10,$G503=$G$11,H$11,$G503=$G$12,H$12,$G503=$G$13,H$13,$G503=$G$15,H$15,$G503=$G$16,H$16,$G503=$G$17,H$17,$G503=$G$18,H$18,$G503=$G$19,H$19,$G503=$G$20,H$20,$G503=$G$21,H$21,$G503=$G$22,H$22,$G503=$G$25,H$25,$G503=$G$26,H$26,$G503=$G$27,H$27,$G503=$G$29,H$29,$G503=$G$31,H$31,$G503=$G$32,H$150,$G503=$G$248,H$248,$G503=$G$250,H$250)</f>
        <v>41.419471000000001</v>
      </c>
      <c r="I503" s="78" cm="1">
        <f t="array" ref="I503">_xlfn.IFS($G503=$G$5,I$5,$G503=$G$6,I$6,$G503=$G$7,I$7,$G503=$G$8,I$8,$G503=$G$9,I$9,$G503=$G$10,I$10,$G503=$G$11,I$11,$G503=$G$12,I$12,$G503=$G$13,I$13,$G503=$G$15,I$15,$G503=$G$16,I$16,$G503=$G$17,I$17,$G503=$G$18,I$18,$G503=$G$19,I$19,$G503=$G$20,I$20,$G503=$G$21,I$21,$G503=$G$22,I$22,$G503=$G$25,I$25,$G503=$G$26,I$26,$G503=$G$27,I$27,$G503=$G$29,I$29,$G503=$G$31,I$31,$G503=$G$32,I$150,$G503=$G$248,I$248,$G503=$G$250,I$250)</f>
        <v>2.1010149999999999</v>
      </c>
      <c r="J503" cm="1">
        <f t="array" ref="J503">_xlfn.IFS($G503=$G$5,J$5,$G503=$G$6,J$6,$G503=$G$7,J$7,$G503=$G$8,J$8,$G503=$G$9,J$9,$G503=$G$10,J$10,$G503=$G$11,J$11,$G503=$G$12,J$12,$G503=$G$13,J$13,$G503=$G$15,J$15,$G503=$G$16,J$16,$G503=$G$17,J$17,$G503=$G$18,J$18,$G503=$G$19,J$19,$G503=$G$20,J$20,$G503=$G$21,J$21,$G503=$G$22,J$22,$G503=$G$25,J$25,$G503=$G$26,J$26,$G503=$G$27,J$27,$G503=$G$29,J$29,$G503=$G$31,J$31,$G503=$G$32,J$150,$G503=$G$248,J$248,$G503=$G$250,J$250)</f>
        <v>284</v>
      </c>
      <c r="K503" t="str" cm="1">
        <f t="array" ref="K503">_xlfn.IFS($G503=$G$5,K$5,$G503=$G$6,K$6,$G503=$G$7,K$7,$G503=$G$8,K$8,$G503=$G$9,K$9,$G503=$G$10,K$10,$G503=$G$11,K$11,$G503=$G$12,K$12,$G503=$G$13,K$13,$G503=$G$15,K$15,$G503=$G$16,K$16,$G503=$G$17,K$17,$G503=$G$18,K$18,$G503=$G$19,K$19,$G503=$G$20,K$20,$G503=$G$21,K$21,$G503=$G$22,K$22,$G503=$G$25,K$25,$G503=$G$26,K$26,$G503=$G$27,K$27,$G503=$G$29,K$29,$G503=$G$31,K$31,$G503=$G$32,K$150,$G503=$G$248,K$248,$G503=$G$250,K$250)</f>
        <v>BG sentinel + BG lure7</v>
      </c>
      <c r="L503" s="48"/>
      <c r="M503" s="48"/>
      <c r="O503" s="45" t="str">
        <f t="shared" si="37"/>
        <v>A_SP_BCN_15_210728</v>
      </c>
      <c r="P503" s="64">
        <v>44405</v>
      </c>
      <c r="R503" s="72"/>
      <c r="S503" s="64">
        <v>44412</v>
      </c>
      <c r="U503" s="72"/>
      <c r="V503" s="54" t="s">
        <v>66</v>
      </c>
      <c r="W503" t="s">
        <v>130</v>
      </c>
      <c r="X503" s="45">
        <f t="shared" si="38"/>
        <v>7</v>
      </c>
      <c r="Z503" s="69" t="s">
        <v>69</v>
      </c>
      <c r="AA503" s="45">
        <f t="shared" si="36"/>
        <v>4</v>
      </c>
      <c r="AB503" t="str">
        <f t="shared" si="39"/>
        <v>Adult</v>
      </c>
      <c r="AC503" s="69">
        <v>4</v>
      </c>
      <c r="AD503" s="69">
        <v>0</v>
      </c>
      <c r="AE503" s="45" t="str">
        <f t="shared" si="40"/>
        <v>Morphological</v>
      </c>
      <c r="AF503" s="56">
        <v>3</v>
      </c>
    </row>
    <row r="504" spans="1:32" ht="18" customHeight="1" x14ac:dyDescent="0.25">
      <c r="A504" s="45">
        <v>500</v>
      </c>
      <c r="B504" s="45" t="s">
        <v>60</v>
      </c>
      <c r="C504" s="45" t="s">
        <v>61</v>
      </c>
      <c r="D504" s="45" t="s">
        <v>62</v>
      </c>
      <c r="E504" s="45" t="s">
        <v>62</v>
      </c>
      <c r="F504" s="46" cm="1">
        <f t="array" ref="F504">_xlfn.IFS($G504=$G$5,F$5,$G504=$G$6,F$6,$G504=$G$7,F$7,$G504=$G$8,F$8,$G504=$G$9,F$9,$G504=$G$10,F$10,$G504=$G$11,F$11,$G504=$G$12,F$12,$G504=$G$13,F$13,$G504=$G$15,F$15,$G504=$G$16,F$16,$G504=$G$17,F$17,$G504=$G$18,F$18,$G504=$G$19,F$19,$G504=$G$20,F$20,$G504=$G$21,F$21,$G504=$G$22,F$22,$G504=$G$25,F$25,$G504=$G$26,F$26,$G504=$G$27,F$27,$G504=$G$29,F$29,$G504=$G$31,F$31,$G504=$G$32,F$32,$G504=$G$248,F$248,$G504=$G$250,F$250)</f>
        <v>8017</v>
      </c>
      <c r="G504" t="s">
        <v>88</v>
      </c>
      <c r="H504" s="66" cm="1">
        <f t="array" ref="H504">_xlfn.IFS($G504=$G$5,H$5,$G504=$G$6,H$6,$G504=$G$7,H$7,$G504=$G$8,H$8,$G504=$G$9,H$9,$G504=$G$10,H$10,$G504=$G$11,H$11,$G504=$G$12,H$12,$G504=$G$13,H$13,$G504=$G$15,H$15,$G504=$G$16,H$16,$G504=$G$17,H$17,$G504=$G$18,H$18,$G504=$G$19,H$19,$G504=$G$20,H$20,$G504=$G$21,H$21,$G504=$G$22,H$22,$G504=$G$25,H$25,$G504=$G$26,H$26,$G504=$G$27,H$27,$G504=$G$29,H$29,$G504=$G$31,H$31,$G504=$G$32,H$150,$G504=$G$248,H$248,$G504=$G$250,H$250)</f>
        <v>41.398387</v>
      </c>
      <c r="I504" s="78" cm="1">
        <f t="array" ref="I504">_xlfn.IFS($G504=$G$5,I$5,$G504=$G$6,I$6,$G504=$G$7,I$7,$G504=$G$8,I$8,$G504=$G$9,I$9,$G504=$G$10,I$10,$G504=$G$11,I$11,$G504=$G$12,I$12,$G504=$G$13,I$13,$G504=$G$15,I$15,$G504=$G$16,I$16,$G504=$G$17,I$17,$G504=$G$18,I$18,$G504=$G$19,I$19,$G504=$G$20,I$20,$G504=$G$21,I$21,$G504=$G$22,I$22,$G504=$G$25,I$25,$G504=$G$26,I$26,$G504=$G$27,I$27,$G504=$G$29,I$29,$G504=$G$31,I$31,$G504=$G$32,I$150,$G504=$G$248,I$248,$G504=$G$250,I$250)</f>
        <v>2.1244429999999999</v>
      </c>
      <c r="J504" cm="1">
        <f t="array" ref="J504">_xlfn.IFS($G504=$G$5,J$5,$G504=$G$6,J$6,$G504=$G$7,J$7,$G504=$G$8,J$8,$G504=$G$9,J$9,$G504=$G$10,J$10,$G504=$G$11,J$11,$G504=$G$12,J$12,$G504=$G$13,J$13,$G504=$G$15,J$15,$G504=$G$16,J$16,$G504=$G$17,J$17,$G504=$G$18,J$18,$G504=$G$19,J$19,$G504=$G$20,J$20,$G504=$G$21,J$21,$G504=$G$22,J$22,$G504=$G$25,J$25,$G504=$G$26,J$26,$G504=$G$27,J$27,$G504=$G$29,J$29,$G504=$G$31,J$31,$G504=$G$32,J$150,$G504=$G$248,J$248,$G504=$G$250,J$250)</f>
        <v>106</v>
      </c>
      <c r="K504" t="str" cm="1">
        <f t="array" ref="K504">_xlfn.IFS($G504=$G$5,K$5,$G504=$G$6,K$6,$G504=$G$7,K$7,$G504=$G$8,K$8,$G504=$G$9,K$9,$G504=$G$10,K$10,$G504=$G$11,K$11,$G504=$G$12,K$12,$G504=$G$13,K$13,$G504=$G$15,K$15,$G504=$G$16,K$16,$G504=$G$17,K$17,$G504=$G$18,K$18,$G504=$G$19,K$19,$G504=$G$20,K$20,$G504=$G$21,K$21,$G504=$G$22,K$22,$G504=$G$25,K$25,$G504=$G$26,K$26,$G504=$G$27,K$27,$G504=$G$29,K$29,$G504=$G$31,K$31,$G504=$G$32,K$150,$G504=$G$248,K$248,$G504=$G$250,K$250)</f>
        <v>BG sentinel + BG lure7</v>
      </c>
      <c r="L504" s="48"/>
      <c r="M504" s="48"/>
      <c r="O504" s="45" t="str">
        <f t="shared" si="37"/>
        <v>A_SP_BCN_16_210728</v>
      </c>
      <c r="P504" s="64">
        <v>44405</v>
      </c>
      <c r="R504" s="72"/>
      <c r="S504" s="64">
        <v>44412</v>
      </c>
      <c r="U504" s="72"/>
      <c r="V504" s="54" t="s">
        <v>66</v>
      </c>
      <c r="X504" s="45">
        <f t="shared" si="38"/>
        <v>7</v>
      </c>
      <c r="Z504" s="69" t="s">
        <v>69</v>
      </c>
      <c r="AA504" s="45">
        <f t="shared" si="36"/>
        <v>16</v>
      </c>
      <c r="AB504" t="str">
        <f t="shared" si="39"/>
        <v>Adult</v>
      </c>
      <c r="AC504" s="69">
        <v>13</v>
      </c>
      <c r="AD504" s="69">
        <v>3</v>
      </c>
      <c r="AE504" s="45" t="str">
        <f t="shared" si="40"/>
        <v>Morphological</v>
      </c>
      <c r="AF504" s="56">
        <v>4</v>
      </c>
    </row>
    <row r="505" spans="1:32" ht="18" customHeight="1" x14ac:dyDescent="0.25">
      <c r="A505" s="45">
        <v>501</v>
      </c>
      <c r="B505" s="45" t="s">
        <v>60</v>
      </c>
      <c r="C505" s="45" t="s">
        <v>61</v>
      </c>
      <c r="D505" s="45" t="s">
        <v>62</v>
      </c>
      <c r="E505" s="45" t="s">
        <v>62</v>
      </c>
      <c r="F505" s="46" cm="1">
        <f t="array" ref="F505">_xlfn.IFS($G505=$G$5,F$5,$G505=$G$6,F$6,$G505=$G$7,F$7,$G505=$G$8,F$8,$G505=$G$9,F$9,$G505=$G$10,F$10,$G505=$G$11,F$11,$G505=$G$12,F$12,$G505=$G$13,F$13,$G505=$G$15,F$15,$G505=$G$16,F$16,$G505=$G$17,F$17,$G505=$G$18,F$18,$G505=$G$19,F$19,$G505=$G$20,F$20,$G505=$G$21,F$21,$G505=$G$22,F$22,$G505=$G$25,F$25,$G505=$G$26,F$26,$G505=$G$27,F$27,$G505=$G$29,F$29,$G505=$G$31,F$31,$G505=$G$32,F$32,$G505=$G$248,F$248,$G505=$G$250,F$250)</f>
        <v>8017</v>
      </c>
      <c r="G505" t="s">
        <v>88</v>
      </c>
      <c r="H505" s="66" cm="1">
        <f t="array" ref="H505">_xlfn.IFS($G505=$G$5,H$5,$G505=$G$6,H$6,$G505=$G$7,H$7,$G505=$G$8,H$8,$G505=$G$9,H$9,$G505=$G$10,H$10,$G505=$G$11,H$11,$G505=$G$12,H$12,$G505=$G$13,H$13,$G505=$G$15,H$15,$G505=$G$16,H$16,$G505=$G$17,H$17,$G505=$G$18,H$18,$G505=$G$19,H$19,$G505=$G$20,H$20,$G505=$G$21,H$21,$G505=$G$22,H$22,$G505=$G$25,H$25,$G505=$G$26,H$26,$G505=$G$27,H$27,$G505=$G$29,H$29,$G505=$G$31,H$31,$G505=$G$32,H$150,$G505=$G$248,H$248,$G505=$G$250,H$250)</f>
        <v>41.398387</v>
      </c>
      <c r="I505" s="78" cm="1">
        <f t="array" ref="I505">_xlfn.IFS($G505=$G$5,I$5,$G505=$G$6,I$6,$G505=$G$7,I$7,$G505=$G$8,I$8,$G505=$G$9,I$9,$G505=$G$10,I$10,$G505=$G$11,I$11,$G505=$G$12,I$12,$G505=$G$13,I$13,$G505=$G$15,I$15,$G505=$G$16,I$16,$G505=$G$17,I$17,$G505=$G$18,I$18,$G505=$G$19,I$19,$G505=$G$20,I$20,$G505=$G$21,I$21,$G505=$G$22,I$22,$G505=$G$25,I$25,$G505=$G$26,I$26,$G505=$G$27,I$27,$G505=$G$29,I$29,$G505=$G$31,I$31,$G505=$G$32,I$150,$G505=$G$248,I$248,$G505=$G$250,I$250)</f>
        <v>2.1244429999999999</v>
      </c>
      <c r="J505" cm="1">
        <f t="array" ref="J505">_xlfn.IFS($G505=$G$5,J$5,$G505=$G$6,J$6,$G505=$G$7,J$7,$G505=$G$8,J$8,$G505=$G$9,J$9,$G505=$G$10,J$10,$G505=$G$11,J$11,$G505=$G$12,J$12,$G505=$G$13,J$13,$G505=$G$15,J$15,$G505=$G$16,J$16,$G505=$G$17,J$17,$G505=$G$18,J$18,$G505=$G$19,J$19,$G505=$G$20,J$20,$G505=$G$21,J$21,$G505=$G$22,J$22,$G505=$G$25,J$25,$G505=$G$26,J$26,$G505=$G$27,J$27,$G505=$G$29,J$29,$G505=$G$31,J$31,$G505=$G$32,J$150,$G505=$G$248,J$248,$G505=$G$250,J$250)</f>
        <v>106</v>
      </c>
      <c r="K505" t="str" cm="1">
        <f t="array" ref="K505">_xlfn.IFS($G505=$G$5,K$5,$G505=$G$6,K$6,$G505=$G$7,K$7,$G505=$G$8,K$8,$G505=$G$9,K$9,$G505=$G$10,K$10,$G505=$G$11,K$11,$G505=$G$12,K$12,$G505=$G$13,K$13,$G505=$G$15,K$15,$G505=$G$16,K$16,$G505=$G$17,K$17,$G505=$G$18,K$18,$G505=$G$19,K$19,$G505=$G$20,K$20,$G505=$G$21,K$21,$G505=$G$22,K$22,$G505=$G$25,K$25,$G505=$G$26,K$26,$G505=$G$27,K$27,$G505=$G$29,K$29,$G505=$G$31,K$31,$G505=$G$32,K$150,$G505=$G$248,K$248,$G505=$G$250,K$250)</f>
        <v>BG sentinel + BG lure7</v>
      </c>
      <c r="L505" s="48"/>
      <c r="M505" s="48"/>
      <c r="O505" s="45" t="str">
        <f t="shared" si="37"/>
        <v>A_SP_BCN_16_210728</v>
      </c>
      <c r="P505" s="64">
        <v>44405</v>
      </c>
      <c r="R505" s="72"/>
      <c r="S505" s="64">
        <v>44412</v>
      </c>
      <c r="U505" s="72"/>
      <c r="V505" s="54" t="s">
        <v>66</v>
      </c>
      <c r="X505" s="45">
        <f t="shared" si="38"/>
        <v>7</v>
      </c>
      <c r="Z505" s="45" t="s">
        <v>70</v>
      </c>
      <c r="AA505" s="45">
        <f t="shared" si="36"/>
        <v>3</v>
      </c>
      <c r="AB505" t="str">
        <f t="shared" si="39"/>
        <v>Adult</v>
      </c>
      <c r="AC505" s="69">
        <v>2</v>
      </c>
      <c r="AD505" s="69">
        <v>1</v>
      </c>
      <c r="AE505" s="45" t="str">
        <f t="shared" si="40"/>
        <v>Morphological</v>
      </c>
      <c r="AF505" s="56">
        <v>4</v>
      </c>
    </row>
    <row r="506" spans="1:32" ht="18" customHeight="1" x14ac:dyDescent="0.25">
      <c r="A506" s="45">
        <v>502</v>
      </c>
      <c r="B506" s="45" t="s">
        <v>60</v>
      </c>
      <c r="C506" s="45" t="s">
        <v>61</v>
      </c>
      <c r="D506" s="45" t="s">
        <v>62</v>
      </c>
      <c r="E506" s="45" t="s">
        <v>62</v>
      </c>
      <c r="F506" s="46" cm="1">
        <f t="array" ref="F506">_xlfn.IFS($G506=$G$5,F$5,$G506=$G$6,F$6,$G506=$G$7,F$7,$G506=$G$8,F$8,$G506=$G$9,F$9,$G506=$G$10,F$10,$G506=$G$11,F$11,$G506=$G$12,F$12,$G506=$G$13,F$13,$G506=$G$15,F$15,$G506=$G$16,F$16,$G506=$G$17,F$17,$G506=$G$18,F$18,$G506=$G$19,F$19,$G506=$G$20,F$20,$G506=$G$21,F$21,$G506=$G$22,F$22,$G506=$G$25,F$25,$G506=$G$26,F$26,$G506=$G$27,F$27,$G506=$G$29,F$29,$G506=$G$31,F$31,$G506=$G$32,F$32,$G506=$G$248,F$248,$G506=$G$250,F$250)</f>
        <v>8017</v>
      </c>
      <c r="G506" t="s">
        <v>88</v>
      </c>
      <c r="H506" s="66" cm="1">
        <f t="array" ref="H506">_xlfn.IFS($G506=$G$5,H$5,$G506=$G$6,H$6,$G506=$G$7,H$7,$G506=$G$8,H$8,$G506=$G$9,H$9,$G506=$G$10,H$10,$G506=$G$11,H$11,$G506=$G$12,H$12,$G506=$G$13,H$13,$G506=$G$15,H$15,$G506=$G$16,H$16,$G506=$G$17,H$17,$G506=$G$18,H$18,$G506=$G$19,H$19,$G506=$G$20,H$20,$G506=$G$21,H$21,$G506=$G$22,H$22,$G506=$G$25,H$25,$G506=$G$26,H$26,$G506=$G$27,H$27,$G506=$G$29,H$29,$G506=$G$31,H$31,$G506=$G$32,H$150,$G506=$G$248,H$248,$G506=$G$250,H$250)</f>
        <v>41.398387</v>
      </c>
      <c r="I506" s="78" cm="1">
        <f t="array" ref="I506">_xlfn.IFS($G506=$G$5,I$5,$G506=$G$6,I$6,$G506=$G$7,I$7,$G506=$G$8,I$8,$G506=$G$9,I$9,$G506=$G$10,I$10,$G506=$G$11,I$11,$G506=$G$12,I$12,$G506=$G$13,I$13,$G506=$G$15,I$15,$G506=$G$16,I$16,$G506=$G$17,I$17,$G506=$G$18,I$18,$G506=$G$19,I$19,$G506=$G$20,I$20,$G506=$G$21,I$21,$G506=$G$22,I$22,$G506=$G$25,I$25,$G506=$G$26,I$26,$G506=$G$27,I$27,$G506=$G$29,I$29,$G506=$G$31,I$31,$G506=$G$32,I$150,$G506=$G$248,I$248,$G506=$G$250,I$250)</f>
        <v>2.1244429999999999</v>
      </c>
      <c r="J506" cm="1">
        <f t="array" ref="J506">_xlfn.IFS($G506=$G$5,J$5,$G506=$G$6,J$6,$G506=$G$7,J$7,$G506=$G$8,J$8,$G506=$G$9,J$9,$G506=$G$10,J$10,$G506=$G$11,J$11,$G506=$G$12,J$12,$G506=$G$13,J$13,$G506=$G$15,J$15,$G506=$G$16,J$16,$G506=$G$17,J$17,$G506=$G$18,J$18,$G506=$G$19,J$19,$G506=$G$20,J$20,$G506=$G$21,J$21,$G506=$G$22,J$22,$G506=$G$25,J$25,$G506=$G$26,J$26,$G506=$G$27,J$27,$G506=$G$29,J$29,$G506=$G$31,J$31,$G506=$G$32,J$150,$G506=$G$248,J$248,$G506=$G$250,J$250)</f>
        <v>106</v>
      </c>
      <c r="K506" t="str" cm="1">
        <f t="array" ref="K506">_xlfn.IFS($G506=$G$5,K$5,$G506=$G$6,K$6,$G506=$G$7,K$7,$G506=$G$8,K$8,$G506=$G$9,K$9,$G506=$G$10,K$10,$G506=$G$11,K$11,$G506=$G$12,K$12,$G506=$G$13,K$13,$G506=$G$15,K$15,$G506=$G$16,K$16,$G506=$G$17,K$17,$G506=$G$18,K$18,$G506=$G$19,K$19,$G506=$G$20,K$20,$G506=$G$21,K$21,$G506=$G$22,K$22,$G506=$G$25,K$25,$G506=$G$26,K$26,$G506=$G$27,K$27,$G506=$G$29,K$29,$G506=$G$31,K$31,$G506=$G$32,K$150,$G506=$G$248,K$248,$G506=$G$250,K$250)</f>
        <v>BG sentinel + BG lure7</v>
      </c>
      <c r="L506" s="48"/>
      <c r="M506" s="48"/>
      <c r="O506" s="45" t="str">
        <f t="shared" si="37"/>
        <v>A_SP_BCN_16_210728</v>
      </c>
      <c r="P506" s="64">
        <v>44405</v>
      </c>
      <c r="R506" s="72"/>
      <c r="S506" s="64">
        <v>44412</v>
      </c>
      <c r="U506" s="72"/>
      <c r="V506" s="54" t="s">
        <v>66</v>
      </c>
      <c r="X506" s="45">
        <f t="shared" si="38"/>
        <v>7</v>
      </c>
      <c r="Z506" s="45" t="s">
        <v>80</v>
      </c>
      <c r="AA506" s="45">
        <f t="shared" si="36"/>
        <v>1</v>
      </c>
      <c r="AB506" t="str">
        <f t="shared" si="39"/>
        <v>Adult</v>
      </c>
      <c r="AC506" s="69">
        <v>0</v>
      </c>
      <c r="AD506" s="69">
        <v>1</v>
      </c>
      <c r="AE506" s="45" t="str">
        <f t="shared" si="40"/>
        <v>Morphological</v>
      </c>
      <c r="AF506" s="56">
        <v>4</v>
      </c>
    </row>
    <row r="507" spans="1:32" ht="18" customHeight="1" x14ac:dyDescent="0.25">
      <c r="A507" s="45">
        <v>503</v>
      </c>
      <c r="B507" s="45" t="s">
        <v>60</v>
      </c>
      <c r="C507" s="45" t="s">
        <v>61</v>
      </c>
      <c r="D507" s="45" t="s">
        <v>62</v>
      </c>
      <c r="E507" s="45" t="s">
        <v>62</v>
      </c>
      <c r="F507" s="46" cm="1">
        <f t="array" ref="F507">_xlfn.IFS($G507=$G$5,F$5,$G507=$G$6,F$6,$G507=$G$7,F$7,$G507=$G$8,F$8,$G507=$G$9,F$9,$G507=$G$10,F$10,$G507=$G$11,F$11,$G507=$G$12,F$12,$G507=$G$13,F$13,$G507=$G$15,F$15,$G507=$G$16,F$16,$G507=$G$17,F$17,$G507=$G$18,F$18,$G507=$G$19,F$19,$G507=$G$20,F$20,$G507=$G$21,F$21,$G507=$G$22,F$22,$G507=$G$25,F$25,$G507=$G$26,F$26,$G507=$G$27,F$27,$G507=$G$29,F$29,$G507=$G$31,F$31,$G507=$G$32,F$32,$G507=$G$248,F$248,$G507=$G$250,F$250)</f>
        <v>8023</v>
      </c>
      <c r="G507" t="s">
        <v>89</v>
      </c>
      <c r="H507" s="66" cm="1">
        <f t="array" ref="H507">_xlfn.IFS($G507=$G$5,H$5,$G507=$G$6,H$6,$G507=$G$7,H$7,$G507=$G$8,H$8,$G507=$G$9,H$9,$G507=$G$10,H$10,$G507=$G$11,H$11,$G507=$G$12,H$12,$G507=$G$13,H$13,$G507=$G$15,H$15,$G507=$G$16,H$16,$G507=$G$17,H$17,$G507=$G$18,H$18,$G507=$G$19,H$19,$G507=$G$20,H$20,$G507=$G$21,H$21,$G507=$G$22,H$22,$G507=$G$25,H$25,$G507=$G$26,H$26,$G507=$G$27,H$27,$G507=$G$29,H$29,$G507=$G$31,H$31,$G507=$G$32,H$150,$G507=$G$248,H$248,$G507=$G$250,H$250)</f>
        <v>41.417256000000002</v>
      </c>
      <c r="I507" s="78" cm="1">
        <f t="array" ref="I507">_xlfn.IFS($G507=$G$5,I$5,$G507=$G$6,I$6,$G507=$G$7,I$7,$G507=$G$8,I$8,$G507=$G$9,I$9,$G507=$G$10,I$10,$G507=$G$11,I$11,$G507=$G$12,I$12,$G507=$G$13,I$13,$G507=$G$15,I$15,$G507=$G$16,I$16,$G507=$G$17,I$17,$G507=$G$18,I$18,$G507=$G$19,I$19,$G507=$G$20,I$20,$G507=$G$21,I$21,$G507=$G$22,I$22,$G507=$G$25,I$25,$G507=$G$26,I$26,$G507=$G$27,I$27,$G507=$G$29,I$29,$G507=$G$31,I$31,$G507=$G$32,I$150,$G507=$G$248,I$248,$G507=$G$250,I$250)</f>
        <v>2.1455709999999999</v>
      </c>
      <c r="J507" cm="1">
        <f t="array" ref="J507">_xlfn.IFS($G507=$G$5,J$5,$G507=$G$6,J$6,$G507=$G$7,J$7,$G507=$G$8,J$8,$G507=$G$9,J$9,$G507=$G$10,J$10,$G507=$G$11,J$11,$G507=$G$12,J$12,$G507=$G$13,J$13,$G507=$G$15,J$15,$G507=$G$16,J$16,$G507=$G$17,J$17,$G507=$G$18,J$18,$G507=$G$19,J$19,$G507=$G$20,J$20,$G507=$G$21,J$21,$G507=$G$22,J$22,$G507=$G$25,J$25,$G507=$G$26,J$26,$G507=$G$27,J$27,$G507=$G$29,J$29,$G507=$G$31,J$31,$G507=$G$32,J$150,$G507=$G$248,J$248,$G507=$G$250,J$250)</f>
        <v>186</v>
      </c>
      <c r="K507" t="str" cm="1">
        <f t="array" ref="K507">_xlfn.IFS($G507=$G$5,K$5,$G507=$G$6,K$6,$G507=$G$7,K$7,$G507=$G$8,K$8,$G507=$G$9,K$9,$G507=$G$10,K$10,$G507=$G$11,K$11,$G507=$G$12,K$12,$G507=$G$13,K$13,$G507=$G$15,K$15,$G507=$G$16,K$16,$G507=$G$17,K$17,$G507=$G$18,K$18,$G507=$G$19,K$19,$G507=$G$20,K$20,$G507=$G$21,K$21,$G507=$G$22,K$22,$G507=$G$25,K$25,$G507=$G$26,K$26,$G507=$G$27,K$27,$G507=$G$29,K$29,$G507=$G$31,K$31,$G507=$G$32,K$150,$G507=$G$248,K$248,$G507=$G$250,K$250)</f>
        <v>BG sentinel + BG lure7</v>
      </c>
      <c r="L507" s="48"/>
      <c r="M507" s="48"/>
      <c r="O507" s="45" t="str">
        <f t="shared" si="37"/>
        <v>A_SP_BCN_17_210728</v>
      </c>
      <c r="P507" s="64">
        <v>44405</v>
      </c>
      <c r="R507" s="72"/>
      <c r="S507" s="64">
        <v>44440</v>
      </c>
      <c r="U507" s="72"/>
      <c r="V507" s="54" t="s">
        <v>141</v>
      </c>
      <c r="W507" t="s">
        <v>142</v>
      </c>
      <c r="X507" s="45">
        <f t="shared" si="38"/>
        <v>35</v>
      </c>
      <c r="Z507" s="69" t="s">
        <v>69</v>
      </c>
      <c r="AA507" s="45">
        <f t="shared" si="36"/>
        <v>2</v>
      </c>
      <c r="AB507" t="str">
        <f t="shared" si="39"/>
        <v>Adult</v>
      </c>
      <c r="AC507" s="69">
        <v>1</v>
      </c>
      <c r="AD507" s="69">
        <v>1</v>
      </c>
      <c r="AE507" s="45" t="str">
        <f t="shared" si="40"/>
        <v>Morphological</v>
      </c>
      <c r="AF507" s="56">
        <v>1</v>
      </c>
    </row>
    <row r="508" spans="1:32" ht="18" customHeight="1" x14ac:dyDescent="0.25">
      <c r="A508" s="45">
        <v>504</v>
      </c>
      <c r="B508" s="45" t="s">
        <v>60</v>
      </c>
      <c r="C508" s="45" t="s">
        <v>61</v>
      </c>
      <c r="D508" s="45" t="s">
        <v>62</v>
      </c>
      <c r="E508" s="45" t="s">
        <v>62</v>
      </c>
      <c r="F508" s="46" cm="1">
        <f t="array" ref="F508">_xlfn.IFS($G508=$G$5,F$5,$G508=$G$6,F$6,$G508=$G$7,F$7,$G508=$G$8,F$8,$G508=$G$9,F$9,$G508=$G$10,F$10,$G508=$G$11,F$11,$G508=$G$12,F$12,$G508=$G$13,F$13,$G508=$G$15,F$15,$G508=$G$16,F$16,$G508=$G$17,F$17,$G508=$G$18,F$18,$G508=$G$19,F$19,$G508=$G$20,F$20,$G508=$G$21,F$21,$G508=$G$22,F$22,$G508=$G$25,F$25,$G508=$G$26,F$26,$G508=$G$27,F$27,$G508=$G$29,F$29,$G508=$G$31,F$31,$G508=$G$32,F$32,$G508=$G$248,F$248,$G508=$G$250,F$250)</f>
        <v>8031</v>
      </c>
      <c r="G508" t="s">
        <v>92</v>
      </c>
      <c r="H508" s="66" cm="1">
        <f t="array" ref="H508">_xlfn.IFS($G508=$G$5,H$5,$G508=$G$6,H$6,$G508=$G$7,H$7,$G508=$G$8,H$8,$G508=$G$9,H$9,$G508=$G$10,H$10,$G508=$G$11,H$11,$G508=$G$12,H$12,$G508=$G$13,H$13,$G508=$G$15,H$15,$G508=$G$16,H$16,$G508=$G$17,H$17,$G508=$G$18,H$18,$G508=$G$19,H$19,$G508=$G$20,H$20,$G508=$G$21,H$21,$G508=$G$22,H$22,$G508=$G$25,H$25,$G508=$G$26,H$26,$G508=$G$27,H$27,$G508=$G$29,H$29,$G508=$G$31,H$31,$G508=$G$32,H$150,$G508=$G$248,H$248,$G508=$G$250,H$250)</f>
        <v>41.433618000000003</v>
      </c>
      <c r="I508" s="78" cm="1">
        <f t="array" ref="I508">_xlfn.IFS($G508=$G$5,I$5,$G508=$G$6,I$6,$G508=$G$7,I$7,$G508=$G$8,I$8,$G508=$G$9,I$9,$G508=$G$10,I$10,$G508=$G$11,I$11,$G508=$G$12,I$12,$G508=$G$13,I$13,$G508=$G$15,I$15,$G508=$G$16,I$16,$G508=$G$17,I$17,$G508=$G$18,I$18,$G508=$G$19,I$19,$G508=$G$20,I$20,$G508=$G$21,I$21,$G508=$G$22,I$22,$G508=$G$25,I$25,$G508=$G$26,I$26,$G508=$G$27,I$27,$G508=$G$29,I$29,$G508=$G$31,I$31,$G508=$G$32,I$150,$G508=$G$248,I$248,$G508=$G$250,I$250)</f>
        <v>2.1677469999999999</v>
      </c>
      <c r="J508" cm="1">
        <f t="array" ref="J508">_xlfn.IFS($G508=$G$5,J$5,$G508=$G$6,J$6,$G508=$G$7,J$7,$G508=$G$8,J$8,$G508=$G$9,J$9,$G508=$G$10,J$10,$G508=$G$11,J$11,$G508=$G$12,J$12,$G508=$G$13,J$13,$G508=$G$15,J$15,$G508=$G$16,J$16,$G508=$G$17,J$17,$G508=$G$18,J$18,$G508=$G$19,J$19,$G508=$G$20,J$20,$G508=$G$21,J$21,$G508=$G$22,J$22,$G508=$G$25,J$25,$G508=$G$26,J$26,$G508=$G$27,J$27,$G508=$G$29,J$29,$G508=$G$31,J$31,$G508=$G$32,J$150,$G508=$G$248,J$248,$G508=$G$250,J$250)</f>
        <v>96.85</v>
      </c>
      <c r="K508" t="str" cm="1">
        <f t="array" ref="K508">_xlfn.IFS($G508=$G$5,K$5,$G508=$G$6,K$6,$G508=$G$7,K$7,$G508=$G$8,K$8,$G508=$G$9,K$9,$G508=$G$10,K$10,$G508=$G$11,K$11,$G508=$G$12,K$12,$G508=$G$13,K$13,$G508=$G$15,K$15,$G508=$G$16,K$16,$G508=$G$17,K$17,$G508=$G$18,K$18,$G508=$G$19,K$19,$G508=$G$20,K$20,$G508=$G$21,K$21,$G508=$G$22,K$22,$G508=$G$25,K$25,$G508=$G$26,K$26,$G508=$G$27,K$27,$G508=$G$29,K$29,$G508=$G$31,K$31,$G508=$G$32,K$150,$G508=$G$248,K$248,$G508=$G$250,K$250)</f>
        <v>BG sentinel + BG lure7</v>
      </c>
      <c r="L508" s="48"/>
      <c r="M508" s="48"/>
      <c r="O508" s="45" t="str">
        <f t="shared" si="37"/>
        <v>A_SP_BCN_18_210728</v>
      </c>
      <c r="P508" s="64">
        <v>44405</v>
      </c>
      <c r="R508" s="72"/>
      <c r="S508" s="64">
        <v>44440</v>
      </c>
      <c r="U508" s="72"/>
      <c r="V508" s="54" t="s">
        <v>66</v>
      </c>
      <c r="X508" s="45">
        <f t="shared" si="38"/>
        <v>35</v>
      </c>
      <c r="Z508" s="69" t="s">
        <v>69</v>
      </c>
      <c r="AA508" s="45">
        <f t="shared" si="36"/>
        <v>31</v>
      </c>
      <c r="AB508" t="str">
        <f t="shared" si="39"/>
        <v>Adult</v>
      </c>
      <c r="AC508" s="69">
        <v>28</v>
      </c>
      <c r="AD508" s="69">
        <v>3</v>
      </c>
      <c r="AE508" s="45" t="str">
        <f t="shared" si="40"/>
        <v>Morphological</v>
      </c>
      <c r="AF508" s="56">
        <v>4</v>
      </c>
    </row>
    <row r="509" spans="1:32" ht="18" customHeight="1" x14ac:dyDescent="0.25">
      <c r="A509" s="45">
        <v>505</v>
      </c>
      <c r="B509" s="45" t="s">
        <v>60</v>
      </c>
      <c r="C509" s="45" t="s">
        <v>61</v>
      </c>
      <c r="D509" s="45" t="s">
        <v>62</v>
      </c>
      <c r="E509" s="45" t="s">
        <v>62</v>
      </c>
      <c r="F509" s="46" cm="1">
        <f t="array" ref="F509">_xlfn.IFS($G509=$G$5,F$5,$G509=$G$6,F$6,$G509=$G$7,F$7,$G509=$G$8,F$8,$G509=$G$9,F$9,$G509=$G$10,F$10,$G509=$G$11,F$11,$G509=$G$12,F$12,$G509=$G$13,F$13,$G509=$G$15,F$15,$G509=$G$16,F$16,$G509=$G$17,F$17,$G509=$G$18,F$18,$G509=$G$19,F$19,$G509=$G$20,F$20,$G509=$G$21,F$21,$G509=$G$22,F$22,$G509=$G$25,F$25,$G509=$G$26,F$26,$G509=$G$27,F$27,$G509=$G$29,F$29,$G509=$G$31,F$31,$G509=$G$32,F$32,$G509=$G$248,F$248,$G509=$G$250,F$250)</f>
        <v>8031</v>
      </c>
      <c r="G509" t="s">
        <v>92</v>
      </c>
      <c r="H509" s="66" cm="1">
        <f t="array" ref="H509">_xlfn.IFS($G509=$G$5,H$5,$G509=$G$6,H$6,$G509=$G$7,H$7,$G509=$G$8,H$8,$G509=$G$9,H$9,$G509=$G$10,H$10,$G509=$G$11,H$11,$G509=$G$12,H$12,$G509=$G$13,H$13,$G509=$G$15,H$15,$G509=$G$16,H$16,$G509=$G$17,H$17,$G509=$G$18,H$18,$G509=$G$19,H$19,$G509=$G$20,H$20,$G509=$G$21,H$21,$G509=$G$22,H$22,$G509=$G$25,H$25,$G509=$G$26,H$26,$G509=$G$27,H$27,$G509=$G$29,H$29,$G509=$G$31,H$31,$G509=$G$32,H$150,$G509=$G$248,H$248,$G509=$G$250,H$250)</f>
        <v>41.433618000000003</v>
      </c>
      <c r="I509" s="78" cm="1">
        <f t="array" ref="I509">_xlfn.IFS($G509=$G$5,I$5,$G509=$G$6,I$6,$G509=$G$7,I$7,$G509=$G$8,I$8,$G509=$G$9,I$9,$G509=$G$10,I$10,$G509=$G$11,I$11,$G509=$G$12,I$12,$G509=$G$13,I$13,$G509=$G$15,I$15,$G509=$G$16,I$16,$G509=$G$17,I$17,$G509=$G$18,I$18,$G509=$G$19,I$19,$G509=$G$20,I$20,$G509=$G$21,I$21,$G509=$G$22,I$22,$G509=$G$25,I$25,$G509=$G$26,I$26,$G509=$G$27,I$27,$G509=$G$29,I$29,$G509=$G$31,I$31,$G509=$G$32,I$150,$G509=$G$248,I$248,$G509=$G$250,I$250)</f>
        <v>2.1677469999999999</v>
      </c>
      <c r="J509" cm="1">
        <f t="array" ref="J509">_xlfn.IFS($G509=$G$5,J$5,$G509=$G$6,J$6,$G509=$G$7,J$7,$G509=$G$8,J$8,$G509=$G$9,J$9,$G509=$G$10,J$10,$G509=$G$11,J$11,$G509=$G$12,J$12,$G509=$G$13,J$13,$G509=$G$15,J$15,$G509=$G$16,J$16,$G509=$G$17,J$17,$G509=$G$18,J$18,$G509=$G$19,J$19,$G509=$G$20,J$20,$G509=$G$21,J$21,$G509=$G$22,J$22,$G509=$G$25,J$25,$G509=$G$26,J$26,$G509=$G$27,J$27,$G509=$G$29,J$29,$G509=$G$31,J$31,$G509=$G$32,J$150,$G509=$G$248,J$248,$G509=$G$250,J$250)</f>
        <v>96.85</v>
      </c>
      <c r="K509" t="str" cm="1">
        <f t="array" ref="K509">_xlfn.IFS($G509=$G$5,K$5,$G509=$G$6,K$6,$G509=$G$7,K$7,$G509=$G$8,K$8,$G509=$G$9,K$9,$G509=$G$10,K$10,$G509=$G$11,K$11,$G509=$G$12,K$12,$G509=$G$13,K$13,$G509=$G$15,K$15,$G509=$G$16,K$16,$G509=$G$17,K$17,$G509=$G$18,K$18,$G509=$G$19,K$19,$G509=$G$20,K$20,$G509=$G$21,K$21,$G509=$G$22,K$22,$G509=$G$25,K$25,$G509=$G$26,K$26,$G509=$G$27,K$27,$G509=$G$29,K$29,$G509=$G$31,K$31,$G509=$G$32,K$150,$G509=$G$248,K$248,$G509=$G$250,K$250)</f>
        <v>BG sentinel + BG lure7</v>
      </c>
      <c r="L509" s="48"/>
      <c r="M509" s="48"/>
      <c r="O509" s="45" t="str">
        <f t="shared" ref="O509:O572" si="41">G509&amp;"_"&amp;TEXT(P509, "AAMMDD")</f>
        <v>A_SP_BCN_18_210728</v>
      </c>
      <c r="P509" s="64">
        <v>44405</v>
      </c>
      <c r="R509" s="72"/>
      <c r="S509" s="64">
        <v>44440</v>
      </c>
      <c r="U509" s="72"/>
      <c r="V509" s="54" t="s">
        <v>66</v>
      </c>
      <c r="X509" s="45">
        <f t="shared" si="38"/>
        <v>35</v>
      </c>
      <c r="Z509" s="45" t="s">
        <v>70</v>
      </c>
      <c r="AA509" s="45">
        <f t="shared" si="36"/>
        <v>4</v>
      </c>
      <c r="AB509" t="str">
        <f t="shared" ref="AB509:AB572" si="42">IF(AA509=0,"",IF(AA509="","",IF(AA509&gt;0,"Adult")))</f>
        <v>Adult</v>
      </c>
      <c r="AC509" s="69">
        <v>4</v>
      </c>
      <c r="AD509" s="69">
        <v>0</v>
      </c>
      <c r="AE509" s="45" t="str">
        <f t="shared" ref="AE509:AE572" si="43">IF(AA509=0,"",IF(AA509="","",IF(AA509&gt;0,"Morphological")))</f>
        <v>Morphological</v>
      </c>
      <c r="AF509" s="56">
        <v>4</v>
      </c>
    </row>
    <row r="510" spans="1:32" ht="18" customHeight="1" x14ac:dyDescent="0.25">
      <c r="A510" s="45">
        <v>506</v>
      </c>
      <c r="B510" s="45" t="s">
        <v>60</v>
      </c>
      <c r="C510" s="45" t="s">
        <v>61</v>
      </c>
      <c r="D510" s="45" t="s">
        <v>62</v>
      </c>
      <c r="E510" s="45" t="s">
        <v>62</v>
      </c>
      <c r="F510" s="46" cm="1">
        <f t="array" ref="F510">_xlfn.IFS($G510=$G$5,F$5,$G510=$G$6,F$6,$G510=$G$7,F$7,$G510=$G$8,F$8,$G510=$G$9,F$9,$G510=$G$10,F$10,$G510=$G$11,F$11,$G510=$G$12,F$12,$G510=$G$13,F$13,$G510=$G$15,F$15,$G510=$G$16,F$16,$G510=$G$17,F$17,$G510=$G$18,F$18,$G510=$G$19,F$19,$G510=$G$20,F$20,$G510=$G$21,F$21,$G510=$G$22,F$22,$G510=$G$25,F$25,$G510=$G$26,F$26,$G510=$G$27,F$27,$G510=$G$29,F$29,$G510=$G$31,F$31,$G510=$G$32,F$32,$G510=$G$248,F$248,$G510=$G$250,F$250)</f>
        <v>8031</v>
      </c>
      <c r="G510" t="s">
        <v>92</v>
      </c>
      <c r="H510" s="66" cm="1">
        <f t="array" ref="H510">_xlfn.IFS($G510=$G$5,H$5,$G510=$G$6,H$6,$G510=$G$7,H$7,$G510=$G$8,H$8,$G510=$G$9,H$9,$G510=$G$10,H$10,$G510=$G$11,H$11,$G510=$G$12,H$12,$G510=$G$13,H$13,$G510=$G$15,H$15,$G510=$G$16,H$16,$G510=$G$17,H$17,$G510=$G$18,H$18,$G510=$G$19,H$19,$G510=$G$20,H$20,$G510=$G$21,H$21,$G510=$G$22,H$22,$G510=$G$25,H$25,$G510=$G$26,H$26,$G510=$G$27,H$27,$G510=$G$29,H$29,$G510=$G$31,H$31,$G510=$G$32,H$150,$G510=$G$248,H$248,$G510=$G$250,H$250)</f>
        <v>41.433618000000003</v>
      </c>
      <c r="I510" s="78" cm="1">
        <f t="array" ref="I510">_xlfn.IFS($G510=$G$5,I$5,$G510=$G$6,I$6,$G510=$G$7,I$7,$G510=$G$8,I$8,$G510=$G$9,I$9,$G510=$G$10,I$10,$G510=$G$11,I$11,$G510=$G$12,I$12,$G510=$G$13,I$13,$G510=$G$15,I$15,$G510=$G$16,I$16,$G510=$G$17,I$17,$G510=$G$18,I$18,$G510=$G$19,I$19,$G510=$G$20,I$20,$G510=$G$21,I$21,$G510=$G$22,I$22,$G510=$G$25,I$25,$G510=$G$26,I$26,$G510=$G$27,I$27,$G510=$G$29,I$29,$G510=$G$31,I$31,$G510=$G$32,I$150,$G510=$G$248,I$248,$G510=$G$250,I$250)</f>
        <v>2.1677469999999999</v>
      </c>
      <c r="J510" cm="1">
        <f t="array" ref="J510">_xlfn.IFS($G510=$G$5,J$5,$G510=$G$6,J$6,$G510=$G$7,J$7,$G510=$G$8,J$8,$G510=$G$9,J$9,$G510=$G$10,J$10,$G510=$G$11,J$11,$G510=$G$12,J$12,$G510=$G$13,J$13,$G510=$G$15,J$15,$G510=$G$16,J$16,$G510=$G$17,J$17,$G510=$G$18,J$18,$G510=$G$19,J$19,$G510=$G$20,J$20,$G510=$G$21,J$21,$G510=$G$22,J$22,$G510=$G$25,J$25,$G510=$G$26,J$26,$G510=$G$27,J$27,$G510=$G$29,J$29,$G510=$G$31,J$31,$G510=$G$32,J$150,$G510=$G$248,J$248,$G510=$G$250,J$250)</f>
        <v>96.85</v>
      </c>
      <c r="K510" t="str" cm="1">
        <f t="array" ref="K510">_xlfn.IFS($G510=$G$5,K$5,$G510=$G$6,K$6,$G510=$G$7,K$7,$G510=$G$8,K$8,$G510=$G$9,K$9,$G510=$G$10,K$10,$G510=$G$11,K$11,$G510=$G$12,K$12,$G510=$G$13,K$13,$G510=$G$15,K$15,$G510=$G$16,K$16,$G510=$G$17,K$17,$G510=$G$18,K$18,$G510=$G$19,K$19,$G510=$G$20,K$20,$G510=$G$21,K$21,$G510=$G$22,K$22,$G510=$G$25,K$25,$G510=$G$26,K$26,$G510=$G$27,K$27,$G510=$G$29,K$29,$G510=$G$31,K$31,$G510=$G$32,K$150,$G510=$G$248,K$248,$G510=$G$250,K$250)</f>
        <v>BG sentinel + BG lure7</v>
      </c>
      <c r="L510" s="48"/>
      <c r="M510" s="48"/>
      <c r="O510" s="45" t="str">
        <f t="shared" si="41"/>
        <v>A_SP_BCN_18_210728</v>
      </c>
      <c r="P510" s="64">
        <v>44405</v>
      </c>
      <c r="R510" s="72"/>
      <c r="S510" s="64">
        <v>44440</v>
      </c>
      <c r="U510" s="72"/>
      <c r="V510" s="54" t="s">
        <v>66</v>
      </c>
      <c r="X510" s="45">
        <f t="shared" si="38"/>
        <v>35</v>
      </c>
      <c r="Z510" s="45" t="s">
        <v>80</v>
      </c>
      <c r="AA510" s="45">
        <f t="shared" si="36"/>
        <v>2</v>
      </c>
      <c r="AB510" t="str">
        <f t="shared" si="42"/>
        <v>Adult</v>
      </c>
      <c r="AC510" s="69">
        <v>2</v>
      </c>
      <c r="AD510" s="69">
        <v>0</v>
      </c>
      <c r="AE510" s="45" t="str">
        <f t="shared" si="43"/>
        <v>Morphological</v>
      </c>
      <c r="AF510" s="56">
        <v>4</v>
      </c>
    </row>
    <row r="511" spans="1:32" ht="18" customHeight="1" x14ac:dyDescent="0.25">
      <c r="A511" s="45">
        <v>507</v>
      </c>
      <c r="B511" s="45" t="s">
        <v>60</v>
      </c>
      <c r="C511" s="45" t="s">
        <v>61</v>
      </c>
      <c r="D511" s="45" t="s">
        <v>62</v>
      </c>
      <c r="E511" s="45" t="s">
        <v>62</v>
      </c>
      <c r="F511" s="46" cm="1">
        <f t="array" ref="F511">_xlfn.IFS($G511=$G$5,F$5,$G511=$G$6,F$6,$G511=$G$7,F$7,$G511=$G$8,F$8,$G511=$G$9,F$9,$G511=$G$10,F$10,$G511=$G$11,F$11,$G511=$G$12,F$12,$G511=$G$13,F$13,$G511=$G$15,F$15,$G511=$G$16,F$16,$G511=$G$17,F$17,$G511=$G$18,F$18,$G511=$G$19,F$19,$G511=$G$20,F$20,$G511=$G$21,F$21,$G511=$G$22,F$22,$G511=$G$25,F$25,$G511=$G$26,F$26,$G511=$G$27,F$27,$G511=$G$29,F$29,$G511=$G$31,F$31,$G511=$G$32,F$32,$G511=$G$248,F$248,$G511=$G$250,F$250)</f>
        <v>8038</v>
      </c>
      <c r="G511" t="s">
        <v>93</v>
      </c>
      <c r="H511" s="66" cm="1">
        <f t="array" ref="H511">_xlfn.IFS($G511=$G$5,H$5,$G511=$G$6,H$6,$G511=$G$7,H$7,$G511=$G$8,H$8,$G511=$G$9,H$9,$G511=$G$10,H$10,$G511=$G$11,H$11,$G511=$G$12,H$12,$G511=$G$13,H$13,$G511=$G$15,H$15,$G511=$G$16,H$16,$G511=$G$17,H$17,$G511=$G$18,H$18,$G511=$G$19,H$19,$G511=$G$20,H$20,$G511=$G$21,H$21,$G511=$G$22,H$22,$G511=$G$25,H$25,$G511=$G$26,H$26,$G511=$G$27,H$27,$G511=$G$29,H$29,$G511=$G$31,H$31,$G511=$G$32,H$150,$G511=$G$248,H$248,$G511=$G$250,H$250)</f>
        <v>41.359864999999999</v>
      </c>
      <c r="I511" s="78" cm="1">
        <f t="array" ref="I511">_xlfn.IFS($G511=$G$5,I$5,$G511=$G$6,I$6,$G511=$G$7,I$7,$G511=$G$8,I$8,$G511=$G$9,I$9,$G511=$G$10,I$10,$G511=$G$11,I$11,$G511=$G$12,I$12,$G511=$G$13,I$13,$G511=$G$15,I$15,$G511=$G$16,I$16,$G511=$G$17,I$17,$G511=$G$18,I$18,$G511=$G$19,I$19,$G511=$G$20,I$20,$G511=$G$21,I$21,$G511=$G$22,I$22,$G511=$G$25,I$25,$G511=$G$26,I$26,$G511=$G$27,I$27,$G511=$G$29,I$29,$G511=$G$31,I$31,$G511=$G$32,I$150,$G511=$G$248,I$248,$G511=$G$250,I$250)</f>
        <v>2.1445430000000001</v>
      </c>
      <c r="J511" cm="1">
        <f t="array" ref="J511">_xlfn.IFS($G511=$G$5,J$5,$G511=$G$6,J$6,$G511=$G$7,J$7,$G511=$G$8,J$8,$G511=$G$9,J$9,$G511=$G$10,J$10,$G511=$G$11,J$11,$G511=$G$12,J$12,$G511=$G$13,J$13,$G511=$G$15,J$15,$G511=$G$16,J$16,$G511=$G$17,J$17,$G511=$G$18,J$18,$G511=$G$19,J$19,$G511=$G$20,J$20,$G511=$G$21,J$21,$G511=$G$22,J$22,$G511=$G$25,J$25,$G511=$G$26,J$26,$G511=$G$27,J$27,$G511=$G$29,J$29,$G511=$G$31,J$31,$G511=$G$32,J$150,$G511=$G$248,J$248,$G511=$G$250,J$250)</f>
        <v>11.4</v>
      </c>
      <c r="K511" t="str" cm="1">
        <f t="array" ref="K511">_xlfn.IFS($G511=$G$5,K$5,$G511=$G$6,K$6,$G511=$G$7,K$7,$G511=$G$8,K$8,$G511=$G$9,K$9,$G511=$G$10,K$10,$G511=$G$11,K$11,$G511=$G$12,K$12,$G511=$G$13,K$13,$G511=$G$15,K$15,$G511=$G$16,K$16,$G511=$G$17,K$17,$G511=$G$18,K$18,$G511=$G$19,K$19,$G511=$G$20,K$20,$G511=$G$21,K$21,$G511=$G$22,K$22,$G511=$G$25,K$25,$G511=$G$26,K$26,$G511=$G$27,K$27,$G511=$G$29,K$29,$G511=$G$31,K$31,$G511=$G$32,K$150,$G511=$G$248,K$248,$G511=$G$250,K$250)</f>
        <v>BG sentinel + BG lure7</v>
      </c>
      <c r="L511" s="48"/>
      <c r="M511" s="48"/>
      <c r="O511" s="45" t="str">
        <f t="shared" si="41"/>
        <v>A_SP_BCN_19_210729</v>
      </c>
      <c r="P511" s="64">
        <v>44406</v>
      </c>
      <c r="R511" s="72"/>
      <c r="S511" s="64">
        <v>44413</v>
      </c>
      <c r="U511" s="72"/>
      <c r="V511" s="54" t="s">
        <v>66</v>
      </c>
      <c r="W511" t="s">
        <v>143</v>
      </c>
      <c r="X511" s="45">
        <f t="shared" ref="X511:X578" si="44">S511-P511</f>
        <v>7</v>
      </c>
      <c r="Z511" s="69" t="s">
        <v>69</v>
      </c>
      <c r="AA511" s="45">
        <f t="shared" si="36"/>
        <v>19</v>
      </c>
      <c r="AB511" t="str">
        <f t="shared" si="42"/>
        <v>Adult</v>
      </c>
      <c r="AC511" s="69">
        <v>15</v>
      </c>
      <c r="AD511" s="69">
        <v>4</v>
      </c>
      <c r="AE511" s="45" t="str">
        <f t="shared" si="43"/>
        <v>Morphological</v>
      </c>
      <c r="AF511" s="56">
        <v>2</v>
      </c>
    </row>
    <row r="512" spans="1:32" ht="18" customHeight="1" x14ac:dyDescent="0.25">
      <c r="A512" s="45">
        <v>508</v>
      </c>
      <c r="B512" s="45" t="s">
        <v>60</v>
      </c>
      <c r="C512" s="45" t="s">
        <v>61</v>
      </c>
      <c r="D512" s="45" t="s">
        <v>62</v>
      </c>
      <c r="E512" s="45" t="s">
        <v>62</v>
      </c>
      <c r="F512" s="46" cm="1">
        <f t="array" ref="F512">_xlfn.IFS($G512=$G$5,F$5,$G512=$G$6,F$6,$G512=$G$7,F$7,$G512=$G$8,F$8,$G512=$G$9,F$9,$G512=$G$10,F$10,$G512=$G$11,F$11,$G512=$G$12,F$12,$G512=$G$13,F$13,$G512=$G$15,F$15,$G512=$G$16,F$16,$G512=$G$17,F$17,$G512=$G$18,F$18,$G512=$G$19,F$19,$G512=$G$20,F$20,$G512=$G$21,F$21,$G512=$G$22,F$22,$G512=$G$25,F$25,$G512=$G$26,F$26,$G512=$G$27,F$27,$G512=$G$29,F$29,$G512=$G$31,F$31,$G512=$G$32,F$32,$G512=$G$248,F$248,$G512=$G$250,F$250)</f>
        <v>8038</v>
      </c>
      <c r="G512" t="s">
        <v>93</v>
      </c>
      <c r="H512" s="66" cm="1">
        <f t="array" ref="H512">_xlfn.IFS($G512=$G$5,H$5,$G512=$G$6,H$6,$G512=$G$7,H$7,$G512=$G$8,H$8,$G512=$G$9,H$9,$G512=$G$10,H$10,$G512=$G$11,H$11,$G512=$G$12,H$12,$G512=$G$13,H$13,$G512=$G$15,H$15,$G512=$G$16,H$16,$G512=$G$17,H$17,$G512=$G$18,H$18,$G512=$G$19,H$19,$G512=$G$20,H$20,$G512=$G$21,H$21,$G512=$G$22,H$22,$G512=$G$25,H$25,$G512=$G$26,H$26,$G512=$G$27,H$27,$G512=$G$29,H$29,$G512=$G$31,H$31,$G512=$G$32,H$150,$G512=$G$248,H$248,$G512=$G$250,H$250)</f>
        <v>41.359864999999999</v>
      </c>
      <c r="I512" s="78" cm="1">
        <f t="array" ref="I512">_xlfn.IFS($G512=$G$5,I$5,$G512=$G$6,I$6,$G512=$G$7,I$7,$G512=$G$8,I$8,$G512=$G$9,I$9,$G512=$G$10,I$10,$G512=$G$11,I$11,$G512=$G$12,I$12,$G512=$G$13,I$13,$G512=$G$15,I$15,$G512=$G$16,I$16,$G512=$G$17,I$17,$G512=$G$18,I$18,$G512=$G$19,I$19,$G512=$G$20,I$20,$G512=$G$21,I$21,$G512=$G$22,I$22,$G512=$G$25,I$25,$G512=$G$26,I$26,$G512=$G$27,I$27,$G512=$G$29,I$29,$G512=$G$31,I$31,$G512=$G$32,I$150,$G512=$G$248,I$248,$G512=$G$250,I$250)</f>
        <v>2.1445430000000001</v>
      </c>
      <c r="J512" cm="1">
        <f t="array" ref="J512">_xlfn.IFS($G512=$G$5,J$5,$G512=$G$6,J$6,$G512=$G$7,J$7,$G512=$G$8,J$8,$G512=$G$9,J$9,$G512=$G$10,J$10,$G512=$G$11,J$11,$G512=$G$12,J$12,$G512=$G$13,J$13,$G512=$G$15,J$15,$G512=$G$16,J$16,$G512=$G$17,J$17,$G512=$G$18,J$18,$G512=$G$19,J$19,$G512=$G$20,J$20,$G512=$G$21,J$21,$G512=$G$22,J$22,$G512=$G$25,J$25,$G512=$G$26,J$26,$G512=$G$27,J$27,$G512=$G$29,J$29,$G512=$G$31,J$31,$G512=$G$32,J$150,$G512=$G$248,J$248,$G512=$G$250,J$250)</f>
        <v>11.4</v>
      </c>
      <c r="K512" t="str" cm="1">
        <f t="array" ref="K512">_xlfn.IFS($G512=$G$5,K$5,$G512=$G$6,K$6,$G512=$G$7,K$7,$G512=$G$8,K$8,$G512=$G$9,K$9,$G512=$G$10,K$10,$G512=$G$11,K$11,$G512=$G$12,K$12,$G512=$G$13,K$13,$G512=$G$15,K$15,$G512=$G$16,K$16,$G512=$G$17,K$17,$G512=$G$18,K$18,$G512=$G$19,K$19,$G512=$G$20,K$20,$G512=$G$21,K$21,$G512=$G$22,K$22,$G512=$G$25,K$25,$G512=$G$26,K$26,$G512=$G$27,K$27,$G512=$G$29,K$29,$G512=$G$31,K$31,$G512=$G$32,K$150,$G512=$G$248,K$248,$G512=$G$250,K$250)</f>
        <v>BG sentinel + BG lure7</v>
      </c>
      <c r="L512" s="48"/>
      <c r="M512" s="48"/>
      <c r="O512" s="45" t="str">
        <f t="shared" si="41"/>
        <v>A_SP_BCN_19_210729</v>
      </c>
      <c r="P512" s="64">
        <v>44406</v>
      </c>
      <c r="R512" s="72"/>
      <c r="S512" s="64">
        <v>44413</v>
      </c>
      <c r="U512" s="72"/>
      <c r="V512" s="54" t="s">
        <v>66</v>
      </c>
      <c r="W512" t="s">
        <v>143</v>
      </c>
      <c r="X512" s="45">
        <f t="shared" si="44"/>
        <v>7</v>
      </c>
      <c r="Z512" s="45" t="s">
        <v>70</v>
      </c>
      <c r="AA512" s="45">
        <f t="shared" si="36"/>
        <v>39</v>
      </c>
      <c r="AB512" t="str">
        <f t="shared" si="42"/>
        <v>Adult</v>
      </c>
      <c r="AC512" s="69">
        <v>38</v>
      </c>
      <c r="AD512" s="69">
        <v>1</v>
      </c>
      <c r="AE512" s="45" t="str">
        <f t="shared" si="43"/>
        <v>Morphological</v>
      </c>
      <c r="AF512" s="56">
        <v>2</v>
      </c>
    </row>
    <row r="513" spans="1:32" ht="18" customHeight="1" x14ac:dyDescent="0.25">
      <c r="A513" s="45">
        <v>509</v>
      </c>
      <c r="B513" s="45" t="s">
        <v>60</v>
      </c>
      <c r="C513" s="45" t="s">
        <v>61</v>
      </c>
      <c r="D513" s="45" t="s">
        <v>62</v>
      </c>
      <c r="E513" s="45" t="s">
        <v>62</v>
      </c>
      <c r="F513" s="46" cm="1">
        <f t="array" ref="F513">_xlfn.IFS($G513=$G$5,F$5,$G513=$G$6,F$6,$G513=$G$7,F$7,$G513=$G$8,F$8,$G513=$G$9,F$9,$G513=$G$10,F$10,$G513=$G$11,F$11,$G513=$G$12,F$12,$G513=$G$13,F$13,$G513=$G$15,F$15,$G513=$G$16,F$16,$G513=$G$17,F$17,$G513=$G$18,F$18,$G513=$G$19,F$19,$G513=$G$20,F$20,$G513=$G$21,F$21,$G513=$G$22,F$22,$G513=$G$25,F$25,$G513=$G$26,F$26,$G513=$G$27,F$27,$G513=$G$29,F$29,$G513=$G$31,F$31,$G513=$G$32,F$32,$G513=$G$248,F$248,$G513=$G$250,F$250)</f>
        <v>8002</v>
      </c>
      <c r="G513" t="s">
        <v>94</v>
      </c>
      <c r="H513" s="66" cm="1">
        <f t="array" ref="H513">_xlfn.IFS($G513=$G$5,H$5,$G513=$G$6,H$6,$G513=$G$7,H$7,$G513=$G$8,H$8,$G513=$G$9,H$9,$G513=$G$10,H$10,$G513=$G$11,H$11,$G513=$G$12,H$12,$G513=$G$13,H$13,$G513=$G$15,H$15,$G513=$G$16,H$16,$G513=$G$17,H$17,$G513=$G$18,H$18,$G513=$G$19,H$19,$G513=$G$20,H$20,$G513=$G$21,H$21,$G513=$G$22,H$22,$G513=$G$25,H$25,$G513=$G$26,H$26,$G513=$G$27,H$27,$G513=$G$29,H$29,$G513=$G$31,H$31,$G513=$G$32,H$150,$G513=$G$248,H$248,$G513=$G$250,H$250)</f>
        <v>41.385213</v>
      </c>
      <c r="I513" s="78" cm="1">
        <f t="array" ref="I513">_xlfn.IFS($G513=$G$5,I$5,$G513=$G$6,I$6,$G513=$G$7,I$7,$G513=$G$8,I$8,$G513=$G$9,I$9,$G513=$G$10,I$10,$G513=$G$11,I$11,$G513=$G$12,I$12,$G513=$G$13,I$13,$G513=$G$15,I$15,$G513=$G$16,I$16,$G513=$G$17,I$17,$G513=$G$18,I$18,$G513=$G$19,I$19,$G513=$G$20,I$20,$G513=$G$21,I$21,$G513=$G$22,I$22,$G513=$G$25,I$25,$G513=$G$26,I$26,$G513=$G$27,I$27,$G513=$G$29,I$29,$G513=$G$31,I$31,$G513=$G$32,I$150,$G513=$G$248,I$248,$G513=$G$250,I$250)</f>
        <v>2.174852</v>
      </c>
      <c r="J513" cm="1">
        <f t="array" ref="J513">_xlfn.IFS($G513=$G$5,J$5,$G513=$G$6,J$6,$G513=$G$7,J$7,$G513=$G$8,J$8,$G513=$G$9,J$9,$G513=$G$10,J$10,$G513=$G$11,J$11,$G513=$G$12,J$12,$G513=$G$13,J$13,$G513=$G$15,J$15,$G513=$G$16,J$16,$G513=$G$17,J$17,$G513=$G$18,J$18,$G513=$G$19,J$19,$G513=$G$20,J$20,$G513=$G$21,J$21,$G513=$G$22,J$22,$G513=$G$25,J$25,$G513=$G$26,J$26,$G513=$G$27,J$27,$G513=$G$29,J$29,$G513=$G$31,J$31,$G513=$G$32,J$150,$G513=$G$248,J$248,$G513=$G$250,J$250)</f>
        <v>14</v>
      </c>
      <c r="K513" t="str" cm="1">
        <f t="array" ref="K513">_xlfn.IFS($G513=$G$5,K$5,$G513=$G$6,K$6,$G513=$G$7,K$7,$G513=$G$8,K$8,$G513=$G$9,K$9,$G513=$G$10,K$10,$G513=$G$11,K$11,$G513=$G$12,K$12,$G513=$G$13,K$13,$G513=$G$15,K$15,$G513=$G$16,K$16,$G513=$G$17,K$17,$G513=$G$18,K$18,$G513=$G$19,K$19,$G513=$G$20,K$20,$G513=$G$21,K$21,$G513=$G$22,K$22,$G513=$G$25,K$25,$G513=$G$26,K$26,$G513=$G$27,K$27,$G513=$G$29,K$29,$G513=$G$31,K$31,$G513=$G$32,K$150,$G513=$G$248,K$248,$G513=$G$250,K$250)</f>
        <v>BG sentinel + BG lure7</v>
      </c>
      <c r="L513" s="48"/>
      <c r="M513" s="48"/>
      <c r="O513" s="45" t="str">
        <f t="shared" si="41"/>
        <v>A_SP_BCN_20_210729</v>
      </c>
      <c r="P513" s="64">
        <v>44406</v>
      </c>
      <c r="R513" s="72"/>
      <c r="S513" s="64">
        <v>44413</v>
      </c>
      <c r="U513" s="72"/>
      <c r="V513" s="54" t="s">
        <v>66</v>
      </c>
      <c r="X513" s="45">
        <f t="shared" si="44"/>
        <v>7</v>
      </c>
      <c r="Z513" s="69" t="s">
        <v>69</v>
      </c>
      <c r="AA513" s="45">
        <f t="shared" si="36"/>
        <v>1</v>
      </c>
      <c r="AB513" t="str">
        <f t="shared" si="42"/>
        <v>Adult</v>
      </c>
      <c r="AC513" s="69">
        <v>0</v>
      </c>
      <c r="AD513" s="69">
        <v>1</v>
      </c>
      <c r="AE513" s="45" t="str">
        <f t="shared" si="43"/>
        <v>Morphological</v>
      </c>
      <c r="AF513" s="56">
        <v>4</v>
      </c>
    </row>
    <row r="514" spans="1:32" ht="18" customHeight="1" x14ac:dyDescent="0.25">
      <c r="A514" s="45">
        <v>510</v>
      </c>
      <c r="B514" s="45" t="s">
        <v>60</v>
      </c>
      <c r="C514" s="45" t="s">
        <v>61</v>
      </c>
      <c r="D514" s="45" t="s">
        <v>62</v>
      </c>
      <c r="E514" s="45" t="s">
        <v>62</v>
      </c>
      <c r="F514" s="46" cm="1">
        <f t="array" ref="F514">_xlfn.IFS($G514=$G$5,F$5,$G514=$G$6,F$6,$G514=$G$7,F$7,$G514=$G$8,F$8,$G514=$G$9,F$9,$G514=$G$10,F$10,$G514=$G$11,F$11,$G514=$G$12,F$12,$G514=$G$13,F$13,$G514=$G$15,F$15,$G514=$G$16,F$16,$G514=$G$17,F$17,$G514=$G$18,F$18,$G514=$G$19,F$19,$G514=$G$20,F$20,$G514=$G$21,F$21,$G514=$G$22,F$22,$G514=$G$25,F$25,$G514=$G$26,F$26,$G514=$G$27,F$27,$G514=$G$29,F$29,$G514=$G$31,F$31,$G514=$G$32,F$32,$G514=$G$248,F$248,$G514=$G$250,F$250)</f>
        <v>8002</v>
      </c>
      <c r="G514" t="s">
        <v>94</v>
      </c>
      <c r="H514" s="66" cm="1">
        <f t="array" ref="H514">_xlfn.IFS($G514=$G$5,H$5,$G514=$G$6,H$6,$G514=$G$7,H$7,$G514=$G$8,H$8,$G514=$G$9,H$9,$G514=$G$10,H$10,$G514=$G$11,H$11,$G514=$G$12,H$12,$G514=$G$13,H$13,$G514=$G$15,H$15,$G514=$G$16,H$16,$G514=$G$17,H$17,$G514=$G$18,H$18,$G514=$G$19,H$19,$G514=$G$20,H$20,$G514=$G$21,H$21,$G514=$G$22,H$22,$G514=$G$25,H$25,$G514=$G$26,H$26,$G514=$G$27,H$27,$G514=$G$29,H$29,$G514=$G$31,H$31,$G514=$G$32,H$150,$G514=$G$248,H$248,$G514=$G$250,H$250)</f>
        <v>41.385213</v>
      </c>
      <c r="I514" s="78" cm="1">
        <f t="array" ref="I514">_xlfn.IFS($G514=$G$5,I$5,$G514=$G$6,I$6,$G514=$G$7,I$7,$G514=$G$8,I$8,$G514=$G$9,I$9,$G514=$G$10,I$10,$G514=$G$11,I$11,$G514=$G$12,I$12,$G514=$G$13,I$13,$G514=$G$15,I$15,$G514=$G$16,I$16,$G514=$G$17,I$17,$G514=$G$18,I$18,$G514=$G$19,I$19,$G514=$G$20,I$20,$G514=$G$21,I$21,$G514=$G$22,I$22,$G514=$G$25,I$25,$G514=$G$26,I$26,$G514=$G$27,I$27,$G514=$G$29,I$29,$G514=$G$31,I$31,$G514=$G$32,I$150,$G514=$G$248,I$248,$G514=$G$250,I$250)</f>
        <v>2.174852</v>
      </c>
      <c r="J514" cm="1">
        <f t="array" ref="J514">_xlfn.IFS($G514=$G$5,J$5,$G514=$G$6,J$6,$G514=$G$7,J$7,$G514=$G$8,J$8,$G514=$G$9,J$9,$G514=$G$10,J$10,$G514=$G$11,J$11,$G514=$G$12,J$12,$G514=$G$13,J$13,$G514=$G$15,J$15,$G514=$G$16,J$16,$G514=$G$17,J$17,$G514=$G$18,J$18,$G514=$G$19,J$19,$G514=$G$20,J$20,$G514=$G$21,J$21,$G514=$G$22,J$22,$G514=$G$25,J$25,$G514=$G$26,J$26,$G514=$G$27,J$27,$G514=$G$29,J$29,$G514=$G$31,J$31,$G514=$G$32,J$150,$G514=$G$248,J$248,$G514=$G$250,J$250)</f>
        <v>14</v>
      </c>
      <c r="K514" t="str" cm="1">
        <f t="array" ref="K514">_xlfn.IFS($G514=$G$5,K$5,$G514=$G$6,K$6,$G514=$G$7,K$7,$G514=$G$8,K$8,$G514=$G$9,K$9,$G514=$G$10,K$10,$G514=$G$11,K$11,$G514=$G$12,K$12,$G514=$G$13,K$13,$G514=$G$15,K$15,$G514=$G$16,K$16,$G514=$G$17,K$17,$G514=$G$18,K$18,$G514=$G$19,K$19,$G514=$G$20,K$20,$G514=$G$21,K$21,$G514=$G$22,K$22,$G514=$G$25,K$25,$G514=$G$26,K$26,$G514=$G$27,K$27,$G514=$G$29,K$29,$G514=$G$31,K$31,$G514=$G$32,K$150,$G514=$G$248,K$248,$G514=$G$250,K$250)</f>
        <v>BG sentinel + BG lure7</v>
      </c>
      <c r="L514" s="48"/>
      <c r="M514" s="48"/>
      <c r="O514" s="45" t="str">
        <f t="shared" si="41"/>
        <v>A_SP_BCN_20_210729</v>
      </c>
      <c r="P514" s="64">
        <v>44406</v>
      </c>
      <c r="R514" s="72"/>
      <c r="S514" s="64">
        <v>44413</v>
      </c>
      <c r="U514" s="72"/>
      <c r="V514" s="54" t="s">
        <v>66</v>
      </c>
      <c r="W514" t="s">
        <v>144</v>
      </c>
      <c r="X514" s="45">
        <f t="shared" si="44"/>
        <v>7</v>
      </c>
      <c r="Z514" s="45" t="s">
        <v>70</v>
      </c>
      <c r="AA514" s="45">
        <f t="shared" si="36"/>
        <v>12</v>
      </c>
      <c r="AB514" t="str">
        <f t="shared" si="42"/>
        <v>Adult</v>
      </c>
      <c r="AC514" s="69">
        <v>8</v>
      </c>
      <c r="AD514" s="69">
        <v>4</v>
      </c>
      <c r="AE514" s="45" t="str">
        <f t="shared" si="43"/>
        <v>Morphological</v>
      </c>
      <c r="AF514" s="56">
        <v>4</v>
      </c>
    </row>
    <row r="515" spans="1:32" ht="18" customHeight="1" x14ac:dyDescent="0.25">
      <c r="A515" s="45">
        <v>511</v>
      </c>
      <c r="B515" s="45" t="s">
        <v>60</v>
      </c>
      <c r="C515" s="45" t="s">
        <v>61</v>
      </c>
      <c r="D515" s="45" t="s">
        <v>62</v>
      </c>
      <c r="E515" s="45" t="s">
        <v>62</v>
      </c>
      <c r="F515" s="46" cm="1">
        <f t="array" ref="F515">_xlfn.IFS($G515=$G$5,F$5,$G515=$G$6,F$6,$G515=$G$7,F$7,$G515=$G$8,F$8,$G515=$G$9,F$9,$G515=$G$10,F$10,$G515=$G$11,F$11,$G515=$G$12,F$12,$G515=$G$13,F$13,$G515=$G$15,F$15,$G515=$G$16,F$16,$G515=$G$17,F$17,$G515=$G$18,F$18,$G515=$G$19,F$19,$G515=$G$20,F$20,$G515=$G$21,F$21,$G515=$G$22,F$22,$G515=$G$25,F$25,$G515=$G$26,F$26,$G515=$G$27,F$27,$G515=$G$29,F$29,$G515=$G$31,F$31,$G515=$G$32,F$32,$G515=$G$248,F$248,$G515=$G$250,F$250)</f>
        <v>8002</v>
      </c>
      <c r="G515" t="s">
        <v>94</v>
      </c>
      <c r="H515" s="66" cm="1">
        <f t="array" ref="H515">_xlfn.IFS($G515=$G$5,H$5,$G515=$G$6,H$6,$G515=$G$7,H$7,$G515=$G$8,H$8,$G515=$G$9,H$9,$G515=$G$10,H$10,$G515=$G$11,H$11,$G515=$G$12,H$12,$G515=$G$13,H$13,$G515=$G$15,H$15,$G515=$G$16,H$16,$G515=$G$17,H$17,$G515=$G$18,H$18,$G515=$G$19,H$19,$G515=$G$20,H$20,$G515=$G$21,H$21,$G515=$G$22,H$22,$G515=$G$25,H$25,$G515=$G$26,H$26,$G515=$G$27,H$27,$G515=$G$29,H$29,$G515=$G$31,H$31,$G515=$G$32,H$150,$G515=$G$248,H$248,$G515=$G$250,H$250)</f>
        <v>41.385213</v>
      </c>
      <c r="I515" s="78" cm="1">
        <f t="array" ref="I515">_xlfn.IFS($G515=$G$5,I$5,$G515=$G$6,I$6,$G515=$G$7,I$7,$G515=$G$8,I$8,$G515=$G$9,I$9,$G515=$G$10,I$10,$G515=$G$11,I$11,$G515=$G$12,I$12,$G515=$G$13,I$13,$G515=$G$15,I$15,$G515=$G$16,I$16,$G515=$G$17,I$17,$G515=$G$18,I$18,$G515=$G$19,I$19,$G515=$G$20,I$20,$G515=$G$21,I$21,$G515=$G$22,I$22,$G515=$G$25,I$25,$G515=$G$26,I$26,$G515=$G$27,I$27,$G515=$G$29,I$29,$G515=$G$31,I$31,$G515=$G$32,I$150,$G515=$G$248,I$248,$G515=$G$250,I$250)</f>
        <v>2.174852</v>
      </c>
      <c r="J515" cm="1">
        <f t="array" ref="J515">_xlfn.IFS($G515=$G$5,J$5,$G515=$G$6,J$6,$G515=$G$7,J$7,$G515=$G$8,J$8,$G515=$G$9,J$9,$G515=$G$10,J$10,$G515=$G$11,J$11,$G515=$G$12,J$12,$G515=$G$13,J$13,$G515=$G$15,J$15,$G515=$G$16,J$16,$G515=$G$17,J$17,$G515=$G$18,J$18,$G515=$G$19,J$19,$G515=$G$20,J$20,$G515=$G$21,J$21,$G515=$G$22,J$22,$G515=$G$25,J$25,$G515=$G$26,J$26,$G515=$G$27,J$27,$G515=$G$29,J$29,$G515=$G$31,J$31,$G515=$G$32,J$150,$G515=$G$248,J$248,$G515=$G$250,J$250)</f>
        <v>14</v>
      </c>
      <c r="K515" t="str" cm="1">
        <f t="array" ref="K515">_xlfn.IFS($G515=$G$5,K$5,$G515=$G$6,K$6,$G515=$G$7,K$7,$G515=$G$8,K$8,$G515=$G$9,K$9,$G515=$G$10,K$10,$G515=$G$11,K$11,$G515=$G$12,K$12,$G515=$G$13,K$13,$G515=$G$15,K$15,$G515=$G$16,K$16,$G515=$G$17,K$17,$G515=$G$18,K$18,$G515=$G$19,K$19,$G515=$G$20,K$20,$G515=$G$21,K$21,$G515=$G$22,K$22,$G515=$G$25,K$25,$G515=$G$26,K$26,$G515=$G$27,K$27,$G515=$G$29,K$29,$G515=$G$31,K$31,$G515=$G$32,K$150,$G515=$G$248,K$248,$G515=$G$250,K$250)</f>
        <v>BG sentinel + BG lure7</v>
      </c>
      <c r="L515" s="48"/>
      <c r="M515" s="48"/>
      <c r="O515" s="45" t="str">
        <f t="shared" si="41"/>
        <v>A_SP_BCN_20_210729</v>
      </c>
      <c r="P515" s="64">
        <v>44406</v>
      </c>
      <c r="R515" s="72"/>
      <c r="S515" s="64">
        <v>44413</v>
      </c>
      <c r="U515" s="72"/>
      <c r="V515" s="54" t="s">
        <v>66</v>
      </c>
      <c r="X515" s="45">
        <f t="shared" si="44"/>
        <v>7</v>
      </c>
      <c r="Z515" s="45" t="s">
        <v>80</v>
      </c>
      <c r="AA515" s="45">
        <f t="shared" si="36"/>
        <v>1</v>
      </c>
      <c r="AB515" t="str">
        <f t="shared" si="42"/>
        <v>Adult</v>
      </c>
      <c r="AC515" s="69">
        <v>0</v>
      </c>
      <c r="AD515" s="69">
        <v>1</v>
      </c>
      <c r="AE515" s="45" t="str">
        <f t="shared" si="43"/>
        <v>Morphological</v>
      </c>
      <c r="AF515" s="56">
        <v>4</v>
      </c>
    </row>
    <row r="516" spans="1:32" ht="18" customHeight="1" x14ac:dyDescent="0.25">
      <c r="A516" s="45">
        <v>512</v>
      </c>
      <c r="B516" s="45" t="s">
        <v>60</v>
      </c>
      <c r="C516" s="45" t="s">
        <v>61</v>
      </c>
      <c r="D516" s="45" t="s">
        <v>62</v>
      </c>
      <c r="E516" s="45" t="s">
        <v>62</v>
      </c>
      <c r="F516" s="46" cm="1">
        <f t="array" ref="F516">_xlfn.IFS($G516=$G$5,F$5,$G516=$G$6,F$6,$G516=$G$7,F$7,$G516=$G$8,F$8,$G516=$G$9,F$9,$G516=$G$10,F$10,$G516=$G$11,F$11,$G516=$G$12,F$12,$G516=$G$13,F$13,$G516=$G$15,F$15,$G516=$G$16,F$16,$G516=$G$17,F$17,$G516=$G$18,F$18,$G516=$G$19,F$19,$G516=$G$20,F$20,$G516=$G$21,F$21,$G516=$G$22,F$22,$G516=$G$25,F$25,$G516=$G$26,F$26,$G516=$G$27,F$27,$G516=$G$29,F$29,$G516=$G$31,F$31,$G516=$G$32,F$32,$G516=$G$248,F$248,$G516=$G$250,F$250)</f>
        <v>8017</v>
      </c>
      <c r="G516" t="s">
        <v>98</v>
      </c>
      <c r="H516" s="66" cm="1">
        <f t="array" ref="H516">_xlfn.IFS($G516=$G$5,H$5,$G516=$G$6,H$6,$G516=$G$7,H$7,$G516=$G$8,H$8,$G516=$G$9,H$9,$G516=$G$10,H$10,$G516=$G$11,H$11,$G516=$G$12,H$12,$G516=$G$13,H$13,$G516=$G$15,H$15,$G516=$G$16,H$16,$G516=$G$17,H$17,$G516=$G$18,H$18,$G516=$G$19,H$19,$G516=$G$20,H$20,$G516=$G$21,H$21,$G516=$G$22,H$22,$G516=$G$25,H$25,$G516=$G$26,H$26,$G516=$G$27,H$27,$G516=$G$29,H$29,$G516=$G$31,H$31,$G516=$G$32,H$150,$G516=$G$248,H$248,$G516=$G$250,H$250)</f>
        <v>41.430315999999998</v>
      </c>
      <c r="I516" s="78" cm="1">
        <f t="array" ref="I516">_xlfn.IFS($G516=$G$5,I$5,$G516=$G$6,I$6,$G516=$G$7,I$7,$G516=$G$8,I$8,$G516=$G$9,I$9,$G516=$G$10,I$10,$G516=$G$11,I$11,$G516=$G$12,I$12,$G516=$G$13,I$13,$G516=$G$15,I$15,$G516=$G$16,I$16,$G516=$G$17,I$17,$G516=$G$18,I$18,$G516=$G$19,I$19,$G516=$G$20,I$20,$G516=$G$21,I$21,$G516=$G$22,I$22,$G516=$G$25,I$25,$G516=$G$26,I$26,$G516=$G$27,I$27,$G516=$G$29,I$29,$G516=$G$31,I$31,$G516=$G$32,I$150,$G516=$G$248,I$248,$G516=$G$250,I$250)</f>
        <v>2.077556</v>
      </c>
      <c r="J516" cm="1">
        <f t="array" ref="J516">_xlfn.IFS($G516=$G$5,J$5,$G516=$G$6,J$6,$G516=$G$7,J$7,$G516=$G$8,J$8,$G516=$G$9,J$9,$G516=$G$10,J$10,$G516=$G$11,J$11,$G516=$G$12,J$12,$G516=$G$13,J$13,$G516=$G$15,J$15,$G516=$G$16,J$16,$G516=$G$17,J$17,$G516=$G$18,J$18,$G516=$G$19,J$19,$G516=$G$20,J$20,$G516=$G$21,J$21,$G516=$G$22,J$22,$G516=$G$25,J$25,$G516=$G$26,J$26,$G516=$G$27,J$27,$G516=$G$29,J$29,$G516=$G$31,J$31,$G516=$G$32,J$150,$G516=$G$248,J$248,$G516=$G$250,J$250)</f>
        <v>243.3</v>
      </c>
      <c r="K516" t="str" cm="1">
        <f t="array" ref="K516">_xlfn.IFS($G516=$G$5,K$5,$G516=$G$6,K$6,$G516=$G$7,K$7,$G516=$G$8,K$8,$G516=$G$9,K$9,$G516=$G$10,K$10,$G516=$G$11,K$11,$G516=$G$12,K$12,$G516=$G$13,K$13,$G516=$G$15,K$15,$G516=$G$16,K$16,$G516=$G$17,K$17,$G516=$G$18,K$18,$G516=$G$19,K$19,$G516=$G$20,K$20,$G516=$G$21,K$21,$G516=$G$22,K$22,$G516=$G$25,K$25,$G516=$G$26,K$26,$G516=$G$27,K$27,$G516=$G$29,K$29,$G516=$G$31,K$31,$G516=$G$32,K$150,$G516=$G$248,K$248,$G516=$G$250,K$250)</f>
        <v>BG sentinel + BG lure7</v>
      </c>
      <c r="O516" s="45" t="str">
        <f t="shared" si="41"/>
        <v>A_SP_BCN_22_210728</v>
      </c>
      <c r="P516" s="64">
        <v>44405</v>
      </c>
      <c r="R516" s="72"/>
      <c r="S516" s="64">
        <v>44412</v>
      </c>
      <c r="U516" s="72"/>
      <c r="V516" s="54" t="s">
        <v>66</v>
      </c>
      <c r="W516" t="s">
        <v>135</v>
      </c>
      <c r="X516" s="45">
        <f t="shared" si="44"/>
        <v>7</v>
      </c>
      <c r="Z516" s="69" t="s">
        <v>69</v>
      </c>
      <c r="AA516" s="45">
        <f t="shared" si="36"/>
        <v>3</v>
      </c>
      <c r="AB516" t="str">
        <f t="shared" si="42"/>
        <v>Adult</v>
      </c>
      <c r="AC516" s="69">
        <v>3</v>
      </c>
      <c r="AD516" s="69">
        <v>0</v>
      </c>
      <c r="AE516" s="45" t="str">
        <f t="shared" si="43"/>
        <v>Morphological</v>
      </c>
      <c r="AF516" s="56">
        <v>3</v>
      </c>
    </row>
    <row r="517" spans="1:32" ht="18" customHeight="1" x14ac:dyDescent="0.25">
      <c r="A517" s="45">
        <v>513</v>
      </c>
      <c r="B517" s="45" t="s">
        <v>60</v>
      </c>
      <c r="C517" s="45" t="s">
        <v>61</v>
      </c>
      <c r="D517" s="45" t="s">
        <v>62</v>
      </c>
      <c r="E517" s="45" t="s">
        <v>62</v>
      </c>
      <c r="F517" s="46" cm="1">
        <f t="array" ref="F517">_xlfn.IFS($G517=$G$5,F$5,$G517=$G$6,F$6,$G517=$G$7,F$7,$G517=$G$8,F$8,$G517=$G$9,F$9,$G517=$G$10,F$10,$G517=$G$11,F$11,$G517=$G$12,F$12,$G517=$G$13,F$13,$G517=$G$15,F$15,$G517=$G$16,F$16,$G517=$G$17,F$17,$G517=$G$18,F$18,$G517=$G$19,F$19,$G517=$G$20,F$20,$G517=$G$21,F$21,$G517=$G$22,F$22,$G517=$G$25,F$25,$G517=$G$26,F$26,$G517=$G$27,F$27,$G517=$G$29,F$29,$G517=$G$31,F$31,$G517=$G$32,F$32,$G517=$G$248,F$248,$G517=$G$250,F$250)</f>
        <v>8038</v>
      </c>
      <c r="G517" t="s">
        <v>103</v>
      </c>
      <c r="H517" s="66" cm="1">
        <f t="array" ref="H517">_xlfn.IFS($G517=$G$5,H$5,$G517=$G$6,H$6,$G517=$G$7,H$7,$G517=$G$8,H$8,$G517=$G$9,H$9,$G517=$G$10,H$10,$G517=$G$11,H$11,$G517=$G$12,H$12,$G517=$G$13,H$13,$G517=$G$15,H$15,$G517=$G$16,H$16,$G517=$G$17,H$17,$G517=$G$18,H$18,$G517=$G$19,H$19,$G517=$G$20,H$20,$G517=$G$21,H$21,$G517=$G$22,H$22,$G517=$G$25,H$25,$G517=$G$26,H$26,$G517=$G$27,H$27,$G517=$G$29,H$29,$G517=$G$31,H$31,$G517=$G$32,H$150,$G517=$G$248,H$248,$G517=$G$250,H$250)</f>
        <v>41.367100000000001</v>
      </c>
      <c r="I517" s="78" cm="1">
        <f t="array" ref="I517">_xlfn.IFS($G517=$G$5,I$5,$G517=$G$6,I$6,$G517=$G$7,I$7,$G517=$G$8,I$8,$G517=$G$9,I$9,$G517=$G$10,I$10,$G517=$G$11,I$11,$G517=$G$12,I$12,$G517=$G$13,I$13,$G517=$G$15,I$15,$G517=$G$16,I$16,$G517=$G$17,I$17,$G517=$G$18,I$18,$G517=$G$19,I$19,$G517=$G$20,I$20,$G517=$G$21,I$21,$G517=$G$22,I$22,$G517=$G$25,I$25,$G517=$G$26,I$26,$G517=$G$27,I$27,$G517=$G$29,I$29,$G517=$G$31,I$31,$G517=$G$32,I$150,$G517=$G$248,I$248,$G517=$G$250,I$250)</f>
        <v>2.1539079999999999</v>
      </c>
      <c r="J517" cm="1">
        <f t="array" ref="J517">_xlfn.IFS($G517=$G$5,J$5,$G517=$G$6,J$6,$G517=$G$7,J$7,$G517=$G$8,J$8,$G517=$G$9,J$9,$G517=$G$10,J$10,$G517=$G$11,J$11,$G517=$G$12,J$12,$G517=$G$13,J$13,$G517=$G$15,J$15,$G517=$G$16,J$16,$G517=$G$17,J$17,$G517=$G$18,J$18,$G517=$G$19,J$19,$G517=$G$20,J$20,$G517=$G$21,J$21,$G517=$G$22,J$22,$G517=$G$25,J$25,$G517=$G$26,J$26,$G517=$G$27,J$27,$G517=$G$29,J$29,$G517=$G$31,J$31,$G517=$G$32,J$150,$G517=$G$248,J$248,$G517=$G$250,J$250)</f>
        <v>68</v>
      </c>
      <c r="K517" t="str" cm="1">
        <f t="array" ref="K517">_xlfn.IFS($G517=$G$5,K$5,$G517=$G$6,K$6,$G517=$G$7,K$7,$G517=$G$8,K$8,$G517=$G$9,K$9,$G517=$G$10,K$10,$G517=$G$11,K$11,$G517=$G$12,K$12,$G517=$G$13,K$13,$G517=$G$15,K$15,$G517=$G$16,K$16,$G517=$G$17,K$17,$G517=$G$18,K$18,$G517=$G$19,K$19,$G517=$G$20,K$20,$G517=$G$21,K$21,$G517=$G$22,K$22,$G517=$G$25,K$25,$G517=$G$26,K$26,$G517=$G$27,K$27,$G517=$G$29,K$29,$G517=$G$31,K$31,$G517=$G$32,K$150,$G517=$G$248,K$248,$G517=$G$250,K$250)</f>
        <v>BG sentinel + BG lure7</v>
      </c>
      <c r="L517" s="48"/>
      <c r="M517" s="48"/>
      <c r="O517" s="45" t="str">
        <f t="shared" si="41"/>
        <v>A_SP_BCN_23_210729</v>
      </c>
      <c r="P517" s="64">
        <v>44406</v>
      </c>
      <c r="R517" s="72"/>
      <c r="S517" s="64">
        <v>44413</v>
      </c>
      <c r="U517" s="72"/>
      <c r="V517" s="54" t="s">
        <v>66</v>
      </c>
      <c r="X517" s="45">
        <f t="shared" si="44"/>
        <v>7</v>
      </c>
      <c r="Z517" s="69" t="s">
        <v>69</v>
      </c>
      <c r="AA517" s="45">
        <f t="shared" si="36"/>
        <v>24</v>
      </c>
      <c r="AB517" t="str">
        <f t="shared" si="42"/>
        <v>Adult</v>
      </c>
      <c r="AC517" s="69">
        <v>21</v>
      </c>
      <c r="AD517" s="69">
        <v>3</v>
      </c>
      <c r="AE517" s="45" t="str">
        <f t="shared" si="43"/>
        <v>Morphological</v>
      </c>
      <c r="AF517" s="56">
        <v>4</v>
      </c>
    </row>
    <row r="518" spans="1:32" ht="18" customHeight="1" x14ac:dyDescent="0.25">
      <c r="A518" s="45">
        <v>514</v>
      </c>
      <c r="B518" s="45" t="s">
        <v>60</v>
      </c>
      <c r="C518" s="45" t="s">
        <v>61</v>
      </c>
      <c r="D518" s="45" t="s">
        <v>62</v>
      </c>
      <c r="E518" s="45" t="s">
        <v>62</v>
      </c>
      <c r="F518" s="46" cm="1">
        <f t="array" ref="F518">_xlfn.IFS($G518=$G$5,F$5,$G518=$G$6,F$6,$G518=$G$7,F$7,$G518=$G$8,F$8,$G518=$G$9,F$9,$G518=$G$10,F$10,$G518=$G$11,F$11,$G518=$G$12,F$12,$G518=$G$13,F$13,$G518=$G$15,F$15,$G518=$G$16,F$16,$G518=$G$17,F$17,$G518=$G$18,F$18,$G518=$G$19,F$19,$G518=$G$20,F$20,$G518=$G$21,F$21,$G518=$G$22,F$22,$G518=$G$25,F$25,$G518=$G$26,F$26,$G518=$G$27,F$27,$G518=$G$29,F$29,$G518=$G$31,F$31,$G518=$G$32,F$32,$G518=$G$248,F$248,$G518=$G$250,F$250)</f>
        <v>8038</v>
      </c>
      <c r="G518" t="s">
        <v>103</v>
      </c>
      <c r="H518" s="66" cm="1">
        <f t="array" ref="H518">_xlfn.IFS($G518=$G$5,H$5,$G518=$G$6,H$6,$G518=$G$7,H$7,$G518=$G$8,H$8,$G518=$G$9,H$9,$G518=$G$10,H$10,$G518=$G$11,H$11,$G518=$G$12,H$12,$G518=$G$13,H$13,$G518=$G$15,H$15,$G518=$G$16,H$16,$G518=$G$17,H$17,$G518=$G$18,H$18,$G518=$G$19,H$19,$G518=$G$20,H$20,$G518=$G$21,H$21,$G518=$G$22,H$22,$G518=$G$25,H$25,$G518=$G$26,H$26,$G518=$G$27,H$27,$G518=$G$29,H$29,$G518=$G$31,H$31,$G518=$G$32,H$150,$G518=$G$248,H$248,$G518=$G$250,H$250)</f>
        <v>41.367100000000001</v>
      </c>
      <c r="I518" s="78" cm="1">
        <f t="array" ref="I518">_xlfn.IFS($G518=$G$5,I$5,$G518=$G$6,I$6,$G518=$G$7,I$7,$G518=$G$8,I$8,$G518=$G$9,I$9,$G518=$G$10,I$10,$G518=$G$11,I$11,$G518=$G$12,I$12,$G518=$G$13,I$13,$G518=$G$15,I$15,$G518=$G$16,I$16,$G518=$G$17,I$17,$G518=$G$18,I$18,$G518=$G$19,I$19,$G518=$G$20,I$20,$G518=$G$21,I$21,$G518=$G$22,I$22,$G518=$G$25,I$25,$G518=$G$26,I$26,$G518=$G$27,I$27,$G518=$G$29,I$29,$G518=$G$31,I$31,$G518=$G$32,I$150,$G518=$G$248,I$248,$G518=$G$250,I$250)</f>
        <v>2.1539079999999999</v>
      </c>
      <c r="J518" cm="1">
        <f t="array" ref="J518">_xlfn.IFS($G518=$G$5,J$5,$G518=$G$6,J$6,$G518=$G$7,J$7,$G518=$G$8,J$8,$G518=$G$9,J$9,$G518=$G$10,J$10,$G518=$G$11,J$11,$G518=$G$12,J$12,$G518=$G$13,J$13,$G518=$G$15,J$15,$G518=$G$16,J$16,$G518=$G$17,J$17,$G518=$G$18,J$18,$G518=$G$19,J$19,$G518=$G$20,J$20,$G518=$G$21,J$21,$G518=$G$22,J$22,$G518=$G$25,J$25,$G518=$G$26,J$26,$G518=$G$27,J$27,$G518=$G$29,J$29,$G518=$G$31,J$31,$G518=$G$32,J$150,$G518=$G$248,J$248,$G518=$G$250,J$250)</f>
        <v>68</v>
      </c>
      <c r="K518" t="str" cm="1">
        <f t="array" ref="K518">_xlfn.IFS($G518=$G$5,K$5,$G518=$G$6,K$6,$G518=$G$7,K$7,$G518=$G$8,K$8,$G518=$G$9,K$9,$G518=$G$10,K$10,$G518=$G$11,K$11,$G518=$G$12,K$12,$G518=$G$13,K$13,$G518=$G$15,K$15,$G518=$G$16,K$16,$G518=$G$17,K$17,$G518=$G$18,K$18,$G518=$G$19,K$19,$G518=$G$20,K$20,$G518=$G$21,K$21,$G518=$G$22,K$22,$G518=$G$25,K$25,$G518=$G$26,K$26,$G518=$G$27,K$27,$G518=$G$29,K$29,$G518=$G$31,K$31,$G518=$G$32,K$150,$G518=$G$248,K$248,$G518=$G$250,K$250)</f>
        <v>BG sentinel + BG lure7</v>
      </c>
      <c r="L518" s="48"/>
      <c r="M518" s="48"/>
      <c r="O518" s="45" t="str">
        <f t="shared" si="41"/>
        <v>A_SP_BCN_23_210729</v>
      </c>
      <c r="P518" s="64">
        <v>44406</v>
      </c>
      <c r="R518" s="72"/>
      <c r="S518" s="64">
        <v>44413</v>
      </c>
      <c r="U518" s="72"/>
      <c r="V518" s="54" t="s">
        <v>66</v>
      </c>
      <c r="X518" s="45">
        <f t="shared" si="44"/>
        <v>7</v>
      </c>
      <c r="Z518" s="45" t="s">
        <v>70</v>
      </c>
      <c r="AA518" s="45">
        <f t="shared" si="36"/>
        <v>2</v>
      </c>
      <c r="AB518" t="str">
        <f t="shared" si="42"/>
        <v>Adult</v>
      </c>
      <c r="AC518" s="69">
        <v>2</v>
      </c>
      <c r="AD518" s="69">
        <v>0</v>
      </c>
      <c r="AE518" s="45" t="str">
        <f t="shared" si="43"/>
        <v>Morphological</v>
      </c>
      <c r="AF518" s="56">
        <v>4</v>
      </c>
    </row>
    <row r="519" spans="1:32" ht="18" customHeight="1" x14ac:dyDescent="0.25">
      <c r="A519" s="45">
        <v>515</v>
      </c>
      <c r="B519" s="45" t="s">
        <v>60</v>
      </c>
      <c r="C519" s="45" t="s">
        <v>61</v>
      </c>
      <c r="D519" s="45" t="s">
        <v>62</v>
      </c>
      <c r="E519" s="45" t="s">
        <v>62</v>
      </c>
      <c r="F519" s="46" cm="1">
        <f t="array" ref="F519">_xlfn.IFS($G519=$G$5,F$5,$G519=$G$6,F$6,$G519=$G$7,F$7,$G519=$G$8,F$8,$G519=$G$9,F$9,$G519=$G$10,F$10,$G519=$G$11,F$11,$G519=$G$12,F$12,$G519=$G$13,F$13,$G519=$G$15,F$15,$G519=$G$16,F$16,$G519=$G$17,F$17,$G519=$G$18,F$18,$G519=$G$19,F$19,$G519=$G$20,F$20,$G519=$G$21,F$21,$G519=$G$22,F$22,$G519=$G$25,F$25,$G519=$G$26,F$26,$G519=$G$27,F$27,$G519=$G$29,F$29,$G519=$G$31,F$31,$G519=$G$32,F$32,$G519=$G$248,F$248,$G519=$G$250,F$250)</f>
        <v>8015</v>
      </c>
      <c r="G519" t="s">
        <v>109</v>
      </c>
      <c r="H519" s="66" cm="1">
        <f t="array" ref="H519">_xlfn.IFS($G519=$G$5,H$5,$G519=$G$6,H$6,$G519=$G$7,H$7,$G519=$G$8,H$8,$G519=$G$9,H$9,$G519=$G$10,H$10,$G519=$G$11,H$11,$G519=$G$12,H$12,$G519=$G$13,H$13,$G519=$G$15,H$15,$G519=$G$16,H$16,$G519=$G$17,H$17,$G519=$G$18,H$18,$G519=$G$19,H$19,$G519=$G$20,H$20,$G519=$G$21,H$21,$G519=$G$22,H$22,$G519=$G$25,H$25,$G519=$G$26,H$26,$G519=$G$27,H$27,$G519=$G$29,H$29,$G519=$G$31,H$31,$G519=$G$32,H$150,$G519=$G$248,H$248,$G519=$G$250,H$250)</f>
        <v>41.381725000000003</v>
      </c>
      <c r="I519" s="78" cm="1">
        <f t="array" ref="I519">_xlfn.IFS($G519=$G$5,I$5,$G519=$G$6,I$6,$G519=$G$7,I$7,$G519=$G$8,I$8,$G519=$G$9,I$9,$G519=$G$10,I$10,$G519=$G$11,I$11,$G519=$G$12,I$12,$G519=$G$13,I$13,$G519=$G$15,I$15,$G519=$G$16,I$16,$G519=$G$17,I$17,$G519=$G$18,I$18,$G519=$G$19,I$19,$G519=$G$20,I$20,$G519=$G$21,I$21,$G519=$G$22,I$22,$G519=$G$25,I$25,$G519=$G$26,I$26,$G519=$G$27,I$27,$G519=$G$29,I$29,$G519=$G$31,I$31,$G519=$G$32,I$150,$G519=$G$248,I$248,$G519=$G$250,I$250)</f>
        <v>2.1543679999999998</v>
      </c>
      <c r="J519" cm="1">
        <f t="array" ref="J519">_xlfn.IFS($G519=$G$5,J$5,$G519=$G$6,J$6,$G519=$G$7,J$7,$G519=$G$8,J$8,$G519=$G$9,J$9,$G519=$G$10,J$10,$G519=$G$11,J$11,$G519=$G$12,J$12,$G519=$G$13,J$13,$G519=$G$15,J$15,$G519=$G$16,J$16,$G519=$G$17,J$17,$G519=$G$18,J$18,$G519=$G$19,J$19,$G519=$G$20,J$20,$G519=$G$21,J$21,$G519=$G$22,J$22,$G519=$G$25,J$25,$G519=$G$26,J$26,$G519=$G$27,J$27,$G519=$G$29,J$29,$G519=$G$31,J$31,$G519=$G$32,J$150,$G519=$G$248,J$248,$G519=$G$250,J$250)</f>
        <v>20.7</v>
      </c>
      <c r="K519" t="str" cm="1">
        <f t="array" ref="K519">_xlfn.IFS($G519=$G$5,K$5,$G519=$G$6,K$6,$G519=$G$7,K$7,$G519=$G$8,K$8,$G519=$G$9,K$9,$G519=$G$10,K$10,$G519=$G$11,K$11,$G519=$G$12,K$12,$G519=$G$13,K$13,$G519=$G$15,K$15,$G519=$G$16,K$16,$G519=$G$17,K$17,$G519=$G$18,K$18,$G519=$G$19,K$19,$G519=$G$20,K$20,$G519=$G$21,K$21,$G519=$G$22,K$22,$G519=$G$25,K$25,$G519=$G$26,K$26,$G519=$G$27,K$27,$G519=$G$29,K$29,$G519=$G$31,K$31,$G519=$G$32,K$150,$G519=$G$248,K$248,$G519=$G$250,K$250)</f>
        <v>BG sentinel + BG lure7</v>
      </c>
      <c r="L519" s="48"/>
      <c r="M519" s="48"/>
      <c r="O519" s="45" t="str">
        <f t="shared" si="41"/>
        <v>A_SP_BCN_24_210728</v>
      </c>
      <c r="P519" s="64">
        <v>44405</v>
      </c>
      <c r="R519" s="72"/>
      <c r="S519" s="64">
        <v>44412</v>
      </c>
      <c r="U519" s="72"/>
      <c r="V519" s="54" t="s">
        <v>66</v>
      </c>
      <c r="X519" s="45">
        <f t="shared" si="44"/>
        <v>7</v>
      </c>
      <c r="Z519" s="69" t="s">
        <v>69</v>
      </c>
      <c r="AA519" s="45">
        <f t="shared" si="36"/>
        <v>3</v>
      </c>
      <c r="AB519" t="str">
        <f t="shared" si="42"/>
        <v>Adult</v>
      </c>
      <c r="AC519" s="69">
        <v>2</v>
      </c>
      <c r="AD519" s="69">
        <v>1</v>
      </c>
      <c r="AE519" s="45" t="str">
        <f t="shared" si="43"/>
        <v>Morphological</v>
      </c>
      <c r="AF519" s="56">
        <v>4</v>
      </c>
    </row>
    <row r="520" spans="1:32" ht="18" customHeight="1" x14ac:dyDescent="0.25">
      <c r="A520" s="45">
        <v>516</v>
      </c>
      <c r="B520" s="45" t="s">
        <v>60</v>
      </c>
      <c r="C520" s="45" t="s">
        <v>61</v>
      </c>
      <c r="D520" s="45" t="s">
        <v>62</v>
      </c>
      <c r="E520" s="45" t="s">
        <v>62</v>
      </c>
      <c r="F520" s="46" cm="1">
        <f t="array" ref="F520">_xlfn.IFS($G520=$G$5,F$5,$G520=$G$6,F$6,$G520=$G$7,F$7,$G520=$G$8,F$8,$G520=$G$9,F$9,$G520=$G$10,F$10,$G520=$G$11,F$11,$G520=$G$12,F$12,$G520=$G$13,F$13,$G520=$G$15,F$15,$G520=$G$16,F$16,$G520=$G$17,F$17,$G520=$G$18,F$18,$G520=$G$19,F$19,$G520=$G$20,F$20,$G520=$G$21,F$21,$G520=$G$22,F$22,$G520=$G$25,F$25,$G520=$G$26,F$26,$G520=$G$27,F$27,$G520=$G$29,F$29,$G520=$G$31,F$31,$G520=$G$32,F$32,$G520=$G$248,F$248,$G520=$G$250,F$250)</f>
        <v>8035</v>
      </c>
      <c r="G520" t="s">
        <v>67</v>
      </c>
      <c r="H520" s="66" cm="1">
        <f t="array" ref="H520">_xlfn.IFS($G520=$G$5,H$5,$G520=$G$6,H$6,$G520=$G$7,H$7,$G520=$G$8,H$8,$G520=$G$9,H$9,$G520=$G$10,H$10,$G520=$G$11,H$11,$G520=$G$12,H$12,$G520=$G$13,H$13,$G520=$G$15,H$15,$G520=$G$16,H$16,$G520=$G$17,H$17,$G520=$G$18,H$18,$G520=$G$19,H$19,$G520=$G$20,H$20,$G520=$G$21,H$21,$G520=$G$22,H$22,$G520=$G$25,H$25,$G520=$G$26,H$26,$G520=$G$27,H$27,$G520=$G$29,H$29,$G520=$G$31,H$31,$G520=$G$32,H$150,$G520=$G$248,H$248,$G520=$G$250,H$250)</f>
        <v>41.424387000000003</v>
      </c>
      <c r="I520" s="78" cm="1">
        <f t="array" ref="I520">_xlfn.IFS($G520=$G$5,I$5,$G520=$G$6,I$6,$G520=$G$7,I$7,$G520=$G$8,I$8,$G520=$G$9,I$9,$G520=$G$10,I$10,$G520=$G$11,I$11,$G520=$G$12,I$12,$G520=$G$13,I$13,$G520=$G$15,I$15,$G520=$G$16,I$16,$G520=$G$17,I$17,$G520=$G$18,I$18,$G520=$G$19,I$19,$G520=$G$20,I$20,$G520=$G$21,I$21,$G520=$G$22,I$22,$G520=$G$25,I$25,$G520=$G$26,I$26,$G520=$G$27,I$27,$G520=$G$29,I$29,$G520=$G$31,I$31,$G520=$G$32,I$150,$G520=$G$248,I$248,$G520=$G$250,I$250)</f>
        <v>2.1431439999999999</v>
      </c>
      <c r="J520" cm="1">
        <f t="array" ref="J520">_xlfn.IFS($G520=$G$5,J$5,$G520=$G$6,J$6,$G520=$G$7,J$7,$G520=$G$8,J$8,$G520=$G$9,J$9,$G520=$G$10,J$10,$G520=$G$11,J$11,$G520=$G$12,J$12,$G520=$G$13,J$13,$G520=$G$15,J$15,$G520=$G$16,J$16,$G520=$G$17,J$17,$G520=$G$18,J$18,$G520=$G$19,J$19,$G520=$G$20,J$20,$G520=$G$21,J$21,$G520=$G$22,J$22,$G520=$G$25,J$25,$G520=$G$26,J$26,$G520=$G$27,J$27,$G520=$G$29,J$29,$G520=$G$31,J$31,$G520=$G$32,J$150,$G520=$G$248,J$248,$G520=$G$250,J$250)</f>
        <v>160</v>
      </c>
      <c r="K520" t="str" cm="1">
        <f t="array" ref="K520">_xlfn.IFS($G520=$G$5,K$5,$G520=$G$6,K$6,$G520=$G$7,K$7,$G520=$G$8,K$8,$G520=$G$9,K$9,$G520=$G$10,K$10,$G520=$G$11,K$11,$G520=$G$12,K$12,$G520=$G$13,K$13,$G520=$G$15,K$15,$G520=$G$16,K$16,$G520=$G$17,K$17,$G520=$G$18,K$18,$G520=$G$19,K$19,$G520=$G$20,K$20,$G520=$G$21,K$21,$G520=$G$22,K$22,$G520=$G$25,K$25,$G520=$G$26,K$26,$G520=$G$27,K$27,$G520=$G$29,K$29,$G520=$G$31,K$31,$G520=$G$32,K$150,$G520=$G$248,K$248,$G520=$G$250,K$250)</f>
        <v>BG sentinel + BG lure7</v>
      </c>
      <c r="L520" s="48"/>
      <c r="M520" s="48"/>
      <c r="O520" s="45" t="str">
        <f t="shared" si="41"/>
        <v>A_SP_BCN_2_210804</v>
      </c>
      <c r="P520" s="64">
        <v>44412</v>
      </c>
      <c r="R520" s="72"/>
      <c r="S520" s="64">
        <v>44419</v>
      </c>
      <c r="U520" s="72"/>
      <c r="V520" s="54" t="s">
        <v>66</v>
      </c>
      <c r="X520" s="45">
        <f t="shared" si="44"/>
        <v>7</v>
      </c>
      <c r="Z520" s="69" t="s">
        <v>69</v>
      </c>
      <c r="AA520" s="45">
        <f t="shared" si="36"/>
        <v>1</v>
      </c>
      <c r="AB520" t="str">
        <f t="shared" si="42"/>
        <v>Adult</v>
      </c>
      <c r="AC520" s="69">
        <v>1</v>
      </c>
      <c r="AD520" s="69">
        <v>0</v>
      </c>
      <c r="AE520" s="45" t="str">
        <f t="shared" si="43"/>
        <v>Morphological</v>
      </c>
      <c r="AF520" s="56">
        <v>4</v>
      </c>
    </row>
    <row r="521" spans="1:32" ht="18" customHeight="1" x14ac:dyDescent="0.25">
      <c r="A521" s="45">
        <v>517</v>
      </c>
      <c r="B521" s="45" t="s">
        <v>60</v>
      </c>
      <c r="C521" s="45" t="s">
        <v>61</v>
      </c>
      <c r="D521" s="45" t="s">
        <v>62</v>
      </c>
      <c r="E521" s="45" t="s">
        <v>62</v>
      </c>
      <c r="F521" s="46" cm="1">
        <f t="array" ref="F521">_xlfn.IFS($G521=$G$5,F$5,$G521=$G$6,F$6,$G521=$G$7,F$7,$G521=$G$8,F$8,$G521=$G$9,F$9,$G521=$G$10,F$10,$G521=$G$11,F$11,$G521=$G$12,F$12,$G521=$G$13,F$13,$G521=$G$15,F$15,$G521=$G$16,F$16,$G521=$G$17,F$17,$G521=$G$18,F$18,$G521=$G$19,F$19,$G521=$G$20,F$20,$G521=$G$21,F$21,$G521=$G$22,F$22,$G521=$G$25,F$25,$G521=$G$26,F$26,$G521=$G$27,F$27,$G521=$G$29,F$29,$G521=$G$31,F$31,$G521=$G$32,F$32,$G521=$G$248,F$248,$G521=$G$250,F$250)</f>
        <v>8016</v>
      </c>
      <c r="G521" t="s">
        <v>68</v>
      </c>
      <c r="H521" s="66" cm="1">
        <f t="array" ref="H521">_xlfn.IFS($G521=$G$5,H$5,$G521=$G$6,H$6,$G521=$G$7,H$7,$G521=$G$8,H$8,$G521=$G$9,H$9,$G521=$G$10,H$10,$G521=$G$11,H$11,$G521=$G$12,H$12,$G521=$G$13,H$13,$G521=$G$15,H$15,$G521=$G$16,H$16,$G521=$G$17,H$17,$G521=$G$18,H$18,$G521=$G$19,H$19,$G521=$G$20,H$20,$G521=$G$21,H$21,$G521=$G$22,H$22,$G521=$G$25,H$25,$G521=$G$26,H$26,$G521=$G$27,H$27,$G521=$G$29,H$29,$G521=$G$31,H$31,$G521=$G$32,H$150,$G521=$G$248,H$248,$G521=$G$250,H$250)</f>
        <v>41.437435000000001</v>
      </c>
      <c r="I521" s="78" cm="1">
        <f t="array" ref="I521">_xlfn.IFS($G521=$G$5,I$5,$G521=$G$6,I$6,$G521=$G$7,I$7,$G521=$G$8,I$8,$G521=$G$9,I$9,$G521=$G$10,I$10,$G521=$G$11,I$11,$G521=$G$12,I$12,$G521=$G$13,I$13,$G521=$G$15,I$15,$G521=$G$16,I$16,$G521=$G$17,I$17,$G521=$G$18,I$18,$G521=$G$19,I$19,$G521=$G$20,I$20,$G521=$G$21,I$21,$G521=$G$22,I$22,$G521=$G$25,I$25,$G521=$G$26,I$26,$G521=$G$27,I$27,$G521=$G$29,I$29,$G521=$G$31,I$31,$G521=$G$32,I$150,$G521=$G$248,I$248,$G521=$G$250,I$250)</f>
        <v>2.1812779999999998</v>
      </c>
      <c r="J521" cm="1">
        <f t="array" ref="J521">_xlfn.IFS($G521=$G$5,J$5,$G521=$G$6,J$6,$G521=$G$7,J$7,$G521=$G$8,J$8,$G521=$G$9,J$9,$G521=$G$10,J$10,$G521=$G$11,J$11,$G521=$G$12,J$12,$G521=$G$13,J$13,$G521=$G$15,J$15,$G521=$G$16,J$16,$G521=$G$17,J$17,$G521=$G$18,J$18,$G521=$G$19,J$19,$G521=$G$20,J$20,$G521=$G$21,J$21,$G521=$G$22,J$22,$G521=$G$25,J$25,$G521=$G$26,J$26,$G521=$G$27,J$27,$G521=$G$29,J$29,$G521=$G$31,J$31,$G521=$G$32,J$150,$G521=$G$248,J$248,$G521=$G$250,J$250)</f>
        <v>47</v>
      </c>
      <c r="K521" t="str" cm="1">
        <f t="array" ref="K521">_xlfn.IFS($G521=$G$5,K$5,$G521=$G$6,K$6,$G521=$G$7,K$7,$G521=$G$8,K$8,$G521=$G$9,K$9,$G521=$G$10,K$10,$G521=$G$11,K$11,$G521=$G$12,K$12,$G521=$G$13,K$13,$G521=$G$15,K$15,$G521=$G$16,K$16,$G521=$G$17,K$17,$G521=$G$18,K$18,$G521=$G$19,K$19,$G521=$G$20,K$20,$G521=$G$21,K$21,$G521=$G$22,K$22,$G521=$G$25,K$25,$G521=$G$26,K$26,$G521=$G$27,K$27,$G521=$G$29,K$29,$G521=$G$31,K$31,$G521=$G$32,K$150,$G521=$G$248,K$248,$G521=$G$250,K$250)</f>
        <v>BG sentinel + BG lure7</v>
      </c>
      <c r="L521" s="48"/>
      <c r="M521" s="48"/>
      <c r="O521" s="45" t="str">
        <f t="shared" si="41"/>
        <v>A_SP_BCN_3_210804</v>
      </c>
      <c r="P521" s="64">
        <v>44412</v>
      </c>
      <c r="R521" s="72"/>
      <c r="S521" s="64">
        <v>44419</v>
      </c>
      <c r="U521" s="72"/>
      <c r="V521" s="54" t="s">
        <v>66</v>
      </c>
      <c r="X521" s="45">
        <f t="shared" si="44"/>
        <v>7</v>
      </c>
      <c r="Z521" s="69" t="s">
        <v>69</v>
      </c>
      <c r="AA521" s="45">
        <f t="shared" si="36"/>
        <v>2</v>
      </c>
      <c r="AB521" t="str">
        <f t="shared" si="42"/>
        <v>Adult</v>
      </c>
      <c r="AC521" s="69">
        <v>2</v>
      </c>
      <c r="AD521" s="69">
        <v>0</v>
      </c>
      <c r="AE521" s="45" t="str">
        <f t="shared" si="43"/>
        <v>Morphological</v>
      </c>
      <c r="AF521" s="56">
        <v>4</v>
      </c>
    </row>
    <row r="522" spans="1:32" ht="18" customHeight="1" x14ac:dyDescent="0.25">
      <c r="A522" s="45">
        <v>518</v>
      </c>
      <c r="B522" s="45" t="s">
        <v>60</v>
      </c>
      <c r="C522" s="45" t="s">
        <v>61</v>
      </c>
      <c r="D522" s="45" t="s">
        <v>62</v>
      </c>
      <c r="E522" s="45" t="s">
        <v>62</v>
      </c>
      <c r="F522" s="46" cm="1">
        <f t="array" ref="F522">_xlfn.IFS($G522=$G$5,F$5,$G522=$G$6,F$6,$G522=$G$7,F$7,$G522=$G$8,F$8,$G522=$G$9,F$9,$G522=$G$10,F$10,$G522=$G$11,F$11,$G522=$G$12,F$12,$G522=$G$13,F$13,$G522=$G$15,F$15,$G522=$G$16,F$16,$G522=$G$17,F$17,$G522=$G$18,F$18,$G522=$G$19,F$19,$G522=$G$20,F$20,$G522=$G$21,F$21,$G522=$G$22,F$22,$G522=$G$25,F$25,$G522=$G$26,F$26,$G522=$G$27,F$27,$G522=$G$29,F$29,$G522=$G$31,F$31,$G522=$G$32,F$32,$G522=$G$248,F$248,$G522=$G$250,F$250)</f>
        <v>8018</v>
      </c>
      <c r="G522" t="s">
        <v>71</v>
      </c>
      <c r="H522" s="66" cm="1">
        <f t="array" ref="H522">_xlfn.IFS($G522=$G$5,H$5,$G522=$G$6,H$6,$G522=$G$7,H$7,$G522=$G$8,H$8,$G522=$G$9,H$9,$G522=$G$10,H$10,$G522=$G$11,H$11,$G522=$G$12,H$12,$G522=$G$13,H$13,$G522=$G$15,H$15,$G522=$G$16,H$16,$G522=$G$17,H$17,$G522=$G$18,H$18,$G522=$G$19,H$19,$G522=$G$20,H$20,$G522=$G$21,H$21,$G522=$G$22,H$22,$G522=$G$25,H$25,$G522=$G$26,H$26,$G522=$G$27,H$27,$G522=$G$29,H$29,$G522=$G$31,H$31,$G522=$G$32,H$150,$G522=$G$248,H$248,$G522=$G$250,H$250)</f>
        <v>41.410684000000003</v>
      </c>
      <c r="I522" s="78" cm="1">
        <f t="array" ref="I522">_xlfn.IFS($G522=$G$5,I$5,$G522=$G$6,I$6,$G522=$G$7,I$7,$G522=$G$8,I$8,$G522=$G$9,I$9,$G522=$G$10,I$10,$G522=$G$11,I$11,$G522=$G$12,I$12,$G522=$G$13,I$13,$G522=$G$15,I$15,$G522=$G$16,I$16,$G522=$G$17,I$17,$G522=$G$18,I$18,$G522=$G$19,I$19,$G522=$G$20,I$20,$G522=$G$21,I$21,$G522=$G$22,I$22,$G522=$G$25,I$25,$G522=$G$26,I$26,$G522=$G$27,I$27,$G522=$G$29,I$29,$G522=$G$31,I$31,$G522=$G$32,I$150,$G522=$G$248,I$248,$G522=$G$250,I$250)</f>
        <v>2.2208019999999999</v>
      </c>
      <c r="J522" cm="1">
        <f t="array" ref="J522">_xlfn.IFS($G522=$G$5,J$5,$G522=$G$6,J$6,$G522=$G$7,J$7,$G522=$G$8,J$8,$G522=$G$9,J$9,$G522=$G$10,J$10,$G522=$G$11,J$11,$G522=$G$12,J$12,$G522=$G$13,J$13,$G522=$G$15,J$15,$G522=$G$16,J$16,$G522=$G$17,J$17,$G522=$G$18,J$18,$G522=$G$19,J$19,$G522=$G$20,J$20,$G522=$G$21,J$21,$G522=$G$22,J$22,$G522=$G$25,J$25,$G522=$G$26,J$26,$G522=$G$27,J$27,$G522=$G$29,J$29,$G522=$G$31,J$31,$G522=$G$32,J$150,$G522=$G$248,J$248,$G522=$G$250,J$250)</f>
        <v>4</v>
      </c>
      <c r="K522" t="str" cm="1">
        <f t="array" ref="K522">_xlfn.IFS($G522=$G$5,K$5,$G522=$G$6,K$6,$G522=$G$7,K$7,$G522=$G$8,K$8,$G522=$G$9,K$9,$G522=$G$10,K$10,$G522=$G$11,K$11,$G522=$G$12,K$12,$G522=$G$13,K$13,$G522=$G$15,K$15,$G522=$G$16,K$16,$G522=$G$17,K$17,$G522=$G$18,K$18,$G522=$G$19,K$19,$G522=$G$20,K$20,$G522=$G$21,K$21,$G522=$G$22,K$22,$G522=$G$25,K$25,$G522=$G$26,K$26,$G522=$G$27,K$27,$G522=$G$29,K$29,$G522=$G$31,K$31,$G522=$G$32,K$150,$G522=$G$248,K$248,$G522=$G$250,K$250)</f>
        <v>BG sentinel + BG lure7</v>
      </c>
      <c r="L522" s="48"/>
      <c r="M522" s="48"/>
      <c r="O522" s="45" t="str">
        <f t="shared" si="41"/>
        <v>A_SP_BCN_4_210805</v>
      </c>
      <c r="P522" s="64">
        <v>44413</v>
      </c>
      <c r="R522" s="72"/>
      <c r="S522" s="64">
        <v>44420</v>
      </c>
      <c r="U522" s="72"/>
      <c r="V522" s="54" t="s">
        <v>66</v>
      </c>
      <c r="X522" s="45">
        <f t="shared" si="44"/>
        <v>7</v>
      </c>
      <c r="Z522" s="69" t="s">
        <v>69</v>
      </c>
      <c r="AA522" s="45">
        <f t="shared" si="36"/>
        <v>6</v>
      </c>
      <c r="AB522" t="str">
        <f t="shared" si="42"/>
        <v>Adult</v>
      </c>
      <c r="AC522" s="69">
        <v>3</v>
      </c>
      <c r="AD522" s="69">
        <v>3</v>
      </c>
      <c r="AE522" s="45" t="str">
        <f t="shared" si="43"/>
        <v>Morphological</v>
      </c>
      <c r="AF522" s="56">
        <v>4</v>
      </c>
    </row>
    <row r="523" spans="1:32" ht="18" customHeight="1" x14ac:dyDescent="0.25">
      <c r="A523" s="45">
        <v>519</v>
      </c>
      <c r="B523" s="45" t="s">
        <v>60</v>
      </c>
      <c r="C523" s="45" t="s">
        <v>61</v>
      </c>
      <c r="D523" s="45" t="s">
        <v>62</v>
      </c>
      <c r="E523" s="45" t="s">
        <v>62</v>
      </c>
      <c r="F523" s="46" cm="1">
        <f t="array" ref="F523">_xlfn.IFS($G523=$G$5,F$5,$G523=$G$6,F$6,$G523=$G$7,F$7,$G523=$G$8,F$8,$G523=$G$9,F$9,$G523=$G$10,F$10,$G523=$G$11,F$11,$G523=$G$12,F$12,$G523=$G$13,F$13,$G523=$G$15,F$15,$G523=$G$16,F$16,$G523=$G$17,F$17,$G523=$G$18,F$18,$G523=$G$19,F$19,$G523=$G$20,F$20,$G523=$G$21,F$21,$G523=$G$22,F$22,$G523=$G$25,F$25,$G523=$G$26,F$26,$G523=$G$27,F$27,$G523=$G$29,F$29,$G523=$G$31,F$31,$G523=$G$32,F$32,$G523=$G$248,F$248,$G523=$G$250,F$250)</f>
        <v>8018</v>
      </c>
      <c r="G523" t="s">
        <v>71</v>
      </c>
      <c r="H523" s="66" cm="1">
        <f t="array" ref="H523">_xlfn.IFS($G523=$G$5,H$5,$G523=$G$6,H$6,$G523=$G$7,H$7,$G523=$G$8,H$8,$G523=$G$9,H$9,$G523=$G$10,H$10,$G523=$G$11,H$11,$G523=$G$12,H$12,$G523=$G$13,H$13,$G523=$G$15,H$15,$G523=$G$16,H$16,$G523=$G$17,H$17,$G523=$G$18,H$18,$G523=$G$19,H$19,$G523=$G$20,H$20,$G523=$G$21,H$21,$G523=$G$22,H$22,$G523=$G$25,H$25,$G523=$G$26,H$26,$G523=$G$27,H$27,$G523=$G$29,H$29,$G523=$G$31,H$31,$G523=$G$32,H$150,$G523=$G$248,H$248,$G523=$G$250,H$250)</f>
        <v>41.410684000000003</v>
      </c>
      <c r="I523" s="78" cm="1">
        <f t="array" ref="I523">_xlfn.IFS($G523=$G$5,I$5,$G523=$G$6,I$6,$G523=$G$7,I$7,$G523=$G$8,I$8,$G523=$G$9,I$9,$G523=$G$10,I$10,$G523=$G$11,I$11,$G523=$G$12,I$12,$G523=$G$13,I$13,$G523=$G$15,I$15,$G523=$G$16,I$16,$G523=$G$17,I$17,$G523=$G$18,I$18,$G523=$G$19,I$19,$G523=$G$20,I$20,$G523=$G$21,I$21,$G523=$G$22,I$22,$G523=$G$25,I$25,$G523=$G$26,I$26,$G523=$G$27,I$27,$G523=$G$29,I$29,$G523=$G$31,I$31,$G523=$G$32,I$150,$G523=$G$248,I$248,$G523=$G$250,I$250)</f>
        <v>2.2208019999999999</v>
      </c>
      <c r="J523" cm="1">
        <f t="array" ref="J523">_xlfn.IFS($G523=$G$5,J$5,$G523=$G$6,J$6,$G523=$G$7,J$7,$G523=$G$8,J$8,$G523=$G$9,J$9,$G523=$G$10,J$10,$G523=$G$11,J$11,$G523=$G$12,J$12,$G523=$G$13,J$13,$G523=$G$15,J$15,$G523=$G$16,J$16,$G523=$G$17,J$17,$G523=$G$18,J$18,$G523=$G$19,J$19,$G523=$G$20,J$20,$G523=$G$21,J$21,$G523=$G$22,J$22,$G523=$G$25,J$25,$G523=$G$26,J$26,$G523=$G$27,J$27,$G523=$G$29,J$29,$G523=$G$31,J$31,$G523=$G$32,J$150,$G523=$G$248,J$248,$G523=$G$250,J$250)</f>
        <v>4</v>
      </c>
      <c r="K523" t="str" cm="1">
        <f t="array" ref="K523">_xlfn.IFS($G523=$G$5,K$5,$G523=$G$6,K$6,$G523=$G$7,K$7,$G523=$G$8,K$8,$G523=$G$9,K$9,$G523=$G$10,K$10,$G523=$G$11,K$11,$G523=$G$12,K$12,$G523=$G$13,K$13,$G523=$G$15,K$15,$G523=$G$16,K$16,$G523=$G$17,K$17,$G523=$G$18,K$18,$G523=$G$19,K$19,$G523=$G$20,K$20,$G523=$G$21,K$21,$G523=$G$22,K$22,$G523=$G$25,K$25,$G523=$G$26,K$26,$G523=$G$27,K$27,$G523=$G$29,K$29,$G523=$G$31,K$31,$G523=$G$32,K$150,$G523=$G$248,K$248,$G523=$G$250,K$250)</f>
        <v>BG sentinel + BG lure7</v>
      </c>
      <c r="L523" s="48" t="str" cm="1">
        <f t="array" ref="L523">_xlfn.IFS($G523=$G$5,L$5,$G523=$G$6,L$6,$G523=$G$7,L$7,$G523=$G$8,L$8,$G523=$G$9,L$9,$G523=$G$10,L$10,$G523=$G$11,L$11,$G523=$G$12,L$12,$G523=$G$13,L$13,$G523=$G$15,L$15,$G523=$G$16,L$16,$G523=$G$17,L$17,$G523=$G$18,L$18,$G523=$G$19,L$19,$G523=$G$20,L$20,$G523=$G$21,L$21,$G523=$G$22,L$22,$G523=$G$25,L$25,$G523=$G$26,L$26,$G523=$G$27,L$27,$G523=$G$29,L$29,$G523=$G$31,L$31,$G523=$G$32,L$32,$G523=$G$248,L$248,$G523=$G$250,L$250)</f>
        <v>Urban habitat</v>
      </c>
      <c r="M523" s="48"/>
      <c r="O523" s="45" t="str">
        <f t="shared" si="41"/>
        <v>A_SP_BCN_4_210805</v>
      </c>
      <c r="P523" s="64">
        <v>44413</v>
      </c>
      <c r="R523" s="72"/>
      <c r="S523" s="64">
        <v>44420</v>
      </c>
      <c r="U523" s="72"/>
      <c r="V523" s="54" t="s">
        <v>66</v>
      </c>
      <c r="X523" s="45">
        <f t="shared" si="44"/>
        <v>7</v>
      </c>
      <c r="Z523" s="45" t="s">
        <v>70</v>
      </c>
      <c r="AA523" s="45">
        <f t="shared" si="36"/>
        <v>6</v>
      </c>
      <c r="AB523" t="str">
        <f t="shared" si="42"/>
        <v>Adult</v>
      </c>
      <c r="AC523" s="69">
        <v>6</v>
      </c>
      <c r="AD523" s="69">
        <v>0</v>
      </c>
      <c r="AE523" s="45" t="str">
        <f t="shared" si="43"/>
        <v>Morphological</v>
      </c>
      <c r="AF523" s="56">
        <v>4</v>
      </c>
    </row>
    <row r="524" spans="1:32" ht="18" customHeight="1" x14ac:dyDescent="0.25">
      <c r="A524" s="45">
        <v>520</v>
      </c>
      <c r="B524" s="45" t="s">
        <v>60</v>
      </c>
      <c r="C524" s="45" t="s">
        <v>61</v>
      </c>
      <c r="D524" s="45" t="s">
        <v>62</v>
      </c>
      <c r="E524" s="45" t="s">
        <v>62</v>
      </c>
      <c r="F524" s="46" cm="1">
        <f t="array" ref="F524">_xlfn.IFS($G524=$G$5,F$5,$G524=$G$6,F$6,$G524=$G$7,F$7,$G524=$G$8,F$8,$G524=$G$9,F$9,$G524=$G$10,F$10,$G524=$G$11,F$11,$G524=$G$12,F$12,$G524=$G$13,F$13,$G524=$G$15,F$15,$G524=$G$16,F$16,$G524=$G$17,F$17,$G524=$G$18,F$18,$G524=$G$19,F$19,$G524=$G$20,F$20,$G524=$G$21,F$21,$G524=$G$22,F$22,$G524=$G$25,F$25,$G524=$G$26,F$26,$G524=$G$27,F$27,$G524=$G$29,F$29,$G524=$G$31,F$31,$G524=$G$32,F$32,$G524=$G$248,F$248,$G524=$G$250,F$250)</f>
        <v>8019</v>
      </c>
      <c r="G524" t="s">
        <v>72</v>
      </c>
      <c r="H524" s="66" cm="1">
        <f t="array" ref="H524">_xlfn.IFS($G524=$G$5,H$5,$G524=$G$6,H$6,$G524=$G$7,H$7,$G524=$G$8,H$8,$G524=$G$9,H$9,$G524=$G$10,H$10,$G524=$G$11,H$11,$G524=$G$12,H$12,$G524=$G$13,H$13,$G524=$G$15,H$15,$G524=$G$16,H$16,$G524=$G$17,H$17,$G524=$G$18,H$18,$G524=$G$19,H$19,$G524=$G$20,H$20,$G524=$G$21,H$21,$G524=$G$22,H$22,$G524=$G$25,H$25,$G524=$G$26,H$26,$G524=$G$27,H$27,$G524=$G$29,H$29,$G524=$G$31,H$31,$G524=$G$32,H$150,$G524=$G$248,H$248,$G524=$G$250,H$250)</f>
        <v>41.382339999999999</v>
      </c>
      <c r="I524" s="78" cm="1">
        <f t="array" ref="I524">_xlfn.IFS($G524=$G$5,I$5,$G524=$G$6,I$6,$G524=$G$7,I$7,$G524=$G$8,I$8,$G524=$G$9,I$9,$G524=$G$10,I$10,$G524=$G$11,I$11,$G524=$G$12,I$12,$G524=$G$13,I$13,$G524=$G$15,I$15,$G524=$G$16,I$16,$G524=$G$17,I$17,$G524=$G$18,I$18,$G524=$G$19,I$19,$G524=$G$20,I$20,$G524=$G$21,I$21,$G524=$G$22,I$22,$G524=$G$25,I$25,$G524=$G$26,I$26,$G524=$G$27,I$27,$G524=$G$29,I$29,$G524=$G$31,I$31,$G524=$G$32,I$150,$G524=$G$248,I$248,$G524=$G$250,I$250)</f>
        <v>2.1714790000000002</v>
      </c>
      <c r="J524" cm="1">
        <f t="array" ref="J524">_xlfn.IFS($G524=$G$5,J$5,$G524=$G$6,J$6,$G524=$G$7,J$7,$G524=$G$8,J$8,$G524=$G$9,J$9,$G524=$G$10,J$10,$G524=$G$11,J$11,$G524=$G$12,J$12,$G524=$G$13,J$13,$G524=$G$15,J$15,$G524=$G$16,J$16,$G524=$G$17,J$17,$G524=$G$18,J$18,$G524=$G$19,J$19,$G524=$G$20,J$20,$G524=$G$21,J$21,$G524=$G$22,J$22,$G524=$G$25,J$25,$G524=$G$26,J$26,$G524=$G$27,J$27,$G524=$G$29,J$29,$G524=$G$31,J$31,$G524=$G$32,J$150,$G524=$G$248,J$248,$G524=$G$250,J$250)</f>
        <v>18</v>
      </c>
      <c r="K524" t="str" cm="1">
        <f t="array" ref="K524">_xlfn.IFS($G524=$G$5,K$5,$G524=$G$6,K$6,$G524=$G$7,K$7,$G524=$G$8,K$8,$G524=$G$9,K$9,$G524=$G$10,K$10,$G524=$G$11,K$11,$G524=$G$12,K$12,$G524=$G$13,K$13,$G524=$G$15,K$15,$G524=$G$16,K$16,$G524=$G$17,K$17,$G524=$G$18,K$18,$G524=$G$19,K$19,$G524=$G$20,K$20,$G524=$G$21,K$21,$G524=$G$22,K$22,$G524=$G$25,K$25,$G524=$G$26,K$26,$G524=$G$27,K$27,$G524=$G$29,K$29,$G524=$G$31,K$31,$G524=$G$32,K$150,$G524=$G$248,K$248,$G524=$G$250,K$250)</f>
        <v>BG sentinel + BG lure7</v>
      </c>
      <c r="L524" s="48"/>
      <c r="M524" s="48"/>
      <c r="O524" s="45" t="str">
        <f t="shared" si="41"/>
        <v>A_SP_BCN_5_210805</v>
      </c>
      <c r="P524" s="64">
        <v>44413</v>
      </c>
      <c r="R524" s="72"/>
      <c r="S524" s="64">
        <v>44420</v>
      </c>
      <c r="U524" s="72"/>
      <c r="V524" s="54" t="s">
        <v>66</v>
      </c>
      <c r="X524" s="45">
        <f t="shared" si="44"/>
        <v>7</v>
      </c>
      <c r="Z524" s="69" t="s">
        <v>69</v>
      </c>
      <c r="AA524" s="45">
        <f t="shared" si="36"/>
        <v>1</v>
      </c>
      <c r="AB524" t="str">
        <f t="shared" si="42"/>
        <v>Adult</v>
      </c>
      <c r="AC524" s="69">
        <v>0</v>
      </c>
      <c r="AD524" s="69">
        <v>1</v>
      </c>
      <c r="AE524" s="45" t="str">
        <f t="shared" si="43"/>
        <v>Morphological</v>
      </c>
      <c r="AF524" s="56">
        <v>4</v>
      </c>
    </row>
    <row r="525" spans="1:32" ht="18" customHeight="1" x14ac:dyDescent="0.25">
      <c r="A525" s="45">
        <v>521</v>
      </c>
      <c r="B525" s="45" t="s">
        <v>60</v>
      </c>
      <c r="C525" s="45" t="s">
        <v>61</v>
      </c>
      <c r="D525" s="45" t="s">
        <v>62</v>
      </c>
      <c r="E525" s="45" t="s">
        <v>62</v>
      </c>
      <c r="F525" s="46" cm="1">
        <f t="array" ref="F525">_xlfn.IFS($G525=$G$5,F$5,$G525=$G$6,F$6,$G525=$G$7,F$7,$G525=$G$8,F$8,$G525=$G$9,F$9,$G525=$G$10,F$10,$G525=$G$11,F$11,$G525=$G$12,F$12,$G525=$G$13,F$13,$G525=$G$15,F$15,$G525=$G$16,F$16,$G525=$G$17,F$17,$G525=$G$18,F$18,$G525=$G$19,F$19,$G525=$G$20,F$20,$G525=$G$21,F$21,$G525=$G$22,F$22,$G525=$G$25,F$25,$G525=$G$26,F$26,$G525=$G$27,F$27,$G525=$G$29,F$29,$G525=$G$31,F$31,$G525=$G$32,F$32,$G525=$G$248,F$248,$G525=$G$250,F$250)</f>
        <v>8019</v>
      </c>
      <c r="G525" t="s">
        <v>72</v>
      </c>
      <c r="H525" s="66" cm="1">
        <f t="array" ref="H525">_xlfn.IFS($G525=$G$5,H$5,$G525=$G$6,H$6,$G525=$G$7,H$7,$G525=$G$8,H$8,$G525=$G$9,H$9,$G525=$G$10,H$10,$G525=$G$11,H$11,$G525=$G$12,H$12,$G525=$G$13,H$13,$G525=$G$15,H$15,$G525=$G$16,H$16,$G525=$G$17,H$17,$G525=$G$18,H$18,$G525=$G$19,H$19,$G525=$G$20,H$20,$G525=$G$21,H$21,$G525=$G$22,H$22,$G525=$G$25,H$25,$G525=$G$26,H$26,$G525=$G$27,H$27,$G525=$G$29,H$29,$G525=$G$31,H$31,$G525=$G$32,H$150,$G525=$G$248,H$248,$G525=$G$250,H$250)</f>
        <v>41.382339999999999</v>
      </c>
      <c r="I525" s="78" cm="1">
        <f t="array" ref="I525">_xlfn.IFS($G525=$G$5,I$5,$G525=$G$6,I$6,$G525=$G$7,I$7,$G525=$G$8,I$8,$G525=$G$9,I$9,$G525=$G$10,I$10,$G525=$G$11,I$11,$G525=$G$12,I$12,$G525=$G$13,I$13,$G525=$G$15,I$15,$G525=$G$16,I$16,$G525=$G$17,I$17,$G525=$G$18,I$18,$G525=$G$19,I$19,$G525=$G$20,I$20,$G525=$G$21,I$21,$G525=$G$22,I$22,$G525=$G$25,I$25,$G525=$G$26,I$26,$G525=$G$27,I$27,$G525=$G$29,I$29,$G525=$G$31,I$31,$G525=$G$32,I$150,$G525=$G$248,I$248,$G525=$G$250,I$250)</f>
        <v>2.1714790000000002</v>
      </c>
      <c r="J525" cm="1">
        <f t="array" ref="J525">_xlfn.IFS($G525=$G$5,J$5,$G525=$G$6,J$6,$G525=$G$7,J$7,$G525=$G$8,J$8,$G525=$G$9,J$9,$G525=$G$10,J$10,$G525=$G$11,J$11,$G525=$G$12,J$12,$G525=$G$13,J$13,$G525=$G$15,J$15,$G525=$G$16,J$16,$G525=$G$17,J$17,$G525=$G$18,J$18,$G525=$G$19,J$19,$G525=$G$20,J$20,$G525=$G$21,J$21,$G525=$G$22,J$22,$G525=$G$25,J$25,$G525=$G$26,J$26,$G525=$G$27,J$27,$G525=$G$29,J$29,$G525=$G$31,J$31,$G525=$G$32,J$150,$G525=$G$248,J$248,$G525=$G$250,J$250)</f>
        <v>18</v>
      </c>
      <c r="K525" t="str" cm="1">
        <f t="array" ref="K525">_xlfn.IFS($G525=$G$5,K$5,$G525=$G$6,K$6,$G525=$G$7,K$7,$G525=$G$8,K$8,$G525=$G$9,K$9,$G525=$G$10,K$10,$G525=$G$11,K$11,$G525=$G$12,K$12,$G525=$G$13,K$13,$G525=$G$15,K$15,$G525=$G$16,K$16,$G525=$G$17,K$17,$G525=$G$18,K$18,$G525=$G$19,K$19,$G525=$G$20,K$20,$G525=$G$21,K$21,$G525=$G$22,K$22,$G525=$G$25,K$25,$G525=$G$26,K$26,$G525=$G$27,K$27,$G525=$G$29,K$29,$G525=$G$31,K$31,$G525=$G$32,K$150,$G525=$G$248,K$248,$G525=$G$250,K$250)</f>
        <v>BG sentinel + BG lure7</v>
      </c>
      <c r="L525" s="48"/>
      <c r="M525" s="48"/>
      <c r="O525" s="45" t="str">
        <f t="shared" si="41"/>
        <v>A_SP_BCN_5_210805</v>
      </c>
      <c r="P525" s="64">
        <v>44413</v>
      </c>
      <c r="R525" s="72"/>
      <c r="S525" s="64">
        <v>44420</v>
      </c>
      <c r="U525" s="72"/>
      <c r="V525" s="54" t="s">
        <v>66</v>
      </c>
      <c r="X525" s="45">
        <f t="shared" si="44"/>
        <v>7</v>
      </c>
      <c r="Z525" s="45" t="s">
        <v>70</v>
      </c>
      <c r="AA525" s="45">
        <f t="shared" si="36"/>
        <v>6</v>
      </c>
      <c r="AB525" t="str">
        <f t="shared" si="42"/>
        <v>Adult</v>
      </c>
      <c r="AC525" s="69">
        <v>6</v>
      </c>
      <c r="AD525" s="69">
        <v>0</v>
      </c>
      <c r="AE525" s="45" t="str">
        <f t="shared" si="43"/>
        <v>Morphological</v>
      </c>
      <c r="AF525" s="56">
        <v>4</v>
      </c>
    </row>
    <row r="526" spans="1:32" ht="18" customHeight="1" x14ac:dyDescent="0.25">
      <c r="A526" s="45">
        <v>522</v>
      </c>
      <c r="B526" s="45" t="s">
        <v>60</v>
      </c>
      <c r="C526" s="45" t="s">
        <v>61</v>
      </c>
      <c r="D526" s="45" t="s">
        <v>62</v>
      </c>
      <c r="E526" s="45" t="s">
        <v>62</v>
      </c>
      <c r="F526" s="46" cm="1">
        <f t="array" ref="F526">_xlfn.IFS($G526=$G$5,F$5,$G526=$G$6,F$6,$G526=$G$7,F$7,$G526=$G$8,F$8,$G526=$G$9,F$9,$G526=$G$10,F$10,$G526=$G$11,F$11,$G526=$G$12,F$12,$G526=$G$13,F$13,$G526=$G$15,F$15,$G526=$G$16,F$16,$G526=$G$17,F$17,$G526=$G$18,F$18,$G526=$G$19,F$19,$G526=$G$20,F$20,$G526=$G$21,F$21,$G526=$G$22,F$22,$G526=$G$25,F$25,$G526=$G$26,F$26,$G526=$G$27,F$27,$G526=$G$29,F$29,$G526=$G$31,F$31,$G526=$G$32,F$32,$G526=$G$248,F$248,$G526=$G$250,F$250)</f>
        <v>8002</v>
      </c>
      <c r="G526" t="s">
        <v>73</v>
      </c>
      <c r="H526" s="66" cm="1">
        <f t="array" ref="H526">_xlfn.IFS($G526=$G$5,H$5,$G526=$G$6,H$6,$G526=$G$7,H$7,$G526=$G$8,H$8,$G526=$G$9,H$9,$G526=$G$10,H$10,$G526=$G$11,H$11,$G526=$G$12,H$12,$G526=$G$13,H$13,$G526=$G$15,H$15,$G526=$G$16,H$16,$G526=$G$17,H$17,$G526=$G$18,H$18,$G526=$G$19,H$19,$G526=$G$20,H$20,$G526=$G$21,H$21,$G526=$G$22,H$22,$G526=$G$25,H$25,$G526=$G$26,H$26,$G526=$G$27,H$27,$G526=$G$29,H$29,$G526=$G$31,H$31,$G526=$G$32,H$150,$G526=$G$248,H$248,$G526=$G$250,H$250)</f>
        <v>41.371864000000002</v>
      </c>
      <c r="I526" s="78" cm="1">
        <f t="array" ref="I526">_xlfn.IFS($G526=$G$5,I$5,$G526=$G$6,I$6,$G526=$G$7,I$7,$G526=$G$8,I$8,$G526=$G$9,I$9,$G526=$G$10,I$10,$G526=$G$11,I$11,$G526=$G$12,I$12,$G526=$G$13,I$13,$G526=$G$15,I$15,$G526=$G$16,I$16,$G526=$G$17,I$17,$G526=$G$18,I$18,$G526=$G$19,I$19,$G526=$G$20,I$20,$G526=$G$21,I$21,$G526=$G$22,I$22,$G526=$G$25,I$25,$G526=$G$26,I$26,$G526=$G$27,I$27,$G526=$G$29,I$29,$G526=$G$31,I$31,$G526=$G$32,I$150,$G526=$G$248,I$248,$G526=$G$250,I$250)</f>
        <v>2.173899</v>
      </c>
      <c r="J526" cm="1">
        <f t="array" ref="J526">_xlfn.IFS($G526=$G$5,J$5,$G526=$G$6,J$6,$G526=$G$7,J$7,$G526=$G$8,J$8,$G526=$G$9,J$9,$G526=$G$10,J$10,$G526=$G$11,J$11,$G526=$G$12,J$12,$G526=$G$13,J$13,$G526=$G$15,J$15,$G526=$G$16,J$16,$G526=$G$17,J$17,$G526=$G$18,J$18,$G526=$G$19,J$19,$G526=$G$20,J$20,$G526=$G$21,J$21,$G526=$G$22,J$22,$G526=$G$25,J$25,$G526=$G$26,J$26,$G526=$G$27,J$27,$G526=$G$29,J$29,$G526=$G$31,J$31,$G526=$G$32,J$150,$G526=$G$248,J$248,$G526=$G$250,J$250)</f>
        <v>19</v>
      </c>
      <c r="K526" t="str" cm="1">
        <f t="array" ref="K526">_xlfn.IFS($G526=$G$5,K$5,$G526=$G$6,K$6,$G526=$G$7,K$7,$G526=$G$8,K$8,$G526=$G$9,K$9,$G526=$G$10,K$10,$G526=$G$11,K$11,$G526=$G$12,K$12,$G526=$G$13,K$13,$G526=$G$15,K$15,$G526=$G$16,K$16,$G526=$G$17,K$17,$G526=$G$18,K$18,$G526=$G$19,K$19,$G526=$G$20,K$20,$G526=$G$21,K$21,$G526=$G$22,K$22,$G526=$G$25,K$25,$G526=$G$26,K$26,$G526=$G$27,K$27,$G526=$G$29,K$29,$G526=$G$31,K$31,$G526=$G$32,K$150,$G526=$G$248,K$248,$G526=$G$250,K$250)</f>
        <v>BG sentinel + BG lure7</v>
      </c>
      <c r="L526" s="48"/>
      <c r="M526" s="48"/>
      <c r="O526" s="45" t="str">
        <f t="shared" si="41"/>
        <v>A_SP_BCN_6_210805</v>
      </c>
      <c r="P526" s="64">
        <v>44413</v>
      </c>
      <c r="R526" s="72"/>
      <c r="S526" s="64">
        <v>44420</v>
      </c>
      <c r="U526" s="72"/>
      <c r="V526" s="54" t="s">
        <v>66</v>
      </c>
      <c r="X526" s="45">
        <f t="shared" si="44"/>
        <v>7</v>
      </c>
      <c r="Z526" s="45" t="s">
        <v>70</v>
      </c>
      <c r="AA526" s="45">
        <f t="shared" si="36"/>
        <v>1</v>
      </c>
      <c r="AB526" t="str">
        <f t="shared" si="42"/>
        <v>Adult</v>
      </c>
      <c r="AC526" s="69">
        <v>1</v>
      </c>
      <c r="AD526" s="69">
        <v>0</v>
      </c>
      <c r="AE526" s="45" t="str">
        <f t="shared" si="43"/>
        <v>Morphological</v>
      </c>
      <c r="AF526" s="56">
        <v>4</v>
      </c>
    </row>
    <row r="527" spans="1:32" ht="18" customHeight="1" x14ac:dyDescent="0.25">
      <c r="A527" s="45">
        <v>523</v>
      </c>
      <c r="B527" s="45" t="s">
        <v>60</v>
      </c>
      <c r="C527" s="45" t="s">
        <v>61</v>
      </c>
      <c r="D527" s="45" t="s">
        <v>62</v>
      </c>
      <c r="E527" s="45" t="s">
        <v>62</v>
      </c>
      <c r="F527" s="46" cm="1">
        <f t="array" ref="F527">_xlfn.IFS($G527=$G$5,F$5,$G527=$G$6,F$6,$G527=$G$7,F$7,$G527=$G$8,F$8,$G527=$G$9,F$9,$G527=$G$10,F$10,$G527=$G$11,F$11,$G527=$G$12,F$12,$G527=$G$13,F$13,$G527=$G$15,F$15,$G527=$G$16,F$16,$G527=$G$17,F$17,$G527=$G$18,F$18,$G527=$G$19,F$19,$G527=$G$20,F$20,$G527=$G$21,F$21,$G527=$G$22,F$22,$G527=$G$25,F$25,$G527=$G$26,F$26,$G527=$G$27,F$27,$G527=$G$29,F$29,$G527=$G$31,F$31,$G527=$G$32,F$32,$G527=$G$248,F$248,$G527=$G$250,F$250)</f>
        <v>8038</v>
      </c>
      <c r="G527" t="s">
        <v>74</v>
      </c>
      <c r="H527" s="66" cm="1">
        <f t="array" ref="H527">_xlfn.IFS($G527=$G$5,H$5,$G527=$G$6,H$6,$G527=$G$7,H$7,$G527=$G$8,H$8,$G527=$G$9,H$9,$G527=$G$10,H$10,$G527=$G$11,H$11,$G527=$G$12,H$12,$G527=$G$13,H$13,$G527=$G$15,H$15,$G527=$G$16,H$16,$G527=$G$17,H$17,$G527=$G$18,H$18,$G527=$G$19,H$19,$G527=$G$20,H$20,$G527=$G$21,H$21,$G527=$G$22,H$22,$G527=$G$25,H$25,$G527=$G$26,H$26,$G527=$G$27,H$27,$G527=$G$29,H$29,$G527=$G$31,H$31,$G527=$G$32,H$150,$G527=$G$248,H$248,$G527=$G$250,H$250)</f>
        <v>41.371864000000002</v>
      </c>
      <c r="I527" s="78" cm="1">
        <f t="array" ref="I527">_xlfn.IFS($G527=$G$5,I$5,$G527=$G$6,I$6,$G527=$G$7,I$7,$G527=$G$8,I$8,$G527=$G$9,I$9,$G527=$G$10,I$10,$G527=$G$11,I$11,$G527=$G$12,I$12,$G527=$G$13,I$13,$G527=$G$15,I$15,$G527=$G$16,I$16,$G527=$G$17,I$17,$G527=$G$18,I$18,$G527=$G$19,I$19,$G527=$G$20,I$20,$G527=$G$21,I$21,$G527=$G$22,I$22,$G527=$G$25,I$25,$G527=$G$26,I$26,$G527=$G$27,I$27,$G527=$G$29,I$29,$G527=$G$31,I$31,$G527=$G$32,I$150,$G527=$G$248,I$248,$G527=$G$250,I$250)</f>
        <v>2.173899</v>
      </c>
      <c r="J527" cm="1">
        <f t="array" ref="J527">_xlfn.IFS($G527=$G$5,J$5,$G527=$G$6,J$6,$G527=$G$7,J$7,$G527=$G$8,J$8,$G527=$G$9,J$9,$G527=$G$10,J$10,$G527=$G$11,J$11,$G527=$G$12,J$12,$G527=$G$13,J$13,$G527=$G$15,J$15,$G527=$G$16,J$16,$G527=$G$17,J$17,$G527=$G$18,J$18,$G527=$G$19,J$19,$G527=$G$20,J$20,$G527=$G$21,J$21,$G527=$G$22,J$22,$G527=$G$25,J$25,$G527=$G$26,J$26,$G527=$G$27,J$27,$G527=$G$29,J$29,$G527=$G$31,J$31,$G527=$G$32,J$150,$G527=$G$248,J$248,$G527=$G$250,J$250)</f>
        <v>5</v>
      </c>
      <c r="K527" t="str" cm="1">
        <f t="array" ref="K527">_xlfn.IFS($G527=$G$5,K$5,$G527=$G$6,K$6,$G527=$G$7,K$7,$G527=$G$8,K$8,$G527=$G$9,K$9,$G527=$G$10,K$10,$G527=$G$11,K$11,$G527=$G$12,K$12,$G527=$G$13,K$13,$G527=$G$15,K$15,$G527=$G$16,K$16,$G527=$G$17,K$17,$G527=$G$18,K$18,$G527=$G$19,K$19,$G527=$G$20,K$20,$G527=$G$21,K$21,$G527=$G$22,K$22,$G527=$G$25,K$25,$G527=$G$26,K$26,$G527=$G$27,K$27,$G527=$G$29,K$29,$G527=$G$31,K$31,$G527=$G$32,K$150,$G527=$G$248,K$248,$G527=$G$250,K$250)</f>
        <v>BG sentinel + BG lure7</v>
      </c>
      <c r="L527" s="48"/>
      <c r="M527" s="48"/>
      <c r="O527" s="45" t="str">
        <f t="shared" si="41"/>
        <v>A_SP_BCN_7_210805</v>
      </c>
      <c r="P527" s="64">
        <v>44413</v>
      </c>
      <c r="R527" s="72"/>
      <c r="S527" s="64">
        <v>44420</v>
      </c>
      <c r="U527" s="72"/>
      <c r="V527" s="54" t="s">
        <v>66</v>
      </c>
      <c r="X527" s="45">
        <f t="shared" si="44"/>
        <v>7</v>
      </c>
      <c r="Z527" s="69" t="s">
        <v>69</v>
      </c>
      <c r="AA527" s="45">
        <f t="shared" si="36"/>
        <v>5</v>
      </c>
      <c r="AB527" t="str">
        <f t="shared" si="42"/>
        <v>Adult</v>
      </c>
      <c r="AC527" s="69">
        <v>5</v>
      </c>
      <c r="AD527" s="69">
        <v>0</v>
      </c>
      <c r="AE527" s="45" t="str">
        <f t="shared" si="43"/>
        <v>Morphological</v>
      </c>
      <c r="AF527" s="56">
        <v>4</v>
      </c>
    </row>
    <row r="528" spans="1:32" ht="18" customHeight="1" x14ac:dyDescent="0.25">
      <c r="A528" s="45">
        <v>524</v>
      </c>
      <c r="B528" s="45" t="s">
        <v>60</v>
      </c>
      <c r="C528" s="45" t="s">
        <v>61</v>
      </c>
      <c r="D528" s="45" t="s">
        <v>62</v>
      </c>
      <c r="E528" s="45" t="s">
        <v>62</v>
      </c>
      <c r="F528" s="46" cm="1">
        <f t="array" ref="F528">_xlfn.IFS($G528=$G$5,F$5,$G528=$G$6,F$6,$G528=$G$7,F$7,$G528=$G$8,F$8,$G528=$G$9,F$9,$G528=$G$10,F$10,$G528=$G$11,F$11,$G528=$G$12,F$12,$G528=$G$13,F$13,$G528=$G$15,F$15,$G528=$G$16,F$16,$G528=$G$17,F$17,$G528=$G$18,F$18,$G528=$G$19,F$19,$G528=$G$20,F$20,$G528=$G$21,F$21,$G528=$G$22,F$22,$G528=$G$25,F$25,$G528=$G$26,F$26,$G528=$G$27,F$27,$G528=$G$29,F$29,$G528=$G$31,F$31,$G528=$G$32,F$32,$G528=$G$248,F$248,$G528=$G$250,F$250)</f>
        <v>8038</v>
      </c>
      <c r="G528" t="s">
        <v>74</v>
      </c>
      <c r="H528" s="66" cm="1">
        <f t="array" ref="H528">_xlfn.IFS($G528=$G$5,H$5,$G528=$G$6,H$6,$G528=$G$7,H$7,$G528=$G$8,H$8,$G528=$G$9,H$9,$G528=$G$10,H$10,$G528=$G$11,H$11,$G528=$G$12,H$12,$G528=$G$13,H$13,$G528=$G$15,H$15,$G528=$G$16,H$16,$G528=$G$17,H$17,$G528=$G$18,H$18,$G528=$G$19,H$19,$G528=$G$20,H$20,$G528=$G$21,H$21,$G528=$G$22,H$22,$G528=$G$25,H$25,$G528=$G$26,H$26,$G528=$G$27,H$27,$G528=$G$29,H$29,$G528=$G$31,H$31,$G528=$G$32,H$150,$G528=$G$248,H$248,$G528=$G$250,H$250)</f>
        <v>41.371864000000002</v>
      </c>
      <c r="I528" s="78" cm="1">
        <f t="array" ref="I528">_xlfn.IFS($G528=$G$5,I$5,$G528=$G$6,I$6,$G528=$G$7,I$7,$G528=$G$8,I$8,$G528=$G$9,I$9,$G528=$G$10,I$10,$G528=$G$11,I$11,$G528=$G$12,I$12,$G528=$G$13,I$13,$G528=$G$15,I$15,$G528=$G$16,I$16,$G528=$G$17,I$17,$G528=$G$18,I$18,$G528=$G$19,I$19,$G528=$G$20,I$20,$G528=$G$21,I$21,$G528=$G$22,I$22,$G528=$G$25,I$25,$G528=$G$26,I$26,$G528=$G$27,I$27,$G528=$G$29,I$29,$G528=$G$31,I$31,$G528=$G$32,I$150,$G528=$G$248,I$248,$G528=$G$250,I$250)</f>
        <v>2.173899</v>
      </c>
      <c r="J528" cm="1">
        <f t="array" ref="J528">_xlfn.IFS($G528=$G$5,J$5,$G528=$G$6,J$6,$G528=$G$7,J$7,$G528=$G$8,J$8,$G528=$G$9,J$9,$G528=$G$10,J$10,$G528=$G$11,J$11,$G528=$G$12,J$12,$G528=$G$13,J$13,$G528=$G$15,J$15,$G528=$G$16,J$16,$G528=$G$17,J$17,$G528=$G$18,J$18,$G528=$G$19,J$19,$G528=$G$20,J$20,$G528=$G$21,J$21,$G528=$G$22,J$22,$G528=$G$25,J$25,$G528=$G$26,J$26,$G528=$G$27,J$27,$G528=$G$29,J$29,$G528=$G$31,J$31,$G528=$G$32,J$150,$G528=$G$248,J$248,$G528=$G$250,J$250)</f>
        <v>5</v>
      </c>
      <c r="K528" t="str" cm="1">
        <f t="array" ref="K528">_xlfn.IFS($G528=$G$5,K$5,$G528=$G$6,K$6,$G528=$G$7,K$7,$G528=$G$8,K$8,$G528=$G$9,K$9,$G528=$G$10,K$10,$G528=$G$11,K$11,$G528=$G$12,K$12,$G528=$G$13,K$13,$G528=$G$15,K$15,$G528=$G$16,K$16,$G528=$G$17,K$17,$G528=$G$18,K$18,$G528=$G$19,K$19,$G528=$G$20,K$20,$G528=$G$21,K$21,$G528=$G$22,K$22,$G528=$G$25,K$25,$G528=$G$26,K$26,$G528=$G$27,K$27,$G528=$G$29,K$29,$G528=$G$31,K$31,$G528=$G$32,K$150,$G528=$G$248,K$248,$G528=$G$250,K$250)</f>
        <v>BG sentinel + BG lure7</v>
      </c>
      <c r="L528" s="48"/>
      <c r="M528" s="48"/>
      <c r="O528" s="45" t="str">
        <f t="shared" si="41"/>
        <v>A_SP_BCN_7_210805</v>
      </c>
      <c r="P528" s="64">
        <v>44413</v>
      </c>
      <c r="R528" s="72"/>
      <c r="S528" s="64">
        <v>44420</v>
      </c>
      <c r="U528" s="72"/>
      <c r="V528" s="54" t="s">
        <v>66</v>
      </c>
      <c r="X528" s="45">
        <f t="shared" si="44"/>
        <v>7</v>
      </c>
      <c r="Z528" s="45" t="s">
        <v>70</v>
      </c>
      <c r="AA528" s="45">
        <f t="shared" si="36"/>
        <v>4</v>
      </c>
      <c r="AB528" t="str">
        <f t="shared" si="42"/>
        <v>Adult</v>
      </c>
      <c r="AC528" s="69">
        <v>4</v>
      </c>
      <c r="AD528" s="69">
        <v>0</v>
      </c>
      <c r="AE528" s="45" t="str">
        <f t="shared" si="43"/>
        <v>Morphological</v>
      </c>
      <c r="AF528" s="56">
        <v>4</v>
      </c>
    </row>
    <row r="529" spans="1:32" ht="18" customHeight="1" x14ac:dyDescent="0.25">
      <c r="A529" s="45">
        <v>525</v>
      </c>
      <c r="B529" s="45" t="s">
        <v>60</v>
      </c>
      <c r="C529" s="45" t="s">
        <v>61</v>
      </c>
      <c r="D529" s="45" t="s">
        <v>62</v>
      </c>
      <c r="E529" s="45" t="s">
        <v>62</v>
      </c>
      <c r="F529" s="46" cm="1">
        <f t="array" ref="F529">_xlfn.IFS($G529=$G$5,F$5,$G529=$G$6,F$6,$G529=$G$7,F$7,$G529=$G$8,F$8,$G529=$G$9,F$9,$G529=$G$10,F$10,$G529=$G$11,F$11,$G529=$G$12,F$12,$G529=$G$13,F$13,$G529=$G$15,F$15,$G529=$G$16,F$16,$G529=$G$17,F$17,$G529=$G$18,F$18,$G529=$G$19,F$19,$G529=$G$20,F$20,$G529=$G$21,F$21,$G529=$G$22,F$22,$G529=$G$25,F$25,$G529=$G$26,F$26,$G529=$G$27,F$27,$G529=$G$29,F$29,$G529=$G$31,F$31,$G529=$G$32,F$32,$G529=$G$248,F$248,$G529=$G$250,F$250)</f>
        <v>8038</v>
      </c>
      <c r="G529" t="s">
        <v>75</v>
      </c>
      <c r="H529" s="66" cm="1">
        <f t="array" ref="H529">_xlfn.IFS($G529=$G$5,H$5,$G529=$G$6,H$6,$G529=$G$7,H$7,$G529=$G$8,H$8,$G529=$G$9,H$9,$G529=$G$10,H$10,$G529=$G$11,H$11,$G529=$G$12,H$12,$G529=$G$13,H$13,$G529=$G$15,H$15,$G529=$G$16,H$16,$G529=$G$17,H$17,$G529=$G$18,H$18,$G529=$G$19,H$19,$G529=$G$20,H$20,$G529=$G$21,H$21,$G529=$G$22,H$22,$G529=$G$25,H$25,$G529=$G$26,H$26,$G529=$G$27,H$27,$G529=$G$29,H$29,$G529=$G$31,H$31,$G529=$G$32,H$150,$G529=$G$248,H$248,$G529=$G$250,H$250)</f>
        <v>41.368589</v>
      </c>
      <c r="I529" s="78" cm="1">
        <f t="array" ref="I529">_xlfn.IFS($G529=$G$5,I$5,$G529=$G$6,I$6,$G529=$G$7,I$7,$G529=$G$8,I$8,$G529=$G$9,I$9,$G529=$G$10,I$10,$G529=$G$11,I$11,$G529=$G$12,I$12,$G529=$G$13,I$13,$G529=$G$15,I$15,$G529=$G$16,I$16,$G529=$G$17,I$17,$G529=$G$18,I$18,$G529=$G$19,I$19,$G529=$G$20,I$20,$G529=$G$21,I$21,$G529=$G$22,I$22,$G529=$G$25,I$25,$G529=$G$26,I$26,$G529=$G$27,I$27,$G529=$G$29,I$29,$G529=$G$31,I$31,$G529=$G$32,I$150,$G529=$G$248,I$248,$G529=$G$250,I$250)</f>
        <v>2.1620900000000001</v>
      </c>
      <c r="J529" cm="1">
        <f t="array" ref="J529">_xlfn.IFS($G529=$G$5,J$5,$G529=$G$6,J$6,$G529=$G$7,J$7,$G529=$G$8,J$8,$G529=$G$9,J$9,$G529=$G$10,J$10,$G529=$G$11,J$11,$G529=$G$12,J$12,$G529=$G$13,J$13,$G529=$G$15,J$15,$G529=$G$16,J$16,$G529=$G$17,J$17,$G529=$G$18,J$18,$G529=$G$19,J$19,$G529=$G$20,J$20,$G529=$G$21,J$21,$G529=$G$22,J$22,$G529=$G$25,J$25,$G529=$G$26,J$26,$G529=$G$27,J$27,$G529=$G$29,J$29,$G529=$G$31,J$31,$G529=$G$32,J$150,$G529=$G$248,J$248,$G529=$G$250,J$250)</f>
        <v>95</v>
      </c>
      <c r="K529" t="str" cm="1">
        <f t="array" ref="K529">_xlfn.IFS($G529=$G$5,K$5,$G529=$G$6,K$6,$G529=$G$7,K$7,$G529=$G$8,K$8,$G529=$G$9,K$9,$G529=$G$10,K$10,$G529=$G$11,K$11,$G529=$G$12,K$12,$G529=$G$13,K$13,$G529=$G$15,K$15,$G529=$G$16,K$16,$G529=$G$17,K$17,$G529=$G$18,K$18,$G529=$G$19,K$19,$G529=$G$20,K$20,$G529=$G$21,K$21,$G529=$G$22,K$22,$G529=$G$25,K$25,$G529=$G$26,K$26,$G529=$G$27,K$27,$G529=$G$29,K$29,$G529=$G$31,K$31,$G529=$G$32,K$150,$G529=$G$248,K$248,$G529=$G$250,K$250)</f>
        <v>BG sentinel + BG lure7</v>
      </c>
      <c r="L529" s="48"/>
      <c r="M529" s="48"/>
      <c r="O529" s="45" t="str">
        <f t="shared" si="41"/>
        <v>A_SP_BCN_8_210805</v>
      </c>
      <c r="P529" s="64">
        <v>44413</v>
      </c>
      <c r="R529" s="72"/>
      <c r="S529" s="64">
        <v>44420</v>
      </c>
      <c r="U529" s="72"/>
      <c r="V529" s="54" t="s">
        <v>66</v>
      </c>
      <c r="W529" t="s">
        <v>145</v>
      </c>
      <c r="X529" s="45">
        <f t="shared" si="44"/>
        <v>7</v>
      </c>
      <c r="Z529" s="69" t="s">
        <v>69</v>
      </c>
      <c r="AA529" s="45">
        <f t="shared" si="36"/>
        <v>17</v>
      </c>
      <c r="AB529" t="str">
        <f t="shared" si="42"/>
        <v>Adult</v>
      </c>
      <c r="AC529" s="69">
        <v>17</v>
      </c>
      <c r="AD529" s="69">
        <v>0</v>
      </c>
      <c r="AE529" s="45" t="str">
        <f t="shared" si="43"/>
        <v>Morphological</v>
      </c>
      <c r="AF529" s="56">
        <v>3</v>
      </c>
    </row>
    <row r="530" spans="1:32" ht="18" customHeight="1" x14ac:dyDescent="0.25">
      <c r="A530" s="45">
        <v>526</v>
      </c>
      <c r="B530" s="45" t="s">
        <v>60</v>
      </c>
      <c r="C530" s="45" t="s">
        <v>61</v>
      </c>
      <c r="D530" s="45" t="s">
        <v>62</v>
      </c>
      <c r="E530" s="45" t="s">
        <v>62</v>
      </c>
      <c r="F530" s="46" cm="1">
        <f t="array" ref="F530">_xlfn.IFS($G530=$G$5,F$5,$G530=$G$6,F$6,$G530=$G$7,F$7,$G530=$G$8,F$8,$G530=$G$9,F$9,$G530=$G$10,F$10,$G530=$G$11,F$11,$G530=$G$12,F$12,$G530=$G$13,F$13,$G530=$G$15,F$15,$G530=$G$16,F$16,$G530=$G$17,F$17,$G530=$G$18,F$18,$G530=$G$19,F$19,$G530=$G$20,F$20,$G530=$G$21,F$21,$G530=$G$22,F$22,$G530=$G$25,F$25,$G530=$G$26,F$26,$G530=$G$27,F$27,$G530=$G$29,F$29,$G530=$G$31,F$31,$G530=$G$32,F$32,$G530=$G$248,F$248,$G530=$G$250,F$250)</f>
        <v>8038</v>
      </c>
      <c r="G530" t="s">
        <v>75</v>
      </c>
      <c r="H530" s="66" cm="1">
        <f t="array" ref="H530">_xlfn.IFS($G530=$G$5,H$5,$G530=$G$6,H$6,$G530=$G$7,H$7,$G530=$G$8,H$8,$G530=$G$9,H$9,$G530=$G$10,H$10,$G530=$G$11,H$11,$G530=$G$12,H$12,$G530=$G$13,H$13,$G530=$G$15,H$15,$G530=$G$16,H$16,$G530=$G$17,H$17,$G530=$G$18,H$18,$G530=$G$19,H$19,$G530=$G$20,H$20,$G530=$G$21,H$21,$G530=$G$22,H$22,$G530=$G$25,H$25,$G530=$G$26,H$26,$G530=$G$27,H$27,$G530=$G$29,H$29,$G530=$G$31,H$31,$G530=$G$32,H$150,$G530=$G$248,H$248,$G530=$G$250,H$250)</f>
        <v>41.368589</v>
      </c>
      <c r="I530" s="78" cm="1">
        <f t="array" ref="I530">_xlfn.IFS($G530=$G$5,I$5,$G530=$G$6,I$6,$G530=$G$7,I$7,$G530=$G$8,I$8,$G530=$G$9,I$9,$G530=$G$10,I$10,$G530=$G$11,I$11,$G530=$G$12,I$12,$G530=$G$13,I$13,$G530=$G$15,I$15,$G530=$G$16,I$16,$G530=$G$17,I$17,$G530=$G$18,I$18,$G530=$G$19,I$19,$G530=$G$20,I$20,$G530=$G$21,I$21,$G530=$G$22,I$22,$G530=$G$25,I$25,$G530=$G$26,I$26,$G530=$G$27,I$27,$G530=$G$29,I$29,$G530=$G$31,I$31,$G530=$G$32,I$150,$G530=$G$248,I$248,$G530=$G$250,I$250)</f>
        <v>2.1620900000000001</v>
      </c>
      <c r="J530" cm="1">
        <f t="array" ref="J530">_xlfn.IFS($G530=$G$5,J$5,$G530=$G$6,J$6,$G530=$G$7,J$7,$G530=$G$8,J$8,$G530=$G$9,J$9,$G530=$G$10,J$10,$G530=$G$11,J$11,$G530=$G$12,J$12,$G530=$G$13,J$13,$G530=$G$15,J$15,$G530=$G$16,J$16,$G530=$G$17,J$17,$G530=$G$18,J$18,$G530=$G$19,J$19,$G530=$G$20,J$20,$G530=$G$21,J$21,$G530=$G$22,J$22,$G530=$G$25,J$25,$G530=$G$26,J$26,$G530=$G$27,J$27,$G530=$G$29,J$29,$G530=$G$31,J$31,$G530=$G$32,J$150,$G530=$G$248,J$248,$G530=$G$250,J$250)</f>
        <v>95</v>
      </c>
      <c r="K530" t="str" cm="1">
        <f t="array" ref="K530">_xlfn.IFS($G530=$G$5,K$5,$G530=$G$6,K$6,$G530=$G$7,K$7,$G530=$G$8,K$8,$G530=$G$9,K$9,$G530=$G$10,K$10,$G530=$G$11,K$11,$G530=$G$12,K$12,$G530=$G$13,K$13,$G530=$G$15,K$15,$G530=$G$16,K$16,$G530=$G$17,K$17,$G530=$G$18,K$18,$G530=$G$19,K$19,$G530=$G$20,K$20,$G530=$G$21,K$21,$G530=$G$22,K$22,$G530=$G$25,K$25,$G530=$G$26,K$26,$G530=$G$27,K$27,$G530=$G$29,K$29,$G530=$G$31,K$31,$G530=$G$32,K$150,$G530=$G$248,K$248,$G530=$G$250,K$250)</f>
        <v>BG sentinel + BG lure7</v>
      </c>
      <c r="L530" s="48"/>
      <c r="M530" s="48"/>
      <c r="O530" s="45" t="str">
        <f t="shared" si="41"/>
        <v>A_SP_BCN_8_210805</v>
      </c>
      <c r="P530" s="64">
        <v>44413</v>
      </c>
      <c r="R530" s="72"/>
      <c r="S530" s="64">
        <v>44420</v>
      </c>
      <c r="U530" s="72"/>
      <c r="V530" s="54" t="s">
        <v>66</v>
      </c>
      <c r="W530" t="s">
        <v>145</v>
      </c>
      <c r="X530" s="45">
        <f t="shared" si="44"/>
        <v>7</v>
      </c>
      <c r="Z530" s="45" t="s">
        <v>70</v>
      </c>
      <c r="AA530" s="45">
        <f t="shared" si="36"/>
        <v>8</v>
      </c>
      <c r="AB530" t="str">
        <f t="shared" si="42"/>
        <v>Adult</v>
      </c>
      <c r="AC530" s="69">
        <v>8</v>
      </c>
      <c r="AD530" s="69">
        <v>0</v>
      </c>
      <c r="AE530" s="45" t="str">
        <f t="shared" si="43"/>
        <v>Morphological</v>
      </c>
      <c r="AF530" s="56">
        <v>3</v>
      </c>
    </row>
    <row r="531" spans="1:32" ht="18" customHeight="1" x14ac:dyDescent="0.25">
      <c r="A531" s="45">
        <v>527</v>
      </c>
      <c r="B531" s="45" t="s">
        <v>60</v>
      </c>
      <c r="C531" s="45" t="s">
        <v>61</v>
      </c>
      <c r="D531" s="45" t="s">
        <v>62</v>
      </c>
      <c r="E531" s="45" t="s">
        <v>62</v>
      </c>
      <c r="F531" s="46" cm="1">
        <f t="array" ref="F531">_xlfn.IFS($G531=$G$5,F$5,$G531=$G$6,F$6,$G531=$G$7,F$7,$G531=$G$8,F$8,$G531=$G$9,F$9,$G531=$G$10,F$10,$G531=$G$11,F$11,$G531=$G$12,F$12,$G531=$G$13,F$13,$G531=$G$15,F$15,$G531=$G$16,F$16,$G531=$G$17,F$17,$G531=$G$18,F$18,$G531=$G$19,F$19,$G531=$G$20,F$20,$G531=$G$21,F$21,$G531=$G$22,F$22,$G531=$G$25,F$25,$G531=$G$26,F$26,$G531=$G$27,F$27,$G531=$G$29,F$29,$G531=$G$31,F$31,$G531=$G$32,F$32,$G531=$G$248,F$248,$G531=$G$250,F$250)</f>
        <v>8040</v>
      </c>
      <c r="G531" t="s">
        <v>81</v>
      </c>
      <c r="H531" s="67" cm="1">
        <f t="array" ref="H531">_xlfn.IFS($G531=$G$5,H$5,$G531=$G$6,H$6,$G531=$G$7,H$7,$G531=$G$8,H$8,$G531=$G$9,H$9,$G531=$G$10,H$10,$G531=$G$11,H$11,$G531=$G$12,H$12,$G531=$G$13,H$13,$G531=$G$15,H$15,$G531=$G$16,H$16,$G531=$G$17,H$17,$G531=$G$18,H$18,$G531=$G$19,H$19,$G531=$G$20,H$20,$G531=$G$21,H$21,$G531=$G$22,H$22,$G531=$G$25,H$25,$G531=$G$26,H$26,$G531=$G$27,H$27,$G531=$G$29,H$29,$G531=$G$31,H$31,$G531=$G$32,H$150,$G531=$G$248,H$248,$G531=$G$250,H$250)</f>
        <v>41.343685000000001</v>
      </c>
      <c r="I531" s="67" cm="1">
        <f t="array" ref="I531">_xlfn.IFS($G531=$G$5,I$5,$G531=$G$6,I$6,$G531=$G$7,I$7,$G531=$G$8,I$8,$G531=$G$9,I$9,$G531=$G$10,I$10,$G531=$G$11,I$11,$G531=$G$12,I$12,$G531=$G$13,I$13,$G531=$G$15,I$15,$G531=$G$16,I$16,$G531=$G$17,I$17,$G531=$G$18,I$18,$G531=$G$19,I$19,$G531=$G$20,I$20,$G531=$G$21,I$21,$G531=$G$22,I$22,$G531=$G$25,I$25,$G531=$G$26,I$26,$G531=$G$27,I$27,$G531=$G$29,I$29,$G531=$G$31,I$31,$G531=$G$32,I$150,$G531=$G$248,I$248,$G531=$G$250,I$250)</f>
        <v>2.1441490000000001</v>
      </c>
      <c r="J531" s="48" cm="1">
        <f t="array" ref="J531">_xlfn.IFS($G531=$G$5,J$5,$G531=$G$6,J$6,$G531=$G$7,J$7,$G531=$G$8,J$8,$G531=$G$9,J$9,$G531=$G$10,J$10,$G531=$G$11,J$11,$G531=$G$12,J$12,$G531=$G$13,J$13,$G531=$G$15,J$15,$G531=$G$16,J$16,$G531=$G$17,J$17,$G531=$G$18,J$18,$G531=$G$19,J$19,$G531=$G$20,J$20,$G531=$G$21,J$21,$G531=$G$22,J$22,$G531=$G$25,J$25,$G531=$G$26,J$26,$G531=$G$27,J$27,$G531=$G$29,J$29,$G531=$G$31,J$31,$G531=$G$32,J$150,$G531=$G$248,J$248,$G531=$G$250,J$250)</f>
        <v>4</v>
      </c>
      <c r="K531" s="48" t="str" cm="1">
        <f t="array" ref="K531">_xlfn.IFS($G531=$G$5,K$5,$G531=$G$6,K$6,$G531=$G$7,K$7,$G531=$G$8,K$8,$G531=$G$9,K$9,$G531=$G$10,K$10,$G531=$G$11,K$11,$G531=$G$12,K$12,$G531=$G$13,K$13,$G531=$G$15,K$15,$G531=$G$16,K$16,$G531=$G$17,K$17,$G531=$G$18,K$18,$G531=$G$19,K$19,$G531=$G$20,K$20,$G531=$G$21,K$21,$G531=$G$22,K$22,$G531=$G$25,K$25,$G531=$G$26,K$26,$G531=$G$27,K$27,$G531=$G$29,K$29,$G531=$G$31,K$31,$G531=$G$32,K$150,$G531=$G$248,K$248,$G531=$G$250,K$250)</f>
        <v>BG sentinel + BG lure7</v>
      </c>
      <c r="L531" s="48"/>
      <c r="M531" s="48"/>
      <c r="O531" s="45" t="str">
        <f t="shared" si="41"/>
        <v>A_SP_BCN_10_210805</v>
      </c>
      <c r="P531" s="64">
        <v>44413</v>
      </c>
      <c r="R531" s="72"/>
      <c r="S531" s="64">
        <v>44420</v>
      </c>
      <c r="U531" s="72"/>
      <c r="V531" s="54" t="s">
        <v>66</v>
      </c>
      <c r="X531" s="45">
        <f t="shared" si="44"/>
        <v>7</v>
      </c>
      <c r="Z531" s="69" t="s">
        <v>69</v>
      </c>
      <c r="AA531" s="45">
        <f t="shared" si="36"/>
        <v>23</v>
      </c>
      <c r="AB531" t="str">
        <f t="shared" si="42"/>
        <v>Adult</v>
      </c>
      <c r="AC531" s="69">
        <v>15</v>
      </c>
      <c r="AD531" s="69">
        <v>8</v>
      </c>
      <c r="AE531" s="45" t="str">
        <f t="shared" si="43"/>
        <v>Morphological</v>
      </c>
      <c r="AF531" s="56">
        <v>4</v>
      </c>
    </row>
    <row r="532" spans="1:32" ht="18" customHeight="1" x14ac:dyDescent="0.25">
      <c r="A532" s="45">
        <v>528</v>
      </c>
      <c r="B532" s="45" t="s">
        <v>60</v>
      </c>
      <c r="C532" s="45" t="s">
        <v>61</v>
      </c>
      <c r="D532" s="45" t="s">
        <v>62</v>
      </c>
      <c r="E532" s="45" t="s">
        <v>62</v>
      </c>
      <c r="F532" s="46" cm="1">
        <f t="array" ref="F532">_xlfn.IFS($G532=$G$5,F$5,$G532=$G$6,F$6,$G532=$G$7,F$7,$G532=$G$8,F$8,$G532=$G$9,F$9,$G532=$G$10,F$10,$G532=$G$11,F$11,$G532=$G$12,F$12,$G532=$G$13,F$13,$G532=$G$15,F$15,$G532=$G$16,F$16,$G532=$G$17,F$17,$G532=$G$18,F$18,$G532=$G$19,F$19,$G532=$G$20,F$20,$G532=$G$21,F$21,$G532=$G$22,F$22,$G532=$G$25,F$25,$G532=$G$26,F$26,$G532=$G$27,F$27,$G532=$G$29,F$29,$G532=$G$31,F$31,$G532=$G$32,F$32,$G532=$G$248,F$248,$G532=$G$250,F$250)</f>
        <v>8040</v>
      </c>
      <c r="G532" t="s">
        <v>81</v>
      </c>
      <c r="H532" s="67" cm="1">
        <f t="array" ref="H532">_xlfn.IFS($G532=$G$5,H$5,$G532=$G$6,H$6,$G532=$G$7,H$7,$G532=$G$8,H$8,$G532=$G$9,H$9,$G532=$G$10,H$10,$G532=$G$11,H$11,$G532=$G$12,H$12,$G532=$G$13,H$13,$G532=$G$15,H$15,$G532=$G$16,H$16,$G532=$G$17,H$17,$G532=$G$18,H$18,$G532=$G$19,H$19,$G532=$G$20,H$20,$G532=$G$21,H$21,$G532=$G$22,H$22,$G532=$G$25,H$25,$G532=$G$26,H$26,$G532=$G$27,H$27,$G532=$G$29,H$29,$G532=$G$31,H$31,$G532=$G$32,H$150,$G532=$G$248,H$248,$G532=$G$250,H$250)</f>
        <v>41.343685000000001</v>
      </c>
      <c r="I532" s="67" cm="1">
        <f t="array" ref="I532">_xlfn.IFS($G532=$G$5,I$5,$G532=$G$6,I$6,$G532=$G$7,I$7,$G532=$G$8,I$8,$G532=$G$9,I$9,$G532=$G$10,I$10,$G532=$G$11,I$11,$G532=$G$12,I$12,$G532=$G$13,I$13,$G532=$G$15,I$15,$G532=$G$16,I$16,$G532=$G$17,I$17,$G532=$G$18,I$18,$G532=$G$19,I$19,$G532=$G$20,I$20,$G532=$G$21,I$21,$G532=$G$22,I$22,$G532=$G$25,I$25,$G532=$G$26,I$26,$G532=$G$27,I$27,$G532=$G$29,I$29,$G532=$G$31,I$31,$G532=$G$32,I$150,$G532=$G$248,I$248,$G532=$G$250,I$250)</f>
        <v>2.1441490000000001</v>
      </c>
      <c r="J532" s="48" cm="1">
        <f t="array" ref="J532">_xlfn.IFS($G532=$G$5,J$5,$G532=$G$6,J$6,$G532=$G$7,J$7,$G532=$G$8,J$8,$G532=$G$9,J$9,$G532=$G$10,J$10,$G532=$G$11,J$11,$G532=$G$12,J$12,$G532=$G$13,J$13,$G532=$G$15,J$15,$G532=$G$16,J$16,$G532=$G$17,J$17,$G532=$G$18,J$18,$G532=$G$19,J$19,$G532=$G$20,J$20,$G532=$G$21,J$21,$G532=$G$22,J$22,$G532=$G$25,J$25,$G532=$G$26,J$26,$G532=$G$27,J$27,$G532=$G$29,J$29,$G532=$G$31,J$31,$G532=$G$32,J$150,$G532=$G$248,J$248,$G532=$G$250,J$250)</f>
        <v>4</v>
      </c>
      <c r="K532" s="48" t="str" cm="1">
        <f t="array" ref="K532">_xlfn.IFS($G532=$G$5,K$5,$G532=$G$6,K$6,$G532=$G$7,K$7,$G532=$G$8,K$8,$G532=$G$9,K$9,$G532=$G$10,K$10,$G532=$G$11,K$11,$G532=$G$12,K$12,$G532=$G$13,K$13,$G532=$G$15,K$15,$G532=$G$16,K$16,$G532=$G$17,K$17,$G532=$G$18,K$18,$G532=$G$19,K$19,$G532=$G$20,K$20,$G532=$G$21,K$21,$G532=$G$22,K$22,$G532=$G$25,K$25,$G532=$G$26,K$26,$G532=$G$27,K$27,$G532=$G$29,K$29,$G532=$G$31,K$31,$G532=$G$32,K$150,$G532=$G$248,K$248,$G532=$G$250,K$250)</f>
        <v>BG sentinel + BG lure7</v>
      </c>
      <c r="L532" s="48"/>
      <c r="M532" s="48"/>
      <c r="O532" s="45" t="str">
        <f t="shared" si="41"/>
        <v>A_SP_BCN_10_210805</v>
      </c>
      <c r="P532" s="64">
        <v>44413</v>
      </c>
      <c r="R532" s="72"/>
      <c r="S532" s="64">
        <v>44420</v>
      </c>
      <c r="U532" s="72"/>
      <c r="V532" s="54" t="s">
        <v>66</v>
      </c>
      <c r="X532" s="45">
        <f t="shared" si="44"/>
        <v>7</v>
      </c>
      <c r="Z532" s="45" t="s">
        <v>70</v>
      </c>
      <c r="AA532" s="45">
        <f t="shared" si="36"/>
        <v>2</v>
      </c>
      <c r="AB532" t="str">
        <f t="shared" si="42"/>
        <v>Adult</v>
      </c>
      <c r="AC532" s="69">
        <v>2</v>
      </c>
      <c r="AD532" s="69">
        <v>0</v>
      </c>
      <c r="AE532" s="45" t="str">
        <f t="shared" si="43"/>
        <v>Morphological</v>
      </c>
      <c r="AF532" s="56">
        <v>4</v>
      </c>
    </row>
    <row r="533" spans="1:32" ht="18" customHeight="1" x14ac:dyDescent="0.25">
      <c r="A533" s="45">
        <v>529</v>
      </c>
      <c r="B533" s="45" t="s">
        <v>60</v>
      </c>
      <c r="C533" s="45" t="s">
        <v>61</v>
      </c>
      <c r="D533" s="45" t="s">
        <v>62</v>
      </c>
      <c r="E533" s="45" t="s">
        <v>62</v>
      </c>
      <c r="F533" s="46" cm="1">
        <f t="array" ref="F533">_xlfn.IFS($G533=$G$5,F$5,$G533=$G$6,F$6,$G533=$G$7,F$7,$G533=$G$8,F$8,$G533=$G$9,F$9,$G533=$G$10,F$10,$G533=$G$11,F$11,$G533=$G$12,F$12,$G533=$G$13,F$13,$G533=$G$15,F$15,$G533=$G$16,F$16,$G533=$G$17,F$17,$G533=$G$18,F$18,$G533=$G$19,F$19,$G533=$G$20,F$20,$G533=$G$21,F$21,$G533=$G$22,F$22,$G533=$G$25,F$25,$G533=$G$26,F$26,$G533=$G$27,F$27,$G533=$G$29,F$29,$G533=$G$31,F$31,$G533=$G$32,F$32,$G533=$G$248,F$248,$G533=$G$250,F$250)</f>
        <v>8038</v>
      </c>
      <c r="G533" t="s">
        <v>82</v>
      </c>
      <c r="H533" s="67" cm="1">
        <f t="array" ref="H533">_xlfn.IFS($G533=$G$5,H$5,$G533=$G$6,H$6,$G533=$G$7,H$7,$G533=$G$8,H$8,$G533=$G$9,H$9,$G533=$G$10,H$10,$G533=$G$11,H$11,$G533=$G$12,H$12,$G533=$G$13,H$13,$G533=$G$15,H$15,$G533=$G$16,H$16,$G533=$G$17,H$17,$G533=$G$18,H$18,$G533=$G$19,H$19,$G533=$G$20,H$20,$G533=$G$21,H$21,$G533=$G$22,H$22,$G533=$G$25,H$25,$G533=$G$26,H$26,$G533=$G$27,H$27,$G533=$G$29,H$29,$G533=$G$31,H$31,$G533=$G$32,H$150,$G533=$G$248,H$248,$G533=$G$250,H$250)</f>
        <v>41.367429999999999</v>
      </c>
      <c r="I533" s="67" cm="1">
        <f t="array" ref="I533">_xlfn.IFS($G533=$G$5,I$5,$G533=$G$6,I$6,$G533=$G$7,I$7,$G533=$G$8,I$8,$G533=$G$9,I$9,$G533=$G$10,I$10,$G533=$G$11,I$11,$G533=$G$12,I$12,$G533=$G$13,I$13,$G533=$G$15,I$15,$G533=$G$16,I$16,$G533=$G$17,I$17,$G533=$G$18,I$18,$G533=$G$19,I$19,$G533=$G$20,I$20,$G533=$G$21,I$21,$G533=$G$22,I$22,$G533=$G$25,I$25,$G533=$G$26,I$26,$G533=$G$27,I$27,$G533=$G$29,I$29,$G533=$G$31,I$31,$G533=$G$32,I$150,$G533=$G$248,I$248,$G533=$G$250,I$250)</f>
        <v>2.1569609999999999</v>
      </c>
      <c r="J533" s="48" cm="1">
        <f t="array" ref="J533">_xlfn.IFS($G533=$G$5,J$5,$G533=$G$6,J$6,$G533=$G$7,J$7,$G533=$G$8,J$8,$G533=$G$9,J$9,$G533=$G$10,J$10,$G533=$G$11,J$11,$G533=$G$12,J$12,$G533=$G$13,J$13,$G533=$G$15,J$15,$G533=$G$16,J$16,$G533=$G$17,J$17,$G533=$G$18,J$18,$G533=$G$19,J$19,$G533=$G$20,J$20,$G533=$G$21,J$21,$G533=$G$22,J$22,$G533=$G$25,J$25,$G533=$G$26,J$26,$G533=$G$27,J$27,$G533=$G$29,J$29,$G533=$G$31,J$31,$G533=$G$32,J$150,$G533=$G$248,J$248,$G533=$G$250,J$250)</f>
        <v>91</v>
      </c>
      <c r="K533" s="48" t="str" cm="1">
        <f t="array" ref="K533">_xlfn.IFS($G533=$G$5,K$5,$G533=$G$6,K$6,$G533=$G$7,K$7,$G533=$G$8,K$8,$G533=$G$9,K$9,$G533=$G$10,K$10,$G533=$G$11,K$11,$G533=$G$12,K$12,$G533=$G$13,K$13,$G533=$G$15,K$15,$G533=$G$16,K$16,$G533=$G$17,K$17,$G533=$G$18,K$18,$G533=$G$19,K$19,$G533=$G$20,K$20,$G533=$G$21,K$21,$G533=$G$22,K$22,$G533=$G$25,K$25,$G533=$G$26,K$26,$G533=$G$27,K$27,$G533=$G$29,K$29,$G533=$G$31,K$31,$G533=$G$32,K$150,$G533=$G$248,K$248,$G533=$G$250,K$250)</f>
        <v>BG sentinel + BG lure7</v>
      </c>
      <c r="L533" s="48"/>
      <c r="M533" s="48"/>
      <c r="O533" s="45" t="str">
        <f t="shared" si="41"/>
        <v>A_SP_BCN_11_210805</v>
      </c>
      <c r="P533" s="64">
        <v>44413</v>
      </c>
      <c r="R533" s="72"/>
      <c r="S533" s="64">
        <v>44420</v>
      </c>
      <c r="U533" s="72"/>
      <c r="V533" s="54" t="s">
        <v>66</v>
      </c>
      <c r="X533" s="45">
        <f t="shared" si="44"/>
        <v>7</v>
      </c>
      <c r="Z533" s="69" t="s">
        <v>69</v>
      </c>
      <c r="AA533" s="45">
        <f t="shared" si="36"/>
        <v>23</v>
      </c>
      <c r="AB533" t="str">
        <f t="shared" si="42"/>
        <v>Adult</v>
      </c>
      <c r="AC533" s="69">
        <v>17</v>
      </c>
      <c r="AD533" s="69">
        <v>6</v>
      </c>
      <c r="AE533" s="45" t="str">
        <f t="shared" si="43"/>
        <v>Morphological</v>
      </c>
      <c r="AF533" s="56">
        <v>4</v>
      </c>
    </row>
    <row r="534" spans="1:32" ht="18" customHeight="1" x14ac:dyDescent="0.25">
      <c r="A534" s="45">
        <v>530</v>
      </c>
      <c r="B534" s="45" t="s">
        <v>60</v>
      </c>
      <c r="C534" s="45" t="s">
        <v>61</v>
      </c>
      <c r="D534" s="45" t="s">
        <v>62</v>
      </c>
      <c r="E534" s="45" t="s">
        <v>62</v>
      </c>
      <c r="F534" s="46" cm="1">
        <f t="array" ref="F534">_xlfn.IFS($G534=$G$5,F$5,$G534=$G$6,F$6,$G534=$G$7,F$7,$G534=$G$8,F$8,$G534=$G$9,F$9,$G534=$G$10,F$10,$G534=$G$11,F$11,$G534=$G$12,F$12,$G534=$G$13,F$13,$G534=$G$15,F$15,$G534=$G$16,F$16,$G534=$G$17,F$17,$G534=$G$18,F$18,$G534=$G$19,F$19,$G534=$G$20,F$20,$G534=$G$21,F$21,$G534=$G$22,F$22,$G534=$G$25,F$25,$G534=$G$26,F$26,$G534=$G$27,F$27,$G534=$G$29,F$29,$G534=$G$31,F$31,$G534=$G$32,F$32,$G534=$G$248,F$248,$G534=$G$250,F$250)</f>
        <v>8038</v>
      </c>
      <c r="G534" t="s">
        <v>82</v>
      </c>
      <c r="H534" s="67" cm="1">
        <f t="array" ref="H534">_xlfn.IFS($G534=$G$5,H$5,$G534=$G$6,H$6,$G534=$G$7,H$7,$G534=$G$8,H$8,$G534=$G$9,H$9,$G534=$G$10,H$10,$G534=$G$11,H$11,$G534=$G$12,H$12,$G534=$G$13,H$13,$G534=$G$15,H$15,$G534=$G$16,H$16,$G534=$G$17,H$17,$G534=$G$18,H$18,$G534=$G$19,H$19,$G534=$G$20,H$20,$G534=$G$21,H$21,$G534=$G$22,H$22,$G534=$G$25,H$25,$G534=$G$26,H$26,$G534=$G$27,H$27,$G534=$G$29,H$29,$G534=$G$31,H$31,$G534=$G$32,H$150,$G534=$G$248,H$248,$G534=$G$250,H$250)</f>
        <v>41.367429999999999</v>
      </c>
      <c r="I534" s="67" cm="1">
        <f t="array" ref="I534">_xlfn.IFS($G534=$G$5,I$5,$G534=$G$6,I$6,$G534=$G$7,I$7,$G534=$G$8,I$8,$G534=$G$9,I$9,$G534=$G$10,I$10,$G534=$G$11,I$11,$G534=$G$12,I$12,$G534=$G$13,I$13,$G534=$G$15,I$15,$G534=$G$16,I$16,$G534=$G$17,I$17,$G534=$G$18,I$18,$G534=$G$19,I$19,$G534=$G$20,I$20,$G534=$G$21,I$21,$G534=$G$22,I$22,$G534=$G$25,I$25,$G534=$G$26,I$26,$G534=$G$27,I$27,$G534=$G$29,I$29,$G534=$G$31,I$31,$G534=$G$32,I$150,$G534=$G$248,I$248,$G534=$G$250,I$250)</f>
        <v>2.1569609999999999</v>
      </c>
      <c r="J534" s="48" cm="1">
        <f t="array" ref="J534">_xlfn.IFS($G534=$G$5,J$5,$G534=$G$6,J$6,$G534=$G$7,J$7,$G534=$G$8,J$8,$G534=$G$9,J$9,$G534=$G$10,J$10,$G534=$G$11,J$11,$G534=$G$12,J$12,$G534=$G$13,J$13,$G534=$G$15,J$15,$G534=$G$16,J$16,$G534=$G$17,J$17,$G534=$G$18,J$18,$G534=$G$19,J$19,$G534=$G$20,J$20,$G534=$G$21,J$21,$G534=$G$22,J$22,$G534=$G$25,J$25,$G534=$G$26,J$26,$G534=$G$27,J$27,$G534=$G$29,J$29,$G534=$G$31,J$31,$G534=$G$32,J$150,$G534=$G$248,J$248,$G534=$G$250,J$250)</f>
        <v>91</v>
      </c>
      <c r="K534" s="48" t="str" cm="1">
        <f t="array" ref="K534">_xlfn.IFS($G534=$G$5,K$5,$G534=$G$6,K$6,$G534=$G$7,K$7,$G534=$G$8,K$8,$G534=$G$9,K$9,$G534=$G$10,K$10,$G534=$G$11,K$11,$G534=$G$12,K$12,$G534=$G$13,K$13,$G534=$G$15,K$15,$G534=$G$16,K$16,$G534=$G$17,K$17,$G534=$G$18,K$18,$G534=$G$19,K$19,$G534=$G$20,K$20,$G534=$G$21,K$21,$G534=$G$22,K$22,$G534=$G$25,K$25,$G534=$G$26,K$26,$G534=$G$27,K$27,$G534=$G$29,K$29,$G534=$G$31,K$31,$G534=$G$32,K$150,$G534=$G$248,K$248,$G534=$G$250,K$250)</f>
        <v>BG sentinel + BG lure7</v>
      </c>
      <c r="L534" s="48"/>
      <c r="M534" s="48"/>
      <c r="O534" s="45" t="str">
        <f t="shared" si="41"/>
        <v>A_SP_BCN_11_210805</v>
      </c>
      <c r="P534" s="64">
        <v>44413</v>
      </c>
      <c r="R534" s="72"/>
      <c r="S534" s="64">
        <v>44420</v>
      </c>
      <c r="U534" s="72"/>
      <c r="V534" s="54" t="s">
        <v>66</v>
      </c>
      <c r="W534" t="s">
        <v>144</v>
      </c>
      <c r="X534" s="45">
        <f t="shared" si="44"/>
        <v>7</v>
      </c>
      <c r="Z534" s="45" t="s">
        <v>70</v>
      </c>
      <c r="AA534" s="45">
        <f t="shared" si="36"/>
        <v>5</v>
      </c>
      <c r="AB534" t="str">
        <f t="shared" si="42"/>
        <v>Adult</v>
      </c>
      <c r="AC534" s="69">
        <v>5</v>
      </c>
      <c r="AD534" s="69">
        <v>0</v>
      </c>
      <c r="AE534" s="45" t="str">
        <f t="shared" si="43"/>
        <v>Morphological</v>
      </c>
      <c r="AF534" s="56">
        <v>4</v>
      </c>
    </row>
    <row r="535" spans="1:32" ht="18" customHeight="1" x14ac:dyDescent="0.25">
      <c r="A535" s="45">
        <v>531</v>
      </c>
      <c r="B535" s="45" t="s">
        <v>60</v>
      </c>
      <c r="C535" s="45" t="s">
        <v>61</v>
      </c>
      <c r="D535" s="45" t="s">
        <v>62</v>
      </c>
      <c r="E535" s="45" t="s">
        <v>62</v>
      </c>
      <c r="F535" s="46" cm="1">
        <f t="array" ref="F535">_xlfn.IFS($G535=$G$5,F$5,$G535=$G$6,F$6,$G535=$G$7,F$7,$G535=$G$8,F$8,$G535=$G$9,F$9,$G535=$G$10,F$10,$G535=$G$11,F$11,$G535=$G$12,F$12,$G535=$G$13,F$13,$G535=$G$15,F$15,$G535=$G$16,F$16,$G535=$G$17,F$17,$G535=$G$18,F$18,$G535=$G$19,F$19,$G535=$G$20,F$20,$G535=$G$21,F$21,$G535=$G$22,F$22,$G535=$G$25,F$25,$G535=$G$26,F$26,$G535=$G$27,F$27,$G535=$G$29,F$29,$G535=$G$31,F$31,$G535=$G$32,F$32,$G535=$G$248,F$248,$G535=$G$250,F$250)</f>
        <v>8038</v>
      </c>
      <c r="G535" t="s">
        <v>82</v>
      </c>
      <c r="H535" s="67" cm="1">
        <f t="array" ref="H535">_xlfn.IFS($G535=$G$5,H$5,$G535=$G$6,H$6,$G535=$G$7,H$7,$G535=$G$8,H$8,$G535=$G$9,H$9,$G535=$G$10,H$10,$G535=$G$11,H$11,$G535=$G$12,H$12,$G535=$G$13,H$13,$G535=$G$15,H$15,$G535=$G$16,H$16,$G535=$G$17,H$17,$G535=$G$18,H$18,$G535=$G$19,H$19,$G535=$G$20,H$20,$G535=$G$21,H$21,$G535=$G$22,H$22,$G535=$G$25,H$25,$G535=$G$26,H$26,$G535=$G$27,H$27,$G535=$G$29,H$29,$G535=$G$31,H$31,$G535=$G$32,H$150,$G535=$G$248,H$248,$G535=$G$250,H$250)</f>
        <v>41.367429999999999</v>
      </c>
      <c r="I535" s="67" cm="1">
        <f t="array" ref="I535">_xlfn.IFS($G535=$G$5,I$5,$G535=$G$6,I$6,$G535=$G$7,I$7,$G535=$G$8,I$8,$G535=$G$9,I$9,$G535=$G$10,I$10,$G535=$G$11,I$11,$G535=$G$12,I$12,$G535=$G$13,I$13,$G535=$G$15,I$15,$G535=$G$16,I$16,$G535=$G$17,I$17,$G535=$G$18,I$18,$G535=$G$19,I$19,$G535=$G$20,I$20,$G535=$G$21,I$21,$G535=$G$22,I$22,$G535=$G$25,I$25,$G535=$G$26,I$26,$G535=$G$27,I$27,$G535=$G$29,I$29,$G535=$G$31,I$31,$G535=$G$32,I$150,$G535=$G$248,I$248,$G535=$G$250,I$250)</f>
        <v>2.1569609999999999</v>
      </c>
      <c r="J535" s="48" cm="1">
        <f t="array" ref="J535">_xlfn.IFS($G535=$G$5,J$5,$G535=$G$6,J$6,$G535=$G$7,J$7,$G535=$G$8,J$8,$G535=$G$9,J$9,$G535=$G$10,J$10,$G535=$G$11,J$11,$G535=$G$12,J$12,$G535=$G$13,J$13,$G535=$G$15,J$15,$G535=$G$16,J$16,$G535=$G$17,J$17,$G535=$G$18,J$18,$G535=$G$19,J$19,$G535=$G$20,J$20,$G535=$G$21,J$21,$G535=$G$22,J$22,$G535=$G$25,J$25,$G535=$G$26,J$26,$G535=$G$27,J$27,$G535=$G$29,J$29,$G535=$G$31,J$31,$G535=$G$32,J$150,$G535=$G$248,J$248,$G535=$G$250,J$250)</f>
        <v>91</v>
      </c>
      <c r="K535" s="48" t="str" cm="1">
        <f t="array" ref="K535">_xlfn.IFS($G535=$G$5,K$5,$G535=$G$6,K$6,$G535=$G$7,K$7,$G535=$G$8,K$8,$G535=$G$9,K$9,$G535=$G$10,K$10,$G535=$G$11,K$11,$G535=$G$12,K$12,$G535=$G$13,K$13,$G535=$G$15,K$15,$G535=$G$16,K$16,$G535=$G$17,K$17,$G535=$G$18,K$18,$G535=$G$19,K$19,$G535=$G$20,K$20,$G535=$G$21,K$21,$G535=$G$22,K$22,$G535=$G$25,K$25,$G535=$G$26,K$26,$G535=$G$27,K$27,$G535=$G$29,K$29,$G535=$G$31,K$31,$G535=$G$32,K$150,$G535=$G$248,K$248,$G535=$G$250,K$250)</f>
        <v>BG sentinel + BG lure7</v>
      </c>
      <c r="L535" s="48"/>
      <c r="M535" s="48"/>
      <c r="O535" s="45" t="str">
        <f t="shared" si="41"/>
        <v>A_SP_BCN_11_210805</v>
      </c>
      <c r="P535" s="64">
        <v>44413</v>
      </c>
      <c r="R535" s="72"/>
      <c r="S535" s="64">
        <v>44420</v>
      </c>
      <c r="U535" s="72"/>
      <c r="V535" s="54" t="s">
        <v>66</v>
      </c>
      <c r="W535" t="s">
        <v>144</v>
      </c>
      <c r="X535" s="45">
        <f t="shared" si="44"/>
        <v>7</v>
      </c>
      <c r="Z535" s="45" t="s">
        <v>80</v>
      </c>
      <c r="AA535" s="45">
        <f t="shared" si="36"/>
        <v>1</v>
      </c>
      <c r="AB535" t="str">
        <f t="shared" si="42"/>
        <v>Adult</v>
      </c>
      <c r="AC535" s="69">
        <v>1</v>
      </c>
      <c r="AD535" s="69">
        <v>0</v>
      </c>
      <c r="AE535" s="45" t="str">
        <f t="shared" si="43"/>
        <v>Morphological</v>
      </c>
      <c r="AF535" s="56">
        <v>4</v>
      </c>
    </row>
    <row r="536" spans="1:32" ht="18" customHeight="1" x14ac:dyDescent="0.25">
      <c r="A536" s="45">
        <v>532</v>
      </c>
      <c r="B536" s="45" t="s">
        <v>60</v>
      </c>
      <c r="C536" s="45" t="s">
        <v>61</v>
      </c>
      <c r="D536" s="45" t="s">
        <v>62</v>
      </c>
      <c r="E536" s="45" t="s">
        <v>62</v>
      </c>
      <c r="F536" s="46" cm="1">
        <f t="array" ref="F536">_xlfn.IFS($G536=$G$5,F$5,$G536=$G$6,F$6,$G536=$G$7,F$7,$G536=$G$8,F$8,$G536=$G$9,F$9,$G536=$G$10,F$10,$G536=$G$11,F$11,$G536=$G$12,F$12,$G536=$G$13,F$13,$G536=$G$15,F$15,$G536=$G$16,F$16,$G536=$G$17,F$17,$G536=$G$18,F$18,$G536=$G$19,F$19,$G536=$G$20,F$20,$G536=$G$21,F$21,$G536=$G$22,F$22,$G536=$G$25,F$25,$G536=$G$26,F$26,$G536=$G$27,F$27,$G536=$G$29,F$29,$G536=$G$31,F$31,$G536=$G$32,F$32,$G536=$G$248,F$248,$G536=$G$250,F$250)</f>
        <v>8038</v>
      </c>
      <c r="G536" t="s">
        <v>84</v>
      </c>
      <c r="H536" s="67" cm="1">
        <f t="array" ref="H536">_xlfn.IFS($G536=$G$5,H$5,$G536=$G$6,H$6,$G536=$G$7,H$7,$G536=$G$8,H$8,$G536=$G$9,H$9,$G536=$G$10,H$10,$G536=$G$11,H$11,$G536=$G$12,H$12,$G536=$G$13,H$13,$G536=$G$15,H$15,$G536=$G$16,H$16,$G536=$G$17,H$17,$G536=$G$18,H$18,$G536=$G$19,H$19,$G536=$G$20,H$20,$G536=$G$21,H$21,$G536=$G$22,H$22,$G536=$G$25,H$25,$G536=$G$26,H$26,$G536=$G$27,H$27,$G536=$G$29,H$29,$G536=$G$31,H$31,$G536=$G$32,H$150,$G536=$G$248,H$248,$G536=$G$250,H$250)</f>
        <v>41.363377999999997</v>
      </c>
      <c r="I536" s="67" cm="1">
        <f t="array" ref="I536">_xlfn.IFS($G536=$G$5,I$5,$G536=$G$6,I$6,$G536=$G$7,I$7,$G536=$G$8,I$8,$G536=$G$9,I$9,$G536=$G$10,I$10,$G536=$G$11,I$11,$G536=$G$12,I$12,$G536=$G$13,I$13,$G536=$G$15,I$15,$G536=$G$16,I$16,$G536=$G$17,I$17,$G536=$G$18,I$18,$G536=$G$19,I$19,$G536=$G$20,I$20,$G536=$G$21,I$21,$G536=$G$22,I$22,$G536=$G$25,I$25,$G536=$G$26,I$26,$G536=$G$27,I$27,$G536=$G$29,I$29,$G536=$G$31,I$31,$G536=$G$32,I$150,$G536=$G$248,I$248,$G536=$G$250,I$250)</f>
        <v>2.164879</v>
      </c>
      <c r="J536" s="48" cm="1">
        <f t="array" ref="J536">_xlfn.IFS($G536=$G$5,J$5,$G536=$G$6,J$6,$G536=$G$7,J$7,$G536=$G$8,J$8,$G536=$G$9,J$9,$G536=$G$10,J$10,$G536=$G$11,J$11,$G536=$G$12,J$12,$G536=$G$13,J$13,$G536=$G$15,J$15,$G536=$G$16,J$16,$G536=$G$17,J$17,$G536=$G$18,J$18,$G536=$G$19,J$19,$G536=$G$20,J$20,$G536=$G$21,J$21,$G536=$G$22,J$22,$G536=$G$25,J$25,$G536=$G$26,J$26,$G536=$G$27,J$27,$G536=$G$29,J$29,$G536=$G$31,J$31,$G536=$G$32,J$150,$G536=$G$248,J$248,$G536=$G$250,J$250)</f>
        <v>185</v>
      </c>
      <c r="K536" s="48" t="str" cm="1">
        <f t="array" ref="K536">_xlfn.IFS($G536=$G$5,K$5,$G536=$G$6,K$6,$G536=$G$7,K$7,$G536=$G$8,K$8,$G536=$G$9,K$9,$G536=$G$10,K$10,$G536=$G$11,K$11,$G536=$G$12,K$12,$G536=$G$13,K$13,$G536=$G$15,K$15,$G536=$G$16,K$16,$G536=$G$17,K$17,$G536=$G$18,K$18,$G536=$G$19,K$19,$G536=$G$20,K$20,$G536=$G$21,K$21,$G536=$G$22,K$22,$G536=$G$25,K$25,$G536=$G$26,K$26,$G536=$G$27,K$27,$G536=$G$29,K$29,$G536=$G$31,K$31,$G536=$G$32,K$150,$G536=$G$248,K$248,$G536=$G$250,K$250)</f>
        <v>BG sentinel + BG lure7</v>
      </c>
      <c r="L536" s="48" t="str" cm="1">
        <f t="array" ref="L536">_xlfn.IFS($G536=$G$5,L$5,$G536=$G$6,L$6,$G536=$G$7,L$7,$G536=$G$8,L$8,$G536=$G$9,L$9,$G536=$G$10,L$10,$G536=$G$11,L$11,$G536=$G$12,L$12,$G536=$G$13,L$13,$G536=$G$15,L$15,$G536=$G$16,L$16,$G536=$G$17,L$17,$G536=$G$18,L$18,$G536=$G$19,L$19,$G536=$G$20,L$20,$G536=$G$21,L$21,$G536=$G$22,L$22,$G536=$G$25,L$25,$G536=$G$26,L$26,$G536=$G$27,L$27,$G536=$G$29,L$29,$G536=$G$31,L$31,$G536=$G$32,L$32,$G536=$G$248,L$248,$G536=$G$250,L$250)</f>
        <v>Other</v>
      </c>
      <c r="M536" s="48"/>
      <c r="O536" s="45" t="str">
        <f t="shared" si="41"/>
        <v>A_SP_BCN_12_210805</v>
      </c>
      <c r="P536" s="64">
        <v>44413</v>
      </c>
      <c r="R536" s="72"/>
      <c r="S536" s="64">
        <v>44420</v>
      </c>
      <c r="U536" s="72"/>
      <c r="V536" s="54" t="s">
        <v>66</v>
      </c>
      <c r="X536" s="45">
        <f t="shared" si="44"/>
        <v>7</v>
      </c>
      <c r="Z536" s="69" t="s">
        <v>69</v>
      </c>
      <c r="AA536" s="45">
        <f t="shared" si="36"/>
        <v>9</v>
      </c>
      <c r="AB536" t="str">
        <f t="shared" si="42"/>
        <v>Adult</v>
      </c>
      <c r="AC536" s="69">
        <v>6</v>
      </c>
      <c r="AD536" s="69">
        <v>3</v>
      </c>
      <c r="AE536" s="45" t="str">
        <f t="shared" si="43"/>
        <v>Morphological</v>
      </c>
      <c r="AF536" s="56">
        <v>4</v>
      </c>
    </row>
    <row r="537" spans="1:32" ht="18" customHeight="1" x14ac:dyDescent="0.25">
      <c r="A537" s="45">
        <v>533</v>
      </c>
      <c r="B537" s="45" t="s">
        <v>60</v>
      </c>
      <c r="C537" s="45" t="s">
        <v>61</v>
      </c>
      <c r="D537" s="45" t="s">
        <v>62</v>
      </c>
      <c r="E537" s="45" t="s">
        <v>62</v>
      </c>
      <c r="F537" s="46" cm="1">
        <f t="array" ref="F537">_xlfn.IFS($G537=$G$5,F$5,$G537=$G$6,F$6,$G537=$G$7,F$7,$G537=$G$8,F$8,$G537=$G$9,F$9,$G537=$G$10,F$10,$G537=$G$11,F$11,$G537=$G$12,F$12,$G537=$G$13,F$13,$G537=$G$15,F$15,$G537=$G$16,F$16,$G537=$G$17,F$17,$G537=$G$18,F$18,$G537=$G$19,F$19,$G537=$G$20,F$20,$G537=$G$21,F$21,$G537=$G$22,F$22,$G537=$G$25,F$25,$G537=$G$26,F$26,$G537=$G$27,F$27,$G537=$G$29,F$29,$G537=$G$31,F$31,$G537=$G$32,F$32,$G537=$G$248,F$248,$G537=$G$250,F$250)</f>
        <v>8038</v>
      </c>
      <c r="G537" t="s">
        <v>84</v>
      </c>
      <c r="H537" s="67" cm="1">
        <f t="array" ref="H537">_xlfn.IFS($G537=$G$5,H$5,$G537=$G$6,H$6,$G537=$G$7,H$7,$G537=$G$8,H$8,$G537=$G$9,H$9,$G537=$G$10,H$10,$G537=$G$11,H$11,$G537=$G$12,H$12,$G537=$G$13,H$13,$G537=$G$15,H$15,$G537=$G$16,H$16,$G537=$G$17,H$17,$G537=$G$18,H$18,$G537=$G$19,H$19,$G537=$G$20,H$20,$G537=$G$21,H$21,$G537=$G$22,H$22,$G537=$G$25,H$25,$G537=$G$26,H$26,$G537=$G$27,H$27,$G537=$G$29,H$29,$G537=$G$31,H$31,$G537=$G$32,H$150,$G537=$G$248,H$248,$G537=$G$250,H$250)</f>
        <v>41.363377999999997</v>
      </c>
      <c r="I537" s="67" cm="1">
        <f t="array" ref="I537">_xlfn.IFS($G537=$G$5,I$5,$G537=$G$6,I$6,$G537=$G$7,I$7,$G537=$G$8,I$8,$G537=$G$9,I$9,$G537=$G$10,I$10,$G537=$G$11,I$11,$G537=$G$12,I$12,$G537=$G$13,I$13,$G537=$G$15,I$15,$G537=$G$16,I$16,$G537=$G$17,I$17,$G537=$G$18,I$18,$G537=$G$19,I$19,$G537=$G$20,I$20,$G537=$G$21,I$21,$G537=$G$22,I$22,$G537=$G$25,I$25,$G537=$G$26,I$26,$G537=$G$27,I$27,$G537=$G$29,I$29,$G537=$G$31,I$31,$G537=$G$32,I$150,$G537=$G$248,I$248,$G537=$G$250,I$250)</f>
        <v>2.164879</v>
      </c>
      <c r="J537" s="48" cm="1">
        <f t="array" ref="J537">_xlfn.IFS($G537=$G$5,J$5,$G537=$G$6,J$6,$G537=$G$7,J$7,$G537=$G$8,J$8,$G537=$G$9,J$9,$G537=$G$10,J$10,$G537=$G$11,J$11,$G537=$G$12,J$12,$G537=$G$13,J$13,$G537=$G$15,J$15,$G537=$G$16,J$16,$G537=$G$17,J$17,$G537=$G$18,J$18,$G537=$G$19,J$19,$G537=$G$20,J$20,$G537=$G$21,J$21,$G537=$G$22,J$22,$G537=$G$25,J$25,$G537=$G$26,J$26,$G537=$G$27,J$27,$G537=$G$29,J$29,$G537=$G$31,J$31,$G537=$G$32,J$150,$G537=$G$248,J$248,$G537=$G$250,J$250)</f>
        <v>185</v>
      </c>
      <c r="K537" s="48" t="str" cm="1">
        <f t="array" ref="K537">_xlfn.IFS($G537=$G$5,K$5,$G537=$G$6,K$6,$G537=$G$7,K$7,$G537=$G$8,K$8,$G537=$G$9,K$9,$G537=$G$10,K$10,$G537=$G$11,K$11,$G537=$G$12,K$12,$G537=$G$13,K$13,$G537=$G$15,K$15,$G537=$G$16,K$16,$G537=$G$17,K$17,$G537=$G$18,K$18,$G537=$G$19,K$19,$G537=$G$20,K$20,$G537=$G$21,K$21,$G537=$G$22,K$22,$G537=$G$25,K$25,$G537=$G$26,K$26,$G537=$G$27,K$27,$G537=$G$29,K$29,$G537=$G$31,K$31,$G537=$G$32,K$150,$G537=$G$248,K$248,$G537=$G$250,K$250)</f>
        <v>BG sentinel + BG lure7</v>
      </c>
      <c r="L537" s="48" t="str" cm="1">
        <f t="array" ref="L537">_xlfn.IFS($G537=$G$5,L$5,$G537=$G$6,L$6,$G537=$G$7,L$7,$G537=$G$8,L$8,$G537=$G$9,L$9,$G537=$G$10,L$10,$G537=$G$11,L$11,$G537=$G$12,L$12,$G537=$G$13,L$13,$G537=$G$15,L$15,$G537=$G$16,L$16,$G537=$G$17,L$17,$G537=$G$18,L$18,$G537=$G$19,L$19,$G537=$G$20,L$20,$G537=$G$21,L$21,$G537=$G$22,L$22,$G537=$G$25,L$25,$G537=$G$26,L$26,$G537=$G$27,L$27,$G537=$G$29,L$29,$G537=$G$31,L$31,$G537=$G$32,L$32,$G537=$G$248,L$248,$G537=$G$250,L$250)</f>
        <v>Other</v>
      </c>
      <c r="M537" s="48"/>
      <c r="O537" s="45" t="str">
        <f t="shared" si="41"/>
        <v>A_SP_BCN_12_210805</v>
      </c>
      <c r="P537" s="64">
        <v>44413</v>
      </c>
      <c r="R537" s="72"/>
      <c r="S537" s="64">
        <v>44420</v>
      </c>
      <c r="U537" s="72"/>
      <c r="V537" s="54" t="s">
        <v>66</v>
      </c>
      <c r="X537" s="45">
        <f t="shared" si="44"/>
        <v>7</v>
      </c>
      <c r="Z537" s="45" t="s">
        <v>70</v>
      </c>
      <c r="AA537" s="45">
        <f t="shared" si="36"/>
        <v>33</v>
      </c>
      <c r="AB537" t="str">
        <f t="shared" si="42"/>
        <v>Adult</v>
      </c>
      <c r="AC537" s="69">
        <v>33</v>
      </c>
      <c r="AD537" s="69">
        <v>0</v>
      </c>
      <c r="AE537" s="45" t="str">
        <f t="shared" si="43"/>
        <v>Morphological</v>
      </c>
      <c r="AF537" s="56">
        <v>4</v>
      </c>
    </row>
    <row r="538" spans="1:32" ht="18" customHeight="1" x14ac:dyDescent="0.25">
      <c r="A538" s="45">
        <v>534</v>
      </c>
      <c r="B538" s="45" t="s">
        <v>60</v>
      </c>
      <c r="C538" s="45" t="s">
        <v>61</v>
      </c>
      <c r="D538" s="45" t="s">
        <v>62</v>
      </c>
      <c r="E538" s="45" t="s">
        <v>62</v>
      </c>
      <c r="F538" s="46" cm="1">
        <f t="array" ref="F538">_xlfn.IFS($G538=$G$5,F$5,$G538=$G$6,F$6,$G538=$G$7,F$7,$G538=$G$8,F$8,$G538=$G$9,F$9,$G538=$G$10,F$10,$G538=$G$11,F$11,$G538=$G$12,F$12,$G538=$G$13,F$13,$G538=$G$15,F$15,$G538=$G$16,F$16,$G538=$G$17,F$17,$G538=$G$18,F$18,$G538=$G$19,F$19,$G538=$G$20,F$20,$G538=$G$21,F$21,$G538=$G$22,F$22,$G538=$G$25,F$25,$G538=$G$26,F$26,$G538=$G$27,F$27,$G538=$G$29,F$29,$G538=$G$31,F$31,$G538=$G$32,F$32,$G538=$G$248,F$248,$G538=$G$250,F$250)</f>
        <v>8035</v>
      </c>
      <c r="G538" t="s">
        <v>85</v>
      </c>
      <c r="H538" s="67" cm="1">
        <f t="array" ref="H538">_xlfn.IFS($G538=$G$5,H$5,$G538=$G$6,H$6,$G538=$G$7,H$7,$G538=$G$8,H$8,$G538=$G$9,H$9,$G538=$G$10,H$10,$G538=$G$11,H$11,$G538=$G$12,H$12,$G538=$G$13,H$13,$G538=$G$15,H$15,$G538=$G$16,H$16,$G538=$G$17,H$17,$G538=$G$18,H$18,$G538=$G$19,H$19,$G538=$G$20,H$20,$G538=$G$21,H$21,$G538=$G$22,H$22,$G538=$G$25,H$25,$G538=$G$26,H$26,$G538=$G$27,H$27,$G538=$G$29,H$29,$G538=$G$31,H$31,$G538=$G$32,H$150,$G538=$G$248,H$248,$G538=$G$250,H$250)</f>
        <v>41.434472</v>
      </c>
      <c r="I538" s="67" cm="1">
        <f t="array" ref="I538">_xlfn.IFS($G538=$G$5,I$5,$G538=$G$6,I$6,$G538=$G$7,I$7,$G538=$G$8,I$8,$G538=$G$9,I$9,$G538=$G$10,I$10,$G538=$G$11,I$11,$G538=$G$12,I$12,$G538=$G$13,I$13,$G538=$G$15,I$15,$G538=$G$16,I$16,$G538=$G$17,I$17,$G538=$G$18,I$18,$G538=$G$19,I$19,$G538=$G$20,I$20,$G538=$G$21,I$21,$G538=$G$22,I$22,$G538=$G$25,I$25,$G538=$G$26,I$26,$G538=$G$27,I$27,$G538=$G$29,I$29,$G538=$G$31,I$31,$G538=$G$32,I$150,$G538=$G$248,I$248,$G538=$G$250,I$250)</f>
        <v>2.1315789999999999</v>
      </c>
      <c r="J538" s="48" cm="1">
        <f t="array" ref="J538">_xlfn.IFS($G538=$G$5,J$5,$G538=$G$6,J$6,$G538=$G$7,J$7,$G538=$G$8,J$8,$G538=$G$9,J$9,$G538=$G$10,J$10,$G538=$G$11,J$11,$G538=$G$12,J$12,$G538=$G$13,J$13,$G538=$G$15,J$15,$G538=$G$16,J$16,$G538=$G$17,J$17,$G538=$G$18,J$18,$G538=$G$19,J$19,$G538=$G$20,J$20,$G538=$G$21,J$21,$G538=$G$22,J$22,$G538=$G$25,J$25,$G538=$G$26,J$26,$G538=$G$27,J$27,$G538=$G$29,J$29,$G538=$G$31,J$31,$G538=$G$32,J$150,$G538=$G$248,J$248,$G538=$G$250,J$250)</f>
        <v>365</v>
      </c>
      <c r="K538" s="48" t="str" cm="1">
        <f t="array" ref="K538">_xlfn.IFS($G538=$G$5,K$5,$G538=$G$6,K$6,$G538=$G$7,K$7,$G538=$G$8,K$8,$G538=$G$9,K$9,$G538=$G$10,K$10,$G538=$G$11,K$11,$G538=$G$12,K$12,$G538=$G$13,K$13,$G538=$G$15,K$15,$G538=$G$16,K$16,$G538=$G$17,K$17,$G538=$G$18,K$18,$G538=$G$19,K$19,$G538=$G$20,K$20,$G538=$G$21,K$21,$G538=$G$22,K$22,$G538=$G$25,K$25,$G538=$G$26,K$26,$G538=$G$27,K$27,$G538=$G$29,K$29,$G538=$G$31,K$31,$G538=$G$32,K$150,$G538=$G$248,K$248,$G538=$G$250,K$250)</f>
        <v>BG sentinel + BG lure7</v>
      </c>
      <c r="L538" s="48"/>
      <c r="M538" s="48"/>
      <c r="O538" s="45" t="str">
        <f t="shared" si="41"/>
        <v>A_SP_BCN_13_210804</v>
      </c>
      <c r="P538" s="64">
        <v>44412</v>
      </c>
      <c r="R538" s="72"/>
      <c r="S538" s="64">
        <v>44419</v>
      </c>
      <c r="U538" s="72"/>
      <c r="V538" s="54" t="s">
        <v>66</v>
      </c>
      <c r="X538" s="45">
        <f t="shared" si="44"/>
        <v>7</v>
      </c>
      <c r="Z538" s="69" t="s">
        <v>69</v>
      </c>
      <c r="AA538" s="45">
        <f t="shared" si="36"/>
        <v>1</v>
      </c>
      <c r="AB538" t="str">
        <f t="shared" si="42"/>
        <v>Adult</v>
      </c>
      <c r="AC538" s="69">
        <v>1</v>
      </c>
      <c r="AD538" s="69">
        <v>0</v>
      </c>
      <c r="AE538" s="45" t="str">
        <f t="shared" si="43"/>
        <v>Morphological</v>
      </c>
      <c r="AF538" s="56">
        <v>4</v>
      </c>
    </row>
    <row r="539" spans="1:32" ht="18" customHeight="1" x14ac:dyDescent="0.25">
      <c r="A539" s="45">
        <v>535</v>
      </c>
      <c r="B539" s="45" t="s">
        <v>60</v>
      </c>
      <c r="C539" s="45" t="s">
        <v>61</v>
      </c>
      <c r="D539" s="45" t="s">
        <v>62</v>
      </c>
      <c r="E539" s="45" t="s">
        <v>62</v>
      </c>
      <c r="F539" s="46" cm="1">
        <f t="array" ref="F539">_xlfn.IFS($G539=$G$5,F$5,$G539=$G$6,F$6,$G539=$G$7,F$7,$G539=$G$8,F$8,$G539=$G$9,F$9,$G539=$G$10,F$10,$G539=$G$11,F$11,$G539=$G$12,F$12,$G539=$G$13,F$13,$G539=$G$15,F$15,$G539=$G$16,F$16,$G539=$G$17,F$17,$G539=$G$18,F$18,$G539=$G$19,F$19,$G539=$G$20,F$20,$G539=$G$21,F$21,$G539=$G$22,F$22,$G539=$G$25,F$25,$G539=$G$26,F$26,$G539=$G$27,F$27,$G539=$G$29,F$29,$G539=$G$31,F$31,$G539=$G$32,F$32,$G539=$G$248,F$248,$G539=$G$250,F$250)</f>
        <v>8017</v>
      </c>
      <c r="G539" t="s">
        <v>86</v>
      </c>
      <c r="H539" s="67" cm="1">
        <f t="array" ref="H539">_xlfn.IFS($G539=$G$5,H$5,$G539=$G$6,H$6,$G539=$G$7,H$7,$G539=$G$8,H$8,$G539=$G$9,H$9,$G539=$G$10,H$10,$G539=$G$11,H$11,$G539=$G$12,H$12,$G539=$G$13,H$13,$G539=$G$15,H$15,$G539=$G$16,H$16,$G539=$G$17,H$17,$G539=$G$18,H$18,$G539=$G$19,H$19,$G539=$G$20,H$20,$G539=$G$21,H$21,$G539=$G$22,H$22,$G539=$G$25,H$25,$G539=$G$26,H$26,$G539=$G$27,H$27,$G539=$G$29,H$29,$G539=$G$31,H$31,$G539=$G$32,H$150,$G539=$G$248,H$248,$G539=$G$250,H$250)</f>
        <v>41.428533999999999</v>
      </c>
      <c r="I539" s="67" cm="1">
        <f t="array" ref="I539">_xlfn.IFS($G539=$G$5,I$5,$G539=$G$6,I$6,$G539=$G$7,I$7,$G539=$G$8,I$8,$G539=$G$9,I$9,$G539=$G$10,I$10,$G539=$G$11,I$11,$G539=$G$12,I$12,$G539=$G$13,I$13,$G539=$G$15,I$15,$G539=$G$16,I$16,$G539=$G$17,I$17,$G539=$G$18,I$18,$G539=$G$19,I$19,$G539=$G$20,I$20,$G539=$G$21,I$21,$G539=$G$22,I$22,$G539=$G$25,I$25,$G539=$G$26,I$26,$G539=$G$27,I$27,$G539=$G$29,I$29,$G539=$G$31,I$31,$G539=$G$32,I$150,$G539=$G$248,I$248,$G539=$G$250,I$250)</f>
        <v>2.090954</v>
      </c>
      <c r="J539" s="48" cm="1">
        <f t="array" ref="J539">_xlfn.IFS($G539=$G$5,J$5,$G539=$G$6,J$6,$G539=$G$7,J$7,$G539=$G$8,J$8,$G539=$G$9,J$9,$G539=$G$10,J$10,$G539=$G$11,J$11,$G539=$G$12,J$12,$G539=$G$13,J$13,$G539=$G$15,J$15,$G539=$G$16,J$16,$G539=$G$17,J$17,$G539=$G$18,J$18,$G539=$G$19,J$19,$G539=$G$20,J$20,$G539=$G$21,J$21,$G539=$G$22,J$22,$G539=$G$25,J$25,$G539=$G$26,J$26,$G539=$G$27,J$27,$G539=$G$29,J$29,$G539=$G$31,J$31,$G539=$G$32,J$150,$G539=$G$248,J$248,$G539=$G$250,J$250)</f>
        <v>215</v>
      </c>
      <c r="K539" s="48" t="str" cm="1">
        <f t="array" ref="K539">_xlfn.IFS($G539=$G$5,K$5,$G539=$G$6,K$6,$G539=$G$7,K$7,$G539=$G$8,K$8,$G539=$G$9,K$9,$G539=$G$10,K$10,$G539=$G$11,K$11,$G539=$G$12,K$12,$G539=$G$13,K$13,$G539=$G$15,K$15,$G539=$G$16,K$16,$G539=$G$17,K$17,$G539=$G$18,K$18,$G539=$G$19,K$19,$G539=$G$20,K$20,$G539=$G$21,K$21,$G539=$G$22,K$22,$G539=$G$25,K$25,$G539=$G$26,K$26,$G539=$G$27,K$27,$G539=$G$29,K$29,$G539=$G$31,K$31,$G539=$G$32,K$150,$G539=$G$248,K$248,$G539=$G$250,K$250)</f>
        <v>BG sentinel + BG lure7</v>
      </c>
      <c r="L539" s="48"/>
      <c r="M539" s="48"/>
      <c r="O539" s="45" t="str">
        <f t="shared" si="41"/>
        <v>A_SP_BCN_14_210804</v>
      </c>
      <c r="P539" s="64">
        <v>44412</v>
      </c>
      <c r="R539" s="72"/>
      <c r="S539" s="64">
        <v>44419</v>
      </c>
      <c r="U539" s="72"/>
      <c r="V539" s="54" t="s">
        <v>66</v>
      </c>
      <c r="X539" s="45">
        <f t="shared" si="44"/>
        <v>7</v>
      </c>
      <c r="Z539" s="69" t="s">
        <v>69</v>
      </c>
      <c r="AA539" s="45">
        <f t="shared" si="36"/>
        <v>3</v>
      </c>
      <c r="AB539" t="str">
        <f t="shared" si="42"/>
        <v>Adult</v>
      </c>
      <c r="AC539" s="69">
        <v>3</v>
      </c>
      <c r="AD539" s="69">
        <v>0</v>
      </c>
      <c r="AE539" s="45" t="str">
        <f t="shared" si="43"/>
        <v>Morphological</v>
      </c>
      <c r="AF539" s="56">
        <v>4</v>
      </c>
    </row>
    <row r="540" spans="1:32" ht="18" customHeight="1" x14ac:dyDescent="0.25">
      <c r="A540" s="45">
        <v>536</v>
      </c>
      <c r="B540" s="45" t="s">
        <v>60</v>
      </c>
      <c r="C540" s="45" t="s">
        <v>61</v>
      </c>
      <c r="D540" s="45" t="s">
        <v>62</v>
      </c>
      <c r="E540" s="45" t="s">
        <v>62</v>
      </c>
      <c r="F540" s="46" cm="1">
        <f t="array" ref="F540">_xlfn.IFS($G540=$G$5,F$5,$G540=$G$6,F$6,$G540=$G$7,F$7,$G540=$G$8,F$8,$G540=$G$9,F$9,$G540=$G$10,F$10,$G540=$G$11,F$11,$G540=$G$12,F$12,$G540=$G$13,F$13,$G540=$G$15,F$15,$G540=$G$16,F$16,$G540=$G$17,F$17,$G540=$G$18,F$18,$G540=$G$19,F$19,$G540=$G$20,F$20,$G540=$G$21,F$21,$G540=$G$22,F$22,$G540=$G$25,F$25,$G540=$G$26,F$26,$G540=$G$27,F$27,$G540=$G$29,F$29,$G540=$G$31,F$31,$G540=$G$32,F$32,$G540=$G$248,F$248,$G540=$G$250,F$250)</f>
        <v>8017</v>
      </c>
      <c r="G540" t="s">
        <v>86</v>
      </c>
      <c r="H540" s="67" cm="1">
        <f t="array" ref="H540">_xlfn.IFS($G540=$G$5,H$5,$G540=$G$6,H$6,$G540=$G$7,H$7,$G540=$G$8,H$8,$G540=$G$9,H$9,$G540=$G$10,H$10,$G540=$G$11,H$11,$G540=$G$12,H$12,$G540=$G$13,H$13,$G540=$G$15,H$15,$G540=$G$16,H$16,$G540=$G$17,H$17,$G540=$G$18,H$18,$G540=$G$19,H$19,$G540=$G$20,H$20,$G540=$G$21,H$21,$G540=$G$22,H$22,$G540=$G$25,H$25,$G540=$G$26,H$26,$G540=$G$27,H$27,$G540=$G$29,H$29,$G540=$G$31,H$31,$G540=$G$32,H$150,$G540=$G$248,H$248,$G540=$G$250,H$250)</f>
        <v>41.428533999999999</v>
      </c>
      <c r="I540" s="67" cm="1">
        <f t="array" ref="I540">_xlfn.IFS($G540=$G$5,I$5,$G540=$G$6,I$6,$G540=$G$7,I$7,$G540=$G$8,I$8,$G540=$G$9,I$9,$G540=$G$10,I$10,$G540=$G$11,I$11,$G540=$G$12,I$12,$G540=$G$13,I$13,$G540=$G$15,I$15,$G540=$G$16,I$16,$G540=$G$17,I$17,$G540=$G$18,I$18,$G540=$G$19,I$19,$G540=$G$20,I$20,$G540=$G$21,I$21,$G540=$G$22,I$22,$G540=$G$25,I$25,$G540=$G$26,I$26,$G540=$G$27,I$27,$G540=$G$29,I$29,$G540=$G$31,I$31,$G540=$G$32,I$150,$G540=$G$248,I$248,$G540=$G$250,I$250)</f>
        <v>2.090954</v>
      </c>
      <c r="J540" s="48" cm="1">
        <f t="array" ref="J540">_xlfn.IFS($G540=$G$5,J$5,$G540=$G$6,J$6,$G540=$G$7,J$7,$G540=$G$8,J$8,$G540=$G$9,J$9,$G540=$G$10,J$10,$G540=$G$11,J$11,$G540=$G$12,J$12,$G540=$G$13,J$13,$G540=$G$15,J$15,$G540=$G$16,J$16,$G540=$G$17,J$17,$G540=$G$18,J$18,$G540=$G$19,J$19,$G540=$G$20,J$20,$G540=$G$21,J$21,$G540=$G$22,J$22,$G540=$G$25,J$25,$G540=$G$26,J$26,$G540=$G$27,J$27,$G540=$G$29,J$29,$G540=$G$31,J$31,$G540=$G$32,J$150,$G540=$G$248,J$248,$G540=$G$250,J$250)</f>
        <v>215</v>
      </c>
      <c r="K540" s="48" t="str" cm="1">
        <f t="array" ref="K540">_xlfn.IFS($G540=$G$5,K$5,$G540=$G$6,K$6,$G540=$G$7,K$7,$G540=$G$8,K$8,$G540=$G$9,K$9,$G540=$G$10,K$10,$G540=$G$11,K$11,$G540=$G$12,K$12,$G540=$G$13,K$13,$G540=$G$15,K$15,$G540=$G$16,K$16,$G540=$G$17,K$17,$G540=$G$18,K$18,$G540=$G$19,K$19,$G540=$G$20,K$20,$G540=$G$21,K$21,$G540=$G$22,K$22,$G540=$G$25,K$25,$G540=$G$26,K$26,$G540=$G$27,K$27,$G540=$G$29,K$29,$G540=$G$31,K$31,$G540=$G$32,K$150,$G540=$G$248,K$248,$G540=$G$250,K$250)</f>
        <v>BG sentinel + BG lure7</v>
      </c>
      <c r="L540" s="48"/>
      <c r="M540" s="48"/>
      <c r="O540" s="45" t="str">
        <f t="shared" si="41"/>
        <v>A_SP_BCN_14_210804</v>
      </c>
      <c r="P540" s="64">
        <v>44412</v>
      </c>
      <c r="R540" s="72"/>
      <c r="S540" s="64">
        <v>44419</v>
      </c>
      <c r="U540" s="72"/>
      <c r="V540" s="54" t="s">
        <v>66</v>
      </c>
      <c r="X540" s="45">
        <f t="shared" si="44"/>
        <v>7</v>
      </c>
      <c r="Z540" s="45" t="s">
        <v>70</v>
      </c>
      <c r="AA540" s="45">
        <f t="shared" si="36"/>
        <v>1</v>
      </c>
      <c r="AB540" t="str">
        <f t="shared" si="42"/>
        <v>Adult</v>
      </c>
      <c r="AC540" s="69">
        <v>1</v>
      </c>
      <c r="AD540" s="69">
        <v>0</v>
      </c>
      <c r="AE540" s="45" t="str">
        <f t="shared" si="43"/>
        <v>Morphological</v>
      </c>
      <c r="AF540" s="56">
        <v>4</v>
      </c>
    </row>
    <row r="541" spans="1:32" ht="18" customHeight="1" x14ac:dyDescent="0.25">
      <c r="A541" s="45">
        <v>537</v>
      </c>
      <c r="B541" s="45" t="s">
        <v>60</v>
      </c>
      <c r="C541" s="45" t="s">
        <v>61</v>
      </c>
      <c r="D541" s="45" t="s">
        <v>62</v>
      </c>
      <c r="E541" s="45" t="s">
        <v>62</v>
      </c>
      <c r="F541" s="46" cm="1">
        <f t="array" ref="F541">_xlfn.IFS($G541=$G$5,F$5,$G541=$G$6,F$6,$G541=$G$7,F$7,$G541=$G$8,F$8,$G541=$G$9,F$9,$G541=$G$10,F$10,$G541=$G$11,F$11,$G541=$G$12,F$12,$G541=$G$13,F$13,$G541=$G$15,F$15,$G541=$G$16,F$16,$G541=$G$17,F$17,$G541=$G$18,F$18,$G541=$G$19,F$19,$G541=$G$20,F$20,$G541=$G$21,F$21,$G541=$G$22,F$22,$G541=$G$25,F$25,$G541=$G$26,F$26,$G541=$G$27,F$27,$G541=$G$29,F$29,$G541=$G$31,F$31,$G541=$G$32,F$32,$G541=$G$248,F$248,$G541=$G$250,F$250)</f>
        <v>8017</v>
      </c>
      <c r="G541" t="s">
        <v>86</v>
      </c>
      <c r="H541" s="67" cm="1">
        <f t="array" ref="H541">_xlfn.IFS($G541=$G$5,H$5,$G541=$G$6,H$6,$G541=$G$7,H$7,$G541=$G$8,H$8,$G541=$G$9,H$9,$G541=$G$10,H$10,$G541=$G$11,H$11,$G541=$G$12,H$12,$G541=$G$13,H$13,$G541=$G$15,H$15,$G541=$G$16,H$16,$G541=$G$17,H$17,$G541=$G$18,H$18,$G541=$G$19,H$19,$G541=$G$20,H$20,$G541=$G$21,H$21,$G541=$G$22,H$22,$G541=$G$25,H$25,$G541=$G$26,H$26,$G541=$G$27,H$27,$G541=$G$29,H$29,$G541=$G$31,H$31,$G541=$G$32,H$150,$G541=$G$248,H$248,$G541=$G$250,H$250)</f>
        <v>41.428533999999999</v>
      </c>
      <c r="I541" s="67" cm="1">
        <f t="array" ref="I541">_xlfn.IFS($G541=$G$5,I$5,$G541=$G$6,I$6,$G541=$G$7,I$7,$G541=$G$8,I$8,$G541=$G$9,I$9,$G541=$G$10,I$10,$G541=$G$11,I$11,$G541=$G$12,I$12,$G541=$G$13,I$13,$G541=$G$15,I$15,$G541=$G$16,I$16,$G541=$G$17,I$17,$G541=$G$18,I$18,$G541=$G$19,I$19,$G541=$G$20,I$20,$G541=$G$21,I$21,$G541=$G$22,I$22,$G541=$G$25,I$25,$G541=$G$26,I$26,$G541=$G$27,I$27,$G541=$G$29,I$29,$G541=$G$31,I$31,$G541=$G$32,I$150,$G541=$G$248,I$248,$G541=$G$250,I$250)</f>
        <v>2.090954</v>
      </c>
      <c r="J541" s="48" cm="1">
        <f t="array" ref="J541">_xlfn.IFS($G541=$G$5,J$5,$G541=$G$6,J$6,$G541=$G$7,J$7,$G541=$G$8,J$8,$G541=$G$9,J$9,$G541=$G$10,J$10,$G541=$G$11,J$11,$G541=$G$12,J$12,$G541=$G$13,J$13,$G541=$G$15,J$15,$G541=$G$16,J$16,$G541=$G$17,J$17,$G541=$G$18,J$18,$G541=$G$19,J$19,$G541=$G$20,J$20,$G541=$G$21,J$21,$G541=$G$22,J$22,$G541=$G$25,J$25,$G541=$G$26,J$26,$G541=$G$27,J$27,$G541=$G$29,J$29,$G541=$G$31,J$31,$G541=$G$32,J$150,$G541=$G$248,J$248,$G541=$G$250,J$250)</f>
        <v>215</v>
      </c>
      <c r="K541" s="48" t="str" cm="1">
        <f t="array" ref="K541">_xlfn.IFS($G541=$G$5,K$5,$G541=$G$6,K$6,$G541=$G$7,K$7,$G541=$G$8,K$8,$G541=$G$9,K$9,$G541=$G$10,K$10,$G541=$G$11,K$11,$G541=$G$12,K$12,$G541=$G$13,K$13,$G541=$G$15,K$15,$G541=$G$16,K$16,$G541=$G$17,K$17,$G541=$G$18,K$18,$G541=$G$19,K$19,$G541=$G$20,K$20,$G541=$G$21,K$21,$G541=$G$22,K$22,$G541=$G$25,K$25,$G541=$G$26,K$26,$G541=$G$27,K$27,$G541=$G$29,K$29,$G541=$G$31,K$31,$G541=$G$32,K$150,$G541=$G$248,K$248,$G541=$G$250,K$250)</f>
        <v>BG sentinel + BG lure7</v>
      </c>
      <c r="L541" s="48"/>
      <c r="M541" s="48"/>
      <c r="O541" s="45" t="str">
        <f t="shared" si="41"/>
        <v>A_SP_BCN_14_210804</v>
      </c>
      <c r="P541" s="64">
        <v>44412</v>
      </c>
      <c r="R541" s="72"/>
      <c r="S541" s="64">
        <v>44419</v>
      </c>
      <c r="U541" s="72"/>
      <c r="V541" s="54" t="s">
        <v>66</v>
      </c>
      <c r="X541" s="45">
        <f t="shared" si="44"/>
        <v>7</v>
      </c>
      <c r="Z541" s="45" t="s">
        <v>80</v>
      </c>
      <c r="AA541" s="45">
        <f t="shared" si="36"/>
        <v>1</v>
      </c>
      <c r="AB541" t="str">
        <f t="shared" si="42"/>
        <v>Adult</v>
      </c>
      <c r="AC541" s="69">
        <v>1</v>
      </c>
      <c r="AD541" s="69">
        <v>0</v>
      </c>
      <c r="AE541" s="45" t="str">
        <f t="shared" si="43"/>
        <v>Morphological</v>
      </c>
      <c r="AF541" s="56">
        <v>4</v>
      </c>
    </row>
    <row r="542" spans="1:32" ht="18" customHeight="1" x14ac:dyDescent="0.25">
      <c r="A542" s="45">
        <v>538</v>
      </c>
      <c r="B542" s="45" t="s">
        <v>60</v>
      </c>
      <c r="C542" s="45" t="s">
        <v>61</v>
      </c>
      <c r="D542" s="45" t="s">
        <v>62</v>
      </c>
      <c r="E542" s="45" t="s">
        <v>62</v>
      </c>
      <c r="F542" s="46" cm="1">
        <f t="array" ref="F542">_xlfn.IFS($G542=$G$5,F$5,$G542=$G$6,F$6,$G542=$G$7,F$7,$G542=$G$8,F$8,$G542=$G$9,F$9,$G542=$G$10,F$10,$G542=$G$11,F$11,$G542=$G$12,F$12,$G542=$G$13,F$13,$G542=$G$15,F$15,$G542=$G$16,F$16,$G542=$G$17,F$17,$G542=$G$18,F$18,$G542=$G$19,F$19,$G542=$G$20,F$20,$G542=$G$21,F$21,$G542=$G$22,F$22,$G542=$G$25,F$25,$G542=$G$26,F$26,$G542=$G$27,F$27,$G542=$G$29,F$29,$G542=$G$31,F$31,$G542=$G$32,F$32,$G542=$G$248,F$248,$G542=$G$250,F$250)</f>
        <v>8017</v>
      </c>
      <c r="G542" t="s">
        <v>87</v>
      </c>
      <c r="H542" s="67" cm="1">
        <f t="array" ref="H542">_xlfn.IFS($G542=$G$5,H$5,$G542=$G$6,H$6,$G542=$G$7,H$7,$G542=$G$8,H$8,$G542=$G$9,H$9,$G542=$G$10,H$10,$G542=$G$11,H$11,$G542=$G$12,H$12,$G542=$G$13,H$13,$G542=$G$15,H$15,$G542=$G$16,H$16,$G542=$G$17,H$17,$G542=$G$18,H$18,$G542=$G$19,H$19,$G542=$G$20,H$20,$G542=$G$21,H$21,$G542=$G$22,H$22,$G542=$G$25,H$25,$G542=$G$26,H$26,$G542=$G$27,H$27,$G542=$G$29,H$29,$G542=$G$31,H$31,$G542=$G$32,H$150,$G542=$G$248,H$248,$G542=$G$250,H$250)</f>
        <v>41.419471000000001</v>
      </c>
      <c r="I542" s="67" cm="1">
        <f t="array" ref="I542">_xlfn.IFS($G542=$G$5,I$5,$G542=$G$6,I$6,$G542=$G$7,I$7,$G542=$G$8,I$8,$G542=$G$9,I$9,$G542=$G$10,I$10,$G542=$G$11,I$11,$G542=$G$12,I$12,$G542=$G$13,I$13,$G542=$G$15,I$15,$G542=$G$16,I$16,$G542=$G$17,I$17,$G542=$G$18,I$18,$G542=$G$19,I$19,$G542=$G$20,I$20,$G542=$G$21,I$21,$G542=$G$22,I$22,$G542=$G$25,I$25,$G542=$G$26,I$26,$G542=$G$27,I$27,$G542=$G$29,I$29,$G542=$G$31,I$31,$G542=$G$32,I$150,$G542=$G$248,I$248,$G542=$G$250,I$250)</f>
        <v>2.1010149999999999</v>
      </c>
      <c r="J542" s="48" cm="1">
        <f t="array" ref="J542">_xlfn.IFS($G542=$G$5,J$5,$G542=$G$6,J$6,$G542=$G$7,J$7,$G542=$G$8,J$8,$G542=$G$9,J$9,$G542=$G$10,J$10,$G542=$G$11,J$11,$G542=$G$12,J$12,$G542=$G$13,J$13,$G542=$G$15,J$15,$G542=$G$16,J$16,$G542=$G$17,J$17,$G542=$G$18,J$18,$G542=$G$19,J$19,$G542=$G$20,J$20,$G542=$G$21,J$21,$G542=$G$22,J$22,$G542=$G$25,J$25,$G542=$G$26,J$26,$G542=$G$27,J$27,$G542=$G$29,J$29,$G542=$G$31,J$31,$G542=$G$32,J$150,$G542=$G$248,J$248,$G542=$G$250,J$250)</f>
        <v>284</v>
      </c>
      <c r="K542" s="48" t="str" cm="1">
        <f t="array" ref="K542">_xlfn.IFS($G542=$G$5,K$5,$G542=$G$6,K$6,$G542=$G$7,K$7,$G542=$G$8,K$8,$G542=$G$9,K$9,$G542=$G$10,K$10,$G542=$G$11,K$11,$G542=$G$12,K$12,$G542=$G$13,K$13,$G542=$G$15,K$15,$G542=$G$16,K$16,$G542=$G$17,K$17,$G542=$G$18,K$18,$G542=$G$19,K$19,$G542=$G$20,K$20,$G542=$G$21,K$21,$G542=$G$22,K$22,$G542=$G$25,K$25,$G542=$G$26,K$26,$G542=$G$27,K$27,$G542=$G$29,K$29,$G542=$G$31,K$31,$G542=$G$32,K$150,$G542=$G$248,K$248,$G542=$G$250,K$250)</f>
        <v>BG sentinel + BG lure7</v>
      </c>
      <c r="L542" s="48"/>
      <c r="M542" s="48"/>
      <c r="O542" s="45" t="str">
        <f t="shared" si="41"/>
        <v>A_SP_BCN_15_210804</v>
      </c>
      <c r="P542" s="64">
        <v>44412</v>
      </c>
      <c r="R542" s="72"/>
      <c r="S542" s="64">
        <v>44419</v>
      </c>
      <c r="U542" s="72"/>
      <c r="V542" s="54" t="s">
        <v>66</v>
      </c>
      <c r="X542" s="45">
        <f t="shared" si="44"/>
        <v>7</v>
      </c>
      <c r="Z542" s="69" t="s">
        <v>69</v>
      </c>
      <c r="AA542" s="45">
        <f t="shared" si="36"/>
        <v>1</v>
      </c>
      <c r="AB542" t="str">
        <f t="shared" si="42"/>
        <v>Adult</v>
      </c>
      <c r="AC542" s="69">
        <v>1</v>
      </c>
      <c r="AD542" s="69">
        <v>0</v>
      </c>
      <c r="AE542" s="45" t="str">
        <f t="shared" si="43"/>
        <v>Morphological</v>
      </c>
      <c r="AF542" s="56">
        <v>4</v>
      </c>
    </row>
    <row r="543" spans="1:32" ht="18" customHeight="1" x14ac:dyDescent="0.25">
      <c r="A543" s="45">
        <v>539</v>
      </c>
      <c r="B543" s="45" t="s">
        <v>60</v>
      </c>
      <c r="C543" s="45" t="s">
        <v>61</v>
      </c>
      <c r="D543" s="45" t="s">
        <v>62</v>
      </c>
      <c r="E543" s="45" t="s">
        <v>62</v>
      </c>
      <c r="F543" s="46" cm="1">
        <f t="array" ref="F543">_xlfn.IFS($G543=$G$5,F$5,$G543=$G$6,F$6,$G543=$G$7,F$7,$G543=$G$8,F$8,$G543=$G$9,F$9,$G543=$G$10,F$10,$G543=$G$11,F$11,$G543=$G$12,F$12,$G543=$G$13,F$13,$G543=$G$15,F$15,$G543=$G$16,F$16,$G543=$G$17,F$17,$G543=$G$18,F$18,$G543=$G$19,F$19,$G543=$G$20,F$20,$G543=$G$21,F$21,$G543=$G$22,F$22,$G543=$G$25,F$25,$G543=$G$26,F$26,$G543=$G$27,F$27,$G543=$G$29,F$29,$G543=$G$31,F$31,$G543=$G$32,F$32,$G543=$G$248,F$248,$G543=$G$250,F$250)</f>
        <v>8017</v>
      </c>
      <c r="G543" t="s">
        <v>87</v>
      </c>
      <c r="H543" s="67" cm="1">
        <f t="array" ref="H543">_xlfn.IFS($G543=$G$5,H$5,$G543=$G$6,H$6,$G543=$G$7,H$7,$G543=$G$8,H$8,$G543=$G$9,H$9,$G543=$G$10,H$10,$G543=$G$11,H$11,$G543=$G$12,H$12,$G543=$G$13,H$13,$G543=$G$15,H$15,$G543=$G$16,H$16,$G543=$G$17,H$17,$G543=$G$18,H$18,$G543=$G$19,H$19,$G543=$G$20,H$20,$G543=$G$21,H$21,$G543=$G$22,H$22,$G543=$G$25,H$25,$G543=$G$26,H$26,$G543=$G$27,H$27,$G543=$G$29,H$29,$G543=$G$31,H$31,$G543=$G$32,H$150,$G543=$G$248,H$248,$G543=$G$250,H$250)</f>
        <v>41.419471000000001</v>
      </c>
      <c r="I543" s="67" cm="1">
        <f t="array" ref="I543">_xlfn.IFS($G543=$G$5,I$5,$G543=$G$6,I$6,$G543=$G$7,I$7,$G543=$G$8,I$8,$G543=$G$9,I$9,$G543=$G$10,I$10,$G543=$G$11,I$11,$G543=$G$12,I$12,$G543=$G$13,I$13,$G543=$G$15,I$15,$G543=$G$16,I$16,$G543=$G$17,I$17,$G543=$G$18,I$18,$G543=$G$19,I$19,$G543=$G$20,I$20,$G543=$G$21,I$21,$G543=$G$22,I$22,$G543=$G$25,I$25,$G543=$G$26,I$26,$G543=$G$27,I$27,$G543=$G$29,I$29,$G543=$G$31,I$31,$G543=$G$32,I$150,$G543=$G$248,I$248,$G543=$G$250,I$250)</f>
        <v>2.1010149999999999</v>
      </c>
      <c r="J543" s="48" cm="1">
        <f t="array" ref="J543">_xlfn.IFS($G543=$G$5,J$5,$G543=$G$6,J$6,$G543=$G$7,J$7,$G543=$G$8,J$8,$G543=$G$9,J$9,$G543=$G$10,J$10,$G543=$G$11,J$11,$G543=$G$12,J$12,$G543=$G$13,J$13,$G543=$G$15,J$15,$G543=$G$16,J$16,$G543=$G$17,J$17,$G543=$G$18,J$18,$G543=$G$19,J$19,$G543=$G$20,J$20,$G543=$G$21,J$21,$G543=$G$22,J$22,$G543=$G$25,J$25,$G543=$G$26,J$26,$G543=$G$27,J$27,$G543=$G$29,J$29,$G543=$G$31,J$31,$G543=$G$32,J$150,$G543=$G$248,J$248,$G543=$G$250,J$250)</f>
        <v>284</v>
      </c>
      <c r="K543" s="48" t="str" cm="1">
        <f t="array" ref="K543">_xlfn.IFS($G543=$G$5,K$5,$G543=$G$6,K$6,$G543=$G$7,K$7,$G543=$G$8,K$8,$G543=$G$9,K$9,$G543=$G$10,K$10,$G543=$G$11,K$11,$G543=$G$12,K$12,$G543=$G$13,K$13,$G543=$G$15,K$15,$G543=$G$16,K$16,$G543=$G$17,K$17,$G543=$G$18,K$18,$G543=$G$19,K$19,$G543=$G$20,K$20,$G543=$G$21,K$21,$G543=$G$22,K$22,$G543=$G$25,K$25,$G543=$G$26,K$26,$G543=$G$27,K$27,$G543=$G$29,K$29,$G543=$G$31,K$31,$G543=$G$32,K$150,$G543=$G$248,K$248,$G543=$G$250,K$250)</f>
        <v>BG sentinel + BG lure7</v>
      </c>
      <c r="L543" s="48"/>
      <c r="M543" s="48"/>
      <c r="O543" s="45" t="str">
        <f t="shared" si="41"/>
        <v>A_SP_BCN_15_210804</v>
      </c>
      <c r="P543" s="64">
        <v>44412</v>
      </c>
      <c r="R543" s="72"/>
      <c r="S543" s="64">
        <v>44419</v>
      </c>
      <c r="U543" s="72"/>
      <c r="V543" s="54" t="s">
        <v>66</v>
      </c>
      <c r="X543" s="45">
        <f t="shared" si="44"/>
        <v>7</v>
      </c>
      <c r="Z543" s="45" t="s">
        <v>80</v>
      </c>
      <c r="AA543" s="45">
        <f t="shared" si="36"/>
        <v>1</v>
      </c>
      <c r="AB543" t="str">
        <f t="shared" si="42"/>
        <v>Adult</v>
      </c>
      <c r="AC543" s="69">
        <v>0</v>
      </c>
      <c r="AD543" s="69">
        <v>1</v>
      </c>
      <c r="AE543" s="45" t="str">
        <f t="shared" si="43"/>
        <v>Morphological</v>
      </c>
      <c r="AF543" s="56">
        <v>4</v>
      </c>
    </row>
    <row r="544" spans="1:32" ht="18" customHeight="1" x14ac:dyDescent="0.25">
      <c r="A544" s="45">
        <v>540</v>
      </c>
      <c r="B544" s="45" t="s">
        <v>60</v>
      </c>
      <c r="C544" s="45" t="s">
        <v>61</v>
      </c>
      <c r="D544" s="45" t="s">
        <v>62</v>
      </c>
      <c r="E544" s="45" t="s">
        <v>62</v>
      </c>
      <c r="F544" s="46" cm="1">
        <f t="array" ref="F544">_xlfn.IFS($G544=$G$5,F$5,$G544=$G$6,F$6,$G544=$G$7,F$7,$G544=$G$8,F$8,$G544=$G$9,F$9,$G544=$G$10,F$10,$G544=$G$11,F$11,$G544=$G$12,F$12,$G544=$G$13,F$13,$G544=$G$15,F$15,$G544=$G$16,F$16,$G544=$G$17,F$17,$G544=$G$18,F$18,$G544=$G$19,F$19,$G544=$G$20,F$20,$G544=$G$21,F$21,$G544=$G$22,F$22,$G544=$G$25,F$25,$G544=$G$26,F$26,$G544=$G$27,F$27,$G544=$G$29,F$29,$G544=$G$31,F$31,$G544=$G$32,F$32,$G544=$G$248,F$248,$G544=$G$250,F$250)</f>
        <v>8017</v>
      </c>
      <c r="G544" t="s">
        <v>88</v>
      </c>
      <c r="H544" s="67" cm="1">
        <f t="array" ref="H544">_xlfn.IFS($G544=$G$5,H$5,$G544=$G$6,H$6,$G544=$G$7,H$7,$G544=$G$8,H$8,$G544=$G$9,H$9,$G544=$G$10,H$10,$G544=$G$11,H$11,$G544=$G$12,H$12,$G544=$G$13,H$13,$G544=$G$15,H$15,$G544=$G$16,H$16,$G544=$G$17,H$17,$G544=$G$18,H$18,$G544=$G$19,H$19,$G544=$G$20,H$20,$G544=$G$21,H$21,$G544=$G$22,H$22,$G544=$G$25,H$25,$G544=$G$26,H$26,$G544=$G$27,H$27,$G544=$G$29,H$29,$G544=$G$31,H$31,$G544=$G$32,H$150,$G544=$G$248,H$248,$G544=$G$250,H$250)</f>
        <v>41.398387</v>
      </c>
      <c r="I544" s="67" cm="1">
        <f t="array" ref="I544">_xlfn.IFS($G544=$G$5,I$5,$G544=$G$6,I$6,$G544=$G$7,I$7,$G544=$G$8,I$8,$G544=$G$9,I$9,$G544=$G$10,I$10,$G544=$G$11,I$11,$G544=$G$12,I$12,$G544=$G$13,I$13,$G544=$G$15,I$15,$G544=$G$16,I$16,$G544=$G$17,I$17,$G544=$G$18,I$18,$G544=$G$19,I$19,$G544=$G$20,I$20,$G544=$G$21,I$21,$G544=$G$22,I$22,$G544=$G$25,I$25,$G544=$G$26,I$26,$G544=$G$27,I$27,$G544=$G$29,I$29,$G544=$G$31,I$31,$G544=$G$32,I$150,$G544=$G$248,I$248,$G544=$G$250,I$250)</f>
        <v>2.1244429999999999</v>
      </c>
      <c r="J544" s="48" cm="1">
        <f t="array" ref="J544">_xlfn.IFS($G544=$G$5,J$5,$G544=$G$6,J$6,$G544=$G$7,J$7,$G544=$G$8,J$8,$G544=$G$9,J$9,$G544=$G$10,J$10,$G544=$G$11,J$11,$G544=$G$12,J$12,$G544=$G$13,J$13,$G544=$G$15,J$15,$G544=$G$16,J$16,$G544=$G$17,J$17,$G544=$G$18,J$18,$G544=$G$19,J$19,$G544=$G$20,J$20,$G544=$G$21,J$21,$G544=$G$22,J$22,$G544=$G$25,J$25,$G544=$G$26,J$26,$G544=$G$27,J$27,$G544=$G$29,J$29,$G544=$G$31,J$31,$G544=$G$32,J$150,$G544=$G$248,J$248,$G544=$G$250,J$250)</f>
        <v>106</v>
      </c>
      <c r="K544" s="48" t="str" cm="1">
        <f t="array" ref="K544">_xlfn.IFS($G544=$G$5,K$5,$G544=$G$6,K$6,$G544=$G$7,K$7,$G544=$G$8,K$8,$G544=$G$9,K$9,$G544=$G$10,K$10,$G544=$G$11,K$11,$G544=$G$12,K$12,$G544=$G$13,K$13,$G544=$G$15,K$15,$G544=$G$16,K$16,$G544=$G$17,K$17,$G544=$G$18,K$18,$G544=$G$19,K$19,$G544=$G$20,K$20,$G544=$G$21,K$21,$G544=$G$22,K$22,$G544=$G$25,K$25,$G544=$G$26,K$26,$G544=$G$27,K$27,$G544=$G$29,K$29,$G544=$G$31,K$31,$G544=$G$32,K$150,$G544=$G$248,K$248,$G544=$G$250,K$250)</f>
        <v>BG sentinel + BG lure7</v>
      </c>
      <c r="L544" s="48"/>
      <c r="M544" s="48"/>
      <c r="O544" s="45" t="str">
        <f t="shared" si="41"/>
        <v>A_SP_BCN_16_210804</v>
      </c>
      <c r="P544" s="64">
        <v>44412</v>
      </c>
      <c r="R544" s="72"/>
      <c r="S544" s="64">
        <v>44433</v>
      </c>
      <c r="U544" s="72"/>
      <c r="V544" s="54" t="s">
        <v>66</v>
      </c>
      <c r="X544" s="45">
        <f t="shared" si="44"/>
        <v>21</v>
      </c>
      <c r="Z544" s="69" t="s">
        <v>69</v>
      </c>
      <c r="AA544" s="45">
        <f t="shared" si="36"/>
        <v>332</v>
      </c>
      <c r="AB544" t="str">
        <f t="shared" si="42"/>
        <v>Adult</v>
      </c>
      <c r="AC544" s="69">
        <v>206</v>
      </c>
      <c r="AD544" s="69">
        <v>126</v>
      </c>
      <c r="AE544" s="45" t="str">
        <f t="shared" si="43"/>
        <v>Morphological</v>
      </c>
      <c r="AF544" s="56">
        <v>4</v>
      </c>
    </row>
    <row r="545" spans="1:32" ht="18" customHeight="1" x14ac:dyDescent="0.25">
      <c r="A545" s="45">
        <v>541</v>
      </c>
      <c r="B545" s="45" t="s">
        <v>60</v>
      </c>
      <c r="C545" s="45" t="s">
        <v>61</v>
      </c>
      <c r="D545" s="45" t="s">
        <v>62</v>
      </c>
      <c r="E545" s="45" t="s">
        <v>62</v>
      </c>
      <c r="F545" s="46" cm="1">
        <f t="array" ref="F545">_xlfn.IFS($G545=$G$5,F$5,$G545=$G$6,F$6,$G545=$G$7,F$7,$G545=$G$8,F$8,$G545=$G$9,F$9,$G545=$G$10,F$10,$G545=$G$11,F$11,$G545=$G$12,F$12,$G545=$G$13,F$13,$G545=$G$15,F$15,$G545=$G$16,F$16,$G545=$G$17,F$17,$G545=$G$18,F$18,$G545=$G$19,F$19,$G545=$G$20,F$20,$G545=$G$21,F$21,$G545=$G$22,F$22,$G545=$G$25,F$25,$G545=$G$26,F$26,$G545=$G$27,F$27,$G545=$G$29,F$29,$G545=$G$31,F$31,$G545=$G$32,F$32,$G545=$G$248,F$248,$G545=$G$250,F$250)</f>
        <v>8017</v>
      </c>
      <c r="G545" t="s">
        <v>88</v>
      </c>
      <c r="H545" s="67" cm="1">
        <f t="array" ref="H545">_xlfn.IFS($G545=$G$5,H$5,$G545=$G$6,H$6,$G545=$G$7,H$7,$G545=$G$8,H$8,$G545=$G$9,H$9,$G545=$G$10,H$10,$G545=$G$11,H$11,$G545=$G$12,H$12,$G545=$G$13,H$13,$G545=$G$15,H$15,$G545=$G$16,H$16,$G545=$G$17,H$17,$G545=$G$18,H$18,$G545=$G$19,H$19,$G545=$G$20,H$20,$G545=$G$21,H$21,$G545=$G$22,H$22,$G545=$G$25,H$25,$G545=$G$26,H$26,$G545=$G$27,H$27,$G545=$G$29,H$29,$G545=$G$31,H$31,$G545=$G$32,H$150,$G545=$G$248,H$248,$G545=$G$250,H$250)</f>
        <v>41.398387</v>
      </c>
      <c r="I545" s="67" cm="1">
        <f t="array" ref="I545">_xlfn.IFS($G545=$G$5,I$5,$G545=$G$6,I$6,$G545=$G$7,I$7,$G545=$G$8,I$8,$G545=$G$9,I$9,$G545=$G$10,I$10,$G545=$G$11,I$11,$G545=$G$12,I$12,$G545=$G$13,I$13,$G545=$G$15,I$15,$G545=$G$16,I$16,$G545=$G$17,I$17,$G545=$G$18,I$18,$G545=$G$19,I$19,$G545=$G$20,I$20,$G545=$G$21,I$21,$G545=$G$22,I$22,$G545=$G$25,I$25,$G545=$G$26,I$26,$G545=$G$27,I$27,$G545=$G$29,I$29,$G545=$G$31,I$31,$G545=$G$32,I$150,$G545=$G$248,I$248,$G545=$G$250,I$250)</f>
        <v>2.1244429999999999</v>
      </c>
      <c r="J545" s="48" cm="1">
        <f t="array" ref="J545">_xlfn.IFS($G545=$G$5,J$5,$G545=$G$6,J$6,$G545=$G$7,J$7,$G545=$G$8,J$8,$G545=$G$9,J$9,$G545=$G$10,J$10,$G545=$G$11,J$11,$G545=$G$12,J$12,$G545=$G$13,J$13,$G545=$G$15,J$15,$G545=$G$16,J$16,$G545=$G$17,J$17,$G545=$G$18,J$18,$G545=$G$19,J$19,$G545=$G$20,J$20,$G545=$G$21,J$21,$G545=$G$22,J$22,$G545=$G$25,J$25,$G545=$G$26,J$26,$G545=$G$27,J$27,$G545=$G$29,J$29,$G545=$G$31,J$31,$G545=$G$32,J$150,$G545=$G$248,J$248,$G545=$G$250,J$250)</f>
        <v>106</v>
      </c>
      <c r="K545" s="48" t="str" cm="1">
        <f t="array" ref="K545">_xlfn.IFS($G545=$G$5,K$5,$G545=$G$6,K$6,$G545=$G$7,K$7,$G545=$G$8,K$8,$G545=$G$9,K$9,$G545=$G$10,K$10,$G545=$G$11,K$11,$G545=$G$12,K$12,$G545=$G$13,K$13,$G545=$G$15,K$15,$G545=$G$16,K$16,$G545=$G$17,K$17,$G545=$G$18,K$18,$G545=$G$19,K$19,$G545=$G$20,K$20,$G545=$G$21,K$21,$G545=$G$22,K$22,$G545=$G$25,K$25,$G545=$G$26,K$26,$G545=$G$27,K$27,$G545=$G$29,K$29,$G545=$G$31,K$31,$G545=$G$32,K$150,$G545=$G$248,K$248,$G545=$G$250,K$250)</f>
        <v>BG sentinel + BG lure7</v>
      </c>
      <c r="L545" s="48"/>
      <c r="M545" s="48"/>
      <c r="O545" s="45" t="str">
        <f t="shared" si="41"/>
        <v>A_SP_BCN_16_210804</v>
      </c>
      <c r="P545" s="64">
        <v>44412</v>
      </c>
      <c r="R545" s="72"/>
      <c r="S545" s="64">
        <v>44433</v>
      </c>
      <c r="U545" s="72"/>
      <c r="V545" s="54" t="s">
        <v>66</v>
      </c>
      <c r="X545" s="45">
        <f t="shared" si="44"/>
        <v>21</v>
      </c>
      <c r="Z545" s="45" t="s">
        <v>70</v>
      </c>
      <c r="AA545" s="45">
        <f t="shared" si="36"/>
        <v>25</v>
      </c>
      <c r="AB545" t="str">
        <f t="shared" si="42"/>
        <v>Adult</v>
      </c>
      <c r="AC545" s="69">
        <v>12</v>
      </c>
      <c r="AD545" s="69">
        <v>13</v>
      </c>
      <c r="AE545" s="45" t="str">
        <f t="shared" si="43"/>
        <v>Morphological</v>
      </c>
      <c r="AF545" s="56">
        <v>4</v>
      </c>
    </row>
    <row r="546" spans="1:32" ht="18" customHeight="1" x14ac:dyDescent="0.25">
      <c r="A546" s="45">
        <v>542</v>
      </c>
      <c r="B546" s="45" t="s">
        <v>60</v>
      </c>
      <c r="C546" s="45" t="s">
        <v>61</v>
      </c>
      <c r="D546" s="45" t="s">
        <v>62</v>
      </c>
      <c r="E546" s="45" t="s">
        <v>62</v>
      </c>
      <c r="F546" s="46" cm="1">
        <f t="array" ref="F546">_xlfn.IFS($G546=$G$5,F$5,$G546=$G$6,F$6,$G546=$G$7,F$7,$G546=$G$8,F$8,$G546=$G$9,F$9,$G546=$G$10,F$10,$G546=$G$11,F$11,$G546=$G$12,F$12,$G546=$G$13,F$13,$G546=$G$15,F$15,$G546=$G$16,F$16,$G546=$G$17,F$17,$G546=$G$18,F$18,$G546=$G$19,F$19,$G546=$G$20,F$20,$G546=$G$21,F$21,$G546=$G$22,F$22,$G546=$G$25,F$25,$G546=$G$26,F$26,$G546=$G$27,F$27,$G546=$G$29,F$29,$G546=$G$31,F$31,$G546=$G$32,F$32,$G546=$G$248,F$248,$G546=$G$250,F$250)</f>
        <v>8038</v>
      </c>
      <c r="G546" t="s">
        <v>93</v>
      </c>
      <c r="H546" s="67" cm="1">
        <f t="array" ref="H546">_xlfn.IFS($G546=$G$5,H$5,$G546=$G$6,H$6,$G546=$G$7,H$7,$G546=$G$8,H$8,$G546=$G$9,H$9,$G546=$G$10,H$10,$G546=$G$11,H$11,$G546=$G$12,H$12,$G546=$G$13,H$13,$G546=$G$15,H$15,$G546=$G$16,H$16,$G546=$G$17,H$17,$G546=$G$18,H$18,$G546=$G$19,H$19,$G546=$G$20,H$20,$G546=$G$21,H$21,$G546=$G$22,H$22,$G546=$G$25,H$25,$G546=$G$26,H$26,$G546=$G$27,H$27,$G546=$G$29,H$29,$G546=$G$31,H$31,$G546=$G$32,H$150,$G546=$G$248,H$248,$G546=$G$250,H$250)</f>
        <v>41.359864999999999</v>
      </c>
      <c r="I546" s="67" cm="1">
        <f t="array" ref="I546">_xlfn.IFS($G546=$G$5,I$5,$G546=$G$6,I$6,$G546=$G$7,I$7,$G546=$G$8,I$8,$G546=$G$9,I$9,$G546=$G$10,I$10,$G546=$G$11,I$11,$G546=$G$12,I$12,$G546=$G$13,I$13,$G546=$G$15,I$15,$G546=$G$16,I$16,$G546=$G$17,I$17,$G546=$G$18,I$18,$G546=$G$19,I$19,$G546=$G$20,I$20,$G546=$G$21,I$21,$G546=$G$22,I$22,$G546=$G$25,I$25,$G546=$G$26,I$26,$G546=$G$27,I$27,$G546=$G$29,I$29,$G546=$G$31,I$31,$G546=$G$32,I$150,$G546=$G$248,I$248,$G546=$G$250,I$250)</f>
        <v>2.1445430000000001</v>
      </c>
      <c r="J546" s="48" cm="1">
        <f t="array" ref="J546">_xlfn.IFS($G546=$G$5,J$5,$G546=$G$6,J$6,$G546=$G$7,J$7,$G546=$G$8,J$8,$G546=$G$9,J$9,$G546=$G$10,J$10,$G546=$G$11,J$11,$G546=$G$12,J$12,$G546=$G$13,J$13,$G546=$G$15,J$15,$G546=$G$16,J$16,$G546=$G$17,J$17,$G546=$G$18,J$18,$G546=$G$19,J$19,$G546=$G$20,J$20,$G546=$G$21,J$21,$G546=$G$22,J$22,$G546=$G$25,J$25,$G546=$G$26,J$26,$G546=$G$27,J$27,$G546=$G$29,J$29,$G546=$G$31,J$31,$G546=$G$32,J$150,$G546=$G$248,J$248,$G546=$G$250,J$250)</f>
        <v>11.4</v>
      </c>
      <c r="K546" s="48" t="str" cm="1">
        <f t="array" ref="K546">_xlfn.IFS($G546=$G$5,K$5,$G546=$G$6,K$6,$G546=$G$7,K$7,$G546=$G$8,K$8,$G546=$G$9,K$9,$G546=$G$10,K$10,$G546=$G$11,K$11,$G546=$G$12,K$12,$G546=$G$13,K$13,$G546=$G$15,K$15,$G546=$G$16,K$16,$G546=$G$17,K$17,$G546=$G$18,K$18,$G546=$G$19,K$19,$G546=$G$20,K$20,$G546=$G$21,K$21,$G546=$G$22,K$22,$G546=$G$25,K$25,$G546=$G$26,K$26,$G546=$G$27,K$27,$G546=$G$29,K$29,$G546=$G$31,K$31,$G546=$G$32,K$150,$G546=$G$248,K$248,$G546=$G$250,K$250)</f>
        <v>BG sentinel + BG lure7</v>
      </c>
      <c r="L546" s="48"/>
      <c r="M546" s="48"/>
      <c r="O546" s="45" t="str">
        <f t="shared" si="41"/>
        <v>A_SP_BCN_19_210805</v>
      </c>
      <c r="P546" s="64">
        <v>44413</v>
      </c>
      <c r="R546" s="72"/>
      <c r="S546" s="64">
        <v>44420</v>
      </c>
      <c r="U546" s="72"/>
      <c r="V546" s="54" t="s">
        <v>66</v>
      </c>
      <c r="X546" s="45">
        <f t="shared" si="44"/>
        <v>7</v>
      </c>
      <c r="Z546" s="69" t="s">
        <v>69</v>
      </c>
      <c r="AA546" s="45">
        <f t="shared" si="36"/>
        <v>9</v>
      </c>
      <c r="AB546" t="str">
        <f t="shared" si="42"/>
        <v>Adult</v>
      </c>
      <c r="AC546" s="69">
        <v>6</v>
      </c>
      <c r="AD546" s="69">
        <v>3</v>
      </c>
      <c r="AE546" s="45" t="str">
        <f t="shared" si="43"/>
        <v>Morphological</v>
      </c>
      <c r="AF546" s="56">
        <v>4</v>
      </c>
    </row>
    <row r="547" spans="1:32" ht="18" customHeight="1" x14ac:dyDescent="0.25">
      <c r="A547" s="45">
        <v>543</v>
      </c>
      <c r="B547" s="45" t="s">
        <v>60</v>
      </c>
      <c r="C547" s="45" t="s">
        <v>61</v>
      </c>
      <c r="D547" s="45" t="s">
        <v>62</v>
      </c>
      <c r="E547" s="45" t="s">
        <v>62</v>
      </c>
      <c r="F547" s="46" cm="1">
        <f t="array" ref="F547">_xlfn.IFS($G547=$G$5,F$5,$G547=$G$6,F$6,$G547=$G$7,F$7,$G547=$G$8,F$8,$G547=$G$9,F$9,$G547=$G$10,F$10,$G547=$G$11,F$11,$G547=$G$12,F$12,$G547=$G$13,F$13,$G547=$G$15,F$15,$G547=$G$16,F$16,$G547=$G$17,F$17,$G547=$G$18,F$18,$G547=$G$19,F$19,$G547=$G$20,F$20,$G547=$G$21,F$21,$G547=$G$22,F$22,$G547=$G$25,F$25,$G547=$G$26,F$26,$G547=$G$27,F$27,$G547=$G$29,F$29,$G547=$G$31,F$31,$G547=$G$32,F$32,$G547=$G$248,F$248,$G547=$G$250,F$250)</f>
        <v>8038</v>
      </c>
      <c r="G547" t="s">
        <v>93</v>
      </c>
      <c r="H547" s="67" cm="1">
        <f t="array" ref="H547">_xlfn.IFS($G547=$G$5,H$5,$G547=$G$6,H$6,$G547=$G$7,H$7,$G547=$G$8,H$8,$G547=$G$9,H$9,$G547=$G$10,H$10,$G547=$G$11,H$11,$G547=$G$12,H$12,$G547=$G$13,H$13,$G547=$G$15,H$15,$G547=$G$16,H$16,$G547=$G$17,H$17,$G547=$G$18,H$18,$G547=$G$19,H$19,$G547=$G$20,H$20,$G547=$G$21,H$21,$G547=$G$22,H$22,$G547=$G$25,H$25,$G547=$G$26,H$26,$G547=$G$27,H$27,$G547=$G$29,H$29,$G547=$G$31,H$31,$G547=$G$32,H$150,$G547=$G$248,H$248,$G547=$G$250,H$250)</f>
        <v>41.359864999999999</v>
      </c>
      <c r="I547" s="67" cm="1">
        <f t="array" ref="I547">_xlfn.IFS($G547=$G$5,I$5,$G547=$G$6,I$6,$G547=$G$7,I$7,$G547=$G$8,I$8,$G547=$G$9,I$9,$G547=$G$10,I$10,$G547=$G$11,I$11,$G547=$G$12,I$12,$G547=$G$13,I$13,$G547=$G$15,I$15,$G547=$G$16,I$16,$G547=$G$17,I$17,$G547=$G$18,I$18,$G547=$G$19,I$19,$G547=$G$20,I$20,$G547=$G$21,I$21,$G547=$G$22,I$22,$G547=$G$25,I$25,$G547=$G$26,I$26,$G547=$G$27,I$27,$G547=$G$29,I$29,$G547=$G$31,I$31,$G547=$G$32,I$150,$G547=$G$248,I$248,$G547=$G$250,I$250)</f>
        <v>2.1445430000000001</v>
      </c>
      <c r="J547" s="48" cm="1">
        <f t="array" ref="J547">_xlfn.IFS($G547=$G$5,J$5,$G547=$G$6,J$6,$G547=$G$7,J$7,$G547=$G$8,J$8,$G547=$G$9,J$9,$G547=$G$10,J$10,$G547=$G$11,J$11,$G547=$G$12,J$12,$G547=$G$13,J$13,$G547=$G$15,J$15,$G547=$G$16,J$16,$G547=$G$17,J$17,$G547=$G$18,J$18,$G547=$G$19,J$19,$G547=$G$20,J$20,$G547=$G$21,J$21,$G547=$G$22,J$22,$G547=$G$25,J$25,$G547=$G$26,J$26,$G547=$G$27,J$27,$G547=$G$29,J$29,$G547=$G$31,J$31,$G547=$G$32,J$150,$G547=$G$248,J$248,$G547=$G$250,J$250)</f>
        <v>11.4</v>
      </c>
      <c r="K547" s="48" t="str" cm="1">
        <f t="array" ref="K547">_xlfn.IFS($G547=$G$5,K$5,$G547=$G$6,K$6,$G547=$G$7,K$7,$G547=$G$8,K$8,$G547=$G$9,K$9,$G547=$G$10,K$10,$G547=$G$11,K$11,$G547=$G$12,K$12,$G547=$G$13,K$13,$G547=$G$15,K$15,$G547=$G$16,K$16,$G547=$G$17,K$17,$G547=$G$18,K$18,$G547=$G$19,K$19,$G547=$G$20,K$20,$G547=$G$21,K$21,$G547=$G$22,K$22,$G547=$G$25,K$25,$G547=$G$26,K$26,$G547=$G$27,K$27,$G547=$G$29,K$29,$G547=$G$31,K$31,$G547=$G$32,K$150,$G547=$G$248,K$248,$G547=$G$250,K$250)</f>
        <v>BG sentinel + BG lure7</v>
      </c>
      <c r="L547" s="48"/>
      <c r="M547" s="48"/>
      <c r="O547" s="45" t="str">
        <f t="shared" si="41"/>
        <v>A_SP_BCN_19_210805</v>
      </c>
      <c r="P547" s="64">
        <v>44413</v>
      </c>
      <c r="R547" s="72"/>
      <c r="S547" s="64">
        <v>44420</v>
      </c>
      <c r="U547" s="72"/>
      <c r="V547" s="54" t="s">
        <v>66</v>
      </c>
      <c r="X547" s="45">
        <f t="shared" si="44"/>
        <v>7</v>
      </c>
      <c r="Z547" s="45" t="s">
        <v>70</v>
      </c>
      <c r="AA547" s="45">
        <f t="shared" si="36"/>
        <v>10</v>
      </c>
      <c r="AB547" t="str">
        <f t="shared" si="42"/>
        <v>Adult</v>
      </c>
      <c r="AC547" s="69">
        <v>10</v>
      </c>
      <c r="AD547" s="69">
        <v>0</v>
      </c>
      <c r="AE547" s="45" t="str">
        <f t="shared" si="43"/>
        <v>Morphological</v>
      </c>
      <c r="AF547" s="56">
        <v>4</v>
      </c>
    </row>
    <row r="548" spans="1:32" ht="18" customHeight="1" x14ac:dyDescent="0.25">
      <c r="A548" s="45">
        <v>544</v>
      </c>
      <c r="B548" s="45" t="s">
        <v>60</v>
      </c>
      <c r="C548" s="45" t="s">
        <v>61</v>
      </c>
      <c r="D548" s="45" t="s">
        <v>62</v>
      </c>
      <c r="E548" s="45" t="s">
        <v>62</v>
      </c>
      <c r="F548" s="46" cm="1">
        <f t="array" ref="F548">_xlfn.IFS($G548=$G$5,F$5,$G548=$G$6,F$6,$G548=$G$7,F$7,$G548=$G$8,F$8,$G548=$G$9,F$9,$G548=$G$10,F$10,$G548=$G$11,F$11,$G548=$G$12,F$12,$G548=$G$13,F$13,$G548=$G$15,F$15,$G548=$G$16,F$16,$G548=$G$17,F$17,$G548=$G$18,F$18,$G548=$G$19,F$19,$G548=$G$20,F$20,$G548=$G$21,F$21,$G548=$G$22,F$22,$G548=$G$25,F$25,$G548=$G$26,F$26,$G548=$G$27,F$27,$G548=$G$29,F$29,$G548=$G$31,F$31,$G548=$G$32,F$32,$G548=$G$248,F$248,$G548=$G$250,F$250)</f>
        <v>8002</v>
      </c>
      <c r="G548" t="s">
        <v>94</v>
      </c>
      <c r="H548" s="67" cm="1">
        <f t="array" ref="H548">_xlfn.IFS($G548=$G$5,H$5,$G548=$G$6,H$6,$G548=$G$7,H$7,$G548=$G$8,H$8,$G548=$G$9,H$9,$G548=$G$10,H$10,$G548=$G$11,H$11,$G548=$G$12,H$12,$G548=$G$13,H$13,$G548=$G$15,H$15,$G548=$G$16,H$16,$G548=$G$17,H$17,$G548=$G$18,H$18,$G548=$G$19,H$19,$G548=$G$20,H$20,$G548=$G$21,H$21,$G548=$G$22,H$22,$G548=$G$25,H$25,$G548=$G$26,H$26,$G548=$G$27,H$27,$G548=$G$29,H$29,$G548=$G$31,H$31,$G548=$G$32,H$150,$G548=$G$248,H$248,$G548=$G$250,H$250)</f>
        <v>41.385213</v>
      </c>
      <c r="I548" s="67" cm="1">
        <f t="array" ref="I548">_xlfn.IFS($G548=$G$5,I$5,$G548=$G$6,I$6,$G548=$G$7,I$7,$G548=$G$8,I$8,$G548=$G$9,I$9,$G548=$G$10,I$10,$G548=$G$11,I$11,$G548=$G$12,I$12,$G548=$G$13,I$13,$G548=$G$15,I$15,$G548=$G$16,I$16,$G548=$G$17,I$17,$G548=$G$18,I$18,$G548=$G$19,I$19,$G548=$G$20,I$20,$G548=$G$21,I$21,$G548=$G$22,I$22,$G548=$G$25,I$25,$G548=$G$26,I$26,$G548=$G$27,I$27,$G548=$G$29,I$29,$G548=$G$31,I$31,$G548=$G$32,I$150,$G548=$G$248,I$248,$G548=$G$250,I$250)</f>
        <v>2.174852</v>
      </c>
      <c r="J548" s="48" cm="1">
        <f t="array" ref="J548">_xlfn.IFS($G548=$G$5,J$5,$G548=$G$6,J$6,$G548=$G$7,J$7,$G548=$G$8,J$8,$G548=$G$9,J$9,$G548=$G$10,J$10,$G548=$G$11,J$11,$G548=$G$12,J$12,$G548=$G$13,J$13,$G548=$G$15,J$15,$G548=$G$16,J$16,$G548=$G$17,J$17,$G548=$G$18,J$18,$G548=$G$19,J$19,$G548=$G$20,J$20,$G548=$G$21,J$21,$G548=$G$22,J$22,$G548=$G$25,J$25,$G548=$G$26,J$26,$G548=$G$27,J$27,$G548=$G$29,J$29,$G548=$G$31,J$31,$G548=$G$32,J$150,$G548=$G$248,J$248,$G548=$G$250,J$250)</f>
        <v>14</v>
      </c>
      <c r="K548" s="48" t="str" cm="1">
        <f t="array" ref="K548">_xlfn.IFS($G548=$G$5,K$5,$G548=$G$6,K$6,$G548=$G$7,K$7,$G548=$G$8,K$8,$G548=$G$9,K$9,$G548=$G$10,K$10,$G548=$G$11,K$11,$G548=$G$12,K$12,$G548=$G$13,K$13,$G548=$G$15,K$15,$G548=$G$16,K$16,$G548=$G$17,K$17,$G548=$G$18,K$18,$G548=$G$19,K$19,$G548=$G$20,K$20,$G548=$G$21,K$21,$G548=$G$22,K$22,$G548=$G$25,K$25,$G548=$G$26,K$26,$G548=$G$27,K$27,$G548=$G$29,K$29,$G548=$G$31,K$31,$G548=$G$32,K$150,$G548=$G$248,K$248,$G548=$G$250,K$250)</f>
        <v>BG sentinel + BG lure7</v>
      </c>
      <c r="L548" s="48"/>
      <c r="M548" s="48"/>
      <c r="O548" s="45" t="str">
        <f t="shared" si="41"/>
        <v>A_SP_BCN_20_210805</v>
      </c>
      <c r="P548" s="64">
        <v>44413</v>
      </c>
      <c r="R548" s="72"/>
      <c r="S548" s="64">
        <v>44441</v>
      </c>
      <c r="U548" s="72"/>
      <c r="V548" s="54" t="s">
        <v>66</v>
      </c>
      <c r="X548" s="45">
        <f t="shared" si="44"/>
        <v>28</v>
      </c>
      <c r="Z548" s="69" t="s">
        <v>69</v>
      </c>
      <c r="AA548" s="45">
        <f t="shared" si="36"/>
        <v>26</v>
      </c>
      <c r="AB548" t="str">
        <f t="shared" si="42"/>
        <v>Adult</v>
      </c>
      <c r="AC548" s="69">
        <v>19</v>
      </c>
      <c r="AD548" s="69">
        <v>7</v>
      </c>
      <c r="AE548" s="45" t="str">
        <f t="shared" si="43"/>
        <v>Morphological</v>
      </c>
      <c r="AF548" s="56">
        <v>4</v>
      </c>
    </row>
    <row r="549" spans="1:32" ht="18" customHeight="1" x14ac:dyDescent="0.25">
      <c r="A549" s="45">
        <v>545</v>
      </c>
      <c r="B549" s="45" t="s">
        <v>60</v>
      </c>
      <c r="C549" s="45" t="s">
        <v>61</v>
      </c>
      <c r="D549" s="45" t="s">
        <v>62</v>
      </c>
      <c r="E549" s="45" t="s">
        <v>62</v>
      </c>
      <c r="F549" s="46" cm="1">
        <f t="array" ref="F549">_xlfn.IFS($G549=$G$5,F$5,$G549=$G$6,F$6,$G549=$G$7,F$7,$G549=$G$8,F$8,$G549=$G$9,F$9,$G549=$G$10,F$10,$G549=$G$11,F$11,$G549=$G$12,F$12,$G549=$G$13,F$13,$G549=$G$15,F$15,$G549=$G$16,F$16,$G549=$G$17,F$17,$G549=$G$18,F$18,$G549=$G$19,F$19,$G549=$G$20,F$20,$G549=$G$21,F$21,$G549=$G$22,F$22,$G549=$G$25,F$25,$G549=$G$26,F$26,$G549=$G$27,F$27,$G549=$G$29,F$29,$G549=$G$31,F$31,$G549=$G$32,F$32,$G549=$G$248,F$248,$G549=$G$250,F$250)</f>
        <v>8002</v>
      </c>
      <c r="G549" t="s">
        <v>94</v>
      </c>
      <c r="H549" s="67" cm="1">
        <f t="array" ref="H549">_xlfn.IFS($G549=$G$5,H$5,$G549=$G$6,H$6,$G549=$G$7,H$7,$G549=$G$8,H$8,$G549=$G$9,H$9,$G549=$G$10,H$10,$G549=$G$11,H$11,$G549=$G$12,H$12,$G549=$G$13,H$13,$G549=$G$15,H$15,$G549=$G$16,H$16,$G549=$G$17,H$17,$G549=$G$18,H$18,$G549=$G$19,H$19,$G549=$G$20,H$20,$G549=$G$21,H$21,$G549=$G$22,H$22,$G549=$G$25,H$25,$G549=$G$26,H$26,$G549=$G$27,H$27,$G549=$G$29,H$29,$G549=$G$31,H$31,$G549=$G$32,H$150,$G549=$G$248,H$248,$G549=$G$250,H$250)</f>
        <v>41.385213</v>
      </c>
      <c r="I549" s="67" cm="1">
        <f t="array" ref="I549">_xlfn.IFS($G549=$G$5,I$5,$G549=$G$6,I$6,$G549=$G$7,I$7,$G549=$G$8,I$8,$G549=$G$9,I$9,$G549=$G$10,I$10,$G549=$G$11,I$11,$G549=$G$12,I$12,$G549=$G$13,I$13,$G549=$G$15,I$15,$G549=$G$16,I$16,$G549=$G$17,I$17,$G549=$G$18,I$18,$G549=$G$19,I$19,$G549=$G$20,I$20,$G549=$G$21,I$21,$G549=$G$22,I$22,$G549=$G$25,I$25,$G549=$G$26,I$26,$G549=$G$27,I$27,$G549=$G$29,I$29,$G549=$G$31,I$31,$G549=$G$32,I$150,$G549=$G$248,I$248,$G549=$G$250,I$250)</f>
        <v>2.174852</v>
      </c>
      <c r="J549" s="48" cm="1">
        <f t="array" ref="J549">_xlfn.IFS($G549=$G$5,J$5,$G549=$G$6,J$6,$G549=$G$7,J$7,$G549=$G$8,J$8,$G549=$G$9,J$9,$G549=$G$10,J$10,$G549=$G$11,J$11,$G549=$G$12,J$12,$G549=$G$13,J$13,$G549=$G$15,J$15,$G549=$G$16,J$16,$G549=$G$17,J$17,$G549=$G$18,J$18,$G549=$G$19,J$19,$G549=$G$20,J$20,$G549=$G$21,J$21,$G549=$G$22,J$22,$G549=$G$25,J$25,$G549=$G$26,J$26,$G549=$G$27,J$27,$G549=$G$29,J$29,$G549=$G$31,J$31,$G549=$G$32,J$150,$G549=$G$248,J$248,$G549=$G$250,J$250)</f>
        <v>14</v>
      </c>
      <c r="K549" s="48" t="str" cm="1">
        <f t="array" ref="K549">_xlfn.IFS($G549=$G$5,K$5,$G549=$G$6,K$6,$G549=$G$7,K$7,$G549=$G$8,K$8,$G549=$G$9,K$9,$G549=$G$10,K$10,$G549=$G$11,K$11,$G549=$G$12,K$12,$G549=$G$13,K$13,$G549=$G$15,K$15,$G549=$G$16,K$16,$G549=$G$17,K$17,$G549=$G$18,K$18,$G549=$G$19,K$19,$G549=$G$20,K$20,$G549=$G$21,K$21,$G549=$G$22,K$22,$G549=$G$25,K$25,$G549=$G$26,K$26,$G549=$G$27,K$27,$G549=$G$29,K$29,$G549=$G$31,K$31,$G549=$G$32,K$150,$G549=$G$248,K$248,$G549=$G$250,K$250)</f>
        <v>BG sentinel + BG lure7</v>
      </c>
      <c r="L549" s="48"/>
      <c r="M549" s="48"/>
      <c r="O549" s="45" t="str">
        <f t="shared" si="41"/>
        <v>A_SP_BCN_20_210805</v>
      </c>
      <c r="P549" s="64">
        <v>44413</v>
      </c>
      <c r="R549" s="72"/>
      <c r="S549" s="64">
        <v>44441</v>
      </c>
      <c r="U549" s="72"/>
      <c r="V549" s="54" t="s">
        <v>66</v>
      </c>
      <c r="X549" s="45">
        <f t="shared" si="44"/>
        <v>28</v>
      </c>
      <c r="Z549" s="45" t="s">
        <v>70</v>
      </c>
      <c r="AA549" s="45">
        <f t="shared" si="36"/>
        <v>4</v>
      </c>
      <c r="AB549" t="str">
        <f t="shared" si="42"/>
        <v>Adult</v>
      </c>
      <c r="AC549" s="69">
        <v>2</v>
      </c>
      <c r="AD549" s="69">
        <v>2</v>
      </c>
      <c r="AE549" s="45" t="str">
        <f t="shared" si="43"/>
        <v>Morphological</v>
      </c>
      <c r="AF549" s="56">
        <v>4</v>
      </c>
    </row>
    <row r="550" spans="1:32" ht="18" customHeight="1" x14ac:dyDescent="0.25">
      <c r="A550" s="45">
        <v>546</v>
      </c>
      <c r="B550" s="45" t="s">
        <v>60</v>
      </c>
      <c r="C550" s="45" t="s">
        <v>61</v>
      </c>
      <c r="D550" s="45" t="s">
        <v>62</v>
      </c>
      <c r="E550" s="45" t="s">
        <v>62</v>
      </c>
      <c r="F550" s="46" cm="1">
        <f t="array" ref="F550">_xlfn.IFS($G550=$G$5,F$5,$G550=$G$6,F$6,$G550=$G$7,F$7,$G550=$G$8,F$8,$G550=$G$9,F$9,$G550=$G$10,F$10,$G550=$G$11,F$11,$G550=$G$12,F$12,$G550=$G$13,F$13,$G550=$G$15,F$15,$G550=$G$16,F$16,$G550=$G$17,F$17,$G550=$G$18,F$18,$G550=$G$19,F$19,$G550=$G$20,F$20,$G550=$G$21,F$21,$G550=$G$22,F$22,$G550=$G$25,F$25,$G550=$G$26,F$26,$G550=$G$27,F$27,$G550=$G$29,F$29,$G550=$G$31,F$31,$G550=$G$32,F$32,$G550=$G$248,F$248,$G550=$G$250,F$250)</f>
        <v>8002</v>
      </c>
      <c r="G550" t="s">
        <v>94</v>
      </c>
      <c r="H550" s="67" cm="1">
        <f t="array" ref="H550">_xlfn.IFS($G550=$G$5,H$5,$G550=$G$6,H$6,$G550=$G$7,H$7,$G550=$G$8,H$8,$G550=$G$9,H$9,$G550=$G$10,H$10,$G550=$G$11,H$11,$G550=$G$12,H$12,$G550=$G$13,H$13,$G550=$G$15,H$15,$G550=$G$16,H$16,$G550=$G$17,H$17,$G550=$G$18,H$18,$G550=$G$19,H$19,$G550=$G$20,H$20,$G550=$G$21,H$21,$G550=$G$22,H$22,$G550=$G$25,H$25,$G550=$G$26,H$26,$G550=$G$27,H$27,$G550=$G$29,H$29,$G550=$G$31,H$31,$G550=$G$32,H$150,$G550=$G$248,H$248,$G550=$G$250,H$250)</f>
        <v>41.385213</v>
      </c>
      <c r="I550" s="67" cm="1">
        <f t="array" ref="I550">_xlfn.IFS($G550=$G$5,I$5,$G550=$G$6,I$6,$G550=$G$7,I$7,$G550=$G$8,I$8,$G550=$G$9,I$9,$G550=$G$10,I$10,$G550=$G$11,I$11,$G550=$G$12,I$12,$G550=$G$13,I$13,$G550=$G$15,I$15,$G550=$G$16,I$16,$G550=$G$17,I$17,$G550=$G$18,I$18,$G550=$G$19,I$19,$G550=$G$20,I$20,$G550=$G$21,I$21,$G550=$G$22,I$22,$G550=$G$25,I$25,$G550=$G$26,I$26,$G550=$G$27,I$27,$G550=$G$29,I$29,$G550=$G$31,I$31,$G550=$G$32,I$150,$G550=$G$248,I$248,$G550=$G$250,I$250)</f>
        <v>2.174852</v>
      </c>
      <c r="J550" s="48" cm="1">
        <f t="array" ref="J550">_xlfn.IFS($G550=$G$5,J$5,$G550=$G$6,J$6,$G550=$G$7,J$7,$G550=$G$8,J$8,$G550=$G$9,J$9,$G550=$G$10,J$10,$G550=$G$11,J$11,$G550=$G$12,J$12,$G550=$G$13,J$13,$G550=$G$15,J$15,$G550=$G$16,J$16,$G550=$G$17,J$17,$G550=$G$18,J$18,$G550=$G$19,J$19,$G550=$G$20,J$20,$G550=$G$21,J$21,$G550=$G$22,J$22,$G550=$G$25,J$25,$G550=$G$26,J$26,$G550=$G$27,J$27,$G550=$G$29,J$29,$G550=$G$31,J$31,$G550=$G$32,J$150,$G550=$G$248,J$248,$G550=$G$250,J$250)</f>
        <v>14</v>
      </c>
      <c r="K550" s="48" t="str" cm="1">
        <f t="array" ref="K550">_xlfn.IFS($G550=$G$5,K$5,$G550=$G$6,K$6,$G550=$G$7,K$7,$G550=$G$8,K$8,$G550=$G$9,K$9,$G550=$G$10,K$10,$G550=$G$11,K$11,$G550=$G$12,K$12,$G550=$G$13,K$13,$G550=$G$15,K$15,$G550=$G$16,K$16,$G550=$G$17,K$17,$G550=$G$18,K$18,$G550=$G$19,K$19,$G550=$G$20,K$20,$G550=$G$21,K$21,$G550=$G$22,K$22,$G550=$G$25,K$25,$G550=$G$26,K$26,$G550=$G$27,K$27,$G550=$G$29,K$29,$G550=$G$31,K$31,$G550=$G$32,K$150,$G550=$G$248,K$248,$G550=$G$250,K$250)</f>
        <v>BG sentinel + BG lure7</v>
      </c>
      <c r="L550" s="48"/>
      <c r="M550" s="48"/>
      <c r="O550" s="45" t="str">
        <f t="shared" si="41"/>
        <v>A_SP_BCN_20_210805</v>
      </c>
      <c r="P550" s="64">
        <v>44413</v>
      </c>
      <c r="R550" s="72"/>
      <c r="S550" s="64">
        <v>44441</v>
      </c>
      <c r="U550" s="72"/>
      <c r="V550" s="54" t="s">
        <v>66</v>
      </c>
      <c r="X550" s="45">
        <f t="shared" si="44"/>
        <v>28</v>
      </c>
      <c r="Z550" s="45" t="s">
        <v>80</v>
      </c>
      <c r="AA550" s="45">
        <f t="shared" si="36"/>
        <v>4</v>
      </c>
      <c r="AB550" t="str">
        <f t="shared" si="42"/>
        <v>Adult</v>
      </c>
      <c r="AC550" s="69">
        <v>3</v>
      </c>
      <c r="AD550" s="69">
        <v>1</v>
      </c>
      <c r="AE550" s="45" t="str">
        <f t="shared" si="43"/>
        <v>Morphological</v>
      </c>
      <c r="AF550" s="56">
        <v>4</v>
      </c>
    </row>
    <row r="551" spans="1:32" ht="18" customHeight="1" x14ac:dyDescent="0.25">
      <c r="A551" s="45">
        <v>547</v>
      </c>
      <c r="B551" s="45" t="s">
        <v>60</v>
      </c>
      <c r="C551" s="45" t="s">
        <v>61</v>
      </c>
      <c r="D551" s="45" t="s">
        <v>62</v>
      </c>
      <c r="E551" s="45" t="s">
        <v>62</v>
      </c>
      <c r="F551" s="46" cm="1">
        <f t="array" ref="F551">_xlfn.IFS($G551=$G$5,F$5,$G551=$G$6,F$6,$G551=$G$7,F$7,$G551=$G$8,F$8,$G551=$G$9,F$9,$G551=$G$10,F$10,$G551=$G$11,F$11,$G551=$G$12,F$12,$G551=$G$13,F$13,$G551=$G$15,F$15,$G551=$G$16,F$16,$G551=$G$17,F$17,$G551=$G$18,F$18,$G551=$G$19,F$19,$G551=$G$20,F$20,$G551=$G$21,F$21,$G551=$G$22,F$22,$G551=$G$25,F$25,$G551=$G$26,F$26,$G551=$G$27,F$27,$G551=$G$29,F$29,$G551=$G$31,F$31,$G551=$G$32,F$32,$G551=$G$248,F$248,$G551=$G$250,F$250)</f>
        <v>8017</v>
      </c>
      <c r="G551" t="s">
        <v>98</v>
      </c>
      <c r="H551" s="67" cm="1">
        <f t="array" ref="H551">_xlfn.IFS($G551=$G$5,H$5,$G551=$G$6,H$6,$G551=$G$7,H$7,$G551=$G$8,H$8,$G551=$G$9,H$9,$G551=$G$10,H$10,$G551=$G$11,H$11,$G551=$G$12,H$12,$G551=$G$13,H$13,$G551=$G$15,H$15,$G551=$G$16,H$16,$G551=$G$17,H$17,$G551=$G$18,H$18,$G551=$G$19,H$19,$G551=$G$20,H$20,$G551=$G$21,H$21,$G551=$G$22,H$22,$G551=$G$25,H$25,$G551=$G$26,H$26,$G551=$G$27,H$27,$G551=$G$29,H$29,$G551=$G$31,H$31,$G551=$G$32,H$150,$G551=$G$248,H$248,$G551=$G$250,H$250)</f>
        <v>41.430315999999998</v>
      </c>
      <c r="I551" s="67" cm="1">
        <f t="array" ref="I551">_xlfn.IFS($G551=$G$5,I$5,$G551=$G$6,I$6,$G551=$G$7,I$7,$G551=$G$8,I$8,$G551=$G$9,I$9,$G551=$G$10,I$10,$G551=$G$11,I$11,$G551=$G$12,I$12,$G551=$G$13,I$13,$G551=$G$15,I$15,$G551=$G$16,I$16,$G551=$G$17,I$17,$G551=$G$18,I$18,$G551=$G$19,I$19,$G551=$G$20,I$20,$G551=$G$21,I$21,$G551=$G$22,I$22,$G551=$G$25,I$25,$G551=$G$26,I$26,$G551=$G$27,I$27,$G551=$G$29,I$29,$G551=$G$31,I$31,$G551=$G$32,I$150,$G551=$G$248,I$248,$G551=$G$250,I$250)</f>
        <v>2.077556</v>
      </c>
      <c r="J551" s="48" cm="1">
        <f t="array" ref="J551">_xlfn.IFS($G551=$G$5,J$5,$G551=$G$6,J$6,$G551=$G$7,J$7,$G551=$G$8,J$8,$G551=$G$9,J$9,$G551=$G$10,J$10,$G551=$G$11,J$11,$G551=$G$12,J$12,$G551=$G$13,J$13,$G551=$G$15,J$15,$G551=$G$16,J$16,$G551=$G$17,J$17,$G551=$G$18,J$18,$G551=$G$19,J$19,$G551=$G$20,J$20,$G551=$G$21,J$21,$G551=$G$22,J$22,$G551=$G$25,J$25,$G551=$G$26,J$26,$G551=$G$27,J$27,$G551=$G$29,J$29,$G551=$G$31,J$31,$G551=$G$32,J$150,$G551=$G$248,J$248,$G551=$G$250,J$250)</f>
        <v>243.3</v>
      </c>
      <c r="K551" s="48" t="str" cm="1">
        <f t="array" ref="K551">_xlfn.IFS($G551=$G$5,K$5,$G551=$G$6,K$6,$G551=$G$7,K$7,$G551=$G$8,K$8,$G551=$G$9,K$9,$G551=$G$10,K$10,$G551=$G$11,K$11,$G551=$G$12,K$12,$G551=$G$13,K$13,$G551=$G$15,K$15,$G551=$G$16,K$16,$G551=$G$17,K$17,$G551=$G$18,K$18,$G551=$G$19,K$19,$G551=$G$20,K$20,$G551=$G$21,K$21,$G551=$G$22,K$22,$G551=$G$25,K$25,$G551=$G$26,K$26,$G551=$G$27,K$27,$G551=$G$29,K$29,$G551=$G$31,K$31,$G551=$G$32,K$150,$G551=$G$248,K$248,$G551=$G$250,K$250)</f>
        <v>BG sentinel + BG lure7</v>
      </c>
      <c r="L551" s="48"/>
      <c r="M551" s="48"/>
      <c r="O551" s="45" t="str">
        <f t="shared" si="41"/>
        <v>A_SP_BCN_22_210804</v>
      </c>
      <c r="P551" s="64">
        <v>44412</v>
      </c>
      <c r="R551" s="72"/>
      <c r="S551" s="64">
        <v>44419</v>
      </c>
      <c r="U551" s="72"/>
      <c r="V551" s="54" t="s">
        <v>66</v>
      </c>
      <c r="X551" s="45">
        <f t="shared" si="44"/>
        <v>7</v>
      </c>
      <c r="Z551" s="69" t="s">
        <v>69</v>
      </c>
      <c r="AA551" s="45">
        <f t="shared" si="36"/>
        <v>7</v>
      </c>
      <c r="AB551" t="str">
        <f t="shared" si="42"/>
        <v>Adult</v>
      </c>
      <c r="AC551" s="69">
        <v>7</v>
      </c>
      <c r="AD551" s="69">
        <v>0</v>
      </c>
      <c r="AE551" s="45" t="str">
        <f t="shared" si="43"/>
        <v>Morphological</v>
      </c>
      <c r="AF551" s="56">
        <v>4</v>
      </c>
    </row>
    <row r="552" spans="1:32" ht="18" customHeight="1" x14ac:dyDescent="0.25">
      <c r="A552" s="45">
        <v>548</v>
      </c>
      <c r="B552" s="45" t="s">
        <v>60</v>
      </c>
      <c r="C552" s="45" t="s">
        <v>61</v>
      </c>
      <c r="D552" s="45" t="s">
        <v>62</v>
      </c>
      <c r="E552" s="45" t="s">
        <v>62</v>
      </c>
      <c r="F552" s="46" cm="1">
        <f t="array" ref="F552">_xlfn.IFS($G552=$G$5,F$5,$G552=$G$6,F$6,$G552=$G$7,F$7,$G552=$G$8,F$8,$G552=$G$9,F$9,$G552=$G$10,F$10,$G552=$G$11,F$11,$G552=$G$12,F$12,$G552=$G$13,F$13,$G552=$G$15,F$15,$G552=$G$16,F$16,$G552=$G$17,F$17,$G552=$G$18,F$18,$G552=$G$19,F$19,$G552=$G$20,F$20,$G552=$G$21,F$21,$G552=$G$22,F$22,$G552=$G$25,F$25,$G552=$G$26,F$26,$G552=$G$27,F$27,$G552=$G$29,F$29,$G552=$G$31,F$31,$G552=$G$32,F$32,$G552=$G$248,F$248,$G552=$G$250,F$250)</f>
        <v>8038</v>
      </c>
      <c r="G552" t="s">
        <v>103</v>
      </c>
      <c r="H552" s="67" cm="1">
        <f t="array" ref="H552">_xlfn.IFS($G552=$G$5,H$5,$G552=$G$6,H$6,$G552=$G$7,H$7,$G552=$G$8,H$8,$G552=$G$9,H$9,$G552=$G$10,H$10,$G552=$G$11,H$11,$G552=$G$12,H$12,$G552=$G$13,H$13,$G552=$G$15,H$15,$G552=$G$16,H$16,$G552=$G$17,H$17,$G552=$G$18,H$18,$G552=$G$19,H$19,$G552=$G$20,H$20,$G552=$G$21,H$21,$G552=$G$22,H$22,$G552=$G$25,H$25,$G552=$G$26,H$26,$G552=$G$27,H$27,$G552=$G$29,H$29,$G552=$G$31,H$31,$G552=$G$32,H$150,$G552=$G$248,H$248,$G552=$G$250,H$250)</f>
        <v>41.367100000000001</v>
      </c>
      <c r="I552" s="67" cm="1">
        <f t="array" ref="I552">_xlfn.IFS($G552=$G$5,I$5,$G552=$G$6,I$6,$G552=$G$7,I$7,$G552=$G$8,I$8,$G552=$G$9,I$9,$G552=$G$10,I$10,$G552=$G$11,I$11,$G552=$G$12,I$12,$G552=$G$13,I$13,$G552=$G$15,I$15,$G552=$G$16,I$16,$G552=$G$17,I$17,$G552=$G$18,I$18,$G552=$G$19,I$19,$G552=$G$20,I$20,$G552=$G$21,I$21,$G552=$G$22,I$22,$G552=$G$25,I$25,$G552=$G$26,I$26,$G552=$G$27,I$27,$G552=$G$29,I$29,$G552=$G$31,I$31,$G552=$G$32,I$150,$G552=$G$248,I$248,$G552=$G$250,I$250)</f>
        <v>2.1539079999999999</v>
      </c>
      <c r="J552" s="48" cm="1">
        <f t="array" ref="J552">_xlfn.IFS($G552=$G$5,J$5,$G552=$G$6,J$6,$G552=$G$7,J$7,$G552=$G$8,J$8,$G552=$G$9,J$9,$G552=$G$10,J$10,$G552=$G$11,J$11,$G552=$G$12,J$12,$G552=$G$13,J$13,$G552=$G$15,J$15,$G552=$G$16,J$16,$G552=$G$17,J$17,$G552=$G$18,J$18,$G552=$G$19,J$19,$G552=$G$20,J$20,$G552=$G$21,J$21,$G552=$G$22,J$22,$G552=$G$25,J$25,$G552=$G$26,J$26,$G552=$G$27,J$27,$G552=$G$29,J$29,$G552=$G$31,J$31,$G552=$G$32,J$150,$G552=$G$248,J$248,$G552=$G$250,J$250)</f>
        <v>68</v>
      </c>
      <c r="K552" s="48" t="str" cm="1">
        <f t="array" ref="K552">_xlfn.IFS($G552=$G$5,K$5,$G552=$G$6,K$6,$G552=$G$7,K$7,$G552=$G$8,K$8,$G552=$G$9,K$9,$G552=$G$10,K$10,$G552=$G$11,K$11,$G552=$G$12,K$12,$G552=$G$13,K$13,$G552=$G$15,K$15,$G552=$G$16,K$16,$G552=$G$17,K$17,$G552=$G$18,K$18,$G552=$G$19,K$19,$G552=$G$20,K$20,$G552=$G$21,K$21,$G552=$G$22,K$22,$G552=$G$25,K$25,$G552=$G$26,K$26,$G552=$G$27,K$27,$G552=$G$29,K$29,$G552=$G$31,K$31,$G552=$G$32,K$150,$G552=$G$248,K$248,$G552=$G$250,K$250)</f>
        <v>BG sentinel + BG lure7</v>
      </c>
      <c r="L552" s="48"/>
      <c r="M552" s="48"/>
      <c r="O552" s="45" t="str">
        <f t="shared" si="41"/>
        <v>A_SP_BCN_23_210805</v>
      </c>
      <c r="P552" s="64">
        <v>44413</v>
      </c>
      <c r="R552" s="72"/>
      <c r="S552" s="64">
        <v>44420</v>
      </c>
      <c r="U552" s="72"/>
      <c r="V552" s="54" t="s">
        <v>66</v>
      </c>
      <c r="W552" t="s">
        <v>130</v>
      </c>
      <c r="X552" s="45">
        <f t="shared" si="44"/>
        <v>7</v>
      </c>
      <c r="Z552" s="69" t="s">
        <v>69</v>
      </c>
      <c r="AA552" s="45">
        <f t="shared" si="36"/>
        <v>19</v>
      </c>
      <c r="AB552" t="str">
        <f t="shared" si="42"/>
        <v>Adult</v>
      </c>
      <c r="AC552" s="69">
        <v>17</v>
      </c>
      <c r="AD552" s="69">
        <v>2</v>
      </c>
      <c r="AE552" s="45" t="str">
        <f t="shared" si="43"/>
        <v>Morphological</v>
      </c>
      <c r="AF552" s="56">
        <v>3</v>
      </c>
    </row>
    <row r="553" spans="1:32" ht="18" customHeight="1" x14ac:dyDescent="0.25">
      <c r="A553" s="45">
        <v>549</v>
      </c>
      <c r="B553" s="45" t="s">
        <v>60</v>
      </c>
      <c r="C553" s="45" t="s">
        <v>61</v>
      </c>
      <c r="D553" s="45" t="s">
        <v>62</v>
      </c>
      <c r="E553" s="45" t="s">
        <v>62</v>
      </c>
      <c r="F553" s="46" cm="1">
        <f t="array" ref="F553">_xlfn.IFS($G553=$G$5,F$5,$G553=$G$6,F$6,$G553=$G$7,F$7,$G553=$G$8,F$8,$G553=$G$9,F$9,$G553=$G$10,F$10,$G553=$G$11,F$11,$G553=$G$12,F$12,$G553=$G$13,F$13,$G553=$G$15,F$15,$G553=$G$16,F$16,$G553=$G$17,F$17,$G553=$G$18,F$18,$G553=$G$19,F$19,$G553=$G$20,F$20,$G553=$G$21,F$21,$G553=$G$22,F$22,$G553=$G$25,F$25,$G553=$G$26,F$26,$G553=$G$27,F$27,$G553=$G$29,F$29,$G553=$G$31,F$31,$G553=$G$32,F$32,$G553=$G$248,F$248,$G553=$G$250,F$250)</f>
        <v>8038</v>
      </c>
      <c r="G553" t="s">
        <v>103</v>
      </c>
      <c r="H553" s="67" cm="1">
        <f t="array" ref="H553">_xlfn.IFS($G553=$G$5,H$5,$G553=$G$6,H$6,$G553=$G$7,H$7,$G553=$G$8,H$8,$G553=$G$9,H$9,$G553=$G$10,H$10,$G553=$G$11,H$11,$G553=$G$12,H$12,$G553=$G$13,H$13,$G553=$G$15,H$15,$G553=$G$16,H$16,$G553=$G$17,H$17,$G553=$G$18,H$18,$G553=$G$19,H$19,$G553=$G$20,H$20,$G553=$G$21,H$21,$G553=$G$22,H$22,$G553=$G$25,H$25,$G553=$G$26,H$26,$G553=$G$27,H$27,$G553=$G$29,H$29,$G553=$G$31,H$31,$G553=$G$32,H$150,$G553=$G$248,H$248,$G553=$G$250,H$250)</f>
        <v>41.367100000000001</v>
      </c>
      <c r="I553" s="67" cm="1">
        <f t="array" ref="I553">_xlfn.IFS($G553=$G$5,I$5,$G553=$G$6,I$6,$G553=$G$7,I$7,$G553=$G$8,I$8,$G553=$G$9,I$9,$G553=$G$10,I$10,$G553=$G$11,I$11,$G553=$G$12,I$12,$G553=$G$13,I$13,$G553=$G$15,I$15,$G553=$G$16,I$16,$G553=$G$17,I$17,$G553=$G$18,I$18,$G553=$G$19,I$19,$G553=$G$20,I$20,$G553=$G$21,I$21,$G553=$G$22,I$22,$G553=$G$25,I$25,$G553=$G$26,I$26,$G553=$G$27,I$27,$G553=$G$29,I$29,$G553=$G$31,I$31,$G553=$G$32,I$150,$G553=$G$248,I$248,$G553=$G$250,I$250)</f>
        <v>2.1539079999999999</v>
      </c>
      <c r="J553" s="48" cm="1">
        <f t="array" ref="J553">_xlfn.IFS($G553=$G$5,J$5,$G553=$G$6,J$6,$G553=$G$7,J$7,$G553=$G$8,J$8,$G553=$G$9,J$9,$G553=$G$10,J$10,$G553=$G$11,J$11,$G553=$G$12,J$12,$G553=$G$13,J$13,$G553=$G$15,J$15,$G553=$G$16,J$16,$G553=$G$17,J$17,$G553=$G$18,J$18,$G553=$G$19,J$19,$G553=$G$20,J$20,$G553=$G$21,J$21,$G553=$G$22,J$22,$G553=$G$25,J$25,$G553=$G$26,J$26,$G553=$G$27,J$27,$G553=$G$29,J$29,$G553=$G$31,J$31,$G553=$G$32,J$150,$G553=$G$248,J$248,$G553=$G$250,J$250)</f>
        <v>68</v>
      </c>
      <c r="K553" s="48" t="str" cm="1">
        <f t="array" ref="K553">_xlfn.IFS($G553=$G$5,K$5,$G553=$G$6,K$6,$G553=$G$7,K$7,$G553=$G$8,K$8,$G553=$G$9,K$9,$G553=$G$10,K$10,$G553=$G$11,K$11,$G553=$G$12,K$12,$G553=$G$13,K$13,$G553=$G$15,K$15,$G553=$G$16,K$16,$G553=$G$17,K$17,$G553=$G$18,K$18,$G553=$G$19,K$19,$G553=$G$20,K$20,$G553=$G$21,K$21,$G553=$G$22,K$22,$G553=$G$25,K$25,$G553=$G$26,K$26,$G553=$G$27,K$27,$G553=$G$29,K$29,$G553=$G$31,K$31,$G553=$G$32,K$150,$G553=$G$248,K$248,$G553=$G$250,K$250)</f>
        <v>BG sentinel + BG lure7</v>
      </c>
      <c r="L553" s="48"/>
      <c r="M553" s="48"/>
      <c r="O553" s="45" t="str">
        <f t="shared" si="41"/>
        <v>A_SP_BCN_23_210805</v>
      </c>
      <c r="P553" s="64">
        <v>44413</v>
      </c>
      <c r="R553" s="72"/>
      <c r="S553" s="64">
        <v>44420</v>
      </c>
      <c r="U553" s="72"/>
      <c r="V553" s="54" t="s">
        <v>66</v>
      </c>
      <c r="W553" t="s">
        <v>130</v>
      </c>
      <c r="X553" s="45">
        <f t="shared" si="44"/>
        <v>7</v>
      </c>
      <c r="Z553" s="45" t="s">
        <v>70</v>
      </c>
      <c r="AA553" s="45">
        <f t="shared" si="36"/>
        <v>1</v>
      </c>
      <c r="AB553" t="str">
        <f t="shared" si="42"/>
        <v>Adult</v>
      </c>
      <c r="AC553" s="69">
        <v>0</v>
      </c>
      <c r="AD553" s="69">
        <v>1</v>
      </c>
      <c r="AE553" s="45" t="str">
        <f t="shared" si="43"/>
        <v>Morphological</v>
      </c>
      <c r="AF553" s="56">
        <v>3</v>
      </c>
    </row>
    <row r="554" spans="1:32" ht="18" customHeight="1" x14ac:dyDescent="0.25">
      <c r="A554" s="45">
        <v>550</v>
      </c>
      <c r="B554" s="45" t="s">
        <v>60</v>
      </c>
      <c r="C554" s="45" t="s">
        <v>61</v>
      </c>
      <c r="D554" s="45" t="s">
        <v>62</v>
      </c>
      <c r="E554" s="45" t="s">
        <v>62</v>
      </c>
      <c r="F554" s="46" cm="1">
        <f t="array" ref="F554">_xlfn.IFS($G554=$G$5,F$5,$G554=$G$6,F$6,$G554=$G$7,F$7,$G554=$G$8,F$8,$G554=$G$9,F$9,$G554=$G$10,F$10,$G554=$G$11,F$11,$G554=$G$12,F$12,$G554=$G$13,F$13,$G554=$G$15,F$15,$G554=$G$16,F$16,$G554=$G$17,F$17,$G554=$G$18,F$18,$G554=$G$19,F$19,$G554=$G$20,F$20,$G554=$G$21,F$21,$G554=$G$22,F$22,$G554=$G$25,F$25,$G554=$G$26,F$26,$G554=$G$27,F$27,$G554=$G$29,F$29,$G554=$G$31,F$31,$G554=$G$32,F$32,$G554=$G$248,F$248,$G554=$G$250,F$250)</f>
        <v>8015</v>
      </c>
      <c r="G554" t="s">
        <v>109</v>
      </c>
      <c r="H554" s="67" cm="1">
        <f t="array" ref="H554">_xlfn.IFS($G554=$G$5,H$5,$G554=$G$6,H$6,$G554=$G$7,H$7,$G554=$G$8,H$8,$G554=$G$9,H$9,$G554=$G$10,H$10,$G554=$G$11,H$11,$G554=$G$12,H$12,$G554=$G$13,H$13,$G554=$G$15,H$15,$G554=$G$16,H$16,$G554=$G$17,H$17,$G554=$G$18,H$18,$G554=$G$19,H$19,$G554=$G$20,H$20,$G554=$G$21,H$21,$G554=$G$22,H$22,$G554=$G$25,H$25,$G554=$G$26,H$26,$G554=$G$27,H$27,$G554=$G$29,H$29,$G554=$G$31,H$31,$G554=$G$32,H$150,$G554=$G$248,H$248,$G554=$G$250,H$250)</f>
        <v>41.381725000000003</v>
      </c>
      <c r="I554" s="67" cm="1">
        <f t="array" ref="I554">_xlfn.IFS($G554=$G$5,I$5,$G554=$G$6,I$6,$G554=$G$7,I$7,$G554=$G$8,I$8,$G554=$G$9,I$9,$G554=$G$10,I$10,$G554=$G$11,I$11,$G554=$G$12,I$12,$G554=$G$13,I$13,$G554=$G$15,I$15,$G554=$G$16,I$16,$G554=$G$17,I$17,$G554=$G$18,I$18,$G554=$G$19,I$19,$G554=$G$20,I$20,$G554=$G$21,I$21,$G554=$G$22,I$22,$G554=$G$25,I$25,$G554=$G$26,I$26,$G554=$G$27,I$27,$G554=$G$29,I$29,$G554=$G$31,I$31,$G554=$G$32,I$150,$G554=$G$248,I$248,$G554=$G$250,I$250)</f>
        <v>2.1543679999999998</v>
      </c>
      <c r="J554" s="48" cm="1">
        <f t="array" ref="J554">_xlfn.IFS($G554=$G$5,J$5,$G554=$G$6,J$6,$G554=$G$7,J$7,$G554=$G$8,J$8,$G554=$G$9,J$9,$G554=$G$10,J$10,$G554=$G$11,J$11,$G554=$G$12,J$12,$G554=$G$13,J$13,$G554=$G$15,J$15,$G554=$G$16,J$16,$G554=$G$17,J$17,$G554=$G$18,J$18,$G554=$G$19,J$19,$G554=$G$20,J$20,$G554=$G$21,J$21,$G554=$G$22,J$22,$G554=$G$25,J$25,$G554=$G$26,J$26,$G554=$G$27,J$27,$G554=$G$29,J$29,$G554=$G$31,J$31,$G554=$G$32,J$150,$G554=$G$248,J$248,$G554=$G$250,J$250)</f>
        <v>20.7</v>
      </c>
      <c r="K554" s="48" t="str" cm="1">
        <f t="array" ref="K554">_xlfn.IFS($G554=$G$5,K$5,$G554=$G$6,K$6,$G554=$G$7,K$7,$G554=$G$8,K$8,$G554=$G$9,K$9,$G554=$G$10,K$10,$G554=$G$11,K$11,$G554=$G$12,K$12,$G554=$G$13,K$13,$G554=$G$15,K$15,$G554=$G$16,K$16,$G554=$G$17,K$17,$G554=$G$18,K$18,$G554=$G$19,K$19,$G554=$G$20,K$20,$G554=$G$21,K$21,$G554=$G$22,K$22,$G554=$G$25,K$25,$G554=$G$26,K$26,$G554=$G$27,K$27,$G554=$G$29,K$29,$G554=$G$31,K$31,$G554=$G$32,K$150,$G554=$G$248,K$248,$G554=$G$250,K$250)</f>
        <v>BG sentinel + BG lure7</v>
      </c>
      <c r="L554" s="48"/>
      <c r="M554" s="48"/>
      <c r="O554" s="45" t="str">
        <f t="shared" si="41"/>
        <v>A_SP_BCN_24_210804</v>
      </c>
      <c r="P554" s="64">
        <v>44412</v>
      </c>
      <c r="R554" s="72"/>
      <c r="S554" s="64">
        <v>44419</v>
      </c>
      <c r="U554" s="72"/>
      <c r="V554" s="54" t="s">
        <v>66</v>
      </c>
      <c r="W554" s="79" t="s">
        <v>146</v>
      </c>
      <c r="X554" s="45">
        <f t="shared" si="44"/>
        <v>7</v>
      </c>
      <c r="Z554" s="69" t="s">
        <v>69</v>
      </c>
      <c r="AA554" s="45">
        <f t="shared" si="36"/>
        <v>3</v>
      </c>
      <c r="AB554" t="str">
        <f t="shared" si="42"/>
        <v>Adult</v>
      </c>
      <c r="AC554" s="69">
        <v>3</v>
      </c>
      <c r="AD554" s="69">
        <v>0</v>
      </c>
      <c r="AE554" s="45" t="str">
        <f t="shared" si="43"/>
        <v>Morphological</v>
      </c>
      <c r="AF554" s="56">
        <v>4</v>
      </c>
    </row>
    <row r="555" spans="1:32" ht="18" customHeight="1" x14ac:dyDescent="0.25">
      <c r="A555" s="45">
        <v>551</v>
      </c>
      <c r="B555" s="45" t="s">
        <v>60</v>
      </c>
      <c r="C555" s="45" t="s">
        <v>61</v>
      </c>
      <c r="D555" s="45" t="s">
        <v>62</v>
      </c>
      <c r="E555" s="45" t="s">
        <v>62</v>
      </c>
      <c r="F555" s="46" cm="1">
        <f t="array" ref="F555">_xlfn.IFS($G555=$G$5,F$5,$G555=$G$6,F$6,$G555=$G$7,F$7,$G555=$G$8,F$8,$G555=$G$9,F$9,$G555=$G$10,F$10,$G555=$G$11,F$11,$G555=$G$12,F$12,$G555=$G$13,F$13,$G555=$G$15,F$15,$G555=$G$16,F$16,$G555=$G$17,F$17,$G555=$G$18,F$18,$G555=$G$19,F$19,$G555=$G$20,F$20,$G555=$G$21,F$21,$G555=$G$22,F$22,$G555=$G$25,F$25,$G555=$G$26,F$26,$G555=$G$27,F$27,$G555=$G$29,F$29,$G555=$G$31,F$31,$G555=$G$32,F$32,$G555=$G$248,F$248,$G555=$G$250,F$250)</f>
        <v>8035</v>
      </c>
      <c r="G555" t="s">
        <v>67</v>
      </c>
      <c r="H555" s="67" cm="1">
        <f t="array" ref="H555">_xlfn.IFS($G555=$G$5,H$5,$G555=$G$6,H$6,$G555=$G$7,H$7,$G555=$G$8,H$8,$G555=$G$9,H$9,$G555=$G$10,H$10,$G555=$G$11,H$11,$G555=$G$12,H$12,$G555=$G$13,H$13,$G555=$G$15,H$15,$G555=$G$16,H$16,$G555=$G$17,H$17,$G555=$G$18,H$18,$G555=$G$19,H$19,$G555=$G$20,H$20,$G555=$G$21,H$21,$G555=$G$22,H$22,$G555=$G$25,H$25,$G555=$G$26,H$26,$G555=$G$27,H$27,$G555=$G$29,H$29,$G555=$G$31,H$31,$G555=$G$32,H$150,$G555=$G$248,H$248,$G555=$G$250,H$250)</f>
        <v>41.424387000000003</v>
      </c>
      <c r="I555" s="67" cm="1">
        <f t="array" ref="I555">_xlfn.IFS($G555=$G$5,I$5,$G555=$G$6,I$6,$G555=$G$7,I$7,$G555=$G$8,I$8,$G555=$G$9,I$9,$G555=$G$10,I$10,$G555=$G$11,I$11,$G555=$G$12,I$12,$G555=$G$13,I$13,$G555=$G$15,I$15,$G555=$G$16,I$16,$G555=$G$17,I$17,$G555=$G$18,I$18,$G555=$G$19,I$19,$G555=$G$20,I$20,$G555=$G$21,I$21,$G555=$G$22,I$22,$G555=$G$25,I$25,$G555=$G$26,I$26,$G555=$G$27,I$27,$G555=$G$29,I$29,$G555=$G$31,I$31,$G555=$G$32,I$150,$G555=$G$248,I$248,$G555=$G$250,I$250)</f>
        <v>2.1431439999999999</v>
      </c>
      <c r="J555" s="48" cm="1">
        <f t="array" ref="J555">_xlfn.IFS($G555=$G$5,J$5,$G555=$G$6,J$6,$G555=$G$7,J$7,$G555=$G$8,J$8,$G555=$G$9,J$9,$G555=$G$10,J$10,$G555=$G$11,J$11,$G555=$G$12,J$12,$G555=$G$13,J$13,$G555=$G$15,J$15,$G555=$G$16,J$16,$G555=$G$17,J$17,$G555=$G$18,J$18,$G555=$G$19,J$19,$G555=$G$20,J$20,$G555=$G$21,J$21,$G555=$G$22,J$22,$G555=$G$25,J$25,$G555=$G$26,J$26,$G555=$G$27,J$27,$G555=$G$29,J$29,$G555=$G$31,J$31,$G555=$G$32,J$150,$G555=$G$248,J$248,$G555=$G$250,J$250)</f>
        <v>160</v>
      </c>
      <c r="K555" s="48" t="str" cm="1">
        <f t="array" ref="K555">_xlfn.IFS($G555=$G$5,K$5,$G555=$G$6,K$6,$G555=$G$7,K$7,$G555=$G$8,K$8,$G555=$G$9,K$9,$G555=$G$10,K$10,$G555=$G$11,K$11,$G555=$G$12,K$12,$G555=$G$13,K$13,$G555=$G$15,K$15,$G555=$G$16,K$16,$G555=$G$17,K$17,$G555=$G$18,K$18,$G555=$G$19,K$19,$G555=$G$20,K$20,$G555=$G$21,K$21,$G555=$G$22,K$22,$G555=$G$25,K$25,$G555=$G$26,K$26,$G555=$G$27,K$27,$G555=$G$29,K$29,$G555=$G$31,K$31,$G555=$G$32,K$150,$G555=$G$248,K$248,$G555=$G$250,K$250)</f>
        <v>BG sentinel + BG lure7</v>
      </c>
      <c r="L555" s="48"/>
      <c r="M555" s="48"/>
      <c r="O555" s="45" t="str">
        <f t="shared" si="41"/>
        <v>A_SP_BCN_2_210811</v>
      </c>
      <c r="P555" s="64">
        <v>44419</v>
      </c>
      <c r="R555" s="72"/>
      <c r="S555" s="64">
        <v>44426</v>
      </c>
      <c r="U555" s="72"/>
      <c r="V555" s="54" t="s">
        <v>66</v>
      </c>
      <c r="X555" s="45">
        <f t="shared" si="44"/>
        <v>7</v>
      </c>
      <c r="Z555" s="69" t="s">
        <v>69</v>
      </c>
      <c r="AA555" s="45">
        <f t="shared" si="36"/>
        <v>5</v>
      </c>
      <c r="AB555" t="str">
        <f t="shared" si="42"/>
        <v>Adult</v>
      </c>
      <c r="AC555" s="69">
        <v>5</v>
      </c>
      <c r="AD555" s="69">
        <v>0</v>
      </c>
      <c r="AE555" s="45" t="str">
        <f t="shared" si="43"/>
        <v>Morphological</v>
      </c>
      <c r="AF555" s="56">
        <v>4</v>
      </c>
    </row>
    <row r="556" spans="1:32" ht="18" customHeight="1" x14ac:dyDescent="0.25">
      <c r="A556" s="45">
        <v>552</v>
      </c>
      <c r="B556" s="45" t="s">
        <v>60</v>
      </c>
      <c r="C556" s="45" t="s">
        <v>61</v>
      </c>
      <c r="D556" s="45" t="s">
        <v>62</v>
      </c>
      <c r="E556" s="45" t="s">
        <v>62</v>
      </c>
      <c r="F556" s="46" cm="1">
        <f t="array" ref="F556">_xlfn.IFS($G556=$G$5,F$5,$G556=$G$6,F$6,$G556=$G$7,F$7,$G556=$G$8,F$8,$G556=$G$9,F$9,$G556=$G$10,F$10,$G556=$G$11,F$11,$G556=$G$12,F$12,$G556=$G$13,F$13,$G556=$G$15,F$15,$G556=$G$16,F$16,$G556=$G$17,F$17,$G556=$G$18,F$18,$G556=$G$19,F$19,$G556=$G$20,F$20,$G556=$G$21,F$21,$G556=$G$22,F$22,$G556=$G$25,F$25,$G556=$G$26,F$26,$G556=$G$27,F$27,$G556=$G$29,F$29,$G556=$G$31,F$31,$G556=$G$32,F$32,$G556=$G$248,F$248,$G556=$G$250,F$250)</f>
        <v>8016</v>
      </c>
      <c r="G556" t="s">
        <v>68</v>
      </c>
      <c r="H556" s="67" cm="1">
        <f t="array" ref="H556">_xlfn.IFS($G556=$G$5,H$5,$G556=$G$6,H$6,$G556=$G$7,H$7,$G556=$G$8,H$8,$G556=$G$9,H$9,$G556=$G$10,H$10,$G556=$G$11,H$11,$G556=$G$12,H$12,$G556=$G$13,H$13,$G556=$G$15,H$15,$G556=$G$16,H$16,$G556=$G$17,H$17,$G556=$G$18,H$18,$G556=$G$19,H$19,$G556=$G$20,H$20,$G556=$G$21,H$21,$G556=$G$22,H$22,$G556=$G$25,H$25,$G556=$G$26,H$26,$G556=$G$27,H$27,$G556=$G$29,H$29,$G556=$G$31,H$31,$G556=$G$32,H$150,$G556=$G$248,H$248,$G556=$G$250,H$250)</f>
        <v>41.437435000000001</v>
      </c>
      <c r="I556" s="67" cm="1">
        <f t="array" ref="I556">_xlfn.IFS($G556=$G$5,I$5,$G556=$G$6,I$6,$G556=$G$7,I$7,$G556=$G$8,I$8,$G556=$G$9,I$9,$G556=$G$10,I$10,$G556=$G$11,I$11,$G556=$G$12,I$12,$G556=$G$13,I$13,$G556=$G$15,I$15,$G556=$G$16,I$16,$G556=$G$17,I$17,$G556=$G$18,I$18,$G556=$G$19,I$19,$G556=$G$20,I$20,$G556=$G$21,I$21,$G556=$G$22,I$22,$G556=$G$25,I$25,$G556=$G$26,I$26,$G556=$G$27,I$27,$G556=$G$29,I$29,$G556=$G$31,I$31,$G556=$G$32,I$150,$G556=$G$248,I$248,$G556=$G$250,I$250)</f>
        <v>2.1812779999999998</v>
      </c>
      <c r="J556" s="48" cm="1">
        <f t="array" ref="J556">_xlfn.IFS($G556=$G$5,J$5,$G556=$G$6,J$6,$G556=$G$7,J$7,$G556=$G$8,J$8,$G556=$G$9,J$9,$G556=$G$10,J$10,$G556=$G$11,J$11,$G556=$G$12,J$12,$G556=$G$13,J$13,$G556=$G$15,J$15,$G556=$G$16,J$16,$G556=$G$17,J$17,$G556=$G$18,J$18,$G556=$G$19,J$19,$G556=$G$20,J$20,$G556=$G$21,J$21,$G556=$G$22,J$22,$G556=$G$25,J$25,$G556=$G$26,J$26,$G556=$G$27,J$27,$G556=$G$29,J$29,$G556=$G$31,J$31,$G556=$G$32,J$150,$G556=$G$248,J$248,$G556=$G$250,J$250)</f>
        <v>47</v>
      </c>
      <c r="K556" s="48" t="str" cm="1">
        <f t="array" ref="K556">_xlfn.IFS($G556=$G$5,K$5,$G556=$G$6,K$6,$G556=$G$7,K$7,$G556=$G$8,K$8,$G556=$G$9,K$9,$G556=$G$10,K$10,$G556=$G$11,K$11,$G556=$G$12,K$12,$G556=$G$13,K$13,$G556=$G$15,K$15,$G556=$G$16,K$16,$G556=$G$17,K$17,$G556=$G$18,K$18,$G556=$G$19,K$19,$G556=$G$20,K$20,$G556=$G$21,K$21,$G556=$G$22,K$22,$G556=$G$25,K$25,$G556=$G$26,K$26,$G556=$G$27,K$27,$G556=$G$29,K$29,$G556=$G$31,K$31,$G556=$G$32,K$150,$G556=$G$248,K$248,$G556=$G$250,K$250)</f>
        <v>BG sentinel + BG lure7</v>
      </c>
      <c r="L556" s="48"/>
      <c r="M556" s="48"/>
      <c r="O556" s="45" t="str">
        <f t="shared" si="41"/>
        <v>A_SP_BCN_3_210811</v>
      </c>
      <c r="P556" s="64">
        <v>44419</v>
      </c>
      <c r="R556" s="72"/>
      <c r="S556" s="64">
        <v>44426</v>
      </c>
      <c r="U556" s="72"/>
      <c r="V556" s="54" t="s">
        <v>66</v>
      </c>
      <c r="X556" s="45">
        <f t="shared" si="44"/>
        <v>7</v>
      </c>
      <c r="Z556" s="69" t="s">
        <v>69</v>
      </c>
      <c r="AA556" s="45">
        <f t="shared" si="36"/>
        <v>3</v>
      </c>
      <c r="AB556" t="str">
        <f t="shared" si="42"/>
        <v>Adult</v>
      </c>
      <c r="AC556" s="69">
        <v>1</v>
      </c>
      <c r="AD556" s="69">
        <v>2</v>
      </c>
      <c r="AE556" s="45" t="str">
        <f t="shared" si="43"/>
        <v>Morphological</v>
      </c>
      <c r="AF556" s="56">
        <v>4</v>
      </c>
    </row>
    <row r="557" spans="1:32" ht="18" customHeight="1" x14ac:dyDescent="0.25">
      <c r="A557" s="45">
        <v>553</v>
      </c>
      <c r="B557" s="45" t="s">
        <v>60</v>
      </c>
      <c r="C557" s="45" t="s">
        <v>61</v>
      </c>
      <c r="D557" s="45" t="s">
        <v>62</v>
      </c>
      <c r="E557" s="45" t="s">
        <v>62</v>
      </c>
      <c r="F557" s="46" cm="1">
        <f t="array" ref="F557">_xlfn.IFS($G557=$G$5,F$5,$G557=$G$6,F$6,$G557=$G$7,F$7,$G557=$G$8,F$8,$G557=$G$9,F$9,$G557=$G$10,F$10,$G557=$G$11,F$11,$G557=$G$12,F$12,$G557=$G$13,F$13,$G557=$G$15,F$15,$G557=$G$16,F$16,$G557=$G$17,F$17,$G557=$G$18,F$18,$G557=$G$19,F$19,$G557=$G$20,F$20,$G557=$G$21,F$21,$G557=$G$22,F$22,$G557=$G$25,F$25,$G557=$G$26,F$26,$G557=$G$27,F$27,$G557=$G$29,F$29,$G557=$G$31,F$31,$G557=$G$32,F$32,$G557=$G$248,F$248,$G557=$G$250,F$250)</f>
        <v>8016</v>
      </c>
      <c r="G557" t="s">
        <v>68</v>
      </c>
      <c r="H557" s="67" cm="1">
        <f t="array" ref="H557">_xlfn.IFS($G557=$G$5,H$5,$G557=$G$6,H$6,$G557=$G$7,H$7,$G557=$G$8,H$8,$G557=$G$9,H$9,$G557=$G$10,H$10,$G557=$G$11,H$11,$G557=$G$12,H$12,$G557=$G$13,H$13,$G557=$G$15,H$15,$G557=$G$16,H$16,$G557=$G$17,H$17,$G557=$G$18,H$18,$G557=$G$19,H$19,$G557=$G$20,H$20,$G557=$G$21,H$21,$G557=$G$22,H$22,$G557=$G$25,H$25,$G557=$G$26,H$26,$G557=$G$27,H$27,$G557=$G$29,H$29,$G557=$G$31,H$31,$G557=$G$32,H$150,$G557=$G$248,H$248,$G557=$G$250,H$250)</f>
        <v>41.437435000000001</v>
      </c>
      <c r="I557" s="67" cm="1">
        <f t="array" ref="I557">_xlfn.IFS($G557=$G$5,I$5,$G557=$G$6,I$6,$G557=$G$7,I$7,$G557=$G$8,I$8,$G557=$G$9,I$9,$G557=$G$10,I$10,$G557=$G$11,I$11,$G557=$G$12,I$12,$G557=$G$13,I$13,$G557=$G$15,I$15,$G557=$G$16,I$16,$G557=$G$17,I$17,$G557=$G$18,I$18,$G557=$G$19,I$19,$G557=$G$20,I$20,$G557=$G$21,I$21,$G557=$G$22,I$22,$G557=$G$25,I$25,$G557=$G$26,I$26,$G557=$G$27,I$27,$G557=$G$29,I$29,$G557=$G$31,I$31,$G557=$G$32,I$150,$G557=$G$248,I$248,$G557=$G$250,I$250)</f>
        <v>2.1812779999999998</v>
      </c>
      <c r="J557" s="48" cm="1">
        <f t="array" ref="J557">_xlfn.IFS($G557=$G$5,J$5,$G557=$G$6,J$6,$G557=$G$7,J$7,$G557=$G$8,J$8,$G557=$G$9,J$9,$G557=$G$10,J$10,$G557=$G$11,J$11,$G557=$G$12,J$12,$G557=$G$13,J$13,$G557=$G$15,J$15,$G557=$G$16,J$16,$G557=$G$17,J$17,$G557=$G$18,J$18,$G557=$G$19,J$19,$G557=$G$20,J$20,$G557=$G$21,J$21,$G557=$G$22,J$22,$G557=$G$25,J$25,$G557=$G$26,J$26,$G557=$G$27,J$27,$G557=$G$29,J$29,$G557=$G$31,J$31,$G557=$G$32,J$150,$G557=$G$248,J$248,$G557=$G$250,J$250)</f>
        <v>47</v>
      </c>
      <c r="K557" s="48" t="str" cm="1">
        <f t="array" ref="K557">_xlfn.IFS($G557=$G$5,K$5,$G557=$G$6,K$6,$G557=$G$7,K$7,$G557=$G$8,K$8,$G557=$G$9,K$9,$G557=$G$10,K$10,$G557=$G$11,K$11,$G557=$G$12,K$12,$G557=$G$13,K$13,$G557=$G$15,K$15,$G557=$G$16,K$16,$G557=$G$17,K$17,$G557=$G$18,K$18,$G557=$G$19,K$19,$G557=$G$20,K$20,$G557=$G$21,K$21,$G557=$G$22,K$22,$G557=$G$25,K$25,$G557=$G$26,K$26,$G557=$G$27,K$27,$G557=$G$29,K$29,$G557=$G$31,K$31,$G557=$G$32,K$150,$G557=$G$248,K$248,$G557=$G$250,K$250)</f>
        <v>BG sentinel + BG lure7</v>
      </c>
      <c r="L557" s="48"/>
      <c r="M557" s="48"/>
      <c r="O557" s="45" t="str">
        <f t="shared" si="41"/>
        <v>A_SP_BCN_3_210811</v>
      </c>
      <c r="P557" s="64">
        <v>44419</v>
      </c>
      <c r="R557" s="72"/>
      <c r="S557" s="64">
        <v>44426</v>
      </c>
      <c r="U557" s="72"/>
      <c r="V557" s="54" t="s">
        <v>66</v>
      </c>
      <c r="X557" s="45">
        <f t="shared" si="44"/>
        <v>7</v>
      </c>
      <c r="Z557" s="45" t="s">
        <v>70</v>
      </c>
      <c r="AA557" s="45">
        <f t="shared" si="36"/>
        <v>2</v>
      </c>
      <c r="AB557" t="str">
        <f t="shared" si="42"/>
        <v>Adult</v>
      </c>
      <c r="AC557" s="69">
        <v>2</v>
      </c>
      <c r="AD557" s="69">
        <v>0</v>
      </c>
      <c r="AE557" s="45" t="str">
        <f t="shared" si="43"/>
        <v>Morphological</v>
      </c>
      <c r="AF557" s="56">
        <v>4</v>
      </c>
    </row>
    <row r="558" spans="1:32" ht="18" customHeight="1" x14ac:dyDescent="0.25">
      <c r="A558" s="45">
        <v>554</v>
      </c>
      <c r="B558" s="45" t="s">
        <v>60</v>
      </c>
      <c r="C558" s="45" t="s">
        <v>61</v>
      </c>
      <c r="D558" s="45" t="s">
        <v>62</v>
      </c>
      <c r="E558" s="45" t="s">
        <v>62</v>
      </c>
      <c r="F558" s="46" cm="1">
        <f t="array" ref="F558">_xlfn.IFS($G558=$G$5,F$5,$G558=$G$6,F$6,$G558=$G$7,F$7,$G558=$G$8,F$8,$G558=$G$9,F$9,$G558=$G$10,F$10,$G558=$G$11,F$11,$G558=$G$12,F$12,$G558=$G$13,F$13,$G558=$G$15,F$15,$G558=$G$16,F$16,$G558=$G$17,F$17,$G558=$G$18,F$18,$G558=$G$19,F$19,$G558=$G$20,F$20,$G558=$G$21,F$21,$G558=$G$22,F$22,$G558=$G$25,F$25,$G558=$G$26,F$26,$G558=$G$27,F$27,$G558=$G$29,F$29,$G558=$G$31,F$31,$G558=$G$32,F$32,$G558=$G$248,F$248,$G558=$G$250,F$250)</f>
        <v>8018</v>
      </c>
      <c r="G558" t="s">
        <v>71</v>
      </c>
      <c r="H558" s="67" cm="1">
        <f t="array" ref="H558">_xlfn.IFS($G558=$G$5,H$5,$G558=$G$6,H$6,$G558=$G$7,H$7,$G558=$G$8,H$8,$G558=$G$9,H$9,$G558=$G$10,H$10,$G558=$G$11,H$11,$G558=$G$12,H$12,$G558=$G$13,H$13,$G558=$G$15,H$15,$G558=$G$16,H$16,$G558=$G$17,H$17,$G558=$G$18,H$18,$G558=$G$19,H$19,$G558=$G$20,H$20,$G558=$G$21,H$21,$G558=$G$22,H$22,$G558=$G$25,H$25,$G558=$G$26,H$26,$G558=$G$27,H$27,$G558=$G$29,H$29,$G558=$G$31,H$31,$G558=$G$32,H$150,$G558=$G$248,H$248,$G558=$G$250,H$250)</f>
        <v>41.410684000000003</v>
      </c>
      <c r="I558" s="67" cm="1">
        <f t="array" ref="I558">_xlfn.IFS($G558=$G$5,I$5,$G558=$G$6,I$6,$G558=$G$7,I$7,$G558=$G$8,I$8,$G558=$G$9,I$9,$G558=$G$10,I$10,$G558=$G$11,I$11,$G558=$G$12,I$12,$G558=$G$13,I$13,$G558=$G$15,I$15,$G558=$G$16,I$16,$G558=$G$17,I$17,$G558=$G$18,I$18,$G558=$G$19,I$19,$G558=$G$20,I$20,$G558=$G$21,I$21,$G558=$G$22,I$22,$G558=$G$25,I$25,$G558=$G$26,I$26,$G558=$G$27,I$27,$G558=$G$29,I$29,$G558=$G$31,I$31,$G558=$G$32,I$150,$G558=$G$248,I$248,$G558=$G$250,I$250)</f>
        <v>2.2208019999999999</v>
      </c>
      <c r="J558" s="48" cm="1">
        <f t="array" ref="J558">_xlfn.IFS($G558=$G$5,J$5,$G558=$G$6,J$6,$G558=$G$7,J$7,$G558=$G$8,J$8,$G558=$G$9,J$9,$G558=$G$10,J$10,$G558=$G$11,J$11,$G558=$G$12,J$12,$G558=$G$13,J$13,$G558=$G$15,J$15,$G558=$G$16,J$16,$G558=$G$17,J$17,$G558=$G$18,J$18,$G558=$G$19,J$19,$G558=$G$20,J$20,$G558=$G$21,J$21,$G558=$G$22,J$22,$G558=$G$25,J$25,$G558=$G$26,J$26,$G558=$G$27,J$27,$G558=$G$29,J$29,$G558=$G$31,J$31,$G558=$G$32,J$150,$G558=$G$248,J$248,$G558=$G$250,J$250)</f>
        <v>4</v>
      </c>
      <c r="K558" s="48" t="str" cm="1">
        <f t="array" ref="K558">_xlfn.IFS($G558=$G$5,K$5,$G558=$G$6,K$6,$G558=$G$7,K$7,$G558=$G$8,K$8,$G558=$G$9,K$9,$G558=$G$10,K$10,$G558=$G$11,K$11,$G558=$G$12,K$12,$G558=$G$13,K$13,$G558=$G$15,K$15,$G558=$G$16,K$16,$G558=$G$17,K$17,$G558=$G$18,K$18,$G558=$G$19,K$19,$G558=$G$20,K$20,$G558=$G$21,K$21,$G558=$G$22,K$22,$G558=$G$25,K$25,$G558=$G$26,K$26,$G558=$G$27,K$27,$G558=$G$29,K$29,$G558=$G$31,K$31,$G558=$G$32,K$150,$G558=$G$248,K$248,$G558=$G$250,K$250)</f>
        <v>BG sentinel + BG lure7</v>
      </c>
      <c r="L558" s="48"/>
      <c r="M558" s="48"/>
      <c r="O558" s="45" t="str">
        <f t="shared" si="41"/>
        <v>A_SP_BCN_4_210812</v>
      </c>
      <c r="P558" s="64">
        <v>44420</v>
      </c>
      <c r="R558" s="72"/>
      <c r="S558" s="64">
        <v>44427</v>
      </c>
      <c r="U558" s="72"/>
      <c r="V558" s="54" t="s">
        <v>66</v>
      </c>
      <c r="X558" s="45">
        <f t="shared" si="44"/>
        <v>7</v>
      </c>
      <c r="Z558" s="69" t="s">
        <v>69</v>
      </c>
      <c r="AA558" s="45">
        <f t="shared" si="36"/>
        <v>7</v>
      </c>
      <c r="AB558" t="str">
        <f t="shared" si="42"/>
        <v>Adult</v>
      </c>
      <c r="AC558" s="69">
        <v>4</v>
      </c>
      <c r="AD558" s="69">
        <v>3</v>
      </c>
      <c r="AE558" s="45" t="str">
        <f t="shared" si="43"/>
        <v>Morphological</v>
      </c>
      <c r="AF558" s="56">
        <v>4</v>
      </c>
    </row>
    <row r="559" spans="1:32" ht="18" customHeight="1" x14ac:dyDescent="0.25">
      <c r="A559" s="45">
        <v>555</v>
      </c>
      <c r="B559" s="45" t="s">
        <v>60</v>
      </c>
      <c r="C559" s="45" t="s">
        <v>61</v>
      </c>
      <c r="D559" s="45" t="s">
        <v>62</v>
      </c>
      <c r="E559" s="45" t="s">
        <v>62</v>
      </c>
      <c r="F559" s="46" cm="1">
        <f t="array" ref="F559">_xlfn.IFS($G559=$G$5,F$5,$G559=$G$6,F$6,$G559=$G$7,F$7,$G559=$G$8,F$8,$G559=$G$9,F$9,$G559=$G$10,F$10,$G559=$G$11,F$11,$G559=$G$12,F$12,$G559=$G$13,F$13,$G559=$G$15,F$15,$G559=$G$16,F$16,$G559=$G$17,F$17,$G559=$G$18,F$18,$G559=$G$19,F$19,$G559=$G$20,F$20,$G559=$G$21,F$21,$G559=$G$22,F$22,$G559=$G$25,F$25,$G559=$G$26,F$26,$G559=$G$27,F$27,$G559=$G$29,F$29,$G559=$G$31,F$31,$G559=$G$32,F$32,$G559=$G$248,F$248,$G559=$G$250,F$250)</f>
        <v>8018</v>
      </c>
      <c r="G559" t="s">
        <v>71</v>
      </c>
      <c r="H559" s="67" cm="1">
        <f t="array" ref="H559">_xlfn.IFS($G559=$G$5,H$5,$G559=$G$6,H$6,$G559=$G$7,H$7,$G559=$G$8,H$8,$G559=$G$9,H$9,$G559=$G$10,H$10,$G559=$G$11,H$11,$G559=$G$12,H$12,$G559=$G$13,H$13,$G559=$G$15,H$15,$G559=$G$16,H$16,$G559=$G$17,H$17,$G559=$G$18,H$18,$G559=$G$19,H$19,$G559=$G$20,H$20,$G559=$G$21,H$21,$G559=$G$22,H$22,$G559=$G$25,H$25,$G559=$G$26,H$26,$G559=$G$27,H$27,$G559=$G$29,H$29,$G559=$G$31,H$31,$G559=$G$32,H$150,$G559=$G$248,H$248,$G559=$G$250,H$250)</f>
        <v>41.410684000000003</v>
      </c>
      <c r="I559" s="67" cm="1">
        <f t="array" ref="I559">_xlfn.IFS($G559=$G$5,I$5,$G559=$G$6,I$6,$G559=$G$7,I$7,$G559=$G$8,I$8,$G559=$G$9,I$9,$G559=$G$10,I$10,$G559=$G$11,I$11,$G559=$G$12,I$12,$G559=$G$13,I$13,$G559=$G$15,I$15,$G559=$G$16,I$16,$G559=$G$17,I$17,$G559=$G$18,I$18,$G559=$G$19,I$19,$G559=$G$20,I$20,$G559=$G$21,I$21,$G559=$G$22,I$22,$G559=$G$25,I$25,$G559=$G$26,I$26,$G559=$G$27,I$27,$G559=$G$29,I$29,$G559=$G$31,I$31,$G559=$G$32,I$150,$G559=$G$248,I$248,$G559=$G$250,I$250)</f>
        <v>2.2208019999999999</v>
      </c>
      <c r="J559" s="48" cm="1">
        <f t="array" ref="J559">_xlfn.IFS($G559=$G$5,J$5,$G559=$G$6,J$6,$G559=$G$7,J$7,$G559=$G$8,J$8,$G559=$G$9,J$9,$G559=$G$10,J$10,$G559=$G$11,J$11,$G559=$G$12,J$12,$G559=$G$13,J$13,$G559=$G$15,J$15,$G559=$G$16,J$16,$G559=$G$17,J$17,$G559=$G$18,J$18,$G559=$G$19,J$19,$G559=$G$20,J$20,$G559=$G$21,J$21,$G559=$G$22,J$22,$G559=$G$25,J$25,$G559=$G$26,J$26,$G559=$G$27,J$27,$G559=$G$29,J$29,$G559=$G$31,J$31,$G559=$G$32,J$150,$G559=$G$248,J$248,$G559=$G$250,J$250)</f>
        <v>4</v>
      </c>
      <c r="K559" s="48" t="str" cm="1">
        <f t="array" ref="K559">_xlfn.IFS($G559=$G$5,K$5,$G559=$G$6,K$6,$G559=$G$7,K$7,$G559=$G$8,K$8,$G559=$G$9,K$9,$G559=$G$10,K$10,$G559=$G$11,K$11,$G559=$G$12,K$12,$G559=$G$13,K$13,$G559=$G$15,K$15,$G559=$G$16,K$16,$G559=$G$17,K$17,$G559=$G$18,K$18,$G559=$G$19,K$19,$G559=$G$20,K$20,$G559=$G$21,K$21,$G559=$G$22,K$22,$G559=$G$25,K$25,$G559=$G$26,K$26,$G559=$G$27,K$27,$G559=$G$29,K$29,$G559=$G$31,K$31,$G559=$G$32,K$150,$G559=$G$248,K$248,$G559=$G$250,K$250)</f>
        <v>BG sentinel + BG lure7</v>
      </c>
      <c r="L559" s="48"/>
      <c r="M559" s="48"/>
      <c r="O559" s="45" t="str">
        <f t="shared" si="41"/>
        <v>A_SP_BCN_4_210812</v>
      </c>
      <c r="P559" s="64">
        <v>44420</v>
      </c>
      <c r="R559" s="72"/>
      <c r="S559" s="64">
        <v>44427</v>
      </c>
      <c r="U559" s="72"/>
      <c r="V559" s="54" t="s">
        <v>66</v>
      </c>
      <c r="X559" s="45">
        <f t="shared" si="44"/>
        <v>7</v>
      </c>
      <c r="Z559" s="45" t="s">
        <v>70</v>
      </c>
      <c r="AA559" s="45">
        <f t="shared" si="36"/>
        <v>12</v>
      </c>
      <c r="AB559" t="str">
        <f t="shared" si="42"/>
        <v>Adult</v>
      </c>
      <c r="AC559" s="69">
        <v>11</v>
      </c>
      <c r="AD559" s="69">
        <v>1</v>
      </c>
      <c r="AE559" s="45" t="str">
        <f t="shared" si="43"/>
        <v>Morphological</v>
      </c>
      <c r="AF559" s="56">
        <v>4</v>
      </c>
    </row>
    <row r="560" spans="1:32" ht="18" customHeight="1" x14ac:dyDescent="0.25">
      <c r="A560" s="45">
        <v>556</v>
      </c>
      <c r="B560" s="45" t="s">
        <v>60</v>
      </c>
      <c r="C560" s="45" t="s">
        <v>61</v>
      </c>
      <c r="D560" s="45" t="s">
        <v>62</v>
      </c>
      <c r="E560" s="45" t="s">
        <v>62</v>
      </c>
      <c r="F560" s="46" cm="1">
        <f t="array" ref="F560">_xlfn.IFS($G560=$G$5,F$5,$G560=$G$6,F$6,$G560=$G$7,F$7,$G560=$G$8,F$8,$G560=$G$9,F$9,$G560=$G$10,F$10,$G560=$G$11,F$11,$G560=$G$12,F$12,$G560=$G$13,F$13,$G560=$G$15,F$15,$G560=$G$16,F$16,$G560=$G$17,F$17,$G560=$G$18,F$18,$G560=$G$19,F$19,$G560=$G$20,F$20,$G560=$G$21,F$21,$G560=$G$22,F$22,$G560=$G$25,F$25,$G560=$G$26,F$26,$G560=$G$27,F$27,$G560=$G$29,F$29,$G560=$G$31,F$31,$G560=$G$32,F$32,$G560=$G$248,F$248,$G560=$G$250,F$250)</f>
        <v>8018</v>
      </c>
      <c r="G560" t="s">
        <v>71</v>
      </c>
      <c r="H560" s="67" cm="1">
        <f t="array" ref="H560">_xlfn.IFS($G560=$G$5,H$5,$G560=$G$6,H$6,$G560=$G$7,H$7,$G560=$G$8,H$8,$G560=$G$9,H$9,$G560=$G$10,H$10,$G560=$G$11,H$11,$G560=$G$12,H$12,$G560=$G$13,H$13,$G560=$G$15,H$15,$G560=$G$16,H$16,$G560=$G$17,H$17,$G560=$G$18,H$18,$G560=$G$19,H$19,$G560=$G$20,H$20,$G560=$G$21,H$21,$G560=$G$22,H$22,$G560=$G$25,H$25,$G560=$G$26,H$26,$G560=$G$27,H$27,$G560=$G$29,H$29,$G560=$G$31,H$31,$G560=$G$32,H$150,$G560=$G$248,H$248,$G560=$G$250,H$250)</f>
        <v>41.410684000000003</v>
      </c>
      <c r="I560" s="67" cm="1">
        <f t="array" ref="I560">_xlfn.IFS($G560=$G$5,I$5,$G560=$G$6,I$6,$G560=$G$7,I$7,$G560=$G$8,I$8,$G560=$G$9,I$9,$G560=$G$10,I$10,$G560=$G$11,I$11,$G560=$G$12,I$12,$G560=$G$13,I$13,$G560=$G$15,I$15,$G560=$G$16,I$16,$G560=$G$17,I$17,$G560=$G$18,I$18,$G560=$G$19,I$19,$G560=$G$20,I$20,$G560=$G$21,I$21,$G560=$G$22,I$22,$G560=$G$25,I$25,$G560=$G$26,I$26,$G560=$G$27,I$27,$G560=$G$29,I$29,$G560=$G$31,I$31,$G560=$G$32,I$150,$G560=$G$248,I$248,$G560=$G$250,I$250)</f>
        <v>2.2208019999999999</v>
      </c>
      <c r="J560" s="48" cm="1">
        <f t="array" ref="J560">_xlfn.IFS($G560=$G$5,J$5,$G560=$G$6,J$6,$G560=$G$7,J$7,$G560=$G$8,J$8,$G560=$G$9,J$9,$G560=$G$10,J$10,$G560=$G$11,J$11,$G560=$G$12,J$12,$G560=$G$13,J$13,$G560=$G$15,J$15,$G560=$G$16,J$16,$G560=$G$17,J$17,$G560=$G$18,J$18,$G560=$G$19,J$19,$G560=$G$20,J$20,$G560=$G$21,J$21,$G560=$G$22,J$22,$G560=$G$25,J$25,$G560=$G$26,J$26,$G560=$G$27,J$27,$G560=$G$29,J$29,$G560=$G$31,J$31,$G560=$G$32,J$150,$G560=$G$248,J$248,$G560=$G$250,J$250)</f>
        <v>4</v>
      </c>
      <c r="K560" s="48" t="str" cm="1">
        <f t="array" ref="K560">_xlfn.IFS($G560=$G$5,K$5,$G560=$G$6,K$6,$G560=$G$7,K$7,$G560=$G$8,K$8,$G560=$G$9,K$9,$G560=$G$10,K$10,$G560=$G$11,K$11,$G560=$G$12,K$12,$G560=$G$13,K$13,$G560=$G$15,K$15,$G560=$G$16,K$16,$G560=$G$17,K$17,$G560=$G$18,K$18,$G560=$G$19,K$19,$G560=$G$20,K$20,$G560=$G$21,K$21,$G560=$G$22,K$22,$G560=$G$25,K$25,$G560=$G$26,K$26,$G560=$G$27,K$27,$G560=$G$29,K$29,$G560=$G$31,K$31,$G560=$G$32,K$150,$G560=$G$248,K$248,$G560=$G$250,K$250)</f>
        <v>BG sentinel + BG lure7</v>
      </c>
      <c r="L560" s="48"/>
      <c r="M560" s="48"/>
      <c r="O560" s="45" t="str">
        <f t="shared" si="41"/>
        <v>A_SP_BCN_4_210812</v>
      </c>
      <c r="P560" s="64">
        <v>44420</v>
      </c>
      <c r="R560" s="72"/>
      <c r="S560" s="64">
        <v>44427</v>
      </c>
      <c r="U560" s="72"/>
      <c r="V560" s="54" t="s">
        <v>66</v>
      </c>
      <c r="X560" s="45">
        <f t="shared" si="44"/>
        <v>7</v>
      </c>
      <c r="Z560" s="45" t="s">
        <v>80</v>
      </c>
      <c r="AA560" s="45">
        <f t="shared" si="36"/>
        <v>1</v>
      </c>
      <c r="AB560" t="str">
        <f t="shared" si="42"/>
        <v>Adult</v>
      </c>
      <c r="AC560" s="69">
        <v>1</v>
      </c>
      <c r="AD560" s="69">
        <v>0</v>
      </c>
      <c r="AE560" s="45" t="str">
        <f t="shared" si="43"/>
        <v>Morphological</v>
      </c>
      <c r="AF560" s="56">
        <v>4</v>
      </c>
    </row>
    <row r="561" spans="1:32" ht="18" customHeight="1" x14ac:dyDescent="0.25">
      <c r="A561" s="45">
        <v>557</v>
      </c>
      <c r="B561" s="45" t="s">
        <v>60</v>
      </c>
      <c r="C561" s="45" t="s">
        <v>61</v>
      </c>
      <c r="D561" s="45" t="s">
        <v>62</v>
      </c>
      <c r="E561" s="45" t="s">
        <v>62</v>
      </c>
      <c r="F561" s="46" cm="1">
        <f t="array" ref="F561">_xlfn.IFS($G561=$G$5,F$5,$G561=$G$6,F$6,$G561=$G$7,F$7,$G561=$G$8,F$8,$G561=$G$9,F$9,$G561=$G$10,F$10,$G561=$G$11,F$11,$G561=$G$12,F$12,$G561=$G$13,F$13,$G561=$G$15,F$15,$G561=$G$16,F$16,$G561=$G$17,F$17,$G561=$G$18,F$18,$G561=$G$19,F$19,$G561=$G$20,F$20,$G561=$G$21,F$21,$G561=$G$22,F$22,$G561=$G$25,F$25,$G561=$G$26,F$26,$G561=$G$27,F$27,$G561=$G$29,F$29,$G561=$G$31,F$31,$G561=$G$32,F$32,$G561=$G$248,F$248,$G561=$G$250,F$250)</f>
        <v>8019</v>
      </c>
      <c r="G561" t="s">
        <v>72</v>
      </c>
      <c r="H561" s="67" cm="1">
        <f t="array" ref="H561">_xlfn.IFS($G561=$G$5,H$5,$G561=$G$6,H$6,$G561=$G$7,H$7,$G561=$G$8,H$8,$G561=$G$9,H$9,$G561=$G$10,H$10,$G561=$G$11,H$11,$G561=$G$12,H$12,$G561=$G$13,H$13,$G561=$G$15,H$15,$G561=$G$16,H$16,$G561=$G$17,H$17,$G561=$G$18,H$18,$G561=$G$19,H$19,$G561=$G$20,H$20,$G561=$G$21,H$21,$G561=$G$22,H$22,$G561=$G$25,H$25,$G561=$G$26,H$26,$G561=$G$27,H$27,$G561=$G$29,H$29,$G561=$G$31,H$31,$G561=$G$32,H$150,$G561=$G$248,H$248,$G561=$G$250,H$250)</f>
        <v>41.382339999999999</v>
      </c>
      <c r="I561" s="67" cm="1">
        <f t="array" ref="I561">_xlfn.IFS($G561=$G$5,I$5,$G561=$G$6,I$6,$G561=$G$7,I$7,$G561=$G$8,I$8,$G561=$G$9,I$9,$G561=$G$10,I$10,$G561=$G$11,I$11,$G561=$G$12,I$12,$G561=$G$13,I$13,$G561=$G$15,I$15,$G561=$G$16,I$16,$G561=$G$17,I$17,$G561=$G$18,I$18,$G561=$G$19,I$19,$G561=$G$20,I$20,$G561=$G$21,I$21,$G561=$G$22,I$22,$G561=$G$25,I$25,$G561=$G$26,I$26,$G561=$G$27,I$27,$G561=$G$29,I$29,$G561=$G$31,I$31,$G561=$G$32,I$150,$G561=$G$248,I$248,$G561=$G$250,I$250)</f>
        <v>2.1714790000000002</v>
      </c>
      <c r="J561" s="48" cm="1">
        <f t="array" ref="J561">_xlfn.IFS($G561=$G$5,J$5,$G561=$G$6,J$6,$G561=$G$7,J$7,$G561=$G$8,J$8,$G561=$G$9,J$9,$G561=$G$10,J$10,$G561=$G$11,J$11,$G561=$G$12,J$12,$G561=$G$13,J$13,$G561=$G$15,J$15,$G561=$G$16,J$16,$G561=$G$17,J$17,$G561=$G$18,J$18,$G561=$G$19,J$19,$G561=$G$20,J$20,$G561=$G$21,J$21,$G561=$G$22,J$22,$G561=$G$25,J$25,$G561=$G$26,J$26,$G561=$G$27,J$27,$G561=$G$29,J$29,$G561=$G$31,J$31,$G561=$G$32,J$150,$G561=$G$248,J$248,$G561=$G$250,J$250)</f>
        <v>18</v>
      </c>
      <c r="K561" s="48" t="str" cm="1">
        <f t="array" ref="K561">_xlfn.IFS($G561=$G$5,K$5,$G561=$G$6,K$6,$G561=$G$7,K$7,$G561=$G$8,K$8,$G561=$G$9,K$9,$G561=$G$10,K$10,$G561=$G$11,K$11,$G561=$G$12,K$12,$G561=$G$13,K$13,$G561=$G$15,K$15,$G561=$G$16,K$16,$G561=$G$17,K$17,$G561=$G$18,K$18,$G561=$G$19,K$19,$G561=$G$20,K$20,$G561=$G$21,K$21,$G561=$G$22,K$22,$G561=$G$25,K$25,$G561=$G$26,K$26,$G561=$G$27,K$27,$G561=$G$29,K$29,$G561=$G$31,K$31,$G561=$G$32,K$150,$G561=$G$248,K$248,$G561=$G$250,K$250)</f>
        <v>BG sentinel + BG lure7</v>
      </c>
      <c r="L561" s="48"/>
      <c r="M561" s="48"/>
      <c r="O561" s="45" t="str">
        <f t="shared" si="41"/>
        <v>A_SP_BCN_5_210812</v>
      </c>
      <c r="P561" s="64">
        <v>44420</v>
      </c>
      <c r="R561" s="72"/>
      <c r="S561" s="64">
        <v>44427</v>
      </c>
      <c r="U561" s="72"/>
      <c r="V561" s="54" t="s">
        <v>66</v>
      </c>
      <c r="X561" s="45">
        <f t="shared" si="44"/>
        <v>7</v>
      </c>
      <c r="Z561" s="69" t="s">
        <v>69</v>
      </c>
      <c r="AA561" s="45">
        <f t="shared" si="36"/>
        <v>1</v>
      </c>
      <c r="AB561" t="str">
        <f t="shared" si="42"/>
        <v>Adult</v>
      </c>
      <c r="AC561" s="69">
        <v>1</v>
      </c>
      <c r="AD561" s="69">
        <v>0</v>
      </c>
      <c r="AE561" s="45" t="str">
        <f t="shared" si="43"/>
        <v>Morphological</v>
      </c>
      <c r="AF561" s="56">
        <v>4</v>
      </c>
    </row>
    <row r="562" spans="1:32" ht="18" customHeight="1" x14ac:dyDescent="0.25">
      <c r="A562" s="45">
        <v>558</v>
      </c>
      <c r="B562" s="45" t="s">
        <v>60</v>
      </c>
      <c r="C562" s="45" t="s">
        <v>61</v>
      </c>
      <c r="D562" s="45" t="s">
        <v>62</v>
      </c>
      <c r="E562" s="45" t="s">
        <v>62</v>
      </c>
      <c r="F562" s="46" cm="1">
        <f t="array" ref="F562">_xlfn.IFS($G562=$G$5,F$5,$G562=$G$6,F$6,$G562=$G$7,F$7,$G562=$G$8,F$8,$G562=$G$9,F$9,$G562=$G$10,F$10,$G562=$G$11,F$11,$G562=$G$12,F$12,$G562=$G$13,F$13,$G562=$G$15,F$15,$G562=$G$16,F$16,$G562=$G$17,F$17,$G562=$G$18,F$18,$G562=$G$19,F$19,$G562=$G$20,F$20,$G562=$G$21,F$21,$G562=$G$22,F$22,$G562=$G$25,F$25,$G562=$G$26,F$26,$G562=$G$27,F$27,$G562=$G$29,F$29,$G562=$G$31,F$31,$G562=$G$32,F$32,$G562=$G$248,F$248,$G562=$G$250,F$250)</f>
        <v>8019</v>
      </c>
      <c r="G562" t="s">
        <v>72</v>
      </c>
      <c r="H562" s="67" cm="1">
        <f t="array" ref="H562">_xlfn.IFS($G562=$G$5,H$5,$G562=$G$6,H$6,$G562=$G$7,H$7,$G562=$G$8,H$8,$G562=$G$9,H$9,$G562=$G$10,H$10,$G562=$G$11,H$11,$G562=$G$12,H$12,$G562=$G$13,H$13,$G562=$G$15,H$15,$G562=$G$16,H$16,$G562=$G$17,H$17,$G562=$G$18,H$18,$G562=$G$19,H$19,$G562=$G$20,H$20,$G562=$G$21,H$21,$G562=$G$22,H$22,$G562=$G$25,H$25,$G562=$G$26,H$26,$G562=$G$27,H$27,$G562=$G$29,H$29,$G562=$G$31,H$31,$G562=$G$32,H$150,$G562=$G$248,H$248,$G562=$G$250,H$250)</f>
        <v>41.382339999999999</v>
      </c>
      <c r="I562" s="67" cm="1">
        <f t="array" ref="I562">_xlfn.IFS($G562=$G$5,I$5,$G562=$G$6,I$6,$G562=$G$7,I$7,$G562=$G$8,I$8,$G562=$G$9,I$9,$G562=$G$10,I$10,$G562=$G$11,I$11,$G562=$G$12,I$12,$G562=$G$13,I$13,$G562=$G$15,I$15,$G562=$G$16,I$16,$G562=$G$17,I$17,$G562=$G$18,I$18,$G562=$G$19,I$19,$G562=$G$20,I$20,$G562=$G$21,I$21,$G562=$G$22,I$22,$G562=$G$25,I$25,$G562=$G$26,I$26,$G562=$G$27,I$27,$G562=$G$29,I$29,$G562=$G$31,I$31,$G562=$G$32,I$150,$G562=$G$248,I$248,$G562=$G$250,I$250)</f>
        <v>2.1714790000000002</v>
      </c>
      <c r="J562" s="48" cm="1">
        <f t="array" ref="J562">_xlfn.IFS($G562=$G$5,J$5,$G562=$G$6,J$6,$G562=$G$7,J$7,$G562=$G$8,J$8,$G562=$G$9,J$9,$G562=$G$10,J$10,$G562=$G$11,J$11,$G562=$G$12,J$12,$G562=$G$13,J$13,$G562=$G$15,J$15,$G562=$G$16,J$16,$G562=$G$17,J$17,$G562=$G$18,J$18,$G562=$G$19,J$19,$G562=$G$20,J$20,$G562=$G$21,J$21,$G562=$G$22,J$22,$G562=$G$25,J$25,$G562=$G$26,J$26,$G562=$G$27,J$27,$G562=$G$29,J$29,$G562=$G$31,J$31,$G562=$G$32,J$150,$G562=$G$248,J$248,$G562=$G$250,J$250)</f>
        <v>18</v>
      </c>
      <c r="K562" s="48" t="str" cm="1">
        <f t="array" ref="K562">_xlfn.IFS($G562=$G$5,K$5,$G562=$G$6,K$6,$G562=$G$7,K$7,$G562=$G$8,K$8,$G562=$G$9,K$9,$G562=$G$10,K$10,$G562=$G$11,K$11,$G562=$G$12,K$12,$G562=$G$13,K$13,$G562=$G$15,K$15,$G562=$G$16,K$16,$G562=$G$17,K$17,$G562=$G$18,K$18,$G562=$G$19,K$19,$G562=$G$20,K$20,$G562=$G$21,K$21,$G562=$G$22,K$22,$G562=$G$25,K$25,$G562=$G$26,K$26,$G562=$G$27,K$27,$G562=$G$29,K$29,$G562=$G$31,K$31,$G562=$G$32,K$150,$G562=$G$248,K$248,$G562=$G$250,K$250)</f>
        <v>BG sentinel + BG lure7</v>
      </c>
      <c r="L562" s="48"/>
      <c r="M562" s="48"/>
      <c r="O562" s="45" t="str">
        <f t="shared" si="41"/>
        <v>A_SP_BCN_5_210812</v>
      </c>
      <c r="P562" s="64">
        <v>44420</v>
      </c>
      <c r="R562" s="72"/>
      <c r="S562" s="64">
        <v>44427</v>
      </c>
      <c r="U562" s="72"/>
      <c r="V562" s="54" t="s">
        <v>66</v>
      </c>
      <c r="X562" s="45">
        <f t="shared" si="44"/>
        <v>7</v>
      </c>
      <c r="Z562" s="45" t="s">
        <v>70</v>
      </c>
      <c r="AA562" s="45">
        <f t="shared" si="36"/>
        <v>4</v>
      </c>
      <c r="AB562" t="str">
        <f t="shared" si="42"/>
        <v>Adult</v>
      </c>
      <c r="AC562" s="69">
        <v>3</v>
      </c>
      <c r="AD562" s="69">
        <v>1</v>
      </c>
      <c r="AE562" s="45" t="str">
        <f t="shared" si="43"/>
        <v>Morphological</v>
      </c>
      <c r="AF562" s="56">
        <v>4</v>
      </c>
    </row>
    <row r="563" spans="1:32" ht="18" customHeight="1" x14ac:dyDescent="0.25">
      <c r="A563" s="45">
        <v>559</v>
      </c>
      <c r="B563" s="45" t="s">
        <v>60</v>
      </c>
      <c r="C563" s="45" t="s">
        <v>61</v>
      </c>
      <c r="D563" s="45" t="s">
        <v>62</v>
      </c>
      <c r="E563" s="45" t="s">
        <v>62</v>
      </c>
      <c r="F563" s="46" cm="1">
        <f t="array" ref="F563">_xlfn.IFS($G563=$G$5,F$5,$G563=$G$6,F$6,$G563=$G$7,F$7,$G563=$G$8,F$8,$G563=$G$9,F$9,$G563=$G$10,F$10,$G563=$G$11,F$11,$G563=$G$12,F$12,$G563=$G$13,F$13,$G563=$G$15,F$15,$G563=$G$16,F$16,$G563=$G$17,F$17,$G563=$G$18,F$18,$G563=$G$19,F$19,$G563=$G$20,F$20,$G563=$G$21,F$21,$G563=$G$22,F$22,$G563=$G$25,F$25,$G563=$G$26,F$26,$G563=$G$27,F$27,$G563=$G$29,F$29,$G563=$G$31,F$31,$G563=$G$32,F$32,$G563=$G$248,F$248,$G563=$G$250,F$250)</f>
        <v>8002</v>
      </c>
      <c r="G563" t="s">
        <v>73</v>
      </c>
      <c r="H563" s="67" cm="1">
        <f t="array" ref="H563">_xlfn.IFS($G563=$G$5,H$5,$G563=$G$6,H$6,$G563=$G$7,H$7,$G563=$G$8,H$8,$G563=$G$9,H$9,$G563=$G$10,H$10,$G563=$G$11,H$11,$G563=$G$12,H$12,$G563=$G$13,H$13,$G563=$G$15,H$15,$G563=$G$16,H$16,$G563=$G$17,H$17,$G563=$G$18,H$18,$G563=$G$19,H$19,$G563=$G$20,H$20,$G563=$G$21,H$21,$G563=$G$22,H$22,$G563=$G$25,H$25,$G563=$G$26,H$26,$G563=$G$27,H$27,$G563=$G$29,H$29,$G563=$G$31,H$31,$G563=$G$32,H$150,$G563=$G$248,H$248,$G563=$G$250,H$250)</f>
        <v>41.371864000000002</v>
      </c>
      <c r="I563" s="67" cm="1">
        <f t="array" ref="I563">_xlfn.IFS($G563=$G$5,I$5,$G563=$G$6,I$6,$G563=$G$7,I$7,$G563=$G$8,I$8,$G563=$G$9,I$9,$G563=$G$10,I$10,$G563=$G$11,I$11,$G563=$G$12,I$12,$G563=$G$13,I$13,$G563=$G$15,I$15,$G563=$G$16,I$16,$G563=$G$17,I$17,$G563=$G$18,I$18,$G563=$G$19,I$19,$G563=$G$20,I$20,$G563=$G$21,I$21,$G563=$G$22,I$22,$G563=$G$25,I$25,$G563=$G$26,I$26,$G563=$G$27,I$27,$G563=$G$29,I$29,$G563=$G$31,I$31,$G563=$G$32,I$150,$G563=$G$248,I$248,$G563=$G$250,I$250)</f>
        <v>2.173899</v>
      </c>
      <c r="J563" s="48" cm="1">
        <f t="array" ref="J563">_xlfn.IFS($G563=$G$5,J$5,$G563=$G$6,J$6,$G563=$G$7,J$7,$G563=$G$8,J$8,$G563=$G$9,J$9,$G563=$G$10,J$10,$G563=$G$11,J$11,$G563=$G$12,J$12,$G563=$G$13,J$13,$G563=$G$15,J$15,$G563=$G$16,J$16,$G563=$G$17,J$17,$G563=$G$18,J$18,$G563=$G$19,J$19,$G563=$G$20,J$20,$G563=$G$21,J$21,$G563=$G$22,J$22,$G563=$G$25,J$25,$G563=$G$26,J$26,$G563=$G$27,J$27,$G563=$G$29,J$29,$G563=$G$31,J$31,$G563=$G$32,J$150,$G563=$G$248,J$248,$G563=$G$250,J$250)</f>
        <v>19</v>
      </c>
      <c r="K563" s="48" t="str" cm="1">
        <f t="array" ref="K563">_xlfn.IFS($G563=$G$5,K$5,$G563=$G$6,K$6,$G563=$G$7,K$7,$G563=$G$8,K$8,$G563=$G$9,K$9,$G563=$G$10,K$10,$G563=$G$11,K$11,$G563=$G$12,K$12,$G563=$G$13,K$13,$G563=$G$15,K$15,$G563=$G$16,K$16,$G563=$G$17,K$17,$G563=$G$18,K$18,$G563=$G$19,K$19,$G563=$G$20,K$20,$G563=$G$21,K$21,$G563=$G$22,K$22,$G563=$G$25,K$25,$G563=$G$26,K$26,$G563=$G$27,K$27,$G563=$G$29,K$29,$G563=$G$31,K$31,$G563=$G$32,K$150,$G563=$G$248,K$248,$G563=$G$250,K$250)</f>
        <v>BG sentinel + BG lure7</v>
      </c>
      <c r="L563" s="48"/>
      <c r="M563" s="48"/>
      <c r="O563" s="45" t="str">
        <f t="shared" si="41"/>
        <v>A_SP_BCN_6_210812</v>
      </c>
      <c r="P563" s="64">
        <v>44420</v>
      </c>
      <c r="R563" s="72"/>
      <c r="S563" s="64">
        <v>44427</v>
      </c>
      <c r="U563" s="72"/>
      <c r="V563" s="54" t="s">
        <v>66</v>
      </c>
      <c r="X563" s="45">
        <f t="shared" si="44"/>
        <v>7</v>
      </c>
      <c r="Z563" s="69" t="s">
        <v>69</v>
      </c>
      <c r="AA563" s="45">
        <f t="shared" si="36"/>
        <v>1</v>
      </c>
      <c r="AB563" t="str">
        <f t="shared" si="42"/>
        <v>Adult</v>
      </c>
      <c r="AC563" s="69">
        <v>1</v>
      </c>
      <c r="AD563" s="69">
        <v>0</v>
      </c>
      <c r="AE563" s="45" t="str">
        <f t="shared" si="43"/>
        <v>Morphological</v>
      </c>
      <c r="AF563" s="56">
        <v>4</v>
      </c>
    </row>
    <row r="564" spans="1:32" ht="18" customHeight="1" x14ac:dyDescent="0.25">
      <c r="A564" s="45">
        <v>560</v>
      </c>
      <c r="B564" s="45" t="s">
        <v>60</v>
      </c>
      <c r="C564" s="45" t="s">
        <v>61</v>
      </c>
      <c r="D564" s="45" t="s">
        <v>62</v>
      </c>
      <c r="E564" s="45" t="s">
        <v>62</v>
      </c>
      <c r="F564" s="46" cm="1">
        <f t="array" ref="F564">_xlfn.IFS($G564=$G$5,F$5,$G564=$G$6,F$6,$G564=$G$7,F$7,$G564=$G$8,F$8,$G564=$G$9,F$9,$G564=$G$10,F$10,$G564=$G$11,F$11,$G564=$G$12,F$12,$G564=$G$13,F$13,$G564=$G$15,F$15,$G564=$G$16,F$16,$G564=$G$17,F$17,$G564=$G$18,F$18,$G564=$G$19,F$19,$G564=$G$20,F$20,$G564=$G$21,F$21,$G564=$G$22,F$22,$G564=$G$25,F$25,$G564=$G$26,F$26,$G564=$G$27,F$27,$G564=$G$29,F$29,$G564=$G$31,F$31,$G564=$G$32,F$32,$G564=$G$248,F$248,$G564=$G$250,F$250)</f>
        <v>8038</v>
      </c>
      <c r="G564" t="s">
        <v>74</v>
      </c>
      <c r="H564" s="67" cm="1">
        <f t="array" ref="H564">_xlfn.IFS($G564=$G$5,H$5,$G564=$G$6,H$6,$G564=$G$7,H$7,$G564=$G$8,H$8,$G564=$G$9,H$9,$G564=$G$10,H$10,$G564=$G$11,H$11,$G564=$G$12,H$12,$G564=$G$13,H$13,$G564=$G$15,H$15,$G564=$G$16,H$16,$G564=$G$17,H$17,$G564=$G$18,H$18,$G564=$G$19,H$19,$G564=$G$20,H$20,$G564=$G$21,H$21,$G564=$G$22,H$22,$G564=$G$25,H$25,$G564=$G$26,H$26,$G564=$G$27,H$27,$G564=$G$29,H$29,$G564=$G$31,H$31,$G564=$G$32,H$150,$G564=$G$248,H$248,$G564=$G$250,H$250)</f>
        <v>41.371864000000002</v>
      </c>
      <c r="I564" s="67" cm="1">
        <f t="array" ref="I564">_xlfn.IFS($G564=$G$5,I$5,$G564=$G$6,I$6,$G564=$G$7,I$7,$G564=$G$8,I$8,$G564=$G$9,I$9,$G564=$G$10,I$10,$G564=$G$11,I$11,$G564=$G$12,I$12,$G564=$G$13,I$13,$G564=$G$15,I$15,$G564=$G$16,I$16,$G564=$G$17,I$17,$G564=$G$18,I$18,$G564=$G$19,I$19,$G564=$G$20,I$20,$G564=$G$21,I$21,$G564=$G$22,I$22,$G564=$G$25,I$25,$G564=$G$26,I$26,$G564=$G$27,I$27,$G564=$G$29,I$29,$G564=$G$31,I$31,$G564=$G$32,I$150,$G564=$G$248,I$248,$G564=$G$250,I$250)</f>
        <v>2.173899</v>
      </c>
      <c r="J564" s="48" cm="1">
        <f t="array" ref="J564">_xlfn.IFS($G564=$G$5,J$5,$G564=$G$6,J$6,$G564=$G$7,J$7,$G564=$G$8,J$8,$G564=$G$9,J$9,$G564=$G$10,J$10,$G564=$G$11,J$11,$G564=$G$12,J$12,$G564=$G$13,J$13,$G564=$G$15,J$15,$G564=$G$16,J$16,$G564=$G$17,J$17,$G564=$G$18,J$18,$G564=$G$19,J$19,$G564=$G$20,J$20,$G564=$G$21,J$21,$G564=$G$22,J$22,$G564=$G$25,J$25,$G564=$G$26,J$26,$G564=$G$27,J$27,$G564=$G$29,J$29,$G564=$G$31,J$31,$G564=$G$32,J$150,$G564=$G$248,J$248,$G564=$G$250,J$250)</f>
        <v>5</v>
      </c>
      <c r="K564" s="48" t="str" cm="1">
        <f t="array" ref="K564">_xlfn.IFS($G564=$G$5,K$5,$G564=$G$6,K$6,$G564=$G$7,K$7,$G564=$G$8,K$8,$G564=$G$9,K$9,$G564=$G$10,K$10,$G564=$G$11,K$11,$G564=$G$12,K$12,$G564=$G$13,K$13,$G564=$G$15,K$15,$G564=$G$16,K$16,$G564=$G$17,K$17,$G564=$G$18,K$18,$G564=$G$19,K$19,$G564=$G$20,K$20,$G564=$G$21,K$21,$G564=$G$22,K$22,$G564=$G$25,K$25,$G564=$G$26,K$26,$G564=$G$27,K$27,$G564=$G$29,K$29,$G564=$G$31,K$31,$G564=$G$32,K$150,$G564=$G$248,K$248,$G564=$G$250,K$250)</f>
        <v>BG sentinel + BG lure7</v>
      </c>
      <c r="L564" s="48"/>
      <c r="M564" s="48"/>
      <c r="O564" s="45" t="str">
        <f t="shared" si="41"/>
        <v>A_SP_BCN_7_210812</v>
      </c>
      <c r="P564" s="64">
        <v>44420</v>
      </c>
      <c r="R564" s="72"/>
      <c r="S564" s="64">
        <v>44427</v>
      </c>
      <c r="U564" s="72"/>
      <c r="V564" s="54" t="s">
        <v>66</v>
      </c>
      <c r="X564" s="45">
        <f t="shared" si="44"/>
        <v>7</v>
      </c>
      <c r="Z564" s="69" t="s">
        <v>69</v>
      </c>
      <c r="AA564" s="45">
        <f t="shared" si="36"/>
        <v>10</v>
      </c>
      <c r="AB564" t="str">
        <f t="shared" si="42"/>
        <v>Adult</v>
      </c>
      <c r="AC564" s="69">
        <v>9</v>
      </c>
      <c r="AD564" s="69">
        <v>1</v>
      </c>
      <c r="AE564" s="45" t="str">
        <f t="shared" si="43"/>
        <v>Morphological</v>
      </c>
      <c r="AF564" s="56">
        <v>4</v>
      </c>
    </row>
    <row r="565" spans="1:32" ht="18" customHeight="1" x14ac:dyDescent="0.25">
      <c r="A565" s="45">
        <v>561</v>
      </c>
      <c r="B565" s="45" t="s">
        <v>60</v>
      </c>
      <c r="C565" s="45" t="s">
        <v>61</v>
      </c>
      <c r="D565" s="45" t="s">
        <v>62</v>
      </c>
      <c r="E565" s="45" t="s">
        <v>62</v>
      </c>
      <c r="F565" s="46" cm="1">
        <f t="array" ref="F565">_xlfn.IFS($G565=$G$5,F$5,$G565=$G$6,F$6,$G565=$G$7,F$7,$G565=$G$8,F$8,$G565=$G$9,F$9,$G565=$G$10,F$10,$G565=$G$11,F$11,$G565=$G$12,F$12,$G565=$G$13,F$13,$G565=$G$15,F$15,$G565=$G$16,F$16,$G565=$G$17,F$17,$G565=$G$18,F$18,$G565=$G$19,F$19,$G565=$G$20,F$20,$G565=$G$21,F$21,$G565=$G$22,F$22,$G565=$G$25,F$25,$G565=$G$26,F$26,$G565=$G$27,F$27,$G565=$G$29,F$29,$G565=$G$31,F$31,$G565=$G$32,F$32,$G565=$G$248,F$248,$G565=$G$250,F$250)</f>
        <v>8038</v>
      </c>
      <c r="G565" t="s">
        <v>74</v>
      </c>
      <c r="H565" s="67" cm="1">
        <f t="array" ref="H565">_xlfn.IFS($G565=$G$5,H$5,$G565=$G$6,H$6,$G565=$G$7,H$7,$G565=$G$8,H$8,$G565=$G$9,H$9,$G565=$G$10,H$10,$G565=$G$11,H$11,$G565=$G$12,H$12,$G565=$G$13,H$13,$G565=$G$15,H$15,$G565=$G$16,H$16,$G565=$G$17,H$17,$G565=$G$18,H$18,$G565=$G$19,H$19,$G565=$G$20,H$20,$G565=$G$21,H$21,$G565=$G$22,H$22,$G565=$G$25,H$25,$G565=$G$26,H$26,$G565=$G$27,H$27,$G565=$G$29,H$29,$G565=$G$31,H$31,$G565=$G$32,H$150,$G565=$G$248,H$248,$G565=$G$250,H$250)</f>
        <v>41.371864000000002</v>
      </c>
      <c r="I565" s="67" cm="1">
        <f t="array" ref="I565">_xlfn.IFS($G565=$G$5,I$5,$G565=$G$6,I$6,$G565=$G$7,I$7,$G565=$G$8,I$8,$G565=$G$9,I$9,$G565=$G$10,I$10,$G565=$G$11,I$11,$G565=$G$12,I$12,$G565=$G$13,I$13,$G565=$G$15,I$15,$G565=$G$16,I$16,$G565=$G$17,I$17,$G565=$G$18,I$18,$G565=$G$19,I$19,$G565=$G$20,I$20,$G565=$G$21,I$21,$G565=$G$22,I$22,$G565=$G$25,I$25,$G565=$G$26,I$26,$G565=$G$27,I$27,$G565=$G$29,I$29,$G565=$G$31,I$31,$G565=$G$32,I$150,$G565=$G$248,I$248,$G565=$G$250,I$250)</f>
        <v>2.173899</v>
      </c>
      <c r="J565" s="48" cm="1">
        <f t="array" ref="J565">_xlfn.IFS($G565=$G$5,J$5,$G565=$G$6,J$6,$G565=$G$7,J$7,$G565=$G$8,J$8,$G565=$G$9,J$9,$G565=$G$10,J$10,$G565=$G$11,J$11,$G565=$G$12,J$12,$G565=$G$13,J$13,$G565=$G$15,J$15,$G565=$G$16,J$16,$G565=$G$17,J$17,$G565=$G$18,J$18,$G565=$G$19,J$19,$G565=$G$20,J$20,$G565=$G$21,J$21,$G565=$G$22,J$22,$G565=$G$25,J$25,$G565=$G$26,J$26,$G565=$G$27,J$27,$G565=$G$29,J$29,$G565=$G$31,J$31,$G565=$G$32,J$150,$G565=$G$248,J$248,$G565=$G$250,J$250)</f>
        <v>5</v>
      </c>
      <c r="K565" s="48" t="str" cm="1">
        <f t="array" ref="K565">_xlfn.IFS($G565=$G$5,K$5,$G565=$G$6,K$6,$G565=$G$7,K$7,$G565=$G$8,K$8,$G565=$G$9,K$9,$G565=$G$10,K$10,$G565=$G$11,K$11,$G565=$G$12,K$12,$G565=$G$13,K$13,$G565=$G$15,K$15,$G565=$G$16,K$16,$G565=$G$17,K$17,$G565=$G$18,K$18,$G565=$G$19,K$19,$G565=$G$20,K$20,$G565=$G$21,K$21,$G565=$G$22,K$22,$G565=$G$25,K$25,$G565=$G$26,K$26,$G565=$G$27,K$27,$G565=$G$29,K$29,$G565=$G$31,K$31,$G565=$G$32,K$150,$G565=$G$248,K$248,$G565=$G$250,K$250)</f>
        <v>BG sentinel + BG lure7</v>
      </c>
      <c r="L565" s="48"/>
      <c r="M565" s="48"/>
      <c r="O565" s="45" t="str">
        <f t="shared" si="41"/>
        <v>A_SP_BCN_7_210812</v>
      </c>
      <c r="P565" s="64">
        <v>44420</v>
      </c>
      <c r="R565" s="72"/>
      <c r="S565" s="64">
        <v>44427</v>
      </c>
      <c r="U565" s="72"/>
      <c r="V565" s="54" t="s">
        <v>66</v>
      </c>
      <c r="X565" s="45">
        <f t="shared" si="44"/>
        <v>7</v>
      </c>
      <c r="Z565" s="45" t="s">
        <v>70</v>
      </c>
      <c r="AA565" s="45">
        <f t="shared" si="36"/>
        <v>1</v>
      </c>
      <c r="AB565" t="str">
        <f t="shared" si="42"/>
        <v>Adult</v>
      </c>
      <c r="AC565" s="69">
        <v>0</v>
      </c>
      <c r="AD565" s="69">
        <v>1</v>
      </c>
      <c r="AE565" s="45" t="str">
        <f t="shared" si="43"/>
        <v>Morphological</v>
      </c>
      <c r="AF565" s="56">
        <v>4</v>
      </c>
    </row>
    <row r="566" spans="1:32" ht="18" customHeight="1" x14ac:dyDescent="0.25">
      <c r="A566" s="45">
        <v>562</v>
      </c>
      <c r="B566" s="45" t="s">
        <v>60</v>
      </c>
      <c r="C566" s="45" t="s">
        <v>61</v>
      </c>
      <c r="D566" s="45" t="s">
        <v>62</v>
      </c>
      <c r="E566" s="45" t="s">
        <v>62</v>
      </c>
      <c r="F566" s="46" cm="1">
        <f t="array" ref="F566">_xlfn.IFS($G566=$G$5,F$5,$G566=$G$6,F$6,$G566=$G$7,F$7,$G566=$G$8,F$8,$G566=$G$9,F$9,$G566=$G$10,F$10,$G566=$G$11,F$11,$G566=$G$12,F$12,$G566=$G$13,F$13,$G566=$G$15,F$15,$G566=$G$16,F$16,$G566=$G$17,F$17,$G566=$G$18,F$18,$G566=$G$19,F$19,$G566=$G$20,F$20,$G566=$G$21,F$21,$G566=$G$22,F$22,$G566=$G$25,F$25,$G566=$G$26,F$26,$G566=$G$27,F$27,$G566=$G$29,F$29,$G566=$G$31,F$31,$G566=$G$32,F$32,$G566=$G$248,F$248,$G566=$G$250,F$250)</f>
        <v>8038</v>
      </c>
      <c r="G566" t="s">
        <v>74</v>
      </c>
      <c r="H566" s="67" cm="1">
        <f t="array" ref="H566">_xlfn.IFS($G566=$G$5,H$5,$G566=$G$6,H$6,$G566=$G$7,H$7,$G566=$G$8,H$8,$G566=$G$9,H$9,$G566=$G$10,H$10,$G566=$G$11,H$11,$G566=$G$12,H$12,$G566=$G$13,H$13,$G566=$G$15,H$15,$G566=$G$16,H$16,$G566=$G$17,H$17,$G566=$G$18,H$18,$G566=$G$19,H$19,$G566=$G$20,H$20,$G566=$G$21,H$21,$G566=$G$22,H$22,$G566=$G$25,H$25,$G566=$G$26,H$26,$G566=$G$27,H$27,$G566=$G$29,H$29,$G566=$G$31,H$31,$G566=$G$32,H$150,$G566=$G$248,H$248,$G566=$G$250,H$250)</f>
        <v>41.371864000000002</v>
      </c>
      <c r="I566" s="67" cm="1">
        <f t="array" ref="I566">_xlfn.IFS($G566=$G$5,I$5,$G566=$G$6,I$6,$G566=$G$7,I$7,$G566=$G$8,I$8,$G566=$G$9,I$9,$G566=$G$10,I$10,$G566=$G$11,I$11,$G566=$G$12,I$12,$G566=$G$13,I$13,$G566=$G$15,I$15,$G566=$G$16,I$16,$G566=$G$17,I$17,$G566=$G$18,I$18,$G566=$G$19,I$19,$G566=$G$20,I$20,$G566=$G$21,I$21,$G566=$G$22,I$22,$G566=$G$25,I$25,$G566=$G$26,I$26,$G566=$G$27,I$27,$G566=$G$29,I$29,$G566=$G$31,I$31,$G566=$G$32,I$150,$G566=$G$248,I$248,$G566=$G$250,I$250)</f>
        <v>2.173899</v>
      </c>
      <c r="J566" s="48" cm="1">
        <f t="array" ref="J566">_xlfn.IFS($G566=$G$5,J$5,$G566=$G$6,J$6,$G566=$G$7,J$7,$G566=$G$8,J$8,$G566=$G$9,J$9,$G566=$G$10,J$10,$G566=$G$11,J$11,$G566=$G$12,J$12,$G566=$G$13,J$13,$G566=$G$15,J$15,$G566=$G$16,J$16,$G566=$G$17,J$17,$G566=$G$18,J$18,$G566=$G$19,J$19,$G566=$G$20,J$20,$G566=$G$21,J$21,$G566=$G$22,J$22,$G566=$G$25,J$25,$G566=$G$26,J$26,$G566=$G$27,J$27,$G566=$G$29,J$29,$G566=$G$31,J$31,$G566=$G$32,J$150,$G566=$G$248,J$248,$G566=$G$250,J$250)</f>
        <v>5</v>
      </c>
      <c r="K566" s="48" t="str" cm="1">
        <f t="array" ref="K566">_xlfn.IFS($G566=$G$5,K$5,$G566=$G$6,K$6,$G566=$G$7,K$7,$G566=$G$8,K$8,$G566=$G$9,K$9,$G566=$G$10,K$10,$G566=$G$11,K$11,$G566=$G$12,K$12,$G566=$G$13,K$13,$G566=$G$15,K$15,$G566=$G$16,K$16,$G566=$G$17,K$17,$G566=$G$18,K$18,$G566=$G$19,K$19,$G566=$G$20,K$20,$G566=$G$21,K$21,$G566=$G$22,K$22,$G566=$G$25,K$25,$G566=$G$26,K$26,$G566=$G$27,K$27,$G566=$G$29,K$29,$G566=$G$31,K$31,$G566=$G$32,K$150,$G566=$G$248,K$248,$G566=$G$250,K$250)</f>
        <v>BG sentinel + BG lure7</v>
      </c>
      <c r="L566" s="48"/>
      <c r="M566" s="48"/>
      <c r="O566" s="45" t="str">
        <f t="shared" si="41"/>
        <v>A_SP_BCN_7_210812</v>
      </c>
      <c r="P566" s="64">
        <v>44420</v>
      </c>
      <c r="R566" s="72"/>
      <c r="S566" s="64">
        <v>44427</v>
      </c>
      <c r="U566" s="72"/>
      <c r="V566" s="54" t="s">
        <v>66</v>
      </c>
      <c r="X566" s="45">
        <f t="shared" si="44"/>
        <v>7</v>
      </c>
      <c r="Z566" s="45" t="s">
        <v>80</v>
      </c>
      <c r="AA566" s="45">
        <f t="shared" si="36"/>
        <v>1</v>
      </c>
      <c r="AB566" t="str">
        <f t="shared" si="42"/>
        <v>Adult</v>
      </c>
      <c r="AC566" s="69">
        <v>0</v>
      </c>
      <c r="AD566" s="69">
        <v>1</v>
      </c>
      <c r="AE566" s="45" t="str">
        <f t="shared" si="43"/>
        <v>Morphological</v>
      </c>
      <c r="AF566" s="56">
        <v>4</v>
      </c>
    </row>
    <row r="567" spans="1:32" ht="18" customHeight="1" x14ac:dyDescent="0.25">
      <c r="A567" s="45">
        <v>563</v>
      </c>
      <c r="B567" s="45" t="s">
        <v>60</v>
      </c>
      <c r="C567" s="45" t="s">
        <v>61</v>
      </c>
      <c r="D567" s="45" t="s">
        <v>62</v>
      </c>
      <c r="E567" s="45" t="s">
        <v>62</v>
      </c>
      <c r="F567" s="46" cm="1">
        <f t="array" ref="F567">_xlfn.IFS($G567=$G$5,F$5,$G567=$G$6,F$6,$G567=$G$7,F$7,$G567=$G$8,F$8,$G567=$G$9,F$9,$G567=$G$10,F$10,$G567=$G$11,F$11,$G567=$G$12,F$12,$G567=$G$13,F$13,$G567=$G$15,F$15,$G567=$G$16,F$16,$G567=$G$17,F$17,$G567=$G$18,F$18,$G567=$G$19,F$19,$G567=$G$20,F$20,$G567=$G$21,F$21,$G567=$G$22,F$22,$G567=$G$25,F$25,$G567=$G$26,F$26,$G567=$G$27,F$27,$G567=$G$29,F$29,$G567=$G$31,F$31,$G567=$G$32,F$32,$G567=$G$248,F$248,$G567=$G$250,F$250)</f>
        <v>8038</v>
      </c>
      <c r="G567" t="s">
        <v>75</v>
      </c>
      <c r="H567" s="67" cm="1">
        <f t="array" ref="H567">_xlfn.IFS($G567=$G$5,H$5,$G567=$G$6,H$6,$G567=$G$7,H$7,$G567=$G$8,H$8,$G567=$G$9,H$9,$G567=$G$10,H$10,$G567=$G$11,H$11,$G567=$G$12,H$12,$G567=$G$13,H$13,$G567=$G$15,H$15,$G567=$G$16,H$16,$G567=$G$17,H$17,$G567=$G$18,H$18,$G567=$G$19,H$19,$G567=$G$20,H$20,$G567=$G$21,H$21,$G567=$G$22,H$22,$G567=$G$25,H$25,$G567=$G$26,H$26,$G567=$G$27,H$27,$G567=$G$29,H$29,$G567=$G$31,H$31,$G567=$G$32,H$150,$G567=$G$248,H$248,$G567=$G$250,H$250)</f>
        <v>41.368589</v>
      </c>
      <c r="I567" s="67" cm="1">
        <f t="array" ref="I567">_xlfn.IFS($G567=$G$5,I$5,$G567=$G$6,I$6,$G567=$G$7,I$7,$G567=$G$8,I$8,$G567=$G$9,I$9,$G567=$G$10,I$10,$G567=$G$11,I$11,$G567=$G$12,I$12,$G567=$G$13,I$13,$G567=$G$15,I$15,$G567=$G$16,I$16,$G567=$G$17,I$17,$G567=$G$18,I$18,$G567=$G$19,I$19,$G567=$G$20,I$20,$G567=$G$21,I$21,$G567=$G$22,I$22,$G567=$G$25,I$25,$G567=$G$26,I$26,$G567=$G$27,I$27,$G567=$G$29,I$29,$G567=$G$31,I$31,$G567=$G$32,I$150,$G567=$G$248,I$248,$G567=$G$250,I$250)</f>
        <v>2.1620900000000001</v>
      </c>
      <c r="J567" s="48" cm="1">
        <f t="array" ref="J567">_xlfn.IFS($G567=$G$5,J$5,$G567=$G$6,J$6,$G567=$G$7,J$7,$G567=$G$8,J$8,$G567=$G$9,J$9,$G567=$G$10,J$10,$G567=$G$11,J$11,$G567=$G$12,J$12,$G567=$G$13,J$13,$G567=$G$15,J$15,$G567=$G$16,J$16,$G567=$G$17,J$17,$G567=$G$18,J$18,$G567=$G$19,J$19,$G567=$G$20,J$20,$G567=$G$21,J$21,$G567=$G$22,J$22,$G567=$G$25,J$25,$G567=$G$26,J$26,$G567=$G$27,J$27,$G567=$G$29,J$29,$G567=$G$31,J$31,$G567=$G$32,J$150,$G567=$G$248,J$248,$G567=$G$250,J$250)</f>
        <v>95</v>
      </c>
      <c r="K567" s="48" t="str" cm="1">
        <f t="array" ref="K567">_xlfn.IFS($G567=$G$5,K$5,$G567=$G$6,K$6,$G567=$G$7,K$7,$G567=$G$8,K$8,$G567=$G$9,K$9,$G567=$G$10,K$10,$G567=$G$11,K$11,$G567=$G$12,K$12,$G567=$G$13,K$13,$G567=$G$15,K$15,$G567=$G$16,K$16,$G567=$G$17,K$17,$G567=$G$18,K$18,$G567=$G$19,K$19,$G567=$G$20,K$20,$G567=$G$21,K$21,$G567=$G$22,K$22,$G567=$G$25,K$25,$G567=$G$26,K$26,$G567=$G$27,K$27,$G567=$G$29,K$29,$G567=$G$31,K$31,$G567=$G$32,K$150,$G567=$G$248,K$248,$G567=$G$250,K$250)</f>
        <v>BG sentinel + BG lure7</v>
      </c>
      <c r="L567" s="48"/>
      <c r="M567" s="48"/>
      <c r="O567" s="45" t="str">
        <f t="shared" si="41"/>
        <v>A_SP_BCN_8_210812</v>
      </c>
      <c r="P567" s="64">
        <v>44420</v>
      </c>
      <c r="R567" s="72"/>
      <c r="S567" s="64">
        <v>44427</v>
      </c>
      <c r="U567" s="72"/>
      <c r="V567" s="54" t="s">
        <v>66</v>
      </c>
      <c r="X567" s="45">
        <f t="shared" si="44"/>
        <v>7</v>
      </c>
      <c r="Z567" s="69" t="s">
        <v>69</v>
      </c>
      <c r="AA567" s="45">
        <f t="shared" si="36"/>
        <v>37</v>
      </c>
      <c r="AB567" t="str">
        <f t="shared" si="42"/>
        <v>Adult</v>
      </c>
      <c r="AC567" s="69">
        <v>24</v>
      </c>
      <c r="AD567" s="69">
        <v>13</v>
      </c>
      <c r="AE567" s="45" t="str">
        <f t="shared" si="43"/>
        <v>Morphological</v>
      </c>
      <c r="AF567" s="56">
        <v>4</v>
      </c>
    </row>
    <row r="568" spans="1:32" ht="18" customHeight="1" x14ac:dyDescent="0.25">
      <c r="A568" s="45">
        <v>564</v>
      </c>
      <c r="B568" s="45" t="s">
        <v>60</v>
      </c>
      <c r="C568" s="45" t="s">
        <v>61</v>
      </c>
      <c r="D568" s="45" t="s">
        <v>62</v>
      </c>
      <c r="E568" s="45" t="s">
        <v>62</v>
      </c>
      <c r="F568" s="46" cm="1">
        <f t="array" ref="F568">_xlfn.IFS($G568=$G$5,F$5,$G568=$G$6,F$6,$G568=$G$7,F$7,$G568=$G$8,F$8,$G568=$G$9,F$9,$G568=$G$10,F$10,$G568=$G$11,F$11,$G568=$G$12,F$12,$G568=$G$13,F$13,$G568=$G$15,F$15,$G568=$G$16,F$16,$G568=$G$17,F$17,$G568=$G$18,F$18,$G568=$G$19,F$19,$G568=$G$20,F$20,$G568=$G$21,F$21,$G568=$G$22,F$22,$G568=$G$25,F$25,$G568=$G$26,F$26,$G568=$G$27,F$27,$G568=$G$29,F$29,$G568=$G$31,F$31,$G568=$G$32,F$32,$G568=$G$248,F$248,$G568=$G$250,F$250)</f>
        <v>8038</v>
      </c>
      <c r="G568" t="s">
        <v>75</v>
      </c>
      <c r="H568" s="67" cm="1">
        <f t="array" ref="H568">_xlfn.IFS($G568=$G$5,H$5,$G568=$G$6,H$6,$G568=$G$7,H$7,$G568=$G$8,H$8,$G568=$G$9,H$9,$G568=$G$10,H$10,$G568=$G$11,H$11,$G568=$G$12,H$12,$G568=$G$13,H$13,$G568=$G$15,H$15,$G568=$G$16,H$16,$G568=$G$17,H$17,$G568=$G$18,H$18,$G568=$G$19,H$19,$G568=$G$20,H$20,$G568=$G$21,H$21,$G568=$G$22,H$22,$G568=$G$25,H$25,$G568=$G$26,H$26,$G568=$G$27,H$27,$G568=$G$29,H$29,$G568=$G$31,H$31,$G568=$G$32,H$150,$G568=$G$248,H$248,$G568=$G$250,H$250)</f>
        <v>41.368589</v>
      </c>
      <c r="I568" s="67" cm="1">
        <f t="array" ref="I568">_xlfn.IFS($G568=$G$5,I$5,$G568=$G$6,I$6,$G568=$G$7,I$7,$G568=$G$8,I$8,$G568=$G$9,I$9,$G568=$G$10,I$10,$G568=$G$11,I$11,$G568=$G$12,I$12,$G568=$G$13,I$13,$G568=$G$15,I$15,$G568=$G$16,I$16,$G568=$G$17,I$17,$G568=$G$18,I$18,$G568=$G$19,I$19,$G568=$G$20,I$20,$G568=$G$21,I$21,$G568=$G$22,I$22,$G568=$G$25,I$25,$G568=$G$26,I$26,$G568=$G$27,I$27,$G568=$G$29,I$29,$G568=$G$31,I$31,$G568=$G$32,I$150,$G568=$G$248,I$248,$G568=$G$250,I$250)</f>
        <v>2.1620900000000001</v>
      </c>
      <c r="J568" s="48" cm="1">
        <f t="array" ref="J568">_xlfn.IFS($G568=$G$5,J$5,$G568=$G$6,J$6,$G568=$G$7,J$7,$G568=$G$8,J$8,$G568=$G$9,J$9,$G568=$G$10,J$10,$G568=$G$11,J$11,$G568=$G$12,J$12,$G568=$G$13,J$13,$G568=$G$15,J$15,$G568=$G$16,J$16,$G568=$G$17,J$17,$G568=$G$18,J$18,$G568=$G$19,J$19,$G568=$G$20,J$20,$G568=$G$21,J$21,$G568=$G$22,J$22,$G568=$G$25,J$25,$G568=$G$26,J$26,$G568=$G$27,J$27,$G568=$G$29,J$29,$G568=$G$31,J$31,$G568=$G$32,J$150,$G568=$G$248,J$248,$G568=$G$250,J$250)</f>
        <v>95</v>
      </c>
      <c r="K568" s="48" t="str" cm="1">
        <f t="array" ref="K568">_xlfn.IFS($G568=$G$5,K$5,$G568=$G$6,K$6,$G568=$G$7,K$7,$G568=$G$8,K$8,$G568=$G$9,K$9,$G568=$G$10,K$10,$G568=$G$11,K$11,$G568=$G$12,K$12,$G568=$G$13,K$13,$G568=$G$15,K$15,$G568=$G$16,K$16,$G568=$G$17,K$17,$G568=$G$18,K$18,$G568=$G$19,K$19,$G568=$G$20,K$20,$G568=$G$21,K$21,$G568=$G$22,K$22,$G568=$G$25,K$25,$G568=$G$26,K$26,$G568=$G$27,K$27,$G568=$G$29,K$29,$G568=$G$31,K$31,$G568=$G$32,K$150,$G568=$G$248,K$248,$G568=$G$250,K$250)</f>
        <v>BG sentinel + BG lure7</v>
      </c>
      <c r="L568" s="48"/>
      <c r="M568" s="48"/>
      <c r="O568" s="45" t="str">
        <f t="shared" si="41"/>
        <v>A_SP_BCN_8_210812</v>
      </c>
      <c r="P568" s="64">
        <v>44420</v>
      </c>
      <c r="R568" s="72"/>
      <c r="S568" s="64">
        <v>44427</v>
      </c>
      <c r="U568" s="72"/>
      <c r="V568" s="54" t="s">
        <v>66</v>
      </c>
      <c r="X568" s="45">
        <f t="shared" si="44"/>
        <v>7</v>
      </c>
      <c r="Z568" s="45" t="s">
        <v>70</v>
      </c>
      <c r="AA568" s="45">
        <f t="shared" si="36"/>
        <v>4</v>
      </c>
      <c r="AB568" t="str">
        <f t="shared" si="42"/>
        <v>Adult</v>
      </c>
      <c r="AC568" s="69">
        <v>4</v>
      </c>
      <c r="AD568" s="69">
        <v>0</v>
      </c>
      <c r="AE568" s="45" t="str">
        <f t="shared" si="43"/>
        <v>Morphological</v>
      </c>
      <c r="AF568" s="56">
        <v>4</v>
      </c>
    </row>
    <row r="569" spans="1:32" ht="18" customHeight="1" x14ac:dyDescent="0.25">
      <c r="A569" s="45">
        <v>565</v>
      </c>
      <c r="B569" s="45" t="s">
        <v>60</v>
      </c>
      <c r="C569" s="45" t="s">
        <v>61</v>
      </c>
      <c r="D569" s="45" t="s">
        <v>62</v>
      </c>
      <c r="E569" s="45" t="s">
        <v>62</v>
      </c>
      <c r="F569" s="46" cm="1">
        <f t="array" ref="F569">_xlfn.IFS($G569=$G$5,F$5,$G569=$G$6,F$6,$G569=$G$7,F$7,$G569=$G$8,F$8,$G569=$G$9,F$9,$G569=$G$10,F$10,$G569=$G$11,F$11,$G569=$G$12,F$12,$G569=$G$13,F$13,$G569=$G$15,F$15,$G569=$G$16,F$16,$G569=$G$17,F$17,$G569=$G$18,F$18,$G569=$G$19,F$19,$G569=$G$20,F$20,$G569=$G$21,F$21,$G569=$G$22,F$22,$G569=$G$25,F$25,$G569=$G$26,F$26,$G569=$G$27,F$27,$G569=$G$29,F$29,$G569=$G$31,F$31,$G569=$G$32,F$32,$G569=$G$248,F$248,$G569=$G$250,F$250)</f>
        <v>8038</v>
      </c>
      <c r="G569" t="s">
        <v>75</v>
      </c>
      <c r="H569" s="67" cm="1">
        <f t="array" ref="H569">_xlfn.IFS($G569=$G$5,H$5,$G569=$G$6,H$6,$G569=$G$7,H$7,$G569=$G$8,H$8,$G569=$G$9,H$9,$G569=$G$10,H$10,$G569=$G$11,H$11,$G569=$G$12,H$12,$G569=$G$13,H$13,$G569=$G$15,H$15,$G569=$G$16,H$16,$G569=$G$17,H$17,$G569=$G$18,H$18,$G569=$G$19,H$19,$G569=$G$20,H$20,$G569=$G$21,H$21,$G569=$G$22,H$22,$G569=$G$25,H$25,$G569=$G$26,H$26,$G569=$G$27,H$27,$G569=$G$29,H$29,$G569=$G$31,H$31,$G569=$G$32,H$150,$G569=$G$248,H$248,$G569=$G$250,H$250)</f>
        <v>41.368589</v>
      </c>
      <c r="I569" s="67" cm="1">
        <f t="array" ref="I569">_xlfn.IFS($G569=$G$5,I$5,$G569=$G$6,I$6,$G569=$G$7,I$7,$G569=$G$8,I$8,$G569=$G$9,I$9,$G569=$G$10,I$10,$G569=$G$11,I$11,$G569=$G$12,I$12,$G569=$G$13,I$13,$G569=$G$15,I$15,$G569=$G$16,I$16,$G569=$G$17,I$17,$G569=$G$18,I$18,$G569=$G$19,I$19,$G569=$G$20,I$20,$G569=$G$21,I$21,$G569=$G$22,I$22,$G569=$G$25,I$25,$G569=$G$26,I$26,$G569=$G$27,I$27,$G569=$G$29,I$29,$G569=$G$31,I$31,$G569=$G$32,I$150,$G569=$G$248,I$248,$G569=$G$250,I$250)</f>
        <v>2.1620900000000001</v>
      </c>
      <c r="J569" s="48" cm="1">
        <f t="array" ref="J569">_xlfn.IFS($G569=$G$5,J$5,$G569=$G$6,J$6,$G569=$G$7,J$7,$G569=$G$8,J$8,$G569=$G$9,J$9,$G569=$G$10,J$10,$G569=$G$11,J$11,$G569=$G$12,J$12,$G569=$G$13,J$13,$G569=$G$15,J$15,$G569=$G$16,J$16,$G569=$G$17,J$17,$G569=$G$18,J$18,$G569=$G$19,J$19,$G569=$G$20,J$20,$G569=$G$21,J$21,$G569=$G$22,J$22,$G569=$G$25,J$25,$G569=$G$26,J$26,$G569=$G$27,J$27,$G569=$G$29,J$29,$G569=$G$31,J$31,$G569=$G$32,J$150,$G569=$G$248,J$248,$G569=$G$250,J$250)</f>
        <v>95</v>
      </c>
      <c r="K569" s="48" t="str" cm="1">
        <f t="array" ref="K569">_xlfn.IFS($G569=$G$5,K$5,$G569=$G$6,K$6,$G569=$G$7,K$7,$G569=$G$8,K$8,$G569=$G$9,K$9,$G569=$G$10,K$10,$G569=$G$11,K$11,$G569=$G$12,K$12,$G569=$G$13,K$13,$G569=$G$15,K$15,$G569=$G$16,K$16,$G569=$G$17,K$17,$G569=$G$18,K$18,$G569=$G$19,K$19,$G569=$G$20,K$20,$G569=$G$21,K$21,$G569=$G$22,K$22,$G569=$G$25,K$25,$G569=$G$26,K$26,$G569=$G$27,K$27,$G569=$G$29,K$29,$G569=$G$31,K$31,$G569=$G$32,K$150,$G569=$G$248,K$248,$G569=$G$250,K$250)</f>
        <v>BG sentinel + BG lure7</v>
      </c>
      <c r="L569" s="48"/>
      <c r="M569" s="48"/>
      <c r="O569" s="45" t="str">
        <f t="shared" si="41"/>
        <v>A_SP_BCN_8_210812</v>
      </c>
      <c r="P569" s="64">
        <v>44420</v>
      </c>
      <c r="R569" s="72"/>
      <c r="S569" s="64">
        <v>44427</v>
      </c>
      <c r="U569" s="72"/>
      <c r="V569" s="54" t="s">
        <v>66</v>
      </c>
      <c r="X569" s="45">
        <f t="shared" si="44"/>
        <v>7</v>
      </c>
      <c r="Z569" s="45" t="s">
        <v>80</v>
      </c>
      <c r="AA569" s="45">
        <f t="shared" si="36"/>
        <v>2</v>
      </c>
      <c r="AB569" t="str">
        <f t="shared" si="42"/>
        <v>Adult</v>
      </c>
      <c r="AC569" s="69">
        <v>2</v>
      </c>
      <c r="AD569" s="69">
        <v>0</v>
      </c>
      <c r="AE569" s="45" t="str">
        <f t="shared" si="43"/>
        <v>Morphological</v>
      </c>
      <c r="AF569" s="56">
        <v>4</v>
      </c>
    </row>
    <row r="570" spans="1:32" ht="18" customHeight="1" x14ac:dyDescent="0.25">
      <c r="A570" s="45">
        <v>566</v>
      </c>
      <c r="B570" s="45" t="s">
        <v>60</v>
      </c>
      <c r="C570" s="45" t="s">
        <v>61</v>
      </c>
      <c r="D570" s="45" t="s">
        <v>62</v>
      </c>
      <c r="E570" s="45" t="s">
        <v>62</v>
      </c>
      <c r="F570" s="46" cm="1">
        <f t="array" ref="F570">_xlfn.IFS($G570=$G$5,F$5,$G570=$G$6,F$6,$G570=$G$7,F$7,$G570=$G$8,F$8,$G570=$G$9,F$9,$G570=$G$10,F$10,$G570=$G$11,F$11,$G570=$G$12,F$12,$G570=$G$13,F$13,$G570=$G$15,F$15,$G570=$G$16,F$16,$G570=$G$17,F$17,$G570=$G$18,F$18,$G570=$G$19,F$19,$G570=$G$20,F$20,$G570=$G$21,F$21,$G570=$G$22,F$22,$G570=$G$25,F$25,$G570=$G$26,F$26,$G570=$G$27,F$27,$G570=$G$29,F$29,$G570=$G$31,F$31,$G570=$G$32,F$32,$G570=$G$248,F$248,$G570=$G$250,F$250)</f>
        <v>8040</v>
      </c>
      <c r="G570" t="s">
        <v>81</v>
      </c>
      <c r="H570" s="67" cm="1">
        <f t="array" ref="H570">_xlfn.IFS($G570=$G$5,H$5,$G570=$G$6,H$6,$G570=$G$7,H$7,$G570=$G$8,H$8,$G570=$G$9,H$9,$G570=$G$10,H$10,$G570=$G$11,H$11,$G570=$G$12,H$12,$G570=$G$13,H$13,$G570=$G$15,H$15,$G570=$G$16,H$16,$G570=$G$17,H$17,$G570=$G$18,H$18,$G570=$G$19,H$19,$G570=$G$20,H$20,$G570=$G$21,H$21,$G570=$G$22,H$22,$G570=$G$25,H$25,$G570=$G$26,H$26,$G570=$G$27,H$27,$G570=$G$29,H$29,$G570=$G$31,H$31,$G570=$G$32,H$150,$G570=$G$248,H$248,$G570=$G$250,H$250)</f>
        <v>41.343685000000001</v>
      </c>
      <c r="I570" s="67" cm="1">
        <f t="array" ref="I570">_xlfn.IFS($G570=$G$5,I$5,$G570=$G$6,I$6,$G570=$G$7,I$7,$G570=$G$8,I$8,$G570=$G$9,I$9,$G570=$G$10,I$10,$G570=$G$11,I$11,$G570=$G$12,I$12,$G570=$G$13,I$13,$G570=$G$15,I$15,$G570=$G$16,I$16,$G570=$G$17,I$17,$G570=$G$18,I$18,$G570=$G$19,I$19,$G570=$G$20,I$20,$G570=$G$21,I$21,$G570=$G$22,I$22,$G570=$G$25,I$25,$G570=$G$26,I$26,$G570=$G$27,I$27,$G570=$G$29,I$29,$G570=$G$31,I$31,$G570=$G$32,I$150,$G570=$G$248,I$248,$G570=$G$250,I$250)</f>
        <v>2.1441490000000001</v>
      </c>
      <c r="J570" s="48" cm="1">
        <f t="array" ref="J570">_xlfn.IFS($G570=$G$5,J$5,$G570=$G$6,J$6,$G570=$G$7,J$7,$G570=$G$8,J$8,$G570=$G$9,J$9,$G570=$G$10,J$10,$G570=$G$11,J$11,$G570=$G$12,J$12,$G570=$G$13,J$13,$G570=$G$15,J$15,$G570=$G$16,J$16,$G570=$G$17,J$17,$G570=$G$18,J$18,$G570=$G$19,J$19,$G570=$G$20,J$20,$G570=$G$21,J$21,$G570=$G$22,J$22,$G570=$G$25,J$25,$G570=$G$26,J$26,$G570=$G$27,J$27,$G570=$G$29,J$29,$G570=$G$31,J$31,$G570=$G$32,J$150,$G570=$G$248,J$248,$G570=$G$250,J$250)</f>
        <v>4</v>
      </c>
      <c r="K570" s="48" t="str" cm="1">
        <f t="array" ref="K570">_xlfn.IFS($G570=$G$5,K$5,$G570=$G$6,K$6,$G570=$G$7,K$7,$G570=$G$8,K$8,$G570=$G$9,K$9,$G570=$G$10,K$10,$G570=$G$11,K$11,$G570=$G$12,K$12,$G570=$G$13,K$13,$G570=$G$15,K$15,$G570=$G$16,K$16,$G570=$G$17,K$17,$G570=$G$18,K$18,$G570=$G$19,K$19,$G570=$G$20,K$20,$G570=$G$21,K$21,$G570=$G$22,K$22,$G570=$G$25,K$25,$G570=$G$26,K$26,$G570=$G$27,K$27,$G570=$G$29,K$29,$G570=$G$31,K$31,$G570=$G$32,K$150,$G570=$G$248,K$248,$G570=$G$250,K$250)</f>
        <v>BG sentinel + BG lure7</v>
      </c>
      <c r="L570" s="48"/>
      <c r="M570" s="48"/>
      <c r="O570" s="45" t="str">
        <f t="shared" si="41"/>
        <v>A_SP_BCN_10_210812</v>
      </c>
      <c r="P570" s="64">
        <v>44420</v>
      </c>
      <c r="R570" s="72"/>
      <c r="S570" s="64">
        <v>44427</v>
      </c>
      <c r="U570" s="72"/>
      <c r="V570" s="54" t="s">
        <v>66</v>
      </c>
      <c r="X570" s="45">
        <f t="shared" si="44"/>
        <v>7</v>
      </c>
      <c r="Z570" s="69" t="s">
        <v>69</v>
      </c>
      <c r="AA570" s="45">
        <f t="shared" si="36"/>
        <v>38</v>
      </c>
      <c r="AB570" t="str">
        <f t="shared" si="42"/>
        <v>Adult</v>
      </c>
      <c r="AC570" s="69">
        <v>27</v>
      </c>
      <c r="AD570" s="69">
        <v>11</v>
      </c>
      <c r="AE570" s="45" t="str">
        <f t="shared" si="43"/>
        <v>Morphological</v>
      </c>
      <c r="AF570" s="56">
        <v>4</v>
      </c>
    </row>
    <row r="571" spans="1:32" ht="18" customHeight="1" x14ac:dyDescent="0.25">
      <c r="A571" s="45">
        <v>567</v>
      </c>
      <c r="B571" s="45" t="s">
        <v>60</v>
      </c>
      <c r="C571" s="45" t="s">
        <v>61</v>
      </c>
      <c r="D571" s="45" t="s">
        <v>62</v>
      </c>
      <c r="E571" s="45" t="s">
        <v>62</v>
      </c>
      <c r="F571" s="46" cm="1">
        <f t="array" ref="F571">_xlfn.IFS($G571=$G$5,F$5,$G571=$G$6,F$6,$G571=$G$7,F$7,$G571=$G$8,F$8,$G571=$G$9,F$9,$G571=$G$10,F$10,$G571=$G$11,F$11,$G571=$G$12,F$12,$G571=$G$13,F$13,$G571=$G$15,F$15,$G571=$G$16,F$16,$G571=$G$17,F$17,$G571=$G$18,F$18,$G571=$G$19,F$19,$G571=$G$20,F$20,$G571=$G$21,F$21,$G571=$G$22,F$22,$G571=$G$25,F$25,$G571=$G$26,F$26,$G571=$G$27,F$27,$G571=$G$29,F$29,$G571=$G$31,F$31,$G571=$G$32,F$32,$G571=$G$248,F$248,$G571=$G$250,F$250)</f>
        <v>8040</v>
      </c>
      <c r="G571" t="s">
        <v>81</v>
      </c>
      <c r="H571" s="67" cm="1">
        <f t="array" ref="H571">_xlfn.IFS($G571=$G$5,H$5,$G571=$G$6,H$6,$G571=$G$7,H$7,$G571=$G$8,H$8,$G571=$G$9,H$9,$G571=$G$10,H$10,$G571=$G$11,H$11,$G571=$G$12,H$12,$G571=$G$13,H$13,$G571=$G$15,H$15,$G571=$G$16,H$16,$G571=$G$17,H$17,$G571=$G$18,H$18,$G571=$G$19,H$19,$G571=$G$20,H$20,$G571=$G$21,H$21,$G571=$G$22,H$22,$G571=$G$25,H$25,$G571=$G$26,H$26,$G571=$G$27,H$27,$G571=$G$29,H$29,$G571=$G$31,H$31,$G571=$G$32,H$150,$G571=$G$248,H$248,$G571=$G$250,H$250)</f>
        <v>41.343685000000001</v>
      </c>
      <c r="I571" s="67" cm="1">
        <f t="array" ref="I571">_xlfn.IFS($G571=$G$5,I$5,$G571=$G$6,I$6,$G571=$G$7,I$7,$G571=$G$8,I$8,$G571=$G$9,I$9,$G571=$G$10,I$10,$G571=$G$11,I$11,$G571=$G$12,I$12,$G571=$G$13,I$13,$G571=$G$15,I$15,$G571=$G$16,I$16,$G571=$G$17,I$17,$G571=$G$18,I$18,$G571=$G$19,I$19,$G571=$G$20,I$20,$G571=$G$21,I$21,$G571=$G$22,I$22,$G571=$G$25,I$25,$G571=$G$26,I$26,$G571=$G$27,I$27,$G571=$G$29,I$29,$G571=$G$31,I$31,$G571=$G$32,I$150,$G571=$G$248,I$248,$G571=$G$250,I$250)</f>
        <v>2.1441490000000001</v>
      </c>
      <c r="J571" s="48" cm="1">
        <f t="array" ref="J571">_xlfn.IFS($G571=$G$5,J$5,$G571=$G$6,J$6,$G571=$G$7,J$7,$G571=$G$8,J$8,$G571=$G$9,J$9,$G571=$G$10,J$10,$G571=$G$11,J$11,$G571=$G$12,J$12,$G571=$G$13,J$13,$G571=$G$15,J$15,$G571=$G$16,J$16,$G571=$G$17,J$17,$G571=$G$18,J$18,$G571=$G$19,J$19,$G571=$G$20,J$20,$G571=$G$21,J$21,$G571=$G$22,J$22,$G571=$G$25,J$25,$G571=$G$26,J$26,$G571=$G$27,J$27,$G571=$G$29,J$29,$G571=$G$31,J$31,$G571=$G$32,J$150,$G571=$G$248,J$248,$G571=$G$250,J$250)</f>
        <v>4</v>
      </c>
      <c r="K571" s="48" t="str" cm="1">
        <f t="array" ref="K571">_xlfn.IFS($G571=$G$5,K$5,$G571=$G$6,K$6,$G571=$G$7,K$7,$G571=$G$8,K$8,$G571=$G$9,K$9,$G571=$G$10,K$10,$G571=$G$11,K$11,$G571=$G$12,K$12,$G571=$G$13,K$13,$G571=$G$15,K$15,$G571=$G$16,K$16,$G571=$G$17,K$17,$G571=$G$18,K$18,$G571=$G$19,K$19,$G571=$G$20,K$20,$G571=$G$21,K$21,$G571=$G$22,K$22,$G571=$G$25,K$25,$G571=$G$26,K$26,$G571=$G$27,K$27,$G571=$G$29,K$29,$G571=$G$31,K$31,$G571=$G$32,K$150,$G571=$G$248,K$248,$G571=$G$250,K$250)</f>
        <v>BG sentinel + BG lure7</v>
      </c>
      <c r="L571" s="48"/>
      <c r="M571" s="48"/>
      <c r="O571" s="45" t="str">
        <f t="shared" si="41"/>
        <v>A_SP_BCN_10_210812</v>
      </c>
      <c r="P571" s="64">
        <v>44420</v>
      </c>
      <c r="R571" s="72"/>
      <c r="S571" s="64">
        <v>44427</v>
      </c>
      <c r="U571" s="72"/>
      <c r="V571" s="54" t="s">
        <v>66</v>
      </c>
      <c r="X571" s="45">
        <f t="shared" si="44"/>
        <v>7</v>
      </c>
      <c r="Z571" s="45" t="s">
        <v>70</v>
      </c>
      <c r="AA571" s="45">
        <f t="shared" si="36"/>
        <v>11</v>
      </c>
      <c r="AB571" t="str">
        <f t="shared" si="42"/>
        <v>Adult</v>
      </c>
      <c r="AC571" s="69">
        <v>9</v>
      </c>
      <c r="AD571" s="69">
        <v>2</v>
      </c>
      <c r="AE571" s="45" t="str">
        <f t="shared" si="43"/>
        <v>Morphological</v>
      </c>
      <c r="AF571" s="56">
        <v>4</v>
      </c>
    </row>
    <row r="572" spans="1:32" ht="18" customHeight="1" x14ac:dyDescent="0.25">
      <c r="A572" s="45">
        <v>568</v>
      </c>
      <c r="B572" s="45" t="s">
        <v>60</v>
      </c>
      <c r="C572" s="45" t="s">
        <v>61</v>
      </c>
      <c r="D572" s="45" t="s">
        <v>62</v>
      </c>
      <c r="E572" s="45" t="s">
        <v>62</v>
      </c>
      <c r="F572" s="46" cm="1">
        <f t="array" ref="F572">_xlfn.IFS($G572=$G$5,F$5,$G572=$G$6,F$6,$G572=$G$7,F$7,$G572=$G$8,F$8,$G572=$G$9,F$9,$G572=$G$10,F$10,$G572=$G$11,F$11,$G572=$G$12,F$12,$G572=$G$13,F$13,$G572=$G$15,F$15,$G572=$G$16,F$16,$G572=$G$17,F$17,$G572=$G$18,F$18,$G572=$G$19,F$19,$G572=$G$20,F$20,$G572=$G$21,F$21,$G572=$G$22,F$22,$G572=$G$25,F$25,$G572=$G$26,F$26,$G572=$G$27,F$27,$G572=$G$29,F$29,$G572=$G$31,F$31,$G572=$G$32,F$32,$G572=$G$248,F$248,$G572=$G$250,F$250)</f>
        <v>8040</v>
      </c>
      <c r="G572" t="s">
        <v>81</v>
      </c>
      <c r="H572" s="67" cm="1">
        <f t="array" ref="H572">_xlfn.IFS($G572=$G$5,H$5,$G572=$G$6,H$6,$G572=$G$7,H$7,$G572=$G$8,H$8,$G572=$G$9,H$9,$G572=$G$10,H$10,$G572=$G$11,H$11,$G572=$G$12,H$12,$G572=$G$13,H$13,$G572=$G$15,H$15,$G572=$G$16,H$16,$G572=$G$17,H$17,$G572=$G$18,H$18,$G572=$G$19,H$19,$G572=$G$20,H$20,$G572=$G$21,H$21,$G572=$G$22,H$22,$G572=$G$25,H$25,$G572=$G$26,H$26,$G572=$G$27,H$27,$G572=$G$29,H$29,$G572=$G$31,H$31,$G572=$G$32,H$150,$G572=$G$248,H$248,$G572=$G$250,H$250)</f>
        <v>41.343685000000001</v>
      </c>
      <c r="I572" s="67" cm="1">
        <f t="array" ref="I572">_xlfn.IFS($G572=$G$5,I$5,$G572=$G$6,I$6,$G572=$G$7,I$7,$G572=$G$8,I$8,$G572=$G$9,I$9,$G572=$G$10,I$10,$G572=$G$11,I$11,$G572=$G$12,I$12,$G572=$G$13,I$13,$G572=$G$15,I$15,$G572=$G$16,I$16,$G572=$G$17,I$17,$G572=$G$18,I$18,$G572=$G$19,I$19,$G572=$G$20,I$20,$G572=$G$21,I$21,$G572=$G$22,I$22,$G572=$G$25,I$25,$G572=$G$26,I$26,$G572=$G$27,I$27,$G572=$G$29,I$29,$G572=$G$31,I$31,$G572=$G$32,I$150,$G572=$G$248,I$248,$G572=$G$250,I$250)</f>
        <v>2.1441490000000001</v>
      </c>
      <c r="J572" s="48" cm="1">
        <f t="array" ref="J572">_xlfn.IFS($G572=$G$5,J$5,$G572=$G$6,J$6,$G572=$G$7,J$7,$G572=$G$8,J$8,$G572=$G$9,J$9,$G572=$G$10,J$10,$G572=$G$11,J$11,$G572=$G$12,J$12,$G572=$G$13,J$13,$G572=$G$15,J$15,$G572=$G$16,J$16,$G572=$G$17,J$17,$G572=$G$18,J$18,$G572=$G$19,J$19,$G572=$G$20,J$20,$G572=$G$21,J$21,$G572=$G$22,J$22,$G572=$G$25,J$25,$G572=$G$26,J$26,$G572=$G$27,J$27,$G572=$G$29,J$29,$G572=$G$31,J$31,$G572=$G$32,J$150,$G572=$G$248,J$248,$G572=$G$250,J$250)</f>
        <v>4</v>
      </c>
      <c r="K572" s="48" t="str" cm="1">
        <f t="array" ref="K572">_xlfn.IFS($G572=$G$5,K$5,$G572=$G$6,K$6,$G572=$G$7,K$7,$G572=$G$8,K$8,$G572=$G$9,K$9,$G572=$G$10,K$10,$G572=$G$11,K$11,$G572=$G$12,K$12,$G572=$G$13,K$13,$G572=$G$15,K$15,$G572=$G$16,K$16,$G572=$G$17,K$17,$G572=$G$18,K$18,$G572=$G$19,K$19,$G572=$G$20,K$20,$G572=$G$21,K$21,$G572=$G$22,K$22,$G572=$G$25,K$25,$G572=$G$26,K$26,$G572=$G$27,K$27,$G572=$G$29,K$29,$G572=$G$31,K$31,$G572=$G$32,K$150,$G572=$G$248,K$248,$G572=$G$250,K$250)</f>
        <v>BG sentinel + BG lure7</v>
      </c>
      <c r="L572" s="48"/>
      <c r="M572" s="48"/>
      <c r="O572" s="45" t="str">
        <f t="shared" si="41"/>
        <v>A_SP_BCN_10_210812</v>
      </c>
      <c r="P572" s="64">
        <v>44420</v>
      </c>
      <c r="R572" s="72"/>
      <c r="S572" s="64">
        <v>44427</v>
      </c>
      <c r="U572" s="72"/>
      <c r="V572" s="54" t="s">
        <v>66</v>
      </c>
      <c r="X572" s="45">
        <f t="shared" si="44"/>
        <v>7</v>
      </c>
      <c r="Z572" s="45" t="s">
        <v>80</v>
      </c>
      <c r="AA572" s="45">
        <f t="shared" si="36"/>
        <v>2</v>
      </c>
      <c r="AB572" t="str">
        <f t="shared" si="42"/>
        <v>Adult</v>
      </c>
      <c r="AC572" s="69">
        <v>0</v>
      </c>
      <c r="AD572" s="69">
        <v>2</v>
      </c>
      <c r="AE572" s="45" t="str">
        <f t="shared" si="43"/>
        <v>Morphological</v>
      </c>
      <c r="AF572" s="56">
        <v>4</v>
      </c>
    </row>
    <row r="573" spans="1:32" ht="18" customHeight="1" x14ac:dyDescent="0.25">
      <c r="A573" s="45">
        <v>569</v>
      </c>
      <c r="B573" s="45" t="s">
        <v>60</v>
      </c>
      <c r="C573" s="45" t="s">
        <v>61</v>
      </c>
      <c r="D573" s="45" t="s">
        <v>62</v>
      </c>
      <c r="E573" s="45" t="s">
        <v>62</v>
      </c>
      <c r="F573" s="46" cm="1">
        <f t="array" ref="F573">_xlfn.IFS($G573=$G$5,F$5,$G573=$G$6,F$6,$G573=$G$7,F$7,$G573=$G$8,F$8,$G573=$G$9,F$9,$G573=$G$10,F$10,$G573=$G$11,F$11,$G573=$G$12,F$12,$G573=$G$13,F$13,$G573=$G$15,F$15,$G573=$G$16,F$16,$G573=$G$17,F$17,$G573=$G$18,F$18,$G573=$G$19,F$19,$G573=$G$20,F$20,$G573=$G$21,F$21,$G573=$G$22,F$22,$G573=$G$25,F$25,$G573=$G$26,F$26,$G573=$G$27,F$27,$G573=$G$29,F$29,$G573=$G$31,F$31,$G573=$G$32,F$32,$G573=$G$248,F$248,$G573=$G$250,F$250)</f>
        <v>8038</v>
      </c>
      <c r="G573" t="s">
        <v>82</v>
      </c>
      <c r="H573" s="67" cm="1">
        <f t="array" ref="H573">_xlfn.IFS($G573=$G$5,H$5,$G573=$G$6,H$6,$G573=$G$7,H$7,$G573=$G$8,H$8,$G573=$G$9,H$9,$G573=$G$10,H$10,$G573=$G$11,H$11,$G573=$G$12,H$12,$G573=$G$13,H$13,$G573=$G$15,H$15,$G573=$G$16,H$16,$G573=$G$17,H$17,$G573=$G$18,H$18,$G573=$G$19,H$19,$G573=$G$20,H$20,$G573=$G$21,H$21,$G573=$G$22,H$22,$G573=$G$25,H$25,$G573=$G$26,H$26,$G573=$G$27,H$27,$G573=$G$29,H$29,$G573=$G$31,H$31,$G573=$G$32,H$150,$G573=$G$248,H$248,$G573=$G$250,H$250)</f>
        <v>41.367429999999999</v>
      </c>
      <c r="I573" s="67" cm="1">
        <f t="array" ref="I573">_xlfn.IFS($G573=$G$5,I$5,$G573=$G$6,I$6,$G573=$G$7,I$7,$G573=$G$8,I$8,$G573=$G$9,I$9,$G573=$G$10,I$10,$G573=$G$11,I$11,$G573=$G$12,I$12,$G573=$G$13,I$13,$G573=$G$15,I$15,$G573=$G$16,I$16,$G573=$G$17,I$17,$G573=$G$18,I$18,$G573=$G$19,I$19,$G573=$G$20,I$20,$G573=$G$21,I$21,$G573=$G$22,I$22,$G573=$G$25,I$25,$G573=$G$26,I$26,$G573=$G$27,I$27,$G573=$G$29,I$29,$G573=$G$31,I$31,$G573=$G$32,I$150,$G573=$G$248,I$248,$G573=$G$250,I$250)</f>
        <v>2.1569609999999999</v>
      </c>
      <c r="J573" s="48" cm="1">
        <f t="array" ref="J573">_xlfn.IFS($G573=$G$5,J$5,$G573=$G$6,J$6,$G573=$G$7,J$7,$G573=$G$8,J$8,$G573=$G$9,J$9,$G573=$G$10,J$10,$G573=$G$11,J$11,$G573=$G$12,J$12,$G573=$G$13,J$13,$G573=$G$15,J$15,$G573=$G$16,J$16,$G573=$G$17,J$17,$G573=$G$18,J$18,$G573=$G$19,J$19,$G573=$G$20,J$20,$G573=$G$21,J$21,$G573=$G$22,J$22,$G573=$G$25,J$25,$G573=$G$26,J$26,$G573=$G$27,J$27,$G573=$G$29,J$29,$G573=$G$31,J$31,$G573=$G$32,J$150,$G573=$G$248,J$248,$G573=$G$250,J$250)</f>
        <v>91</v>
      </c>
      <c r="K573" s="48" t="str" cm="1">
        <f t="array" ref="K573">_xlfn.IFS($G573=$G$5,K$5,$G573=$G$6,K$6,$G573=$G$7,K$7,$G573=$G$8,K$8,$G573=$G$9,K$9,$G573=$G$10,K$10,$G573=$G$11,K$11,$G573=$G$12,K$12,$G573=$G$13,K$13,$G573=$G$15,K$15,$G573=$G$16,K$16,$G573=$G$17,K$17,$G573=$G$18,K$18,$G573=$G$19,K$19,$G573=$G$20,K$20,$G573=$G$21,K$21,$G573=$G$22,K$22,$G573=$G$25,K$25,$G573=$G$26,K$26,$G573=$G$27,K$27,$G573=$G$29,K$29,$G573=$G$31,K$31,$G573=$G$32,K$150,$G573=$G$248,K$248,$G573=$G$250,K$250)</f>
        <v>BG sentinel + BG lure7</v>
      </c>
      <c r="L573" s="48"/>
      <c r="M573" s="48"/>
      <c r="O573" s="45" t="str">
        <f t="shared" ref="O573:O664" si="45">G573&amp;"_"&amp;TEXT(P573, "AAMMDD")</f>
        <v>A_SP_BCN_11_210812</v>
      </c>
      <c r="P573" s="64">
        <v>44420</v>
      </c>
      <c r="R573" s="72"/>
      <c r="S573" s="64">
        <v>44427</v>
      </c>
      <c r="U573" s="72"/>
      <c r="V573" s="54" t="s">
        <v>66</v>
      </c>
      <c r="X573" s="45">
        <f t="shared" si="44"/>
        <v>7</v>
      </c>
      <c r="Z573" s="69" t="s">
        <v>69</v>
      </c>
      <c r="AA573" s="45">
        <f t="shared" si="36"/>
        <v>46</v>
      </c>
      <c r="AB573" t="str">
        <f t="shared" ref="AB573:AB636" si="46">IF(AA573=0,"",IF(AA573="","",IF(AA573&gt;0,"Adult")))</f>
        <v>Adult</v>
      </c>
      <c r="AC573" s="69">
        <v>36</v>
      </c>
      <c r="AD573" s="69">
        <v>10</v>
      </c>
      <c r="AE573" s="45" t="str">
        <f t="shared" ref="AE573:AE636" si="47">IF(AA573=0,"",IF(AA573="","",IF(AA573&gt;0,"Morphological")))</f>
        <v>Morphological</v>
      </c>
      <c r="AF573" s="56">
        <v>4</v>
      </c>
    </row>
    <row r="574" spans="1:32" ht="18" customHeight="1" x14ac:dyDescent="0.25">
      <c r="A574" s="45">
        <v>570</v>
      </c>
      <c r="B574" s="45" t="s">
        <v>60</v>
      </c>
      <c r="C574" s="45" t="s">
        <v>61</v>
      </c>
      <c r="D574" s="45" t="s">
        <v>62</v>
      </c>
      <c r="E574" s="45" t="s">
        <v>62</v>
      </c>
      <c r="F574" s="46" cm="1">
        <f t="array" ref="F574">_xlfn.IFS($G574=$G$5,F$5,$G574=$G$6,F$6,$G574=$G$7,F$7,$G574=$G$8,F$8,$G574=$G$9,F$9,$G574=$G$10,F$10,$G574=$G$11,F$11,$G574=$G$12,F$12,$G574=$G$13,F$13,$G574=$G$15,F$15,$G574=$G$16,F$16,$G574=$G$17,F$17,$G574=$G$18,F$18,$G574=$G$19,F$19,$G574=$G$20,F$20,$G574=$G$21,F$21,$G574=$G$22,F$22,$G574=$G$25,F$25,$G574=$G$26,F$26,$G574=$G$27,F$27,$G574=$G$29,F$29,$G574=$G$31,F$31,$G574=$G$32,F$32,$G574=$G$248,F$248,$G574=$G$250,F$250)</f>
        <v>8038</v>
      </c>
      <c r="G574" t="s">
        <v>82</v>
      </c>
      <c r="H574" s="67" cm="1">
        <f t="array" ref="H574">_xlfn.IFS($G574=$G$5,H$5,$G574=$G$6,H$6,$G574=$G$7,H$7,$G574=$G$8,H$8,$G574=$G$9,H$9,$G574=$G$10,H$10,$G574=$G$11,H$11,$G574=$G$12,H$12,$G574=$G$13,H$13,$G574=$G$15,H$15,$G574=$G$16,H$16,$G574=$G$17,H$17,$G574=$G$18,H$18,$G574=$G$19,H$19,$G574=$G$20,H$20,$G574=$G$21,H$21,$G574=$G$22,H$22,$G574=$G$25,H$25,$G574=$G$26,H$26,$G574=$G$27,H$27,$G574=$G$29,H$29,$G574=$G$31,H$31,$G574=$G$32,H$150,$G574=$G$248,H$248,$G574=$G$250,H$250)</f>
        <v>41.367429999999999</v>
      </c>
      <c r="I574" s="67" cm="1">
        <f t="array" ref="I574">_xlfn.IFS($G574=$G$5,I$5,$G574=$G$6,I$6,$G574=$G$7,I$7,$G574=$G$8,I$8,$G574=$G$9,I$9,$G574=$G$10,I$10,$G574=$G$11,I$11,$G574=$G$12,I$12,$G574=$G$13,I$13,$G574=$G$15,I$15,$G574=$G$16,I$16,$G574=$G$17,I$17,$G574=$G$18,I$18,$G574=$G$19,I$19,$G574=$G$20,I$20,$G574=$G$21,I$21,$G574=$G$22,I$22,$G574=$G$25,I$25,$G574=$G$26,I$26,$G574=$G$27,I$27,$G574=$G$29,I$29,$G574=$G$31,I$31,$G574=$G$32,I$150,$G574=$G$248,I$248,$G574=$G$250,I$250)</f>
        <v>2.1569609999999999</v>
      </c>
      <c r="J574" s="48" cm="1">
        <f t="array" ref="J574">_xlfn.IFS($G574=$G$5,J$5,$G574=$G$6,J$6,$G574=$G$7,J$7,$G574=$G$8,J$8,$G574=$G$9,J$9,$G574=$G$10,J$10,$G574=$G$11,J$11,$G574=$G$12,J$12,$G574=$G$13,J$13,$G574=$G$15,J$15,$G574=$G$16,J$16,$G574=$G$17,J$17,$G574=$G$18,J$18,$G574=$G$19,J$19,$G574=$G$20,J$20,$G574=$G$21,J$21,$G574=$G$22,J$22,$G574=$G$25,J$25,$G574=$G$26,J$26,$G574=$G$27,J$27,$G574=$G$29,J$29,$G574=$G$31,J$31,$G574=$G$32,J$150,$G574=$G$248,J$248,$G574=$G$250,J$250)</f>
        <v>91</v>
      </c>
      <c r="K574" s="48" t="str" cm="1">
        <f t="array" ref="K574">_xlfn.IFS($G574=$G$5,K$5,$G574=$G$6,K$6,$G574=$G$7,K$7,$G574=$G$8,K$8,$G574=$G$9,K$9,$G574=$G$10,K$10,$G574=$G$11,K$11,$G574=$G$12,K$12,$G574=$G$13,K$13,$G574=$G$15,K$15,$G574=$G$16,K$16,$G574=$G$17,K$17,$G574=$G$18,K$18,$G574=$G$19,K$19,$G574=$G$20,K$20,$G574=$G$21,K$21,$G574=$G$22,K$22,$G574=$G$25,K$25,$G574=$G$26,K$26,$G574=$G$27,K$27,$G574=$G$29,K$29,$G574=$G$31,K$31,$G574=$G$32,K$150,$G574=$G$248,K$248,$G574=$G$250,K$250)</f>
        <v>BG sentinel + BG lure7</v>
      </c>
      <c r="L574" s="48"/>
      <c r="M574" s="48"/>
      <c r="O574" s="45" t="str">
        <f t="shared" si="45"/>
        <v>A_SP_BCN_11_210812</v>
      </c>
      <c r="P574" s="64">
        <v>44420</v>
      </c>
      <c r="R574" s="72"/>
      <c r="S574" s="64">
        <v>44427</v>
      </c>
      <c r="U574" s="72"/>
      <c r="V574" s="54" t="s">
        <v>66</v>
      </c>
      <c r="X574" s="45">
        <f t="shared" si="44"/>
        <v>7</v>
      </c>
      <c r="Z574" s="45" t="s">
        <v>70</v>
      </c>
      <c r="AA574" s="45">
        <f t="shared" si="36"/>
        <v>7</v>
      </c>
      <c r="AB574" t="str">
        <f t="shared" si="46"/>
        <v>Adult</v>
      </c>
      <c r="AC574" s="69">
        <v>5</v>
      </c>
      <c r="AD574" s="69">
        <v>2</v>
      </c>
      <c r="AE574" s="45" t="str">
        <f t="shared" si="47"/>
        <v>Morphological</v>
      </c>
      <c r="AF574" s="56">
        <v>4</v>
      </c>
    </row>
    <row r="575" spans="1:32" ht="18" customHeight="1" x14ac:dyDescent="0.25">
      <c r="A575" s="45">
        <v>571</v>
      </c>
      <c r="B575" s="45" t="s">
        <v>60</v>
      </c>
      <c r="C575" s="45" t="s">
        <v>61</v>
      </c>
      <c r="D575" s="45" t="s">
        <v>62</v>
      </c>
      <c r="E575" s="45" t="s">
        <v>62</v>
      </c>
      <c r="F575" s="46" cm="1">
        <f t="array" ref="F575">_xlfn.IFS($G575=$G$5,F$5,$G575=$G$6,F$6,$G575=$G$7,F$7,$G575=$G$8,F$8,$G575=$G$9,F$9,$G575=$G$10,F$10,$G575=$G$11,F$11,$G575=$G$12,F$12,$G575=$G$13,F$13,$G575=$G$15,F$15,$G575=$G$16,F$16,$G575=$G$17,F$17,$G575=$G$18,F$18,$G575=$G$19,F$19,$G575=$G$20,F$20,$G575=$G$21,F$21,$G575=$G$22,F$22,$G575=$G$25,F$25,$G575=$G$26,F$26,$G575=$G$27,F$27,$G575=$G$29,F$29,$G575=$G$31,F$31,$G575=$G$32,F$32,$G575=$G$248,F$248,$G575=$G$250,F$250)</f>
        <v>8038</v>
      </c>
      <c r="G575" t="s">
        <v>82</v>
      </c>
      <c r="H575" s="67" cm="1">
        <f t="array" ref="H575">_xlfn.IFS($G575=$G$5,H$5,$G575=$G$6,H$6,$G575=$G$7,H$7,$G575=$G$8,H$8,$G575=$G$9,H$9,$G575=$G$10,H$10,$G575=$G$11,H$11,$G575=$G$12,H$12,$G575=$G$13,H$13,$G575=$G$15,H$15,$G575=$G$16,H$16,$G575=$G$17,H$17,$G575=$G$18,H$18,$G575=$G$19,H$19,$G575=$G$20,H$20,$G575=$G$21,H$21,$G575=$G$22,H$22,$G575=$G$25,H$25,$G575=$G$26,H$26,$G575=$G$27,H$27,$G575=$G$29,H$29,$G575=$G$31,H$31,$G575=$G$32,H$150,$G575=$G$248,H$248,$G575=$G$250,H$250)</f>
        <v>41.367429999999999</v>
      </c>
      <c r="I575" s="67" cm="1">
        <f t="array" ref="I575">_xlfn.IFS($G575=$G$5,I$5,$G575=$G$6,I$6,$G575=$G$7,I$7,$G575=$G$8,I$8,$G575=$G$9,I$9,$G575=$G$10,I$10,$G575=$G$11,I$11,$G575=$G$12,I$12,$G575=$G$13,I$13,$G575=$G$15,I$15,$G575=$G$16,I$16,$G575=$G$17,I$17,$G575=$G$18,I$18,$G575=$G$19,I$19,$G575=$G$20,I$20,$G575=$G$21,I$21,$G575=$G$22,I$22,$G575=$G$25,I$25,$G575=$G$26,I$26,$G575=$G$27,I$27,$G575=$G$29,I$29,$G575=$G$31,I$31,$G575=$G$32,I$150,$G575=$G$248,I$248,$G575=$G$250,I$250)</f>
        <v>2.1569609999999999</v>
      </c>
      <c r="J575" s="48" cm="1">
        <f t="array" ref="J575">_xlfn.IFS($G575=$G$5,J$5,$G575=$G$6,J$6,$G575=$G$7,J$7,$G575=$G$8,J$8,$G575=$G$9,J$9,$G575=$G$10,J$10,$G575=$G$11,J$11,$G575=$G$12,J$12,$G575=$G$13,J$13,$G575=$G$15,J$15,$G575=$G$16,J$16,$G575=$G$17,J$17,$G575=$G$18,J$18,$G575=$G$19,J$19,$G575=$G$20,J$20,$G575=$G$21,J$21,$G575=$G$22,J$22,$G575=$G$25,J$25,$G575=$G$26,J$26,$G575=$G$27,J$27,$G575=$G$29,J$29,$G575=$G$31,J$31,$G575=$G$32,J$150,$G575=$G$248,J$248,$G575=$G$250,J$250)</f>
        <v>91</v>
      </c>
      <c r="K575" s="48" t="str" cm="1">
        <f t="array" ref="K575">_xlfn.IFS($G575=$G$5,K$5,$G575=$G$6,K$6,$G575=$G$7,K$7,$G575=$G$8,K$8,$G575=$G$9,K$9,$G575=$G$10,K$10,$G575=$G$11,K$11,$G575=$G$12,K$12,$G575=$G$13,K$13,$G575=$G$15,K$15,$G575=$G$16,K$16,$G575=$G$17,K$17,$G575=$G$18,K$18,$G575=$G$19,K$19,$G575=$G$20,K$20,$G575=$G$21,K$21,$G575=$G$22,K$22,$G575=$G$25,K$25,$G575=$G$26,K$26,$G575=$G$27,K$27,$G575=$G$29,K$29,$G575=$G$31,K$31,$G575=$G$32,K$150,$G575=$G$248,K$248,$G575=$G$250,K$250)</f>
        <v>BG sentinel + BG lure7</v>
      </c>
      <c r="L575" s="48"/>
      <c r="M575" s="48"/>
      <c r="O575" s="45" t="str">
        <f t="shared" si="45"/>
        <v>A_SP_BCN_11_210812</v>
      </c>
      <c r="P575" s="64">
        <v>44420</v>
      </c>
      <c r="R575" s="72"/>
      <c r="S575" s="64">
        <v>44427</v>
      </c>
      <c r="U575" s="72"/>
      <c r="V575" s="54" t="s">
        <v>66</v>
      </c>
      <c r="X575" s="45">
        <f t="shared" si="44"/>
        <v>7</v>
      </c>
      <c r="Z575" s="45" t="s">
        <v>80</v>
      </c>
      <c r="AA575" s="45">
        <f t="shared" si="36"/>
        <v>1</v>
      </c>
      <c r="AB575" t="str">
        <f t="shared" si="46"/>
        <v>Adult</v>
      </c>
      <c r="AC575" s="69">
        <v>1</v>
      </c>
      <c r="AD575" s="69">
        <v>0</v>
      </c>
      <c r="AE575" s="45" t="str">
        <f t="shared" si="47"/>
        <v>Morphological</v>
      </c>
      <c r="AF575" s="56">
        <v>4</v>
      </c>
    </row>
    <row r="576" spans="1:32" ht="18" customHeight="1" x14ac:dyDescent="0.25">
      <c r="A576" s="45">
        <v>572</v>
      </c>
      <c r="B576" s="45" t="s">
        <v>60</v>
      </c>
      <c r="C576" s="45" t="s">
        <v>61</v>
      </c>
      <c r="D576" s="45" t="s">
        <v>62</v>
      </c>
      <c r="E576" s="45" t="s">
        <v>62</v>
      </c>
      <c r="F576" s="46" cm="1">
        <f t="array" ref="F576">_xlfn.IFS($G576=$G$5,F$5,$G576=$G$6,F$6,$G576=$G$7,F$7,$G576=$G$8,F$8,$G576=$G$9,F$9,$G576=$G$10,F$10,$G576=$G$11,F$11,$G576=$G$12,F$12,$G576=$G$13,F$13,$G576=$G$15,F$15,$G576=$G$16,F$16,$G576=$G$17,F$17,$G576=$G$18,F$18,$G576=$G$19,F$19,$G576=$G$20,F$20,$G576=$G$21,F$21,$G576=$G$22,F$22,$G576=$G$25,F$25,$G576=$G$26,F$26,$G576=$G$27,F$27,$G576=$G$29,F$29,$G576=$G$31,F$31,$G576=$G$32,F$32,$G576=$G$248,F$248,$G576=$G$250,F$250)</f>
        <v>8038</v>
      </c>
      <c r="G576" t="s">
        <v>84</v>
      </c>
      <c r="H576" s="67" cm="1">
        <f t="array" ref="H576">_xlfn.IFS($G576=$G$5,H$5,$G576=$G$6,H$6,$G576=$G$7,H$7,$G576=$G$8,H$8,$G576=$G$9,H$9,$G576=$G$10,H$10,$G576=$G$11,H$11,$G576=$G$12,H$12,$G576=$G$13,H$13,$G576=$G$15,H$15,$G576=$G$16,H$16,$G576=$G$17,H$17,$G576=$G$18,H$18,$G576=$G$19,H$19,$G576=$G$20,H$20,$G576=$G$21,H$21,$G576=$G$22,H$22,$G576=$G$25,H$25,$G576=$G$26,H$26,$G576=$G$27,H$27,$G576=$G$29,H$29,$G576=$G$31,H$31,$G576=$G$32,H$150,$G576=$G$248,H$248,$G576=$G$250,H$250)</f>
        <v>41.363377999999997</v>
      </c>
      <c r="I576" s="67" cm="1">
        <f t="array" ref="I576">_xlfn.IFS($G576=$G$5,I$5,$G576=$G$6,I$6,$G576=$G$7,I$7,$G576=$G$8,I$8,$G576=$G$9,I$9,$G576=$G$10,I$10,$G576=$G$11,I$11,$G576=$G$12,I$12,$G576=$G$13,I$13,$G576=$G$15,I$15,$G576=$G$16,I$16,$G576=$G$17,I$17,$G576=$G$18,I$18,$G576=$G$19,I$19,$G576=$G$20,I$20,$G576=$G$21,I$21,$G576=$G$22,I$22,$G576=$G$25,I$25,$G576=$G$26,I$26,$G576=$G$27,I$27,$G576=$G$29,I$29,$G576=$G$31,I$31,$G576=$G$32,I$150,$G576=$G$248,I$248,$G576=$G$250,I$250)</f>
        <v>2.164879</v>
      </c>
      <c r="J576" s="48" cm="1">
        <f t="array" ref="J576">_xlfn.IFS($G576=$G$5,J$5,$G576=$G$6,J$6,$G576=$G$7,J$7,$G576=$G$8,J$8,$G576=$G$9,J$9,$G576=$G$10,J$10,$G576=$G$11,J$11,$G576=$G$12,J$12,$G576=$G$13,J$13,$G576=$G$15,J$15,$G576=$G$16,J$16,$G576=$G$17,J$17,$G576=$G$18,J$18,$G576=$G$19,J$19,$G576=$G$20,J$20,$G576=$G$21,J$21,$G576=$G$22,J$22,$G576=$G$25,J$25,$G576=$G$26,J$26,$G576=$G$27,J$27,$G576=$G$29,J$29,$G576=$G$31,J$31,$G576=$G$32,J$150,$G576=$G$248,J$248,$G576=$G$250,J$250)</f>
        <v>185</v>
      </c>
      <c r="K576" s="48" t="str" cm="1">
        <f t="array" ref="K576">_xlfn.IFS($G576=$G$5,K$5,$G576=$G$6,K$6,$G576=$G$7,K$7,$G576=$G$8,K$8,$G576=$G$9,K$9,$G576=$G$10,K$10,$G576=$G$11,K$11,$G576=$G$12,K$12,$G576=$G$13,K$13,$G576=$G$15,K$15,$G576=$G$16,K$16,$G576=$G$17,K$17,$G576=$G$18,K$18,$G576=$G$19,K$19,$G576=$G$20,K$20,$G576=$G$21,K$21,$G576=$G$22,K$22,$G576=$G$25,K$25,$G576=$G$26,K$26,$G576=$G$27,K$27,$G576=$G$29,K$29,$G576=$G$31,K$31,$G576=$G$32,K$150,$G576=$G$248,K$248,$G576=$G$250,K$250)</f>
        <v>BG sentinel + BG lure7</v>
      </c>
      <c r="L576" s="48"/>
      <c r="M576" s="48"/>
      <c r="O576" s="45" t="str">
        <f t="shared" si="45"/>
        <v>A_SP_BCN_12_210812</v>
      </c>
      <c r="P576" s="64">
        <v>44420</v>
      </c>
      <c r="R576" s="72"/>
      <c r="S576" s="64">
        <v>44427</v>
      </c>
      <c r="U576" s="72"/>
      <c r="V576" s="54" t="s">
        <v>66</v>
      </c>
      <c r="X576" s="45">
        <f t="shared" si="44"/>
        <v>7</v>
      </c>
      <c r="Z576" s="69" t="s">
        <v>69</v>
      </c>
      <c r="AA576" s="45">
        <f t="shared" si="36"/>
        <v>47</v>
      </c>
      <c r="AB576" t="str">
        <f t="shared" si="46"/>
        <v>Adult</v>
      </c>
      <c r="AC576" s="69">
        <v>26</v>
      </c>
      <c r="AD576" s="69">
        <v>21</v>
      </c>
      <c r="AE576" s="45" t="str">
        <f t="shared" si="47"/>
        <v>Morphological</v>
      </c>
      <c r="AF576" s="56">
        <v>4</v>
      </c>
    </row>
    <row r="577" spans="1:32" ht="18" customHeight="1" x14ac:dyDescent="0.25">
      <c r="A577" s="45">
        <v>573</v>
      </c>
      <c r="B577" s="45" t="s">
        <v>60</v>
      </c>
      <c r="C577" s="45" t="s">
        <v>61</v>
      </c>
      <c r="D577" s="45" t="s">
        <v>62</v>
      </c>
      <c r="E577" s="45" t="s">
        <v>62</v>
      </c>
      <c r="F577" s="46" cm="1">
        <f t="array" ref="F577">_xlfn.IFS($G577=$G$5,F$5,$G577=$G$6,F$6,$G577=$G$7,F$7,$G577=$G$8,F$8,$G577=$G$9,F$9,$G577=$G$10,F$10,$G577=$G$11,F$11,$G577=$G$12,F$12,$G577=$G$13,F$13,$G577=$G$15,F$15,$G577=$G$16,F$16,$G577=$G$17,F$17,$G577=$G$18,F$18,$G577=$G$19,F$19,$G577=$G$20,F$20,$G577=$G$21,F$21,$G577=$G$22,F$22,$G577=$G$25,F$25,$G577=$G$26,F$26,$G577=$G$27,F$27,$G577=$G$29,F$29,$G577=$G$31,F$31,$G577=$G$32,F$32,$G577=$G$248,F$248,$G577=$G$250,F$250)</f>
        <v>8038</v>
      </c>
      <c r="G577" t="s">
        <v>84</v>
      </c>
      <c r="H577" s="67" cm="1">
        <f t="array" ref="H577">_xlfn.IFS($G577=$G$5,H$5,$G577=$G$6,H$6,$G577=$G$7,H$7,$G577=$G$8,H$8,$G577=$G$9,H$9,$G577=$G$10,H$10,$G577=$G$11,H$11,$G577=$G$12,H$12,$G577=$G$13,H$13,$G577=$G$15,H$15,$G577=$G$16,H$16,$G577=$G$17,H$17,$G577=$G$18,H$18,$G577=$G$19,H$19,$G577=$G$20,H$20,$G577=$G$21,H$21,$G577=$G$22,H$22,$G577=$G$25,H$25,$G577=$G$26,H$26,$G577=$G$27,H$27,$G577=$G$29,H$29,$G577=$G$31,H$31,$G577=$G$32,H$150,$G577=$G$248,H$248,$G577=$G$250,H$250)</f>
        <v>41.363377999999997</v>
      </c>
      <c r="I577" s="67" cm="1">
        <f t="array" ref="I577">_xlfn.IFS($G577=$G$5,I$5,$G577=$G$6,I$6,$G577=$G$7,I$7,$G577=$G$8,I$8,$G577=$G$9,I$9,$G577=$G$10,I$10,$G577=$G$11,I$11,$G577=$G$12,I$12,$G577=$G$13,I$13,$G577=$G$15,I$15,$G577=$G$16,I$16,$G577=$G$17,I$17,$G577=$G$18,I$18,$G577=$G$19,I$19,$G577=$G$20,I$20,$G577=$G$21,I$21,$G577=$G$22,I$22,$G577=$G$25,I$25,$G577=$G$26,I$26,$G577=$G$27,I$27,$G577=$G$29,I$29,$G577=$G$31,I$31,$G577=$G$32,I$150,$G577=$G$248,I$248,$G577=$G$250,I$250)</f>
        <v>2.164879</v>
      </c>
      <c r="J577" s="48" cm="1">
        <f t="array" ref="J577">_xlfn.IFS($G577=$G$5,J$5,$G577=$G$6,J$6,$G577=$G$7,J$7,$G577=$G$8,J$8,$G577=$G$9,J$9,$G577=$G$10,J$10,$G577=$G$11,J$11,$G577=$G$12,J$12,$G577=$G$13,J$13,$G577=$G$15,J$15,$G577=$G$16,J$16,$G577=$G$17,J$17,$G577=$G$18,J$18,$G577=$G$19,J$19,$G577=$G$20,J$20,$G577=$G$21,J$21,$G577=$G$22,J$22,$G577=$G$25,J$25,$G577=$G$26,J$26,$G577=$G$27,J$27,$G577=$G$29,J$29,$G577=$G$31,J$31,$G577=$G$32,J$150,$G577=$G$248,J$248,$G577=$G$250,J$250)</f>
        <v>185</v>
      </c>
      <c r="K577" s="48" t="str" cm="1">
        <f t="array" ref="K577">_xlfn.IFS($G577=$G$5,K$5,$G577=$G$6,K$6,$G577=$G$7,K$7,$G577=$G$8,K$8,$G577=$G$9,K$9,$G577=$G$10,K$10,$G577=$G$11,K$11,$G577=$G$12,K$12,$G577=$G$13,K$13,$G577=$G$15,K$15,$G577=$G$16,K$16,$G577=$G$17,K$17,$G577=$G$18,K$18,$G577=$G$19,K$19,$G577=$G$20,K$20,$G577=$G$21,K$21,$G577=$G$22,K$22,$G577=$G$25,K$25,$G577=$G$26,K$26,$G577=$G$27,K$27,$G577=$G$29,K$29,$G577=$G$31,K$31,$G577=$G$32,K$150,$G577=$G$248,K$248,$G577=$G$250,K$250)</f>
        <v>BG sentinel + BG lure7</v>
      </c>
      <c r="L577" s="48"/>
      <c r="M577" s="48"/>
      <c r="O577" s="45" t="str">
        <f t="shared" si="45"/>
        <v>A_SP_BCN_12_210812</v>
      </c>
      <c r="P577" s="64">
        <v>44420</v>
      </c>
      <c r="R577" s="72"/>
      <c r="S577" s="64">
        <v>44427</v>
      </c>
      <c r="U577" s="72"/>
      <c r="V577" s="54" t="s">
        <v>66</v>
      </c>
      <c r="X577" s="45">
        <f t="shared" si="44"/>
        <v>7</v>
      </c>
      <c r="Z577" s="45" t="s">
        <v>70</v>
      </c>
      <c r="AA577" s="45">
        <f t="shared" si="36"/>
        <v>26</v>
      </c>
      <c r="AB577" t="str">
        <f t="shared" si="46"/>
        <v>Adult</v>
      </c>
      <c r="AC577" s="69">
        <v>25</v>
      </c>
      <c r="AD577" s="69">
        <v>1</v>
      </c>
      <c r="AE577" s="45" t="str">
        <f t="shared" si="47"/>
        <v>Morphological</v>
      </c>
      <c r="AF577" s="56">
        <v>4</v>
      </c>
    </row>
    <row r="578" spans="1:32" ht="18" customHeight="1" x14ac:dyDescent="0.25">
      <c r="A578" s="45">
        <v>574</v>
      </c>
      <c r="B578" s="45" t="s">
        <v>60</v>
      </c>
      <c r="C578" s="45" t="s">
        <v>61</v>
      </c>
      <c r="D578" s="45" t="s">
        <v>62</v>
      </c>
      <c r="E578" s="45" t="s">
        <v>62</v>
      </c>
      <c r="F578" s="46" cm="1">
        <f t="array" ref="F578">_xlfn.IFS($G578=$G$5,F$5,$G578=$G$6,F$6,$G578=$G$7,F$7,$G578=$G$8,F$8,$G578=$G$9,F$9,$G578=$G$10,F$10,$G578=$G$11,F$11,$G578=$G$12,F$12,$G578=$G$13,F$13,$G578=$G$15,F$15,$G578=$G$16,F$16,$G578=$G$17,F$17,$G578=$G$18,F$18,$G578=$G$19,F$19,$G578=$G$20,F$20,$G578=$G$21,F$21,$G578=$G$22,F$22,$G578=$G$25,F$25,$G578=$G$26,F$26,$G578=$G$27,F$27,$G578=$G$29,F$29,$G578=$G$31,F$31,$G578=$G$32,F$32,$G578=$G$248,F$248,$G578=$G$250,F$250)</f>
        <v>8038</v>
      </c>
      <c r="G578" t="s">
        <v>84</v>
      </c>
      <c r="H578" s="67" cm="1">
        <f t="array" ref="H578">_xlfn.IFS($G578=$G$5,H$5,$G578=$G$6,H$6,$G578=$G$7,H$7,$G578=$G$8,H$8,$G578=$G$9,H$9,$G578=$G$10,H$10,$G578=$G$11,H$11,$G578=$G$12,H$12,$G578=$G$13,H$13,$G578=$G$15,H$15,$G578=$G$16,H$16,$G578=$G$17,H$17,$G578=$G$18,H$18,$G578=$G$19,H$19,$G578=$G$20,H$20,$G578=$G$21,H$21,$G578=$G$22,H$22,$G578=$G$25,H$25,$G578=$G$26,H$26,$G578=$G$27,H$27,$G578=$G$29,H$29,$G578=$G$31,H$31,$G578=$G$32,H$150,$G578=$G$248,H$248,$G578=$G$250,H$250)</f>
        <v>41.363377999999997</v>
      </c>
      <c r="I578" s="67" cm="1">
        <f t="array" ref="I578">_xlfn.IFS($G578=$G$5,I$5,$G578=$G$6,I$6,$G578=$G$7,I$7,$G578=$G$8,I$8,$G578=$G$9,I$9,$G578=$G$10,I$10,$G578=$G$11,I$11,$G578=$G$12,I$12,$G578=$G$13,I$13,$G578=$G$15,I$15,$G578=$G$16,I$16,$G578=$G$17,I$17,$G578=$G$18,I$18,$G578=$G$19,I$19,$G578=$G$20,I$20,$G578=$G$21,I$21,$G578=$G$22,I$22,$G578=$G$25,I$25,$G578=$G$26,I$26,$G578=$G$27,I$27,$G578=$G$29,I$29,$G578=$G$31,I$31,$G578=$G$32,I$150,$G578=$G$248,I$248,$G578=$G$250,I$250)</f>
        <v>2.164879</v>
      </c>
      <c r="J578" s="48" cm="1">
        <f t="array" ref="J578">_xlfn.IFS($G578=$G$5,J$5,$G578=$G$6,J$6,$G578=$G$7,J$7,$G578=$G$8,J$8,$G578=$G$9,J$9,$G578=$G$10,J$10,$G578=$G$11,J$11,$G578=$G$12,J$12,$G578=$G$13,J$13,$G578=$G$15,J$15,$G578=$G$16,J$16,$G578=$G$17,J$17,$G578=$G$18,J$18,$G578=$G$19,J$19,$G578=$G$20,J$20,$G578=$G$21,J$21,$G578=$G$22,J$22,$G578=$G$25,J$25,$G578=$G$26,J$26,$G578=$G$27,J$27,$G578=$G$29,J$29,$G578=$G$31,J$31,$G578=$G$32,J$150,$G578=$G$248,J$248,$G578=$G$250,J$250)</f>
        <v>185</v>
      </c>
      <c r="K578" s="48" t="str" cm="1">
        <f t="array" ref="K578">_xlfn.IFS($G578=$G$5,K$5,$G578=$G$6,K$6,$G578=$G$7,K$7,$G578=$G$8,K$8,$G578=$G$9,K$9,$G578=$G$10,K$10,$G578=$G$11,K$11,$G578=$G$12,K$12,$G578=$G$13,K$13,$G578=$G$15,K$15,$G578=$G$16,K$16,$G578=$G$17,K$17,$G578=$G$18,K$18,$G578=$G$19,K$19,$G578=$G$20,K$20,$G578=$G$21,K$21,$G578=$G$22,K$22,$G578=$G$25,K$25,$G578=$G$26,K$26,$G578=$G$27,K$27,$G578=$G$29,K$29,$G578=$G$31,K$31,$G578=$G$32,K$150,$G578=$G$248,K$248,$G578=$G$250,K$250)</f>
        <v>BG sentinel + BG lure7</v>
      </c>
      <c r="L578" s="48"/>
      <c r="M578" s="48"/>
      <c r="O578" s="45" t="str">
        <f t="shared" si="45"/>
        <v>A_SP_BCN_12_210812</v>
      </c>
      <c r="P578" s="64">
        <v>44420</v>
      </c>
      <c r="R578" s="72"/>
      <c r="S578" s="64">
        <v>44427</v>
      </c>
      <c r="U578" s="72"/>
      <c r="V578" s="54" t="s">
        <v>66</v>
      </c>
      <c r="X578" s="45">
        <f t="shared" si="44"/>
        <v>7</v>
      </c>
      <c r="Z578" s="45" t="s">
        <v>80</v>
      </c>
      <c r="AA578" s="45">
        <f t="shared" si="36"/>
        <v>4</v>
      </c>
      <c r="AB578" t="str">
        <f t="shared" si="46"/>
        <v>Adult</v>
      </c>
      <c r="AC578" s="69">
        <v>2</v>
      </c>
      <c r="AD578" s="69">
        <v>2</v>
      </c>
      <c r="AE578" s="45" t="str">
        <f t="shared" si="47"/>
        <v>Morphological</v>
      </c>
      <c r="AF578" s="56">
        <v>4</v>
      </c>
    </row>
    <row r="579" spans="1:32" ht="18" customHeight="1" x14ac:dyDescent="0.25">
      <c r="A579" s="45">
        <v>575</v>
      </c>
      <c r="B579" s="45" t="s">
        <v>60</v>
      </c>
      <c r="C579" s="45" t="s">
        <v>61</v>
      </c>
      <c r="D579" s="45" t="s">
        <v>62</v>
      </c>
      <c r="E579" s="45" t="s">
        <v>62</v>
      </c>
      <c r="F579" s="46" cm="1">
        <f t="array" ref="F579">_xlfn.IFS($G579=$G$5,F$5,$G579=$G$6,F$6,$G579=$G$7,F$7,$G579=$G$8,F$8,$G579=$G$9,F$9,$G579=$G$10,F$10,$G579=$G$11,F$11,$G579=$G$12,F$12,$G579=$G$13,F$13,$G579=$G$15,F$15,$G579=$G$16,F$16,$G579=$G$17,F$17,$G579=$G$18,F$18,$G579=$G$19,F$19,$G579=$G$20,F$20,$G579=$G$21,F$21,$G579=$G$22,F$22,$G579=$G$25,F$25,$G579=$G$26,F$26,$G579=$G$27,F$27,$G579=$G$29,F$29,$G579=$G$31,F$31,$G579=$G$32,F$32,$G579=$G$248,F$248,$G579=$G$250,F$250)</f>
        <v>8035</v>
      </c>
      <c r="G579" t="s">
        <v>85</v>
      </c>
      <c r="H579" s="67" cm="1">
        <f t="array" ref="H579">_xlfn.IFS($G579=$G$5,H$5,$G579=$G$6,H$6,$G579=$G$7,H$7,$G579=$G$8,H$8,$G579=$G$9,H$9,$G579=$G$10,H$10,$G579=$G$11,H$11,$G579=$G$12,H$12,$G579=$G$13,H$13,$G579=$G$15,H$15,$G579=$G$16,H$16,$G579=$G$17,H$17,$G579=$G$18,H$18,$G579=$G$19,H$19,$G579=$G$20,H$20,$G579=$G$21,H$21,$G579=$G$22,H$22,$G579=$G$25,H$25,$G579=$G$26,H$26,$G579=$G$27,H$27,$G579=$G$29,H$29,$G579=$G$31,H$31,$G579=$G$32,H$150,$G579=$G$248,H$248,$G579=$G$250,H$250)</f>
        <v>41.434472</v>
      </c>
      <c r="I579" s="67" cm="1">
        <f t="array" ref="I579">_xlfn.IFS($G579=$G$5,I$5,$G579=$G$6,I$6,$G579=$G$7,I$7,$G579=$G$8,I$8,$G579=$G$9,I$9,$G579=$G$10,I$10,$G579=$G$11,I$11,$G579=$G$12,I$12,$G579=$G$13,I$13,$G579=$G$15,I$15,$G579=$G$16,I$16,$G579=$G$17,I$17,$G579=$G$18,I$18,$G579=$G$19,I$19,$G579=$G$20,I$20,$G579=$G$21,I$21,$G579=$G$22,I$22,$G579=$G$25,I$25,$G579=$G$26,I$26,$G579=$G$27,I$27,$G579=$G$29,I$29,$G579=$G$31,I$31,$G579=$G$32,I$150,$G579=$G$248,I$248,$G579=$G$250,I$250)</f>
        <v>2.1315789999999999</v>
      </c>
      <c r="J579" s="48" cm="1">
        <f t="array" ref="J579">_xlfn.IFS($G579=$G$5,J$5,$G579=$G$6,J$6,$G579=$G$7,J$7,$G579=$G$8,J$8,$G579=$G$9,J$9,$G579=$G$10,J$10,$G579=$G$11,J$11,$G579=$G$12,J$12,$G579=$G$13,J$13,$G579=$G$15,J$15,$G579=$G$16,J$16,$G579=$G$17,J$17,$G579=$G$18,J$18,$G579=$G$19,J$19,$G579=$G$20,J$20,$G579=$G$21,J$21,$G579=$G$22,J$22,$G579=$G$25,J$25,$G579=$G$26,J$26,$G579=$G$27,J$27,$G579=$G$29,J$29,$G579=$G$31,J$31,$G579=$G$32,J$150,$G579=$G$248,J$248,$G579=$G$250,J$250)</f>
        <v>365</v>
      </c>
      <c r="K579" s="48" t="str" cm="1">
        <f t="array" ref="K579">_xlfn.IFS($G579=$G$5,K$5,$G579=$G$6,K$6,$G579=$G$7,K$7,$G579=$G$8,K$8,$G579=$G$9,K$9,$G579=$G$10,K$10,$G579=$G$11,K$11,$G579=$G$12,K$12,$G579=$G$13,K$13,$G579=$G$15,K$15,$G579=$G$16,K$16,$G579=$G$17,K$17,$G579=$G$18,K$18,$G579=$G$19,K$19,$G579=$G$20,K$20,$G579=$G$21,K$21,$G579=$G$22,K$22,$G579=$G$25,K$25,$G579=$G$26,K$26,$G579=$G$27,K$27,$G579=$G$29,K$29,$G579=$G$31,K$31,$G579=$G$32,K$150,$G579=$G$248,K$248,$G579=$G$250,K$250)</f>
        <v>BG sentinel + BG lure7</v>
      </c>
      <c r="L579" s="48"/>
      <c r="M579" s="48"/>
      <c r="O579" s="45" t="str">
        <f t="shared" si="45"/>
        <v>A_SP_BCN_13_210811</v>
      </c>
      <c r="P579" s="64">
        <v>44419</v>
      </c>
      <c r="R579" s="72"/>
      <c r="S579" s="64">
        <v>44426</v>
      </c>
      <c r="U579" s="72"/>
      <c r="V579" s="54" t="s">
        <v>66</v>
      </c>
      <c r="X579" s="45"/>
      <c r="Z579" s="69" t="s">
        <v>69</v>
      </c>
      <c r="AA579" s="45">
        <f t="shared" si="36"/>
        <v>1</v>
      </c>
      <c r="AB579" t="str">
        <f t="shared" si="46"/>
        <v>Adult</v>
      </c>
      <c r="AC579" s="69">
        <v>1</v>
      </c>
      <c r="AD579" s="69">
        <v>0</v>
      </c>
      <c r="AE579" s="45" t="str">
        <f t="shared" si="47"/>
        <v>Morphological</v>
      </c>
      <c r="AF579" s="56">
        <v>4</v>
      </c>
    </row>
    <row r="580" spans="1:32" ht="18" customHeight="1" x14ac:dyDescent="0.25">
      <c r="A580" s="45">
        <v>576</v>
      </c>
      <c r="B580" s="45" t="s">
        <v>60</v>
      </c>
      <c r="C580" s="45" t="s">
        <v>61</v>
      </c>
      <c r="D580" s="45" t="s">
        <v>62</v>
      </c>
      <c r="E580" s="45" t="s">
        <v>62</v>
      </c>
      <c r="F580" s="46" cm="1">
        <f t="array" ref="F580">_xlfn.IFS($G580=$G$5,F$5,$G580=$G$6,F$6,$G580=$G$7,F$7,$G580=$G$8,F$8,$G580=$G$9,F$9,$G580=$G$10,F$10,$G580=$G$11,F$11,$G580=$G$12,F$12,$G580=$G$13,F$13,$G580=$G$15,F$15,$G580=$G$16,F$16,$G580=$G$17,F$17,$G580=$G$18,F$18,$G580=$G$19,F$19,$G580=$G$20,F$20,$G580=$G$21,F$21,$G580=$G$22,F$22,$G580=$G$25,F$25,$G580=$G$26,F$26,$G580=$G$27,F$27,$G580=$G$29,F$29,$G580=$G$31,F$31,$G580=$G$32,F$32,$G580=$G$248,F$248,$G580=$G$250,F$250)</f>
        <v>8017</v>
      </c>
      <c r="G580" t="s">
        <v>86</v>
      </c>
      <c r="H580" s="67" cm="1">
        <f t="array" ref="H580">_xlfn.IFS($G580=$G$5,H$5,$G580=$G$6,H$6,$G580=$G$7,H$7,$G580=$G$8,H$8,$G580=$G$9,H$9,$G580=$G$10,H$10,$G580=$G$11,H$11,$G580=$G$12,H$12,$G580=$G$13,H$13,$G580=$G$15,H$15,$G580=$G$16,H$16,$G580=$G$17,H$17,$G580=$G$18,H$18,$G580=$G$19,H$19,$G580=$G$20,H$20,$G580=$G$21,H$21,$G580=$G$22,H$22,$G580=$G$25,H$25,$G580=$G$26,H$26,$G580=$G$27,H$27,$G580=$G$29,H$29,$G580=$G$31,H$31,$G580=$G$32,H$150,$G580=$G$248,H$248,$G580=$G$250,H$250)</f>
        <v>41.428533999999999</v>
      </c>
      <c r="I580" s="67" cm="1">
        <f t="array" ref="I580">_xlfn.IFS($G580=$G$5,I$5,$G580=$G$6,I$6,$G580=$G$7,I$7,$G580=$G$8,I$8,$G580=$G$9,I$9,$G580=$G$10,I$10,$G580=$G$11,I$11,$G580=$G$12,I$12,$G580=$G$13,I$13,$G580=$G$15,I$15,$G580=$G$16,I$16,$G580=$G$17,I$17,$G580=$G$18,I$18,$G580=$G$19,I$19,$G580=$G$20,I$20,$G580=$G$21,I$21,$G580=$G$22,I$22,$G580=$G$25,I$25,$G580=$G$26,I$26,$G580=$G$27,I$27,$G580=$G$29,I$29,$G580=$G$31,I$31,$G580=$G$32,I$150,$G580=$G$248,I$248,$G580=$G$250,I$250)</f>
        <v>2.090954</v>
      </c>
      <c r="J580" s="48" cm="1">
        <f t="array" ref="J580">_xlfn.IFS($G580=$G$5,J$5,$G580=$G$6,J$6,$G580=$G$7,J$7,$G580=$G$8,J$8,$G580=$G$9,J$9,$G580=$G$10,J$10,$G580=$G$11,J$11,$G580=$G$12,J$12,$G580=$G$13,J$13,$G580=$G$15,J$15,$G580=$G$16,J$16,$G580=$G$17,J$17,$G580=$G$18,J$18,$G580=$G$19,J$19,$G580=$G$20,J$20,$G580=$G$21,J$21,$G580=$G$22,J$22,$G580=$G$25,J$25,$G580=$G$26,J$26,$G580=$G$27,J$27,$G580=$G$29,J$29,$G580=$G$31,J$31,$G580=$G$32,J$150,$G580=$G$248,J$248,$G580=$G$250,J$250)</f>
        <v>215</v>
      </c>
      <c r="K580" s="48" t="str" cm="1">
        <f t="array" ref="K580">_xlfn.IFS($G580=$G$5,K$5,$G580=$G$6,K$6,$G580=$G$7,K$7,$G580=$G$8,K$8,$G580=$G$9,K$9,$G580=$G$10,K$10,$G580=$G$11,K$11,$G580=$G$12,K$12,$G580=$G$13,K$13,$G580=$G$15,K$15,$G580=$G$16,K$16,$G580=$G$17,K$17,$G580=$G$18,K$18,$G580=$G$19,K$19,$G580=$G$20,K$20,$G580=$G$21,K$21,$G580=$G$22,K$22,$G580=$G$25,K$25,$G580=$G$26,K$26,$G580=$G$27,K$27,$G580=$G$29,K$29,$G580=$G$31,K$31,$G580=$G$32,K$150,$G580=$G$248,K$248,$G580=$G$250,K$250)</f>
        <v>BG sentinel + BG lure7</v>
      </c>
      <c r="L580" s="48"/>
      <c r="M580" s="48"/>
      <c r="O580" s="45" t="str">
        <f t="shared" si="45"/>
        <v>A_SP_BCN_14_210811</v>
      </c>
      <c r="P580" s="64">
        <v>44419</v>
      </c>
      <c r="R580" s="72"/>
      <c r="S580" s="64">
        <v>44426</v>
      </c>
      <c r="U580" s="72"/>
      <c r="V580" s="54" t="s">
        <v>66</v>
      </c>
      <c r="X580" s="45">
        <f t="shared" ref="X580:X646" si="48">S580-P580</f>
        <v>7</v>
      </c>
      <c r="Z580" s="69" t="s">
        <v>69</v>
      </c>
      <c r="AA580" s="45">
        <f t="shared" si="36"/>
        <v>27</v>
      </c>
      <c r="AB580" t="str">
        <f t="shared" si="46"/>
        <v>Adult</v>
      </c>
      <c r="AC580" s="69">
        <v>23</v>
      </c>
      <c r="AD580" s="69">
        <v>4</v>
      </c>
      <c r="AE580" s="45" t="str">
        <f t="shared" si="47"/>
        <v>Morphological</v>
      </c>
      <c r="AF580" s="56">
        <v>4</v>
      </c>
    </row>
    <row r="581" spans="1:32" ht="18" customHeight="1" x14ac:dyDescent="0.25">
      <c r="A581" s="45">
        <v>577</v>
      </c>
      <c r="B581" s="45" t="s">
        <v>60</v>
      </c>
      <c r="C581" s="45" t="s">
        <v>61</v>
      </c>
      <c r="D581" s="45" t="s">
        <v>62</v>
      </c>
      <c r="E581" s="45" t="s">
        <v>62</v>
      </c>
      <c r="F581" s="46" cm="1">
        <f t="array" ref="F581">_xlfn.IFS($G581=$G$5,F$5,$G581=$G$6,F$6,$G581=$G$7,F$7,$G581=$G$8,F$8,$G581=$G$9,F$9,$G581=$G$10,F$10,$G581=$G$11,F$11,$G581=$G$12,F$12,$G581=$G$13,F$13,$G581=$G$15,F$15,$G581=$G$16,F$16,$G581=$G$17,F$17,$G581=$G$18,F$18,$G581=$G$19,F$19,$G581=$G$20,F$20,$G581=$G$21,F$21,$G581=$G$22,F$22,$G581=$G$25,F$25,$G581=$G$26,F$26,$G581=$G$27,F$27,$G581=$G$29,F$29,$G581=$G$31,F$31,$G581=$G$32,F$32,$G581=$G$248,F$248,$G581=$G$250,F$250)</f>
        <v>8017</v>
      </c>
      <c r="G581" t="s">
        <v>86</v>
      </c>
      <c r="H581" s="67" cm="1">
        <f t="array" ref="H581">_xlfn.IFS($G581=$G$5,H$5,$G581=$G$6,H$6,$G581=$G$7,H$7,$G581=$G$8,H$8,$G581=$G$9,H$9,$G581=$G$10,H$10,$G581=$G$11,H$11,$G581=$G$12,H$12,$G581=$G$13,H$13,$G581=$G$15,H$15,$G581=$G$16,H$16,$G581=$G$17,H$17,$G581=$G$18,H$18,$G581=$G$19,H$19,$G581=$G$20,H$20,$G581=$G$21,H$21,$G581=$G$22,H$22,$G581=$G$25,H$25,$G581=$G$26,H$26,$G581=$G$27,H$27,$G581=$G$29,H$29,$G581=$G$31,H$31,$G581=$G$32,H$150,$G581=$G$248,H$248,$G581=$G$250,H$250)</f>
        <v>41.428533999999999</v>
      </c>
      <c r="I581" s="67" cm="1">
        <f t="array" ref="I581">_xlfn.IFS($G581=$G$5,I$5,$G581=$G$6,I$6,$G581=$G$7,I$7,$G581=$G$8,I$8,$G581=$G$9,I$9,$G581=$G$10,I$10,$G581=$G$11,I$11,$G581=$G$12,I$12,$G581=$G$13,I$13,$G581=$G$15,I$15,$G581=$G$16,I$16,$G581=$G$17,I$17,$G581=$G$18,I$18,$G581=$G$19,I$19,$G581=$G$20,I$20,$G581=$G$21,I$21,$G581=$G$22,I$22,$G581=$G$25,I$25,$G581=$G$26,I$26,$G581=$G$27,I$27,$G581=$G$29,I$29,$G581=$G$31,I$31,$G581=$G$32,I$150,$G581=$G$248,I$248,$G581=$G$250,I$250)</f>
        <v>2.090954</v>
      </c>
      <c r="J581" s="48" cm="1">
        <f t="array" ref="J581">_xlfn.IFS($G581=$G$5,J$5,$G581=$G$6,J$6,$G581=$G$7,J$7,$G581=$G$8,J$8,$G581=$G$9,J$9,$G581=$G$10,J$10,$G581=$G$11,J$11,$G581=$G$12,J$12,$G581=$G$13,J$13,$G581=$G$15,J$15,$G581=$G$16,J$16,$G581=$G$17,J$17,$G581=$G$18,J$18,$G581=$G$19,J$19,$G581=$G$20,J$20,$G581=$G$21,J$21,$G581=$G$22,J$22,$G581=$G$25,J$25,$G581=$G$26,J$26,$G581=$G$27,J$27,$G581=$G$29,J$29,$G581=$G$31,J$31,$G581=$G$32,J$150,$G581=$G$248,J$248,$G581=$G$250,J$250)</f>
        <v>215</v>
      </c>
      <c r="K581" s="48" t="str" cm="1">
        <f t="array" ref="K581">_xlfn.IFS($G581=$G$5,K$5,$G581=$G$6,K$6,$G581=$G$7,K$7,$G581=$G$8,K$8,$G581=$G$9,K$9,$G581=$G$10,K$10,$G581=$G$11,K$11,$G581=$G$12,K$12,$G581=$G$13,K$13,$G581=$G$15,K$15,$G581=$G$16,K$16,$G581=$G$17,K$17,$G581=$G$18,K$18,$G581=$G$19,K$19,$G581=$G$20,K$20,$G581=$G$21,K$21,$G581=$G$22,K$22,$G581=$G$25,K$25,$G581=$G$26,K$26,$G581=$G$27,K$27,$G581=$G$29,K$29,$G581=$G$31,K$31,$G581=$G$32,K$150,$G581=$G$248,K$248,$G581=$G$250,K$250)</f>
        <v>BG sentinel + BG lure7</v>
      </c>
      <c r="L581" s="48"/>
      <c r="M581" s="48"/>
      <c r="O581" s="45" t="str">
        <f t="shared" si="45"/>
        <v>A_SP_BCN_14_210811</v>
      </c>
      <c r="P581" s="64">
        <v>44419</v>
      </c>
      <c r="R581" s="72"/>
      <c r="S581" s="64">
        <v>44426</v>
      </c>
      <c r="U581" s="72"/>
      <c r="V581" s="54" t="s">
        <v>66</v>
      </c>
      <c r="X581" s="45">
        <f t="shared" si="48"/>
        <v>7</v>
      </c>
      <c r="Z581" s="45" t="s">
        <v>70</v>
      </c>
      <c r="AA581" s="45">
        <f t="shared" si="36"/>
        <v>1</v>
      </c>
      <c r="AB581" t="str">
        <f t="shared" si="46"/>
        <v>Adult</v>
      </c>
      <c r="AC581" s="69">
        <v>1</v>
      </c>
      <c r="AD581" s="69">
        <v>0</v>
      </c>
      <c r="AE581" s="45" t="str">
        <f t="shared" si="47"/>
        <v>Morphological</v>
      </c>
      <c r="AF581" s="56">
        <v>4</v>
      </c>
    </row>
    <row r="582" spans="1:32" ht="18" customHeight="1" x14ac:dyDescent="0.25">
      <c r="A582" s="45">
        <v>578</v>
      </c>
      <c r="B582" s="45" t="s">
        <v>60</v>
      </c>
      <c r="C582" s="45" t="s">
        <v>61</v>
      </c>
      <c r="D582" s="45" t="s">
        <v>62</v>
      </c>
      <c r="E582" s="45" t="s">
        <v>62</v>
      </c>
      <c r="F582" s="46" cm="1">
        <f t="array" ref="F582">_xlfn.IFS($G582=$G$5,F$5,$G582=$G$6,F$6,$G582=$G$7,F$7,$G582=$G$8,F$8,$G582=$G$9,F$9,$G582=$G$10,F$10,$G582=$G$11,F$11,$G582=$G$12,F$12,$G582=$G$13,F$13,$G582=$G$15,F$15,$G582=$G$16,F$16,$G582=$G$17,F$17,$G582=$G$18,F$18,$G582=$G$19,F$19,$G582=$G$20,F$20,$G582=$G$21,F$21,$G582=$G$22,F$22,$G582=$G$25,F$25,$G582=$G$26,F$26,$G582=$G$27,F$27,$G582=$G$29,F$29,$G582=$G$31,F$31,$G582=$G$32,F$32,$G582=$G$248,F$248,$G582=$G$250,F$250)</f>
        <v>8017</v>
      </c>
      <c r="G582" t="s">
        <v>86</v>
      </c>
      <c r="H582" s="67" cm="1">
        <f t="array" ref="H582">_xlfn.IFS($G582=$G$5,H$5,$G582=$G$6,H$6,$G582=$G$7,H$7,$G582=$G$8,H$8,$G582=$G$9,H$9,$G582=$G$10,H$10,$G582=$G$11,H$11,$G582=$G$12,H$12,$G582=$G$13,H$13,$G582=$G$15,H$15,$G582=$G$16,H$16,$G582=$G$17,H$17,$G582=$G$18,H$18,$G582=$G$19,H$19,$G582=$G$20,H$20,$G582=$G$21,H$21,$G582=$G$22,H$22,$G582=$G$25,H$25,$G582=$G$26,H$26,$G582=$G$27,H$27,$G582=$G$29,H$29,$G582=$G$31,H$31,$G582=$G$32,H$150,$G582=$G$248,H$248,$G582=$G$250,H$250)</f>
        <v>41.428533999999999</v>
      </c>
      <c r="I582" s="67" cm="1">
        <f t="array" ref="I582">_xlfn.IFS($G582=$G$5,I$5,$G582=$G$6,I$6,$G582=$G$7,I$7,$G582=$G$8,I$8,$G582=$G$9,I$9,$G582=$G$10,I$10,$G582=$G$11,I$11,$G582=$G$12,I$12,$G582=$G$13,I$13,$G582=$G$15,I$15,$G582=$G$16,I$16,$G582=$G$17,I$17,$G582=$G$18,I$18,$G582=$G$19,I$19,$G582=$G$20,I$20,$G582=$G$21,I$21,$G582=$G$22,I$22,$G582=$G$25,I$25,$G582=$G$26,I$26,$G582=$G$27,I$27,$G582=$G$29,I$29,$G582=$G$31,I$31,$G582=$G$32,I$150,$G582=$G$248,I$248,$G582=$G$250,I$250)</f>
        <v>2.090954</v>
      </c>
      <c r="J582" s="48" cm="1">
        <f t="array" ref="J582">_xlfn.IFS($G582=$G$5,J$5,$G582=$G$6,J$6,$G582=$G$7,J$7,$G582=$G$8,J$8,$G582=$G$9,J$9,$G582=$G$10,J$10,$G582=$G$11,J$11,$G582=$G$12,J$12,$G582=$G$13,J$13,$G582=$G$15,J$15,$G582=$G$16,J$16,$G582=$G$17,J$17,$G582=$G$18,J$18,$G582=$G$19,J$19,$G582=$G$20,J$20,$G582=$G$21,J$21,$G582=$G$22,J$22,$G582=$G$25,J$25,$G582=$G$26,J$26,$G582=$G$27,J$27,$G582=$G$29,J$29,$G582=$G$31,J$31,$G582=$G$32,J$150,$G582=$G$248,J$248,$G582=$G$250,J$250)</f>
        <v>215</v>
      </c>
      <c r="K582" s="48" t="str" cm="1">
        <f t="array" ref="K582">_xlfn.IFS($G582=$G$5,K$5,$G582=$G$6,K$6,$G582=$G$7,K$7,$G582=$G$8,K$8,$G582=$G$9,K$9,$G582=$G$10,K$10,$G582=$G$11,K$11,$G582=$G$12,K$12,$G582=$G$13,K$13,$G582=$G$15,K$15,$G582=$G$16,K$16,$G582=$G$17,K$17,$G582=$G$18,K$18,$G582=$G$19,K$19,$G582=$G$20,K$20,$G582=$G$21,K$21,$G582=$G$22,K$22,$G582=$G$25,K$25,$G582=$G$26,K$26,$G582=$G$27,K$27,$G582=$G$29,K$29,$G582=$G$31,K$31,$G582=$G$32,K$150,$G582=$G$248,K$248,$G582=$G$250,K$250)</f>
        <v>BG sentinel + BG lure7</v>
      </c>
      <c r="L582" s="48"/>
      <c r="M582" s="48"/>
      <c r="O582" s="45" t="str">
        <f t="shared" si="45"/>
        <v>A_SP_BCN_14_210811</v>
      </c>
      <c r="P582" s="64">
        <v>44419</v>
      </c>
      <c r="R582" s="72"/>
      <c r="S582" s="64">
        <v>44426</v>
      </c>
      <c r="U582" s="72"/>
      <c r="V582" s="54" t="s">
        <v>66</v>
      </c>
      <c r="X582" s="45">
        <f t="shared" si="48"/>
        <v>7</v>
      </c>
      <c r="Z582" s="45" t="s">
        <v>80</v>
      </c>
      <c r="AA582" s="45">
        <f t="shared" si="36"/>
        <v>1</v>
      </c>
      <c r="AB582" t="str">
        <f t="shared" si="46"/>
        <v>Adult</v>
      </c>
      <c r="AC582" s="69">
        <v>1</v>
      </c>
      <c r="AD582" s="69">
        <v>0</v>
      </c>
      <c r="AE582" s="45" t="str">
        <f t="shared" si="47"/>
        <v>Morphological</v>
      </c>
      <c r="AF582" s="56">
        <v>4</v>
      </c>
    </row>
    <row r="583" spans="1:32" ht="18" customHeight="1" x14ac:dyDescent="0.25">
      <c r="A583" s="45">
        <v>579</v>
      </c>
      <c r="B583" s="45" t="s">
        <v>60</v>
      </c>
      <c r="C583" s="45" t="s">
        <v>61</v>
      </c>
      <c r="D583" s="45" t="s">
        <v>62</v>
      </c>
      <c r="E583" s="45" t="s">
        <v>62</v>
      </c>
      <c r="F583" s="46" cm="1">
        <f t="array" ref="F583">_xlfn.IFS($G583=$G$5,F$5,$G583=$G$6,F$6,$G583=$G$7,F$7,$G583=$G$8,F$8,$G583=$G$9,F$9,$G583=$G$10,F$10,$G583=$G$11,F$11,$G583=$G$12,F$12,$G583=$G$13,F$13,$G583=$G$15,F$15,$G583=$G$16,F$16,$G583=$G$17,F$17,$G583=$G$18,F$18,$G583=$G$19,F$19,$G583=$G$20,F$20,$G583=$G$21,F$21,$G583=$G$22,F$22,$G583=$G$25,F$25,$G583=$G$26,F$26,$G583=$G$27,F$27,$G583=$G$29,F$29,$G583=$G$31,F$31,$G583=$G$32,F$32,$G583=$G$248,F$248,$G583=$G$250,F$250)</f>
        <v>8017</v>
      </c>
      <c r="G583" t="s">
        <v>87</v>
      </c>
      <c r="H583" s="67" cm="1">
        <f t="array" ref="H583">_xlfn.IFS($G583=$G$5,H$5,$G583=$G$6,H$6,$G583=$G$7,H$7,$G583=$G$8,H$8,$G583=$G$9,H$9,$G583=$G$10,H$10,$G583=$G$11,H$11,$G583=$G$12,H$12,$G583=$G$13,H$13,$G583=$G$15,H$15,$G583=$G$16,H$16,$G583=$G$17,H$17,$G583=$G$18,H$18,$G583=$G$19,H$19,$G583=$G$20,H$20,$G583=$G$21,H$21,$G583=$G$22,H$22,$G583=$G$25,H$25,$G583=$G$26,H$26,$G583=$G$27,H$27,$G583=$G$29,H$29,$G583=$G$31,H$31,$G583=$G$32,H$150,$G583=$G$248,H$248,$G583=$G$250,H$250)</f>
        <v>41.419471000000001</v>
      </c>
      <c r="I583" s="67" cm="1">
        <f t="array" ref="I583">_xlfn.IFS($G583=$G$5,I$5,$G583=$G$6,I$6,$G583=$G$7,I$7,$G583=$G$8,I$8,$G583=$G$9,I$9,$G583=$G$10,I$10,$G583=$G$11,I$11,$G583=$G$12,I$12,$G583=$G$13,I$13,$G583=$G$15,I$15,$G583=$G$16,I$16,$G583=$G$17,I$17,$G583=$G$18,I$18,$G583=$G$19,I$19,$G583=$G$20,I$20,$G583=$G$21,I$21,$G583=$G$22,I$22,$G583=$G$25,I$25,$G583=$G$26,I$26,$G583=$G$27,I$27,$G583=$G$29,I$29,$G583=$G$31,I$31,$G583=$G$32,I$150,$G583=$G$248,I$248,$G583=$G$250,I$250)</f>
        <v>2.1010149999999999</v>
      </c>
      <c r="J583" s="48" cm="1">
        <f t="array" ref="J583">_xlfn.IFS($G583=$G$5,J$5,$G583=$G$6,J$6,$G583=$G$7,J$7,$G583=$G$8,J$8,$G583=$G$9,J$9,$G583=$G$10,J$10,$G583=$G$11,J$11,$G583=$G$12,J$12,$G583=$G$13,J$13,$G583=$G$15,J$15,$G583=$G$16,J$16,$G583=$G$17,J$17,$G583=$G$18,J$18,$G583=$G$19,J$19,$G583=$G$20,J$20,$G583=$G$21,J$21,$G583=$G$22,J$22,$G583=$G$25,J$25,$G583=$G$26,J$26,$G583=$G$27,J$27,$G583=$G$29,J$29,$G583=$G$31,J$31,$G583=$G$32,J$150,$G583=$G$248,J$248,$G583=$G$250,J$250)</f>
        <v>284</v>
      </c>
      <c r="K583" s="48" t="str" cm="1">
        <f t="array" ref="K583">_xlfn.IFS($G583=$G$5,K$5,$G583=$G$6,K$6,$G583=$G$7,K$7,$G583=$G$8,K$8,$G583=$G$9,K$9,$G583=$G$10,K$10,$G583=$G$11,K$11,$G583=$G$12,K$12,$G583=$G$13,K$13,$G583=$G$15,K$15,$G583=$G$16,K$16,$G583=$G$17,K$17,$G583=$G$18,K$18,$G583=$G$19,K$19,$G583=$G$20,K$20,$G583=$G$21,K$21,$G583=$G$22,K$22,$G583=$G$25,K$25,$G583=$G$26,K$26,$G583=$G$27,K$27,$G583=$G$29,K$29,$G583=$G$31,K$31,$G583=$G$32,K$150,$G583=$G$248,K$248,$G583=$G$250,K$250)</f>
        <v>BG sentinel + BG lure7</v>
      </c>
      <c r="L583" s="48"/>
      <c r="M583" s="48"/>
      <c r="O583" s="45" t="str">
        <f t="shared" si="45"/>
        <v>A_SP_BCN_15_210811</v>
      </c>
      <c r="P583" s="64">
        <v>44419</v>
      </c>
      <c r="R583" s="72"/>
      <c r="S583" s="64">
        <v>44426</v>
      </c>
      <c r="U583" s="72"/>
      <c r="V583" s="54" t="s">
        <v>66</v>
      </c>
      <c r="X583" s="45">
        <f t="shared" si="48"/>
        <v>7</v>
      </c>
      <c r="Z583" s="69" t="s">
        <v>69</v>
      </c>
      <c r="AA583" s="45">
        <f t="shared" si="36"/>
        <v>11</v>
      </c>
      <c r="AB583" t="str">
        <f t="shared" si="46"/>
        <v>Adult</v>
      </c>
      <c r="AC583" s="69">
        <v>11</v>
      </c>
      <c r="AD583" s="69">
        <v>0</v>
      </c>
      <c r="AE583" s="45" t="str">
        <f t="shared" si="47"/>
        <v>Morphological</v>
      </c>
      <c r="AF583" s="56">
        <v>4</v>
      </c>
    </row>
    <row r="584" spans="1:32" ht="18" customHeight="1" x14ac:dyDescent="0.25">
      <c r="A584" s="45">
        <v>580</v>
      </c>
      <c r="B584" s="45" t="s">
        <v>60</v>
      </c>
      <c r="C584" s="45" t="s">
        <v>61</v>
      </c>
      <c r="D584" s="45" t="s">
        <v>62</v>
      </c>
      <c r="E584" s="45" t="s">
        <v>62</v>
      </c>
      <c r="F584" s="46" cm="1">
        <f t="array" ref="F584">_xlfn.IFS($G584=$G$5,F$5,$G584=$G$6,F$6,$G584=$G$7,F$7,$G584=$G$8,F$8,$G584=$G$9,F$9,$G584=$G$10,F$10,$G584=$G$11,F$11,$G584=$G$12,F$12,$G584=$G$13,F$13,$G584=$G$15,F$15,$G584=$G$16,F$16,$G584=$G$17,F$17,$G584=$G$18,F$18,$G584=$G$19,F$19,$G584=$G$20,F$20,$G584=$G$21,F$21,$G584=$G$22,F$22,$G584=$G$25,F$25,$G584=$G$26,F$26,$G584=$G$27,F$27,$G584=$G$29,F$29,$G584=$G$31,F$31,$G584=$G$32,F$32,$G584=$G$248,F$248,$G584=$G$250,F$250)</f>
        <v>8038</v>
      </c>
      <c r="G584" t="s">
        <v>93</v>
      </c>
      <c r="H584" s="67" cm="1">
        <f t="array" ref="H584">_xlfn.IFS($G584=$G$5,H$5,$G584=$G$6,H$6,$G584=$G$7,H$7,$G584=$G$8,H$8,$G584=$G$9,H$9,$G584=$G$10,H$10,$G584=$G$11,H$11,$G584=$G$12,H$12,$G584=$G$13,H$13,$G584=$G$15,H$15,$G584=$G$16,H$16,$G584=$G$17,H$17,$G584=$G$18,H$18,$G584=$G$19,H$19,$G584=$G$20,H$20,$G584=$G$21,H$21,$G584=$G$22,H$22,$G584=$G$25,H$25,$G584=$G$26,H$26,$G584=$G$27,H$27,$G584=$G$29,H$29,$G584=$G$31,H$31,$G584=$G$32,H$150,$G584=$G$248,H$248,$G584=$G$250,H$250)</f>
        <v>41.359864999999999</v>
      </c>
      <c r="I584" s="67" cm="1">
        <f t="array" ref="I584">_xlfn.IFS($G584=$G$5,I$5,$G584=$G$6,I$6,$G584=$G$7,I$7,$G584=$G$8,I$8,$G584=$G$9,I$9,$G584=$G$10,I$10,$G584=$G$11,I$11,$G584=$G$12,I$12,$G584=$G$13,I$13,$G584=$G$15,I$15,$G584=$G$16,I$16,$G584=$G$17,I$17,$G584=$G$18,I$18,$G584=$G$19,I$19,$G584=$G$20,I$20,$G584=$G$21,I$21,$G584=$G$22,I$22,$G584=$G$25,I$25,$G584=$G$26,I$26,$G584=$G$27,I$27,$G584=$G$29,I$29,$G584=$G$31,I$31,$G584=$G$32,I$150,$G584=$G$248,I$248,$G584=$G$250,I$250)</f>
        <v>2.1445430000000001</v>
      </c>
      <c r="J584" s="48" cm="1">
        <f t="array" ref="J584">_xlfn.IFS($G584=$G$5,J$5,$G584=$G$6,J$6,$G584=$G$7,J$7,$G584=$G$8,J$8,$G584=$G$9,J$9,$G584=$G$10,J$10,$G584=$G$11,J$11,$G584=$G$12,J$12,$G584=$G$13,J$13,$G584=$G$15,J$15,$G584=$G$16,J$16,$G584=$G$17,J$17,$G584=$G$18,J$18,$G584=$G$19,J$19,$G584=$G$20,J$20,$G584=$G$21,J$21,$G584=$G$22,J$22,$G584=$G$25,J$25,$G584=$G$26,J$26,$G584=$G$27,J$27,$G584=$G$29,J$29,$G584=$G$31,J$31,$G584=$G$32,J$150,$G584=$G$248,J$248,$G584=$G$250,J$250)</f>
        <v>11.4</v>
      </c>
      <c r="K584" s="48" t="str" cm="1">
        <f t="array" ref="K584">_xlfn.IFS($G584=$G$5,K$5,$G584=$G$6,K$6,$G584=$G$7,K$7,$G584=$G$8,K$8,$G584=$G$9,K$9,$G584=$G$10,K$10,$G584=$G$11,K$11,$G584=$G$12,K$12,$G584=$G$13,K$13,$G584=$G$15,K$15,$G584=$G$16,K$16,$G584=$G$17,K$17,$G584=$G$18,K$18,$G584=$G$19,K$19,$G584=$G$20,K$20,$G584=$G$21,K$21,$G584=$G$22,K$22,$G584=$G$25,K$25,$G584=$G$26,K$26,$G584=$G$27,K$27,$G584=$G$29,K$29,$G584=$G$31,K$31,$G584=$G$32,K$150,$G584=$G$248,K$248,$G584=$G$250,K$250)</f>
        <v>BG sentinel + BG lure7</v>
      </c>
      <c r="L584" s="48"/>
      <c r="M584" s="48"/>
      <c r="O584" s="45" t="str">
        <f t="shared" si="45"/>
        <v>A_SP_BCN_19_210812</v>
      </c>
      <c r="P584" s="64">
        <v>44420</v>
      </c>
      <c r="R584" s="72"/>
      <c r="S584" s="64">
        <v>44427</v>
      </c>
      <c r="U584" s="72"/>
      <c r="V584" s="54" t="s">
        <v>66</v>
      </c>
      <c r="X584" s="45">
        <f t="shared" si="48"/>
        <v>7</v>
      </c>
      <c r="Z584" s="69" t="s">
        <v>69</v>
      </c>
      <c r="AA584" s="45">
        <f t="shared" si="36"/>
        <v>60</v>
      </c>
      <c r="AB584" t="str">
        <f t="shared" si="46"/>
        <v>Adult</v>
      </c>
      <c r="AC584" s="69">
        <v>33</v>
      </c>
      <c r="AD584" s="69">
        <v>27</v>
      </c>
      <c r="AE584" s="45" t="str">
        <f t="shared" si="47"/>
        <v>Morphological</v>
      </c>
      <c r="AF584" s="56">
        <v>4</v>
      </c>
    </row>
    <row r="585" spans="1:32" ht="18" customHeight="1" x14ac:dyDescent="0.25">
      <c r="A585" s="45">
        <v>581</v>
      </c>
      <c r="B585" s="45" t="s">
        <v>60</v>
      </c>
      <c r="C585" s="45" t="s">
        <v>61</v>
      </c>
      <c r="D585" s="45" t="s">
        <v>62</v>
      </c>
      <c r="E585" s="45" t="s">
        <v>62</v>
      </c>
      <c r="F585" s="46" cm="1">
        <f t="array" ref="F585">_xlfn.IFS($G585=$G$5,F$5,$G585=$G$6,F$6,$G585=$G$7,F$7,$G585=$G$8,F$8,$G585=$G$9,F$9,$G585=$G$10,F$10,$G585=$G$11,F$11,$G585=$G$12,F$12,$G585=$G$13,F$13,$G585=$G$15,F$15,$G585=$G$16,F$16,$G585=$G$17,F$17,$G585=$G$18,F$18,$G585=$G$19,F$19,$G585=$G$20,F$20,$G585=$G$21,F$21,$G585=$G$22,F$22,$G585=$G$25,F$25,$G585=$G$26,F$26,$G585=$G$27,F$27,$G585=$G$29,F$29,$G585=$G$31,F$31,$G585=$G$32,F$32,$G585=$G$248,F$248,$G585=$G$250,F$250)</f>
        <v>8038</v>
      </c>
      <c r="G585" t="s">
        <v>93</v>
      </c>
      <c r="H585" s="67" cm="1">
        <f t="array" ref="H585">_xlfn.IFS($G585=$G$5,H$5,$G585=$G$6,H$6,$G585=$G$7,H$7,$G585=$G$8,H$8,$G585=$G$9,H$9,$G585=$G$10,H$10,$G585=$G$11,H$11,$G585=$G$12,H$12,$G585=$G$13,H$13,$G585=$G$15,H$15,$G585=$G$16,H$16,$G585=$G$17,H$17,$G585=$G$18,H$18,$G585=$G$19,H$19,$G585=$G$20,H$20,$G585=$G$21,H$21,$G585=$G$22,H$22,$G585=$G$25,H$25,$G585=$G$26,H$26,$G585=$G$27,H$27,$G585=$G$29,H$29,$G585=$G$31,H$31,$G585=$G$32,H$150,$G585=$G$248,H$248,$G585=$G$250,H$250)</f>
        <v>41.359864999999999</v>
      </c>
      <c r="I585" s="67" cm="1">
        <f t="array" ref="I585">_xlfn.IFS($G585=$G$5,I$5,$G585=$G$6,I$6,$G585=$G$7,I$7,$G585=$G$8,I$8,$G585=$G$9,I$9,$G585=$G$10,I$10,$G585=$G$11,I$11,$G585=$G$12,I$12,$G585=$G$13,I$13,$G585=$G$15,I$15,$G585=$G$16,I$16,$G585=$G$17,I$17,$G585=$G$18,I$18,$G585=$G$19,I$19,$G585=$G$20,I$20,$G585=$G$21,I$21,$G585=$G$22,I$22,$G585=$G$25,I$25,$G585=$G$26,I$26,$G585=$G$27,I$27,$G585=$G$29,I$29,$G585=$G$31,I$31,$G585=$G$32,I$150,$G585=$G$248,I$248,$G585=$G$250,I$250)</f>
        <v>2.1445430000000001</v>
      </c>
      <c r="J585" s="48" cm="1">
        <f t="array" ref="J585">_xlfn.IFS($G585=$G$5,J$5,$G585=$G$6,J$6,$G585=$G$7,J$7,$G585=$G$8,J$8,$G585=$G$9,J$9,$G585=$G$10,J$10,$G585=$G$11,J$11,$G585=$G$12,J$12,$G585=$G$13,J$13,$G585=$G$15,J$15,$G585=$G$16,J$16,$G585=$G$17,J$17,$G585=$G$18,J$18,$G585=$G$19,J$19,$G585=$G$20,J$20,$G585=$G$21,J$21,$G585=$G$22,J$22,$G585=$G$25,J$25,$G585=$G$26,J$26,$G585=$G$27,J$27,$G585=$G$29,J$29,$G585=$G$31,J$31,$G585=$G$32,J$150,$G585=$G$248,J$248,$G585=$G$250,J$250)</f>
        <v>11.4</v>
      </c>
      <c r="K585" s="48" t="str" cm="1">
        <f t="array" ref="K585">_xlfn.IFS($G585=$G$5,K$5,$G585=$G$6,K$6,$G585=$G$7,K$7,$G585=$G$8,K$8,$G585=$G$9,K$9,$G585=$G$10,K$10,$G585=$G$11,K$11,$G585=$G$12,K$12,$G585=$G$13,K$13,$G585=$G$15,K$15,$G585=$G$16,K$16,$G585=$G$17,K$17,$G585=$G$18,K$18,$G585=$G$19,K$19,$G585=$G$20,K$20,$G585=$G$21,K$21,$G585=$G$22,K$22,$G585=$G$25,K$25,$G585=$G$26,K$26,$G585=$G$27,K$27,$G585=$G$29,K$29,$G585=$G$31,K$31,$G585=$G$32,K$150,$G585=$G$248,K$248,$G585=$G$250,K$250)</f>
        <v>BG sentinel + BG lure7</v>
      </c>
      <c r="L585" s="48"/>
      <c r="M585" s="48"/>
      <c r="O585" s="45" t="str">
        <f t="shared" si="45"/>
        <v>A_SP_BCN_19_210812</v>
      </c>
      <c r="P585" s="64">
        <v>44420</v>
      </c>
      <c r="R585" s="72"/>
      <c r="S585" s="64">
        <v>44427</v>
      </c>
      <c r="U585" s="72"/>
      <c r="V585" s="54" t="s">
        <v>66</v>
      </c>
      <c r="X585" s="45">
        <f t="shared" si="48"/>
        <v>7</v>
      </c>
      <c r="Z585" s="45" t="s">
        <v>70</v>
      </c>
      <c r="AA585" s="45">
        <f t="shared" si="36"/>
        <v>26</v>
      </c>
      <c r="AB585" t="str">
        <f t="shared" si="46"/>
        <v>Adult</v>
      </c>
      <c r="AC585" s="69">
        <v>26</v>
      </c>
      <c r="AD585" s="69">
        <v>0</v>
      </c>
      <c r="AE585" s="45" t="str">
        <f t="shared" si="47"/>
        <v>Morphological</v>
      </c>
      <c r="AF585" s="56">
        <v>4</v>
      </c>
    </row>
    <row r="586" spans="1:32" ht="18" customHeight="1" x14ac:dyDescent="0.25">
      <c r="A586" s="45">
        <v>582</v>
      </c>
      <c r="B586" s="45" t="s">
        <v>60</v>
      </c>
      <c r="C586" s="45" t="s">
        <v>61</v>
      </c>
      <c r="D586" s="45" t="s">
        <v>62</v>
      </c>
      <c r="E586" s="45" t="s">
        <v>62</v>
      </c>
      <c r="F586" s="46" cm="1">
        <f t="array" ref="F586">_xlfn.IFS($G586=$G$5,F$5,$G586=$G$6,F$6,$G586=$G$7,F$7,$G586=$G$8,F$8,$G586=$G$9,F$9,$G586=$G$10,F$10,$G586=$G$11,F$11,$G586=$G$12,F$12,$G586=$G$13,F$13,$G586=$G$15,F$15,$G586=$G$16,F$16,$G586=$G$17,F$17,$G586=$G$18,F$18,$G586=$G$19,F$19,$G586=$G$20,F$20,$G586=$G$21,F$21,$G586=$G$22,F$22,$G586=$G$25,F$25,$G586=$G$26,F$26,$G586=$G$27,F$27,$G586=$G$29,F$29,$G586=$G$31,F$31,$G586=$G$32,F$32,$G586=$G$248,F$248,$G586=$G$250,F$250)</f>
        <v>8017</v>
      </c>
      <c r="G586" t="s">
        <v>98</v>
      </c>
      <c r="H586" s="67" cm="1">
        <f t="array" ref="H586">_xlfn.IFS($G586=$G$5,H$5,$G586=$G$6,H$6,$G586=$G$7,H$7,$G586=$G$8,H$8,$G586=$G$9,H$9,$G586=$G$10,H$10,$G586=$G$11,H$11,$G586=$G$12,H$12,$G586=$G$13,H$13,$G586=$G$15,H$15,$G586=$G$16,H$16,$G586=$G$17,H$17,$G586=$G$18,H$18,$G586=$G$19,H$19,$G586=$G$20,H$20,$G586=$G$21,H$21,$G586=$G$22,H$22,$G586=$G$25,H$25,$G586=$G$26,H$26,$G586=$G$27,H$27,$G586=$G$29,H$29,$G586=$G$31,H$31,$G586=$G$32,H$150,$G586=$G$248,H$248,$G586=$G$250,H$250)</f>
        <v>41.430315999999998</v>
      </c>
      <c r="I586" s="67" cm="1">
        <f t="array" ref="I586">_xlfn.IFS($G586=$G$5,I$5,$G586=$G$6,I$6,$G586=$G$7,I$7,$G586=$G$8,I$8,$G586=$G$9,I$9,$G586=$G$10,I$10,$G586=$G$11,I$11,$G586=$G$12,I$12,$G586=$G$13,I$13,$G586=$G$15,I$15,$G586=$G$16,I$16,$G586=$G$17,I$17,$G586=$G$18,I$18,$G586=$G$19,I$19,$G586=$G$20,I$20,$G586=$G$21,I$21,$G586=$G$22,I$22,$G586=$G$25,I$25,$G586=$G$26,I$26,$G586=$G$27,I$27,$G586=$G$29,I$29,$G586=$G$31,I$31,$G586=$G$32,I$150,$G586=$G$248,I$248,$G586=$G$250,I$250)</f>
        <v>2.077556</v>
      </c>
      <c r="J586" s="48" cm="1">
        <f t="array" ref="J586">_xlfn.IFS($G586=$G$5,J$5,$G586=$G$6,J$6,$G586=$G$7,J$7,$G586=$G$8,J$8,$G586=$G$9,J$9,$G586=$G$10,J$10,$G586=$G$11,J$11,$G586=$G$12,J$12,$G586=$G$13,J$13,$G586=$G$15,J$15,$G586=$G$16,J$16,$G586=$G$17,J$17,$G586=$G$18,J$18,$G586=$G$19,J$19,$G586=$G$20,J$20,$G586=$G$21,J$21,$G586=$G$22,J$22,$G586=$G$25,J$25,$G586=$G$26,J$26,$G586=$G$27,J$27,$G586=$G$29,J$29,$G586=$G$31,J$31,$G586=$G$32,J$150,$G586=$G$248,J$248,$G586=$G$250,J$250)</f>
        <v>243.3</v>
      </c>
      <c r="K586" s="48" t="str" cm="1">
        <f t="array" ref="K586">_xlfn.IFS($G586=$G$5,K$5,$G586=$G$6,K$6,$G586=$G$7,K$7,$G586=$G$8,K$8,$G586=$G$9,K$9,$G586=$G$10,K$10,$G586=$G$11,K$11,$G586=$G$12,K$12,$G586=$G$13,K$13,$G586=$G$15,K$15,$G586=$G$16,K$16,$G586=$G$17,K$17,$G586=$G$18,K$18,$G586=$G$19,K$19,$G586=$G$20,K$20,$G586=$G$21,K$21,$G586=$G$22,K$22,$G586=$G$25,K$25,$G586=$G$26,K$26,$G586=$G$27,K$27,$G586=$G$29,K$29,$G586=$G$31,K$31,$G586=$G$32,K$150,$G586=$G$248,K$248,$G586=$G$250,K$250)</f>
        <v>BG sentinel + BG lure7</v>
      </c>
      <c r="L586" s="48"/>
      <c r="M586" s="48"/>
      <c r="O586" s="45" t="str">
        <f t="shared" si="45"/>
        <v>A_SP_BCN_22_210811</v>
      </c>
      <c r="P586" s="64">
        <v>44419</v>
      </c>
      <c r="R586" s="72"/>
      <c r="S586" s="64">
        <v>44426</v>
      </c>
      <c r="U586" s="72"/>
      <c r="V586" s="54" t="s">
        <v>66</v>
      </c>
      <c r="X586" s="45">
        <f t="shared" si="48"/>
        <v>7</v>
      </c>
      <c r="Z586" s="69" t="s">
        <v>69</v>
      </c>
      <c r="AA586" s="45">
        <f t="shared" si="36"/>
        <v>2</v>
      </c>
      <c r="AB586" t="str">
        <f t="shared" si="46"/>
        <v>Adult</v>
      </c>
      <c r="AC586" s="69">
        <v>2</v>
      </c>
      <c r="AD586" s="69">
        <v>0</v>
      </c>
      <c r="AE586" s="45" t="str">
        <f t="shared" si="47"/>
        <v>Morphological</v>
      </c>
      <c r="AF586" s="56">
        <v>4</v>
      </c>
    </row>
    <row r="587" spans="1:32" ht="18" customHeight="1" x14ac:dyDescent="0.25">
      <c r="A587" s="45">
        <v>583</v>
      </c>
      <c r="B587" s="45" t="s">
        <v>60</v>
      </c>
      <c r="C587" s="45" t="s">
        <v>61</v>
      </c>
      <c r="D587" s="45" t="s">
        <v>62</v>
      </c>
      <c r="E587" s="45" t="s">
        <v>62</v>
      </c>
      <c r="F587" s="46" cm="1">
        <f t="array" ref="F587">_xlfn.IFS($G587=$G$5,F$5,$G587=$G$6,F$6,$G587=$G$7,F$7,$G587=$G$8,F$8,$G587=$G$9,F$9,$G587=$G$10,F$10,$G587=$G$11,F$11,$G587=$G$12,F$12,$G587=$G$13,F$13,$G587=$G$15,F$15,$G587=$G$16,F$16,$G587=$G$17,F$17,$G587=$G$18,F$18,$G587=$G$19,F$19,$G587=$G$20,F$20,$G587=$G$21,F$21,$G587=$G$22,F$22,$G587=$G$25,F$25,$G587=$G$26,F$26,$G587=$G$27,F$27,$G587=$G$29,F$29,$G587=$G$31,F$31,$G587=$G$32,F$32,$G587=$G$248,F$248,$G587=$G$250,F$250)</f>
        <v>8038</v>
      </c>
      <c r="G587" t="s">
        <v>103</v>
      </c>
      <c r="H587" s="67" cm="1">
        <f t="array" ref="H587">_xlfn.IFS($G587=$G$5,H$5,$G587=$G$6,H$6,$G587=$G$7,H$7,$G587=$G$8,H$8,$G587=$G$9,H$9,$G587=$G$10,H$10,$G587=$G$11,H$11,$G587=$G$12,H$12,$G587=$G$13,H$13,$G587=$G$15,H$15,$G587=$G$16,H$16,$G587=$G$17,H$17,$G587=$G$18,H$18,$G587=$G$19,H$19,$G587=$G$20,H$20,$G587=$G$21,H$21,$G587=$G$22,H$22,$G587=$G$25,H$25,$G587=$G$26,H$26,$G587=$G$27,H$27,$G587=$G$29,H$29,$G587=$G$31,H$31,$G587=$G$32,H$150,$G587=$G$248,H$248,$G587=$G$250,H$250)</f>
        <v>41.367100000000001</v>
      </c>
      <c r="I587" s="67" cm="1">
        <f t="array" ref="I587">_xlfn.IFS($G587=$G$5,I$5,$G587=$G$6,I$6,$G587=$G$7,I$7,$G587=$G$8,I$8,$G587=$G$9,I$9,$G587=$G$10,I$10,$G587=$G$11,I$11,$G587=$G$12,I$12,$G587=$G$13,I$13,$G587=$G$15,I$15,$G587=$G$16,I$16,$G587=$G$17,I$17,$G587=$G$18,I$18,$G587=$G$19,I$19,$G587=$G$20,I$20,$G587=$G$21,I$21,$G587=$G$22,I$22,$G587=$G$25,I$25,$G587=$G$26,I$26,$G587=$G$27,I$27,$G587=$G$29,I$29,$G587=$G$31,I$31,$G587=$G$32,I$150,$G587=$G$248,I$248,$G587=$G$250,I$250)</f>
        <v>2.1539079999999999</v>
      </c>
      <c r="J587" s="48" cm="1">
        <f t="array" ref="J587">_xlfn.IFS($G587=$G$5,J$5,$G587=$G$6,J$6,$G587=$G$7,J$7,$G587=$G$8,J$8,$G587=$G$9,J$9,$G587=$G$10,J$10,$G587=$G$11,J$11,$G587=$G$12,J$12,$G587=$G$13,J$13,$G587=$G$15,J$15,$G587=$G$16,J$16,$G587=$G$17,J$17,$G587=$G$18,J$18,$G587=$G$19,J$19,$G587=$G$20,J$20,$G587=$G$21,J$21,$G587=$G$22,J$22,$G587=$G$25,J$25,$G587=$G$26,J$26,$G587=$G$27,J$27,$G587=$G$29,J$29,$G587=$G$31,J$31,$G587=$G$32,J$150,$G587=$G$248,J$248,$G587=$G$250,J$250)</f>
        <v>68</v>
      </c>
      <c r="K587" s="48" t="str" cm="1">
        <f t="array" ref="K587">_xlfn.IFS($G587=$G$5,K$5,$G587=$G$6,K$6,$G587=$G$7,K$7,$G587=$G$8,K$8,$G587=$G$9,K$9,$G587=$G$10,K$10,$G587=$G$11,K$11,$G587=$G$12,K$12,$G587=$G$13,K$13,$G587=$G$15,K$15,$G587=$G$16,K$16,$G587=$G$17,K$17,$G587=$G$18,K$18,$G587=$G$19,K$19,$G587=$G$20,K$20,$G587=$G$21,K$21,$G587=$G$22,K$22,$G587=$G$25,K$25,$G587=$G$26,K$26,$G587=$G$27,K$27,$G587=$G$29,K$29,$G587=$G$31,K$31,$G587=$G$32,K$150,$G587=$G$248,K$248,$G587=$G$250,K$250)</f>
        <v>BG sentinel + BG lure7</v>
      </c>
      <c r="L587" s="48"/>
      <c r="M587" s="48"/>
      <c r="O587" s="45" t="str">
        <f t="shared" si="45"/>
        <v>A_SP_BCN_23_210812</v>
      </c>
      <c r="P587" s="64">
        <v>44420</v>
      </c>
      <c r="R587" s="72"/>
      <c r="S587" s="64">
        <v>44427</v>
      </c>
      <c r="U587" s="72"/>
      <c r="V587" s="54" t="s">
        <v>66</v>
      </c>
      <c r="X587" s="45">
        <f t="shared" si="48"/>
        <v>7</v>
      </c>
      <c r="Z587" s="69" t="s">
        <v>69</v>
      </c>
      <c r="AA587" s="45">
        <f t="shared" si="36"/>
        <v>10</v>
      </c>
      <c r="AB587" t="str">
        <f t="shared" si="46"/>
        <v>Adult</v>
      </c>
      <c r="AC587" s="69">
        <v>8</v>
      </c>
      <c r="AD587" s="69">
        <v>2</v>
      </c>
      <c r="AE587" s="45" t="str">
        <f t="shared" si="47"/>
        <v>Morphological</v>
      </c>
      <c r="AF587" s="56">
        <v>4</v>
      </c>
    </row>
    <row r="588" spans="1:32" ht="18" customHeight="1" x14ac:dyDescent="0.25">
      <c r="A588" s="45">
        <v>584</v>
      </c>
      <c r="B588" s="45" t="s">
        <v>60</v>
      </c>
      <c r="C588" s="45" t="s">
        <v>61</v>
      </c>
      <c r="D588" s="45" t="s">
        <v>62</v>
      </c>
      <c r="E588" s="45" t="s">
        <v>62</v>
      </c>
      <c r="F588" s="46" cm="1">
        <f t="array" ref="F588">_xlfn.IFS($G588=$G$5,F$5,$G588=$G$6,F$6,$G588=$G$7,F$7,$G588=$G$8,F$8,$G588=$G$9,F$9,$G588=$G$10,F$10,$G588=$G$11,F$11,$G588=$G$12,F$12,$G588=$G$13,F$13,$G588=$G$15,F$15,$G588=$G$16,F$16,$G588=$G$17,F$17,$G588=$G$18,F$18,$G588=$G$19,F$19,$G588=$G$20,F$20,$G588=$G$21,F$21,$G588=$G$22,F$22,$G588=$G$25,F$25,$G588=$G$26,F$26,$G588=$G$27,F$27,$G588=$G$29,F$29,$G588=$G$31,F$31,$G588=$G$32,F$32,$G588=$G$248,F$248,$G588=$G$250,F$250)</f>
        <v>8015</v>
      </c>
      <c r="G588" t="s">
        <v>109</v>
      </c>
      <c r="H588" s="67" cm="1">
        <f t="array" ref="H588">_xlfn.IFS($G588=$G$5,H$5,$G588=$G$6,H$6,$G588=$G$7,H$7,$G588=$G$8,H$8,$G588=$G$9,H$9,$G588=$G$10,H$10,$G588=$G$11,H$11,$G588=$G$12,H$12,$G588=$G$13,H$13,$G588=$G$15,H$15,$G588=$G$16,H$16,$G588=$G$17,H$17,$G588=$G$18,H$18,$G588=$G$19,H$19,$G588=$G$20,H$20,$G588=$G$21,H$21,$G588=$G$22,H$22,$G588=$G$25,H$25,$G588=$G$26,H$26,$G588=$G$27,H$27,$G588=$G$29,H$29,$G588=$G$31,H$31,$G588=$G$32,H$150,$G588=$G$248,H$248,$G588=$G$250,H$250)</f>
        <v>41.381725000000003</v>
      </c>
      <c r="I588" s="67" cm="1">
        <f t="array" ref="I588">_xlfn.IFS($G588=$G$5,I$5,$G588=$G$6,I$6,$G588=$G$7,I$7,$G588=$G$8,I$8,$G588=$G$9,I$9,$G588=$G$10,I$10,$G588=$G$11,I$11,$G588=$G$12,I$12,$G588=$G$13,I$13,$G588=$G$15,I$15,$G588=$G$16,I$16,$G588=$G$17,I$17,$G588=$G$18,I$18,$G588=$G$19,I$19,$G588=$G$20,I$20,$G588=$G$21,I$21,$G588=$G$22,I$22,$G588=$G$25,I$25,$G588=$G$26,I$26,$G588=$G$27,I$27,$G588=$G$29,I$29,$G588=$G$31,I$31,$G588=$G$32,I$150,$G588=$G$248,I$248,$G588=$G$250,I$250)</f>
        <v>2.1543679999999998</v>
      </c>
      <c r="J588" s="48" cm="1">
        <f t="array" ref="J588">_xlfn.IFS($G588=$G$5,J$5,$G588=$G$6,J$6,$G588=$G$7,J$7,$G588=$G$8,J$8,$G588=$G$9,J$9,$G588=$G$10,J$10,$G588=$G$11,J$11,$G588=$G$12,J$12,$G588=$G$13,J$13,$G588=$G$15,J$15,$G588=$G$16,J$16,$G588=$G$17,J$17,$G588=$G$18,J$18,$G588=$G$19,J$19,$G588=$G$20,J$20,$G588=$G$21,J$21,$G588=$G$22,J$22,$G588=$G$25,J$25,$G588=$G$26,J$26,$G588=$G$27,J$27,$G588=$G$29,J$29,$G588=$G$31,J$31,$G588=$G$32,J$150,$G588=$G$248,J$248,$G588=$G$250,J$250)</f>
        <v>20.7</v>
      </c>
      <c r="K588" s="48" t="str" cm="1">
        <f t="array" ref="K588">_xlfn.IFS($G588=$G$5,K$5,$G588=$G$6,K$6,$G588=$G$7,K$7,$G588=$G$8,K$8,$G588=$G$9,K$9,$G588=$G$10,K$10,$G588=$G$11,K$11,$G588=$G$12,K$12,$G588=$G$13,K$13,$G588=$G$15,K$15,$G588=$G$16,K$16,$G588=$G$17,K$17,$G588=$G$18,K$18,$G588=$G$19,K$19,$G588=$G$20,K$20,$G588=$G$21,K$21,$G588=$G$22,K$22,$G588=$G$25,K$25,$G588=$G$26,K$26,$G588=$G$27,K$27,$G588=$G$29,K$29,$G588=$G$31,K$31,$G588=$G$32,K$150,$G588=$G$248,K$248,$G588=$G$250,K$250)</f>
        <v>BG sentinel + BG lure7</v>
      </c>
      <c r="L588" s="48"/>
      <c r="M588" s="48"/>
      <c r="O588" s="45" t="str">
        <f t="shared" si="45"/>
        <v>A_SP_BCN_24_210811</v>
      </c>
      <c r="P588" s="64">
        <v>44419</v>
      </c>
      <c r="R588" s="72"/>
      <c r="S588" s="64">
        <v>44426</v>
      </c>
      <c r="U588" s="72"/>
      <c r="V588" s="54" t="s">
        <v>66</v>
      </c>
      <c r="X588" s="45">
        <f t="shared" si="48"/>
        <v>7</v>
      </c>
      <c r="Z588" s="69" t="s">
        <v>69</v>
      </c>
      <c r="AA588" s="45">
        <f t="shared" si="36"/>
        <v>23</v>
      </c>
      <c r="AB588" t="str">
        <f t="shared" si="46"/>
        <v>Adult</v>
      </c>
      <c r="AC588" s="69">
        <v>12</v>
      </c>
      <c r="AD588" s="69">
        <v>11</v>
      </c>
      <c r="AE588" s="45" t="str">
        <f t="shared" si="47"/>
        <v>Morphological</v>
      </c>
      <c r="AF588" s="56">
        <v>4</v>
      </c>
    </row>
    <row r="589" spans="1:32" ht="18" customHeight="1" x14ac:dyDescent="0.25">
      <c r="A589" s="45">
        <v>585</v>
      </c>
      <c r="B589" s="45" t="s">
        <v>60</v>
      </c>
      <c r="C589" s="45" t="s">
        <v>61</v>
      </c>
      <c r="D589" s="45" t="s">
        <v>62</v>
      </c>
      <c r="E589" s="45" t="s">
        <v>62</v>
      </c>
      <c r="F589" s="46" cm="1">
        <f t="array" ref="F589">_xlfn.IFS($G589=$G$5,F$5,$G589=$G$6,F$6,$G589=$G$7,F$7,$G589=$G$8,F$8,$G589=$G$9,F$9,$G589=$G$10,F$10,$G589=$G$11,F$11,$G589=$G$12,F$12,$G589=$G$13,F$13,$G589=$G$15,F$15,$G589=$G$16,F$16,$G589=$G$17,F$17,$G589=$G$18,F$18,$G589=$G$19,F$19,$G589=$G$20,F$20,$G589=$G$21,F$21,$G589=$G$22,F$22,$G589=$G$25,F$25,$G589=$G$26,F$26,$G589=$G$27,F$27,$G589=$G$29,F$29,$G589=$G$31,F$31,$G589=$G$32,F$32,$G589=$G$248,F$248,$G589=$G$250,F$250)</f>
        <v>8015</v>
      </c>
      <c r="G589" t="s">
        <v>109</v>
      </c>
      <c r="H589" s="67" cm="1">
        <f t="array" ref="H589">_xlfn.IFS($G589=$G$5,H$5,$G589=$G$6,H$6,$G589=$G$7,H$7,$G589=$G$8,H$8,$G589=$G$9,H$9,$G589=$G$10,H$10,$G589=$G$11,H$11,$G589=$G$12,H$12,$G589=$G$13,H$13,$G589=$G$15,H$15,$G589=$G$16,H$16,$G589=$G$17,H$17,$G589=$G$18,H$18,$G589=$G$19,H$19,$G589=$G$20,H$20,$G589=$G$21,H$21,$G589=$G$22,H$22,$G589=$G$25,H$25,$G589=$G$26,H$26,$G589=$G$27,H$27,$G589=$G$29,H$29,$G589=$G$31,H$31,$G589=$G$32,H$150,$G589=$G$248,H$248,$G589=$G$250,H$250)</f>
        <v>41.381725000000003</v>
      </c>
      <c r="I589" s="67" cm="1">
        <f t="array" ref="I589">_xlfn.IFS($G589=$G$5,I$5,$G589=$G$6,I$6,$G589=$G$7,I$7,$G589=$G$8,I$8,$G589=$G$9,I$9,$G589=$G$10,I$10,$G589=$G$11,I$11,$G589=$G$12,I$12,$G589=$G$13,I$13,$G589=$G$15,I$15,$G589=$G$16,I$16,$G589=$G$17,I$17,$G589=$G$18,I$18,$G589=$G$19,I$19,$G589=$G$20,I$20,$G589=$G$21,I$21,$G589=$G$22,I$22,$G589=$G$25,I$25,$G589=$G$26,I$26,$G589=$G$27,I$27,$G589=$G$29,I$29,$G589=$G$31,I$31,$G589=$G$32,I$150,$G589=$G$248,I$248,$G589=$G$250,I$250)</f>
        <v>2.1543679999999998</v>
      </c>
      <c r="J589" s="48" cm="1">
        <f t="array" ref="J589">_xlfn.IFS($G589=$G$5,J$5,$G589=$G$6,J$6,$G589=$G$7,J$7,$G589=$G$8,J$8,$G589=$G$9,J$9,$G589=$G$10,J$10,$G589=$G$11,J$11,$G589=$G$12,J$12,$G589=$G$13,J$13,$G589=$G$15,J$15,$G589=$G$16,J$16,$G589=$G$17,J$17,$G589=$G$18,J$18,$G589=$G$19,J$19,$G589=$G$20,J$20,$G589=$G$21,J$21,$G589=$G$22,J$22,$G589=$G$25,J$25,$G589=$G$26,J$26,$G589=$G$27,J$27,$G589=$G$29,J$29,$G589=$G$31,J$31,$G589=$G$32,J$150,$G589=$G$248,J$248,$G589=$G$250,J$250)</f>
        <v>20.7</v>
      </c>
      <c r="K589" s="48" t="str" cm="1">
        <f t="array" ref="K589">_xlfn.IFS($G589=$G$5,K$5,$G589=$G$6,K$6,$G589=$G$7,K$7,$G589=$G$8,K$8,$G589=$G$9,K$9,$G589=$G$10,K$10,$G589=$G$11,K$11,$G589=$G$12,K$12,$G589=$G$13,K$13,$G589=$G$15,K$15,$G589=$G$16,K$16,$G589=$G$17,K$17,$G589=$G$18,K$18,$G589=$G$19,K$19,$G589=$G$20,K$20,$G589=$G$21,K$21,$G589=$G$22,K$22,$G589=$G$25,K$25,$G589=$G$26,K$26,$G589=$G$27,K$27,$G589=$G$29,K$29,$G589=$G$31,K$31,$G589=$G$32,K$150,$G589=$G$248,K$248,$G589=$G$250,K$250)</f>
        <v>BG sentinel + BG lure7</v>
      </c>
      <c r="L589" s="48"/>
      <c r="M589" s="48"/>
      <c r="O589" s="45" t="str">
        <f t="shared" si="45"/>
        <v>A_SP_BCN_24_210811</v>
      </c>
      <c r="P589" s="64">
        <v>44419</v>
      </c>
      <c r="R589" s="72"/>
      <c r="S589" s="64">
        <v>44426</v>
      </c>
      <c r="U589" s="72"/>
      <c r="V589" s="54" t="s">
        <v>66</v>
      </c>
      <c r="X589" s="45">
        <f t="shared" si="48"/>
        <v>7</v>
      </c>
      <c r="Z589" s="45" t="s">
        <v>70</v>
      </c>
      <c r="AA589" s="45">
        <f t="shared" si="36"/>
        <v>7</v>
      </c>
      <c r="AB589" t="str">
        <f t="shared" si="46"/>
        <v>Adult</v>
      </c>
      <c r="AC589" s="69">
        <v>3</v>
      </c>
      <c r="AD589" s="69">
        <v>4</v>
      </c>
      <c r="AE589" s="45" t="str">
        <f t="shared" si="47"/>
        <v>Morphological</v>
      </c>
      <c r="AF589" s="56">
        <v>4</v>
      </c>
    </row>
    <row r="590" spans="1:32" ht="18" customHeight="1" x14ac:dyDescent="0.25">
      <c r="A590" s="45">
        <v>586</v>
      </c>
      <c r="B590" s="45" t="s">
        <v>60</v>
      </c>
      <c r="C590" s="45" t="s">
        <v>61</v>
      </c>
      <c r="D590" s="45" t="s">
        <v>62</v>
      </c>
      <c r="E590" s="45" t="s">
        <v>62</v>
      </c>
      <c r="F590" s="46" cm="1">
        <f t="array" ref="F590">_xlfn.IFS($G590=$G$5,F$5,$G590=$G$6,F$6,$G590=$G$7,F$7,$G590=$G$8,F$8,$G590=$G$9,F$9,$G590=$G$10,F$10,$G590=$G$11,F$11,$G590=$G$12,F$12,$G590=$G$13,F$13,$G590=$G$15,F$15,$G590=$G$16,F$16,$G590=$G$17,F$17,$G590=$G$18,F$18,$G590=$G$19,F$19,$G590=$G$20,F$20,$G590=$G$21,F$21,$G590=$G$22,F$22,$G590=$G$25,F$25,$G590=$G$26,F$26,$G590=$G$27,F$27,$G590=$G$29,F$29,$G590=$G$31,F$31,$G590=$G$32,F$32,$G590=$G$248,F$248,$G590=$G$250,F$250)</f>
        <v>8035</v>
      </c>
      <c r="G590" t="s">
        <v>67</v>
      </c>
      <c r="H590" s="67" cm="1">
        <f t="array" ref="H590">_xlfn.IFS($G590=$G$5,H$5,$G590=$G$6,H$6,$G590=$G$7,H$7,$G590=$G$8,H$8,$G590=$G$9,H$9,$G590=$G$10,H$10,$G590=$G$11,H$11,$G590=$G$12,H$12,$G590=$G$13,H$13,$G590=$G$15,H$15,$G590=$G$16,H$16,$G590=$G$17,H$17,$G590=$G$18,H$18,$G590=$G$19,H$19,$G590=$G$20,H$20,$G590=$G$21,H$21,$G590=$G$22,H$22,$G590=$G$25,H$25,$G590=$G$26,H$26,$G590=$G$27,H$27,$G590=$G$29,H$29,$G590=$G$31,H$31,$G590=$G$32,H$150,$G590=$G$248,H$248,$G590=$G$250,H$250)</f>
        <v>41.424387000000003</v>
      </c>
      <c r="I590" s="67" cm="1">
        <f t="array" ref="I590">_xlfn.IFS($G590=$G$5,I$5,$G590=$G$6,I$6,$G590=$G$7,I$7,$G590=$G$8,I$8,$G590=$G$9,I$9,$G590=$G$10,I$10,$G590=$G$11,I$11,$G590=$G$12,I$12,$G590=$G$13,I$13,$G590=$G$15,I$15,$G590=$G$16,I$16,$G590=$G$17,I$17,$G590=$G$18,I$18,$G590=$G$19,I$19,$G590=$G$20,I$20,$G590=$G$21,I$21,$G590=$G$22,I$22,$G590=$G$25,I$25,$G590=$G$26,I$26,$G590=$G$27,I$27,$G590=$G$29,I$29,$G590=$G$31,I$31,$G590=$G$32,I$150,$G590=$G$248,I$248,$G590=$G$250,I$250)</f>
        <v>2.1431439999999999</v>
      </c>
      <c r="J590" s="48" cm="1">
        <f t="array" ref="J590">_xlfn.IFS($G590=$G$5,J$5,$G590=$G$6,J$6,$G590=$G$7,J$7,$G590=$G$8,J$8,$G590=$G$9,J$9,$G590=$G$10,J$10,$G590=$G$11,J$11,$G590=$G$12,J$12,$G590=$G$13,J$13,$G590=$G$15,J$15,$G590=$G$16,J$16,$G590=$G$17,J$17,$G590=$G$18,J$18,$G590=$G$19,J$19,$G590=$G$20,J$20,$G590=$G$21,J$21,$G590=$G$22,J$22,$G590=$G$25,J$25,$G590=$G$26,J$26,$G590=$G$27,J$27,$G590=$G$29,J$29,$G590=$G$31,J$31,$G590=$G$32,J$150,$G590=$G$248,J$248,$G590=$G$250,J$250)</f>
        <v>160</v>
      </c>
      <c r="K590" s="48" t="str" cm="1">
        <f t="array" ref="K590">_xlfn.IFS($G590=$G$5,K$5,$G590=$G$6,K$6,$G590=$G$7,K$7,$G590=$G$8,K$8,$G590=$G$9,K$9,$G590=$G$10,K$10,$G590=$G$11,K$11,$G590=$G$12,K$12,$G590=$G$13,K$13,$G590=$G$15,K$15,$G590=$G$16,K$16,$G590=$G$17,K$17,$G590=$G$18,K$18,$G590=$G$19,K$19,$G590=$G$20,K$20,$G590=$G$21,K$21,$G590=$G$22,K$22,$G590=$G$25,K$25,$G590=$G$26,K$26,$G590=$G$27,K$27,$G590=$G$29,K$29,$G590=$G$31,K$31,$G590=$G$32,K$150,$G590=$G$248,K$248,$G590=$G$250,K$250)</f>
        <v>BG sentinel + BG lure7</v>
      </c>
      <c r="L590" s="48"/>
      <c r="M590" s="48"/>
      <c r="O590" s="45" t="str">
        <f t="shared" si="45"/>
        <v>A_SP_BCN_2_210818</v>
      </c>
      <c r="P590" s="64">
        <v>44426</v>
      </c>
      <c r="R590" s="72"/>
      <c r="S590" s="64">
        <v>44433</v>
      </c>
      <c r="U590" s="72"/>
      <c r="V590" s="54" t="s">
        <v>66</v>
      </c>
      <c r="X590" s="45">
        <f t="shared" si="48"/>
        <v>7</v>
      </c>
      <c r="Z590" s="69" t="s">
        <v>69</v>
      </c>
      <c r="AA590" s="45">
        <f t="shared" ref="AA590:AA615" si="49">SUM(AC590:AD590)</f>
        <v>8</v>
      </c>
      <c r="AB590" t="str">
        <f t="shared" si="46"/>
        <v>Adult</v>
      </c>
      <c r="AC590" s="69">
        <v>8</v>
      </c>
      <c r="AD590" s="69">
        <v>0</v>
      </c>
      <c r="AE590" s="45" t="str">
        <f t="shared" si="47"/>
        <v>Morphological</v>
      </c>
      <c r="AF590" s="56">
        <v>4</v>
      </c>
    </row>
    <row r="591" spans="1:32" ht="18" customHeight="1" x14ac:dyDescent="0.25">
      <c r="A591" s="45">
        <v>587</v>
      </c>
      <c r="B591" s="45" t="s">
        <v>60</v>
      </c>
      <c r="C591" s="45" t="s">
        <v>61</v>
      </c>
      <c r="D591" s="45" t="s">
        <v>62</v>
      </c>
      <c r="E591" s="45" t="s">
        <v>62</v>
      </c>
      <c r="F591" s="46" cm="1">
        <f t="array" ref="F591">_xlfn.IFS($G591=$G$5,F$5,$G591=$G$6,F$6,$G591=$G$7,F$7,$G591=$G$8,F$8,$G591=$G$9,F$9,$G591=$G$10,F$10,$G591=$G$11,F$11,$G591=$G$12,F$12,$G591=$G$13,F$13,$G591=$G$15,F$15,$G591=$G$16,F$16,$G591=$G$17,F$17,$G591=$G$18,F$18,$G591=$G$19,F$19,$G591=$G$20,F$20,$G591=$G$21,F$21,$G591=$G$22,F$22,$G591=$G$25,F$25,$G591=$G$26,F$26,$G591=$G$27,F$27,$G591=$G$29,F$29,$G591=$G$31,F$31,$G591=$G$32,F$32,$G591=$G$248,F$248,$G591=$G$250,F$250)</f>
        <v>8016</v>
      </c>
      <c r="G591" t="s">
        <v>68</v>
      </c>
      <c r="H591" s="67" cm="1">
        <f t="array" ref="H591">_xlfn.IFS($G591=$G$5,H$5,$G591=$G$6,H$6,$G591=$G$7,H$7,$G591=$G$8,H$8,$G591=$G$9,H$9,$G591=$G$10,H$10,$G591=$G$11,H$11,$G591=$G$12,H$12,$G591=$G$13,H$13,$G591=$G$15,H$15,$G591=$G$16,H$16,$G591=$G$17,H$17,$G591=$G$18,H$18,$G591=$G$19,H$19,$G591=$G$20,H$20,$G591=$G$21,H$21,$G591=$G$22,H$22,$G591=$G$25,H$25,$G591=$G$26,H$26,$G591=$G$27,H$27,$G591=$G$29,H$29,$G591=$G$31,H$31,$G591=$G$32,H$150,$G591=$G$248,H$248,$G591=$G$250,H$250)</f>
        <v>41.437435000000001</v>
      </c>
      <c r="I591" s="67" cm="1">
        <f t="array" ref="I591">_xlfn.IFS($G591=$G$5,I$5,$G591=$G$6,I$6,$G591=$G$7,I$7,$G591=$G$8,I$8,$G591=$G$9,I$9,$G591=$G$10,I$10,$G591=$G$11,I$11,$G591=$G$12,I$12,$G591=$G$13,I$13,$G591=$G$15,I$15,$G591=$G$16,I$16,$G591=$G$17,I$17,$G591=$G$18,I$18,$G591=$G$19,I$19,$G591=$G$20,I$20,$G591=$G$21,I$21,$G591=$G$22,I$22,$G591=$G$25,I$25,$G591=$G$26,I$26,$G591=$G$27,I$27,$G591=$G$29,I$29,$G591=$G$31,I$31,$G591=$G$32,I$150,$G591=$G$248,I$248,$G591=$G$250,I$250)</f>
        <v>2.1812779999999998</v>
      </c>
      <c r="J591" s="48" cm="1">
        <f t="array" ref="J591">_xlfn.IFS($G591=$G$5,J$5,$G591=$G$6,J$6,$G591=$G$7,J$7,$G591=$G$8,J$8,$G591=$G$9,J$9,$G591=$G$10,J$10,$G591=$G$11,J$11,$G591=$G$12,J$12,$G591=$G$13,J$13,$G591=$G$15,J$15,$G591=$G$16,J$16,$G591=$G$17,J$17,$G591=$G$18,J$18,$G591=$G$19,J$19,$G591=$G$20,J$20,$G591=$G$21,J$21,$G591=$G$22,J$22,$G591=$G$25,J$25,$G591=$G$26,J$26,$G591=$G$27,J$27,$G591=$G$29,J$29,$G591=$G$31,J$31,$G591=$G$32,J$150,$G591=$G$248,J$248,$G591=$G$250,J$250)</f>
        <v>47</v>
      </c>
      <c r="K591" s="48" t="str" cm="1">
        <f t="array" ref="K591">_xlfn.IFS($G591=$G$5,K$5,$G591=$G$6,K$6,$G591=$G$7,K$7,$G591=$G$8,K$8,$G591=$G$9,K$9,$G591=$G$10,K$10,$G591=$G$11,K$11,$G591=$G$12,K$12,$G591=$G$13,K$13,$G591=$G$15,K$15,$G591=$G$16,K$16,$G591=$G$17,K$17,$G591=$G$18,K$18,$G591=$G$19,K$19,$G591=$G$20,K$20,$G591=$G$21,K$21,$G591=$G$22,K$22,$G591=$G$25,K$25,$G591=$G$26,K$26,$G591=$G$27,K$27,$G591=$G$29,K$29,$G591=$G$31,K$31,$G591=$G$32,K$150,$G591=$G$248,K$248,$G591=$G$250,K$250)</f>
        <v>BG sentinel + BG lure7</v>
      </c>
      <c r="L591" s="48"/>
      <c r="M591" s="48"/>
      <c r="O591" s="45" t="str">
        <f t="shared" si="45"/>
        <v>A_SP_BCN_3_210818</v>
      </c>
      <c r="P591" s="64">
        <v>44426</v>
      </c>
      <c r="R591" s="72"/>
      <c r="S591" s="64">
        <v>44433</v>
      </c>
      <c r="U591" s="72"/>
      <c r="V591" s="54" t="s">
        <v>66</v>
      </c>
      <c r="X591" s="45">
        <f t="shared" si="48"/>
        <v>7</v>
      </c>
      <c r="Z591" s="69" t="s">
        <v>69</v>
      </c>
      <c r="AA591" s="45">
        <f t="shared" si="49"/>
        <v>1</v>
      </c>
      <c r="AB591" t="str">
        <f t="shared" si="46"/>
        <v>Adult</v>
      </c>
      <c r="AC591" s="69">
        <v>1</v>
      </c>
      <c r="AD591" s="69">
        <v>0</v>
      </c>
      <c r="AE591" s="45" t="str">
        <f t="shared" si="47"/>
        <v>Morphological</v>
      </c>
      <c r="AF591" s="56">
        <v>4</v>
      </c>
    </row>
    <row r="592" spans="1:32" ht="18" customHeight="1" x14ac:dyDescent="0.25">
      <c r="A592" s="45">
        <v>588</v>
      </c>
      <c r="B592" s="45" t="s">
        <v>60</v>
      </c>
      <c r="C592" s="45" t="s">
        <v>61</v>
      </c>
      <c r="D592" s="45" t="s">
        <v>62</v>
      </c>
      <c r="E592" s="45" t="s">
        <v>62</v>
      </c>
      <c r="F592" s="46" cm="1">
        <f t="array" ref="F592">_xlfn.IFS($G592=$G$5,F$5,$G592=$G$6,F$6,$G592=$G$7,F$7,$G592=$G$8,F$8,$G592=$G$9,F$9,$G592=$G$10,F$10,$G592=$G$11,F$11,$G592=$G$12,F$12,$G592=$G$13,F$13,$G592=$G$15,F$15,$G592=$G$16,F$16,$G592=$G$17,F$17,$G592=$G$18,F$18,$G592=$G$19,F$19,$G592=$G$20,F$20,$G592=$G$21,F$21,$G592=$G$22,F$22,$G592=$G$25,F$25,$G592=$G$26,F$26,$G592=$G$27,F$27,$G592=$G$29,F$29,$G592=$G$31,F$31,$G592=$G$32,F$32,$G592=$G$248,F$248,$G592=$G$250,F$250)</f>
        <v>8016</v>
      </c>
      <c r="G592" t="s">
        <v>68</v>
      </c>
      <c r="H592" s="67" cm="1">
        <f t="array" ref="H592">_xlfn.IFS($G592=$G$5,H$5,$G592=$G$6,H$6,$G592=$G$7,H$7,$G592=$G$8,H$8,$G592=$G$9,H$9,$G592=$G$10,H$10,$G592=$G$11,H$11,$G592=$G$12,H$12,$G592=$G$13,H$13,$G592=$G$15,H$15,$G592=$G$16,H$16,$G592=$G$17,H$17,$G592=$G$18,H$18,$G592=$G$19,H$19,$G592=$G$20,H$20,$G592=$G$21,H$21,$G592=$G$22,H$22,$G592=$G$25,H$25,$G592=$G$26,H$26,$G592=$G$27,H$27,$G592=$G$29,H$29,$G592=$G$31,H$31,$G592=$G$32,H$150,$G592=$G$248,H$248,$G592=$G$250,H$250)</f>
        <v>41.437435000000001</v>
      </c>
      <c r="I592" s="67" cm="1">
        <f t="array" ref="I592">_xlfn.IFS($G592=$G$5,I$5,$G592=$G$6,I$6,$G592=$G$7,I$7,$G592=$G$8,I$8,$G592=$G$9,I$9,$G592=$G$10,I$10,$G592=$G$11,I$11,$G592=$G$12,I$12,$G592=$G$13,I$13,$G592=$G$15,I$15,$G592=$G$16,I$16,$G592=$G$17,I$17,$G592=$G$18,I$18,$G592=$G$19,I$19,$G592=$G$20,I$20,$G592=$G$21,I$21,$G592=$G$22,I$22,$G592=$G$25,I$25,$G592=$G$26,I$26,$G592=$G$27,I$27,$G592=$G$29,I$29,$G592=$G$31,I$31,$G592=$G$32,I$150,$G592=$G$248,I$248,$G592=$G$250,I$250)</f>
        <v>2.1812779999999998</v>
      </c>
      <c r="J592" s="48" cm="1">
        <f t="array" ref="J592">_xlfn.IFS($G592=$G$5,J$5,$G592=$G$6,J$6,$G592=$G$7,J$7,$G592=$G$8,J$8,$G592=$G$9,J$9,$G592=$G$10,J$10,$G592=$G$11,J$11,$G592=$G$12,J$12,$G592=$G$13,J$13,$G592=$G$15,J$15,$G592=$G$16,J$16,$G592=$G$17,J$17,$G592=$G$18,J$18,$G592=$G$19,J$19,$G592=$G$20,J$20,$G592=$G$21,J$21,$G592=$G$22,J$22,$G592=$G$25,J$25,$G592=$G$26,J$26,$G592=$G$27,J$27,$G592=$G$29,J$29,$G592=$G$31,J$31,$G592=$G$32,J$150,$G592=$G$248,J$248,$G592=$G$250,J$250)</f>
        <v>47</v>
      </c>
      <c r="K592" s="48" t="str" cm="1">
        <f t="array" ref="K592">_xlfn.IFS($G592=$G$5,K$5,$G592=$G$6,K$6,$G592=$G$7,K$7,$G592=$G$8,K$8,$G592=$G$9,K$9,$G592=$G$10,K$10,$G592=$G$11,K$11,$G592=$G$12,K$12,$G592=$G$13,K$13,$G592=$G$15,K$15,$G592=$G$16,K$16,$G592=$G$17,K$17,$G592=$G$18,K$18,$G592=$G$19,K$19,$G592=$G$20,K$20,$G592=$G$21,K$21,$G592=$G$22,K$22,$G592=$G$25,K$25,$G592=$G$26,K$26,$G592=$G$27,K$27,$G592=$G$29,K$29,$G592=$G$31,K$31,$G592=$G$32,K$150,$G592=$G$248,K$248,$G592=$G$250,K$250)</f>
        <v>BG sentinel + BG lure7</v>
      </c>
      <c r="L592" s="48"/>
      <c r="M592" s="48"/>
      <c r="O592" s="45" t="str">
        <f t="shared" si="45"/>
        <v>A_SP_BCN_3_210818</v>
      </c>
      <c r="P592" s="64">
        <v>44426</v>
      </c>
      <c r="R592" s="72"/>
      <c r="S592" s="64">
        <v>44433</v>
      </c>
      <c r="U592" s="72"/>
      <c r="V592" s="54" t="s">
        <v>66</v>
      </c>
      <c r="X592" s="45">
        <f t="shared" si="48"/>
        <v>7</v>
      </c>
      <c r="Z592" s="45" t="s">
        <v>70</v>
      </c>
      <c r="AA592" s="45">
        <f t="shared" si="49"/>
        <v>2</v>
      </c>
      <c r="AB592" t="str">
        <f t="shared" si="46"/>
        <v>Adult</v>
      </c>
      <c r="AC592" s="69">
        <v>1</v>
      </c>
      <c r="AD592" s="69">
        <v>1</v>
      </c>
      <c r="AE592" s="45" t="str">
        <f t="shared" si="47"/>
        <v>Morphological</v>
      </c>
      <c r="AF592" s="56">
        <v>4</v>
      </c>
    </row>
    <row r="593" spans="1:32" ht="18" customHeight="1" x14ac:dyDescent="0.25">
      <c r="A593" s="45">
        <v>589</v>
      </c>
      <c r="B593" s="45" t="s">
        <v>60</v>
      </c>
      <c r="C593" s="45" t="s">
        <v>61</v>
      </c>
      <c r="D593" s="45" t="s">
        <v>62</v>
      </c>
      <c r="E593" s="45" t="s">
        <v>62</v>
      </c>
      <c r="F593" s="46" cm="1">
        <f t="array" ref="F593">_xlfn.IFS($G593=$G$5,F$5,$G593=$G$6,F$6,$G593=$G$7,F$7,$G593=$G$8,F$8,$G593=$G$9,F$9,$G593=$G$10,F$10,$G593=$G$11,F$11,$G593=$G$12,F$12,$G593=$G$13,F$13,$G593=$G$15,F$15,$G593=$G$16,F$16,$G593=$G$17,F$17,$G593=$G$18,F$18,$G593=$G$19,F$19,$G593=$G$20,F$20,$G593=$G$21,F$21,$G593=$G$22,F$22,$G593=$G$25,F$25,$G593=$G$26,F$26,$G593=$G$27,F$27,$G593=$G$29,F$29,$G593=$G$31,F$31,$G593=$G$32,F$32,$G593=$G$248,F$248,$G593=$G$250,F$250)</f>
        <v>8018</v>
      </c>
      <c r="G593" t="s">
        <v>71</v>
      </c>
      <c r="H593" s="67" cm="1">
        <f t="array" ref="H593">_xlfn.IFS($G593=$G$5,H$5,$G593=$G$6,H$6,$G593=$G$7,H$7,$G593=$G$8,H$8,$G593=$G$9,H$9,$G593=$G$10,H$10,$G593=$G$11,H$11,$G593=$G$12,H$12,$G593=$G$13,H$13,$G593=$G$15,H$15,$G593=$G$16,H$16,$G593=$G$17,H$17,$G593=$G$18,H$18,$G593=$G$19,H$19,$G593=$G$20,H$20,$G593=$G$21,H$21,$G593=$G$22,H$22,$G593=$G$25,H$25,$G593=$G$26,H$26,$G593=$G$27,H$27,$G593=$G$29,H$29,$G593=$G$31,H$31,$G593=$G$32,H$150,$G593=$G$248,H$248,$G593=$G$250,H$250)</f>
        <v>41.410684000000003</v>
      </c>
      <c r="I593" s="67" cm="1">
        <f t="array" ref="I593">_xlfn.IFS($G593=$G$5,I$5,$G593=$G$6,I$6,$G593=$G$7,I$7,$G593=$G$8,I$8,$G593=$G$9,I$9,$G593=$G$10,I$10,$G593=$G$11,I$11,$G593=$G$12,I$12,$G593=$G$13,I$13,$G593=$G$15,I$15,$G593=$G$16,I$16,$G593=$G$17,I$17,$G593=$G$18,I$18,$G593=$G$19,I$19,$G593=$G$20,I$20,$G593=$G$21,I$21,$G593=$G$22,I$22,$G593=$G$25,I$25,$G593=$G$26,I$26,$G593=$G$27,I$27,$G593=$G$29,I$29,$G593=$G$31,I$31,$G593=$G$32,I$150,$G593=$G$248,I$248,$G593=$G$250,I$250)</f>
        <v>2.2208019999999999</v>
      </c>
      <c r="J593" s="48" cm="1">
        <f t="array" ref="J593">_xlfn.IFS($G593=$G$5,J$5,$G593=$G$6,J$6,$G593=$G$7,J$7,$G593=$G$8,J$8,$G593=$G$9,J$9,$G593=$G$10,J$10,$G593=$G$11,J$11,$G593=$G$12,J$12,$G593=$G$13,J$13,$G593=$G$15,J$15,$G593=$G$16,J$16,$G593=$G$17,J$17,$G593=$G$18,J$18,$G593=$G$19,J$19,$G593=$G$20,J$20,$G593=$G$21,J$21,$G593=$G$22,J$22,$G593=$G$25,J$25,$G593=$G$26,J$26,$G593=$G$27,J$27,$G593=$G$29,J$29,$G593=$G$31,J$31,$G593=$G$32,J$150,$G593=$G$248,J$248,$G593=$G$250,J$250)</f>
        <v>4</v>
      </c>
      <c r="K593" s="48" t="str" cm="1">
        <f t="array" ref="K593">_xlfn.IFS($G593=$G$5,K$5,$G593=$G$6,K$6,$G593=$G$7,K$7,$G593=$G$8,K$8,$G593=$G$9,K$9,$G593=$G$10,K$10,$G593=$G$11,K$11,$G593=$G$12,K$12,$G593=$G$13,K$13,$G593=$G$15,K$15,$G593=$G$16,K$16,$G593=$G$17,K$17,$G593=$G$18,K$18,$G593=$G$19,K$19,$G593=$G$20,K$20,$G593=$G$21,K$21,$G593=$G$22,K$22,$G593=$G$25,K$25,$G593=$G$26,K$26,$G593=$G$27,K$27,$G593=$G$29,K$29,$G593=$G$31,K$31,$G593=$G$32,K$150,$G593=$G$248,K$248,$G593=$G$250,K$250)</f>
        <v>BG sentinel + BG lure7</v>
      </c>
      <c r="L593" s="48"/>
      <c r="M593" s="48"/>
      <c r="O593" s="45" t="str">
        <f t="shared" si="45"/>
        <v>A_SP_BCN_4_210819</v>
      </c>
      <c r="P593" s="64">
        <v>44427</v>
      </c>
      <c r="R593" s="72"/>
      <c r="S593" s="64">
        <v>44434</v>
      </c>
      <c r="U593" s="72"/>
      <c r="V593" s="54" t="s">
        <v>66</v>
      </c>
      <c r="X593" s="45">
        <f t="shared" si="48"/>
        <v>7</v>
      </c>
      <c r="Z593" s="69" t="s">
        <v>69</v>
      </c>
      <c r="AA593" s="45">
        <f t="shared" si="49"/>
        <v>4</v>
      </c>
      <c r="AB593" t="str">
        <f t="shared" si="46"/>
        <v>Adult</v>
      </c>
      <c r="AC593" s="69">
        <v>3</v>
      </c>
      <c r="AD593" s="69">
        <v>1</v>
      </c>
      <c r="AE593" s="45" t="str">
        <f t="shared" si="47"/>
        <v>Morphological</v>
      </c>
      <c r="AF593" s="56">
        <v>4</v>
      </c>
    </row>
    <row r="594" spans="1:32" ht="18" customHeight="1" x14ac:dyDescent="0.25">
      <c r="A594" s="45">
        <v>590</v>
      </c>
      <c r="B594" s="45" t="s">
        <v>60</v>
      </c>
      <c r="C594" s="45" t="s">
        <v>61</v>
      </c>
      <c r="D594" s="45" t="s">
        <v>62</v>
      </c>
      <c r="E594" s="45" t="s">
        <v>62</v>
      </c>
      <c r="F594" s="46" cm="1">
        <f t="array" ref="F594">_xlfn.IFS($G594=$G$5,F$5,$G594=$G$6,F$6,$G594=$G$7,F$7,$G594=$G$8,F$8,$G594=$G$9,F$9,$G594=$G$10,F$10,$G594=$G$11,F$11,$G594=$G$12,F$12,$G594=$G$13,F$13,$G594=$G$15,F$15,$G594=$G$16,F$16,$G594=$G$17,F$17,$G594=$G$18,F$18,$G594=$G$19,F$19,$G594=$G$20,F$20,$G594=$G$21,F$21,$G594=$G$22,F$22,$G594=$G$25,F$25,$G594=$G$26,F$26,$G594=$G$27,F$27,$G594=$G$29,F$29,$G594=$G$31,F$31,$G594=$G$32,F$32,$G594=$G$248,F$248,$G594=$G$250,F$250)</f>
        <v>8018</v>
      </c>
      <c r="G594" t="s">
        <v>71</v>
      </c>
      <c r="H594" s="67" cm="1">
        <f t="array" ref="H594">_xlfn.IFS($G594=$G$5,H$5,$G594=$G$6,H$6,$G594=$G$7,H$7,$G594=$G$8,H$8,$G594=$G$9,H$9,$G594=$G$10,H$10,$G594=$G$11,H$11,$G594=$G$12,H$12,$G594=$G$13,H$13,$G594=$G$15,H$15,$G594=$G$16,H$16,$G594=$G$17,H$17,$G594=$G$18,H$18,$G594=$G$19,H$19,$G594=$G$20,H$20,$G594=$G$21,H$21,$G594=$G$22,H$22,$G594=$G$25,H$25,$G594=$G$26,H$26,$G594=$G$27,H$27,$G594=$G$29,H$29,$G594=$G$31,H$31,$G594=$G$32,H$150,$G594=$G$248,H$248,$G594=$G$250,H$250)</f>
        <v>41.410684000000003</v>
      </c>
      <c r="I594" s="67" cm="1">
        <f t="array" ref="I594">_xlfn.IFS($G594=$G$5,I$5,$G594=$G$6,I$6,$G594=$G$7,I$7,$G594=$G$8,I$8,$G594=$G$9,I$9,$G594=$G$10,I$10,$G594=$G$11,I$11,$G594=$G$12,I$12,$G594=$G$13,I$13,$G594=$G$15,I$15,$G594=$G$16,I$16,$G594=$G$17,I$17,$G594=$G$18,I$18,$G594=$G$19,I$19,$G594=$G$20,I$20,$G594=$G$21,I$21,$G594=$G$22,I$22,$G594=$G$25,I$25,$G594=$G$26,I$26,$G594=$G$27,I$27,$G594=$G$29,I$29,$G594=$G$31,I$31,$G594=$G$32,I$150,$G594=$G$248,I$248,$G594=$G$250,I$250)</f>
        <v>2.2208019999999999</v>
      </c>
      <c r="J594" s="48" cm="1">
        <f t="array" ref="J594">_xlfn.IFS($G594=$G$5,J$5,$G594=$G$6,J$6,$G594=$G$7,J$7,$G594=$G$8,J$8,$G594=$G$9,J$9,$G594=$G$10,J$10,$G594=$G$11,J$11,$G594=$G$12,J$12,$G594=$G$13,J$13,$G594=$G$15,J$15,$G594=$G$16,J$16,$G594=$G$17,J$17,$G594=$G$18,J$18,$G594=$G$19,J$19,$G594=$G$20,J$20,$G594=$G$21,J$21,$G594=$G$22,J$22,$G594=$G$25,J$25,$G594=$G$26,J$26,$G594=$G$27,J$27,$G594=$G$29,J$29,$G594=$G$31,J$31,$G594=$G$32,J$150,$G594=$G$248,J$248,$G594=$G$250,J$250)</f>
        <v>4</v>
      </c>
      <c r="K594" s="48" t="str" cm="1">
        <f t="array" ref="K594">_xlfn.IFS($G594=$G$5,K$5,$G594=$G$6,K$6,$G594=$G$7,K$7,$G594=$G$8,K$8,$G594=$G$9,K$9,$G594=$G$10,K$10,$G594=$G$11,K$11,$G594=$G$12,K$12,$G594=$G$13,K$13,$G594=$G$15,K$15,$G594=$G$16,K$16,$G594=$G$17,K$17,$G594=$G$18,K$18,$G594=$G$19,K$19,$G594=$G$20,K$20,$G594=$G$21,K$21,$G594=$G$22,K$22,$G594=$G$25,K$25,$G594=$G$26,K$26,$G594=$G$27,K$27,$G594=$G$29,K$29,$G594=$G$31,K$31,$G594=$G$32,K$150,$G594=$G$248,K$248,$G594=$G$250,K$250)</f>
        <v>BG sentinel + BG lure7</v>
      </c>
      <c r="L594" s="48"/>
      <c r="M594" s="48"/>
      <c r="O594" s="45" t="str">
        <f t="shared" si="45"/>
        <v>A_SP_BCN_4_210819</v>
      </c>
      <c r="P594" s="64">
        <v>44427</v>
      </c>
      <c r="R594" s="72"/>
      <c r="S594" s="64">
        <v>44434</v>
      </c>
      <c r="U594" s="72"/>
      <c r="V594" s="54" t="s">
        <v>66</v>
      </c>
      <c r="X594" s="45">
        <f t="shared" si="48"/>
        <v>7</v>
      </c>
      <c r="Z594" s="45" t="s">
        <v>70</v>
      </c>
      <c r="AA594" s="45">
        <f t="shared" si="49"/>
        <v>8</v>
      </c>
      <c r="AB594" t="str">
        <f t="shared" si="46"/>
        <v>Adult</v>
      </c>
      <c r="AC594" s="69">
        <v>7</v>
      </c>
      <c r="AD594" s="69">
        <v>1</v>
      </c>
      <c r="AE594" s="45" t="str">
        <f t="shared" si="47"/>
        <v>Morphological</v>
      </c>
      <c r="AF594" s="56">
        <v>4</v>
      </c>
    </row>
    <row r="595" spans="1:32" ht="18" customHeight="1" x14ac:dyDescent="0.25">
      <c r="A595" s="45">
        <v>591</v>
      </c>
      <c r="B595" s="45" t="s">
        <v>60</v>
      </c>
      <c r="C595" s="45" t="s">
        <v>61</v>
      </c>
      <c r="D595" s="45" t="s">
        <v>62</v>
      </c>
      <c r="E595" s="45" t="s">
        <v>62</v>
      </c>
      <c r="F595" s="46" cm="1">
        <f t="array" ref="F595">_xlfn.IFS($G595=$G$5,F$5,$G595=$G$6,F$6,$G595=$G$7,F$7,$G595=$G$8,F$8,$G595=$G$9,F$9,$G595=$G$10,F$10,$G595=$G$11,F$11,$G595=$G$12,F$12,$G595=$G$13,F$13,$G595=$G$15,F$15,$G595=$G$16,F$16,$G595=$G$17,F$17,$G595=$G$18,F$18,$G595=$G$19,F$19,$G595=$G$20,F$20,$G595=$G$21,F$21,$G595=$G$22,F$22,$G595=$G$25,F$25,$G595=$G$26,F$26,$G595=$G$27,F$27,$G595=$G$29,F$29,$G595=$G$31,F$31,$G595=$G$32,F$32,$G595=$G$248,F$248,$G595=$G$250,F$250)</f>
        <v>8019</v>
      </c>
      <c r="G595" t="s">
        <v>72</v>
      </c>
      <c r="H595" s="67" cm="1">
        <f t="array" ref="H595">_xlfn.IFS($G595=$G$5,H$5,$G595=$G$6,H$6,$G595=$G$7,H$7,$G595=$G$8,H$8,$G595=$G$9,H$9,$G595=$G$10,H$10,$G595=$G$11,H$11,$G595=$G$12,H$12,$G595=$G$13,H$13,$G595=$G$15,H$15,$G595=$G$16,H$16,$G595=$G$17,H$17,$G595=$G$18,H$18,$G595=$G$19,H$19,$G595=$G$20,H$20,$G595=$G$21,H$21,$G595=$G$22,H$22,$G595=$G$25,H$25,$G595=$G$26,H$26,$G595=$G$27,H$27,$G595=$G$29,H$29,$G595=$G$31,H$31,$G595=$G$32,H$150,$G595=$G$248,H$248,$G595=$G$250,H$250)</f>
        <v>41.382339999999999</v>
      </c>
      <c r="I595" s="67" cm="1">
        <f t="array" ref="I595">_xlfn.IFS($G595=$G$5,I$5,$G595=$G$6,I$6,$G595=$G$7,I$7,$G595=$G$8,I$8,$G595=$G$9,I$9,$G595=$G$10,I$10,$G595=$G$11,I$11,$G595=$G$12,I$12,$G595=$G$13,I$13,$G595=$G$15,I$15,$G595=$G$16,I$16,$G595=$G$17,I$17,$G595=$G$18,I$18,$G595=$G$19,I$19,$G595=$G$20,I$20,$G595=$G$21,I$21,$G595=$G$22,I$22,$G595=$G$25,I$25,$G595=$G$26,I$26,$G595=$G$27,I$27,$G595=$G$29,I$29,$G595=$G$31,I$31,$G595=$G$32,I$150,$G595=$G$248,I$248,$G595=$G$250,I$250)</f>
        <v>2.1714790000000002</v>
      </c>
      <c r="J595" s="48" cm="1">
        <f t="array" ref="J595">_xlfn.IFS($G595=$G$5,J$5,$G595=$G$6,J$6,$G595=$G$7,J$7,$G595=$G$8,J$8,$G595=$G$9,J$9,$G595=$G$10,J$10,$G595=$G$11,J$11,$G595=$G$12,J$12,$G595=$G$13,J$13,$G595=$G$15,J$15,$G595=$G$16,J$16,$G595=$G$17,J$17,$G595=$G$18,J$18,$G595=$G$19,J$19,$G595=$G$20,J$20,$G595=$G$21,J$21,$G595=$G$22,J$22,$G595=$G$25,J$25,$G595=$G$26,J$26,$G595=$G$27,J$27,$G595=$G$29,J$29,$G595=$G$31,J$31,$G595=$G$32,J$150,$G595=$G$248,J$248,$G595=$G$250,J$250)</f>
        <v>18</v>
      </c>
      <c r="K595" s="48" t="str" cm="1">
        <f t="array" ref="K595">_xlfn.IFS($G595=$G$5,K$5,$G595=$G$6,K$6,$G595=$G$7,K$7,$G595=$G$8,K$8,$G595=$G$9,K$9,$G595=$G$10,K$10,$G595=$G$11,K$11,$G595=$G$12,K$12,$G595=$G$13,K$13,$G595=$G$15,K$15,$G595=$G$16,K$16,$G595=$G$17,K$17,$G595=$G$18,K$18,$G595=$G$19,K$19,$G595=$G$20,K$20,$G595=$G$21,K$21,$G595=$G$22,K$22,$G595=$G$25,K$25,$G595=$G$26,K$26,$G595=$G$27,K$27,$G595=$G$29,K$29,$G595=$G$31,K$31,$G595=$G$32,K$150,$G595=$G$248,K$248,$G595=$G$250,K$250)</f>
        <v>BG sentinel + BG lure7</v>
      </c>
      <c r="L595" s="48"/>
      <c r="M595" s="48"/>
      <c r="O595" s="45" t="str">
        <f t="shared" si="45"/>
        <v>A_SP_BCN_5_210819</v>
      </c>
      <c r="P595" s="64">
        <v>44427</v>
      </c>
      <c r="R595" s="72"/>
      <c r="S595" s="64">
        <v>44434</v>
      </c>
      <c r="U595" s="72"/>
      <c r="V595" s="54" t="s">
        <v>66</v>
      </c>
      <c r="X595" s="45">
        <f t="shared" si="48"/>
        <v>7</v>
      </c>
      <c r="Z595" s="45" t="s">
        <v>70</v>
      </c>
      <c r="AA595" s="45">
        <f t="shared" si="49"/>
        <v>6</v>
      </c>
      <c r="AB595" t="str">
        <f t="shared" si="46"/>
        <v>Adult</v>
      </c>
      <c r="AC595" s="69">
        <v>4</v>
      </c>
      <c r="AD595" s="69">
        <v>2</v>
      </c>
      <c r="AE595" s="45" t="str">
        <f t="shared" si="47"/>
        <v>Morphological</v>
      </c>
      <c r="AF595" s="56">
        <v>4</v>
      </c>
    </row>
    <row r="596" spans="1:32" ht="18" customHeight="1" x14ac:dyDescent="0.25">
      <c r="A596" s="45">
        <v>592</v>
      </c>
      <c r="B596" s="45" t="s">
        <v>60</v>
      </c>
      <c r="C596" s="45" t="s">
        <v>61</v>
      </c>
      <c r="D596" s="45" t="s">
        <v>62</v>
      </c>
      <c r="E596" s="45" t="s">
        <v>62</v>
      </c>
      <c r="F596" s="46" cm="1">
        <f t="array" ref="F596">_xlfn.IFS($G596=$G$5,F$5,$G596=$G$6,F$6,$G596=$G$7,F$7,$G596=$G$8,F$8,$G596=$G$9,F$9,$G596=$G$10,F$10,$G596=$G$11,F$11,$G596=$G$12,F$12,$G596=$G$13,F$13,$G596=$G$15,F$15,$G596=$G$16,F$16,$G596=$G$17,F$17,$G596=$G$18,F$18,$G596=$G$19,F$19,$G596=$G$20,F$20,$G596=$G$21,F$21,$G596=$G$22,F$22,$G596=$G$25,F$25,$G596=$G$26,F$26,$G596=$G$27,F$27,$G596=$G$29,F$29,$G596=$G$31,F$31,$G596=$G$32,F$32,$G596=$G$248,F$248,$G596=$G$250,F$250)</f>
        <v>8019</v>
      </c>
      <c r="G596" t="s">
        <v>72</v>
      </c>
      <c r="H596" s="67" cm="1">
        <f t="array" ref="H596">_xlfn.IFS($G596=$G$5,H$5,$G596=$G$6,H$6,$G596=$G$7,H$7,$G596=$G$8,H$8,$G596=$G$9,H$9,$G596=$G$10,H$10,$G596=$G$11,H$11,$G596=$G$12,H$12,$G596=$G$13,H$13,$G596=$G$15,H$15,$G596=$G$16,H$16,$G596=$G$17,H$17,$G596=$G$18,H$18,$G596=$G$19,H$19,$G596=$G$20,H$20,$G596=$G$21,H$21,$G596=$G$22,H$22,$G596=$G$25,H$25,$G596=$G$26,H$26,$G596=$G$27,H$27,$G596=$G$29,H$29,$G596=$G$31,H$31,$G596=$G$32,H$150,$G596=$G$248,H$248,$G596=$G$250,H$250)</f>
        <v>41.382339999999999</v>
      </c>
      <c r="I596" s="67" cm="1">
        <f t="array" ref="I596">_xlfn.IFS($G596=$G$5,I$5,$G596=$G$6,I$6,$G596=$G$7,I$7,$G596=$G$8,I$8,$G596=$G$9,I$9,$G596=$G$10,I$10,$G596=$G$11,I$11,$G596=$G$12,I$12,$G596=$G$13,I$13,$G596=$G$15,I$15,$G596=$G$16,I$16,$G596=$G$17,I$17,$G596=$G$18,I$18,$G596=$G$19,I$19,$G596=$G$20,I$20,$G596=$G$21,I$21,$G596=$G$22,I$22,$G596=$G$25,I$25,$G596=$G$26,I$26,$G596=$G$27,I$27,$G596=$G$29,I$29,$G596=$G$31,I$31,$G596=$G$32,I$150,$G596=$G$248,I$248,$G596=$G$250,I$250)</f>
        <v>2.1714790000000002</v>
      </c>
      <c r="J596" s="48" cm="1">
        <f t="array" ref="J596">_xlfn.IFS($G596=$G$5,J$5,$G596=$G$6,J$6,$G596=$G$7,J$7,$G596=$G$8,J$8,$G596=$G$9,J$9,$G596=$G$10,J$10,$G596=$G$11,J$11,$G596=$G$12,J$12,$G596=$G$13,J$13,$G596=$G$15,J$15,$G596=$G$16,J$16,$G596=$G$17,J$17,$G596=$G$18,J$18,$G596=$G$19,J$19,$G596=$G$20,J$20,$G596=$G$21,J$21,$G596=$G$22,J$22,$G596=$G$25,J$25,$G596=$G$26,J$26,$G596=$G$27,J$27,$G596=$G$29,J$29,$G596=$G$31,J$31,$G596=$G$32,J$150,$G596=$G$248,J$248,$G596=$G$250,J$250)</f>
        <v>18</v>
      </c>
      <c r="K596" s="48" t="str" cm="1">
        <f t="array" ref="K596">_xlfn.IFS($G596=$G$5,K$5,$G596=$G$6,K$6,$G596=$G$7,K$7,$G596=$G$8,K$8,$G596=$G$9,K$9,$G596=$G$10,K$10,$G596=$G$11,K$11,$G596=$G$12,K$12,$G596=$G$13,K$13,$G596=$G$15,K$15,$G596=$G$16,K$16,$G596=$G$17,K$17,$G596=$G$18,K$18,$G596=$G$19,K$19,$G596=$G$20,K$20,$G596=$G$21,K$21,$G596=$G$22,K$22,$G596=$G$25,K$25,$G596=$G$26,K$26,$G596=$G$27,K$27,$G596=$G$29,K$29,$G596=$G$31,K$31,$G596=$G$32,K$150,$G596=$G$248,K$248,$G596=$G$250,K$250)</f>
        <v>BG sentinel + BG lure7</v>
      </c>
      <c r="L596" s="48"/>
      <c r="M596" s="48"/>
      <c r="O596" s="45" t="str">
        <f t="shared" si="45"/>
        <v>A_SP_BCN_5_210819</v>
      </c>
      <c r="P596" s="64">
        <v>44427</v>
      </c>
      <c r="R596" s="72"/>
      <c r="S596" s="64">
        <v>44434</v>
      </c>
      <c r="U596" s="72"/>
      <c r="V596" s="54" t="s">
        <v>66</v>
      </c>
      <c r="X596" s="45">
        <f t="shared" si="48"/>
        <v>7</v>
      </c>
      <c r="Z596" s="45" t="s">
        <v>80</v>
      </c>
      <c r="AA596" s="45">
        <f t="shared" si="49"/>
        <v>2</v>
      </c>
      <c r="AB596" t="str">
        <f t="shared" si="46"/>
        <v>Adult</v>
      </c>
      <c r="AC596" s="69">
        <v>2</v>
      </c>
      <c r="AD596" s="69">
        <v>0</v>
      </c>
      <c r="AE596" s="45" t="str">
        <f t="shared" si="47"/>
        <v>Morphological</v>
      </c>
      <c r="AF596" s="56">
        <v>4</v>
      </c>
    </row>
    <row r="597" spans="1:32" ht="18" customHeight="1" x14ac:dyDescent="0.25">
      <c r="A597" s="45">
        <v>593</v>
      </c>
      <c r="B597" s="45" t="s">
        <v>60</v>
      </c>
      <c r="C597" s="45" t="s">
        <v>61</v>
      </c>
      <c r="D597" s="45" t="s">
        <v>62</v>
      </c>
      <c r="E597" s="45" t="s">
        <v>62</v>
      </c>
      <c r="F597" s="46" cm="1">
        <f t="array" ref="F597">_xlfn.IFS($G597=$G$5,F$5,$G597=$G$6,F$6,$G597=$G$7,F$7,$G597=$G$8,F$8,$G597=$G$9,F$9,$G597=$G$10,F$10,$G597=$G$11,F$11,$G597=$G$12,F$12,$G597=$G$13,F$13,$G597=$G$15,F$15,$G597=$G$16,F$16,$G597=$G$17,F$17,$G597=$G$18,F$18,$G597=$G$19,F$19,$G597=$G$20,F$20,$G597=$G$21,F$21,$G597=$G$22,F$22,$G597=$G$25,F$25,$G597=$G$26,F$26,$G597=$G$27,F$27,$G597=$G$29,F$29,$G597=$G$31,F$31,$G597=$G$32,F$32,$G597=$G$248,F$248,$G597=$G$250,F$250)</f>
        <v>8002</v>
      </c>
      <c r="G597" t="s">
        <v>73</v>
      </c>
      <c r="H597" s="67" cm="1">
        <f t="array" ref="H597">_xlfn.IFS($G597=$G$5,H$5,$G597=$G$6,H$6,$G597=$G$7,H$7,$G597=$G$8,H$8,$G597=$G$9,H$9,$G597=$G$10,H$10,$G597=$G$11,H$11,$G597=$G$12,H$12,$G597=$G$13,H$13,$G597=$G$15,H$15,$G597=$G$16,H$16,$G597=$G$17,H$17,$G597=$G$18,H$18,$G597=$G$19,H$19,$G597=$G$20,H$20,$G597=$G$21,H$21,$G597=$G$22,H$22,$G597=$G$25,H$25,$G597=$G$26,H$26,$G597=$G$27,H$27,$G597=$G$29,H$29,$G597=$G$31,H$31,$G597=$G$32,H$150,$G597=$G$248,H$248,$G597=$G$250,H$250)</f>
        <v>41.371864000000002</v>
      </c>
      <c r="I597" s="67" cm="1">
        <f t="array" ref="I597">_xlfn.IFS($G597=$G$5,I$5,$G597=$G$6,I$6,$G597=$G$7,I$7,$G597=$G$8,I$8,$G597=$G$9,I$9,$G597=$G$10,I$10,$G597=$G$11,I$11,$G597=$G$12,I$12,$G597=$G$13,I$13,$G597=$G$15,I$15,$G597=$G$16,I$16,$G597=$G$17,I$17,$G597=$G$18,I$18,$G597=$G$19,I$19,$G597=$G$20,I$20,$G597=$G$21,I$21,$G597=$G$22,I$22,$G597=$G$25,I$25,$G597=$G$26,I$26,$G597=$G$27,I$27,$G597=$G$29,I$29,$G597=$G$31,I$31,$G597=$G$32,I$150,$G597=$G$248,I$248,$G597=$G$250,I$250)</f>
        <v>2.173899</v>
      </c>
      <c r="J597" s="48" cm="1">
        <f t="array" ref="J597">_xlfn.IFS($G597=$G$5,J$5,$G597=$G$6,J$6,$G597=$G$7,J$7,$G597=$G$8,J$8,$G597=$G$9,J$9,$G597=$G$10,J$10,$G597=$G$11,J$11,$G597=$G$12,J$12,$G597=$G$13,J$13,$G597=$G$15,J$15,$G597=$G$16,J$16,$G597=$G$17,J$17,$G597=$G$18,J$18,$G597=$G$19,J$19,$G597=$G$20,J$20,$G597=$G$21,J$21,$G597=$G$22,J$22,$G597=$G$25,J$25,$G597=$G$26,J$26,$G597=$G$27,J$27,$G597=$G$29,J$29,$G597=$G$31,J$31,$G597=$G$32,J$150,$G597=$G$248,J$248,$G597=$G$250,J$250)</f>
        <v>19</v>
      </c>
      <c r="K597" s="48" t="str" cm="1">
        <f t="array" ref="K597">_xlfn.IFS($G597=$G$5,K$5,$G597=$G$6,K$6,$G597=$G$7,K$7,$G597=$G$8,K$8,$G597=$G$9,K$9,$G597=$G$10,K$10,$G597=$G$11,K$11,$G597=$G$12,K$12,$G597=$G$13,K$13,$G597=$G$15,K$15,$G597=$G$16,K$16,$G597=$G$17,K$17,$G597=$G$18,K$18,$G597=$G$19,K$19,$G597=$G$20,K$20,$G597=$G$21,K$21,$G597=$G$22,K$22,$G597=$G$25,K$25,$G597=$G$26,K$26,$G597=$G$27,K$27,$G597=$G$29,K$29,$G597=$G$31,K$31,$G597=$G$32,K$150,$G597=$G$248,K$248,$G597=$G$250,K$250)</f>
        <v>BG sentinel + BG lure7</v>
      </c>
      <c r="L597" s="48" t="str" cm="1">
        <f t="array" ref="L597">_xlfn.IFS($G597=$G$5,L$5,$G597=$G$6,L$6,$G597=$G$7,L$7,$G597=$G$8,L$8,$G597=$G$9,L$9,$G597=$G$10,L$10,$G597=$G$11,L$11,$G597=$G$12,L$12,$G597=$G$13,L$13,$G597=$G$15,L$15,$G597=$G$16,L$16,$G597=$G$17,L$17,$G597=$G$18,L$18,$G597=$G$19,L$19,$G597=$G$20,L$20,$G597=$G$21,L$21,$G597=$G$22,L$22,$G597=$G$25,L$25,$G597=$G$26,L$26,$G597=$G$27,L$27,$G597=$G$29,L$29,$G597=$G$31,L$31,$G597=$G$32,L$32,$G597=$G$248,L$248,$G597=$G$250,L$250)</f>
        <v>Urban habitat</v>
      </c>
      <c r="M597" s="48"/>
      <c r="O597" s="45" t="str">
        <f t="shared" si="45"/>
        <v>A_SP_BCN_6_210819</v>
      </c>
      <c r="P597" s="64">
        <v>44427</v>
      </c>
      <c r="R597" s="72"/>
      <c r="S597" s="64">
        <v>44434</v>
      </c>
      <c r="U597" s="72"/>
      <c r="V597" s="54" t="s">
        <v>66</v>
      </c>
      <c r="X597" s="45">
        <f t="shared" si="48"/>
        <v>7</v>
      </c>
      <c r="Z597" s="69" t="s">
        <v>69</v>
      </c>
      <c r="AA597" s="45">
        <f t="shared" si="49"/>
        <v>3</v>
      </c>
      <c r="AB597" t="str">
        <f t="shared" si="46"/>
        <v>Adult</v>
      </c>
      <c r="AC597" s="69">
        <v>3</v>
      </c>
      <c r="AD597" s="69">
        <v>0</v>
      </c>
      <c r="AE597" s="45" t="str">
        <f t="shared" si="47"/>
        <v>Morphological</v>
      </c>
      <c r="AF597" s="56">
        <v>4</v>
      </c>
    </row>
    <row r="598" spans="1:32" ht="18" customHeight="1" x14ac:dyDescent="0.25">
      <c r="A598" s="45">
        <v>594</v>
      </c>
      <c r="B598" s="45" t="s">
        <v>60</v>
      </c>
      <c r="C598" s="45" t="s">
        <v>61</v>
      </c>
      <c r="D598" s="45" t="s">
        <v>62</v>
      </c>
      <c r="E598" s="45" t="s">
        <v>62</v>
      </c>
      <c r="F598" s="46" cm="1">
        <f t="array" ref="F598">_xlfn.IFS($G598=$G$5,F$5,$G598=$G$6,F$6,$G598=$G$7,F$7,$G598=$G$8,F$8,$G598=$G$9,F$9,$G598=$G$10,F$10,$G598=$G$11,F$11,$G598=$G$12,F$12,$G598=$G$13,F$13,$G598=$G$15,F$15,$G598=$G$16,F$16,$G598=$G$17,F$17,$G598=$G$18,F$18,$G598=$G$19,F$19,$G598=$G$20,F$20,$G598=$G$21,F$21,$G598=$G$22,F$22,$G598=$G$25,F$25,$G598=$G$26,F$26,$G598=$G$27,F$27,$G598=$G$29,F$29,$G598=$G$31,F$31,$G598=$G$32,F$32,$G598=$G$248,F$248,$G598=$G$250,F$250)</f>
        <v>8038</v>
      </c>
      <c r="G598" t="s">
        <v>74</v>
      </c>
      <c r="H598" s="67" cm="1">
        <f t="array" ref="H598">_xlfn.IFS($G598=$G$5,H$5,$G598=$G$6,H$6,$G598=$G$7,H$7,$G598=$G$8,H$8,$G598=$G$9,H$9,$G598=$G$10,H$10,$G598=$G$11,H$11,$G598=$G$12,H$12,$G598=$G$13,H$13,$G598=$G$15,H$15,$G598=$G$16,H$16,$G598=$G$17,H$17,$G598=$G$18,H$18,$G598=$G$19,H$19,$G598=$G$20,H$20,$G598=$G$21,H$21,$G598=$G$22,H$22,$G598=$G$25,H$25,$G598=$G$26,H$26,$G598=$G$27,H$27,$G598=$G$29,H$29,$G598=$G$31,H$31,$G598=$G$32,H$150,$G598=$G$248,H$248,$G598=$G$250,H$250)</f>
        <v>41.371864000000002</v>
      </c>
      <c r="I598" s="67" cm="1">
        <f t="array" ref="I598">_xlfn.IFS($G598=$G$5,I$5,$G598=$G$6,I$6,$G598=$G$7,I$7,$G598=$G$8,I$8,$G598=$G$9,I$9,$G598=$G$10,I$10,$G598=$G$11,I$11,$G598=$G$12,I$12,$G598=$G$13,I$13,$G598=$G$15,I$15,$G598=$G$16,I$16,$G598=$G$17,I$17,$G598=$G$18,I$18,$G598=$G$19,I$19,$G598=$G$20,I$20,$G598=$G$21,I$21,$G598=$G$22,I$22,$G598=$G$25,I$25,$G598=$G$26,I$26,$G598=$G$27,I$27,$G598=$G$29,I$29,$G598=$G$31,I$31,$G598=$G$32,I$150,$G598=$G$248,I$248,$G598=$G$250,I$250)</f>
        <v>2.173899</v>
      </c>
      <c r="J598" s="48" cm="1">
        <f t="array" ref="J598">_xlfn.IFS($G598=$G$5,J$5,$G598=$G$6,J$6,$G598=$G$7,J$7,$G598=$G$8,J$8,$G598=$G$9,J$9,$G598=$G$10,J$10,$G598=$G$11,J$11,$G598=$G$12,J$12,$G598=$G$13,J$13,$G598=$G$15,J$15,$G598=$G$16,J$16,$G598=$G$17,J$17,$G598=$G$18,J$18,$G598=$G$19,J$19,$G598=$G$20,J$20,$G598=$G$21,J$21,$G598=$G$22,J$22,$G598=$G$25,J$25,$G598=$G$26,J$26,$G598=$G$27,J$27,$G598=$G$29,J$29,$G598=$G$31,J$31,$G598=$G$32,J$150,$G598=$G$248,J$248,$G598=$G$250,J$250)</f>
        <v>5</v>
      </c>
      <c r="K598" s="48" t="str" cm="1">
        <f t="array" ref="K598">_xlfn.IFS($G598=$G$5,K$5,$G598=$G$6,K$6,$G598=$G$7,K$7,$G598=$G$8,K$8,$G598=$G$9,K$9,$G598=$G$10,K$10,$G598=$G$11,K$11,$G598=$G$12,K$12,$G598=$G$13,K$13,$G598=$G$15,K$15,$G598=$G$16,K$16,$G598=$G$17,K$17,$G598=$G$18,K$18,$G598=$G$19,K$19,$G598=$G$20,K$20,$G598=$G$21,K$21,$G598=$G$22,K$22,$G598=$G$25,K$25,$G598=$G$26,K$26,$G598=$G$27,K$27,$G598=$G$29,K$29,$G598=$G$31,K$31,$G598=$G$32,K$150,$G598=$G$248,K$248,$G598=$G$250,K$250)</f>
        <v>BG sentinel + BG lure7</v>
      </c>
      <c r="L598" s="48"/>
      <c r="M598" s="48"/>
      <c r="O598" s="45" t="str">
        <f t="shared" si="45"/>
        <v>A_SP_BCN_7_210819</v>
      </c>
      <c r="P598" s="64">
        <v>44427</v>
      </c>
      <c r="R598" s="72"/>
      <c r="S598" s="64">
        <v>44434</v>
      </c>
      <c r="U598" s="72"/>
      <c r="V598" s="54" t="s">
        <v>66</v>
      </c>
      <c r="X598" s="45">
        <f t="shared" si="48"/>
        <v>7</v>
      </c>
      <c r="Z598" s="69" t="s">
        <v>69</v>
      </c>
      <c r="AA598" s="45">
        <f t="shared" si="49"/>
        <v>7</v>
      </c>
      <c r="AB598" t="str">
        <f t="shared" si="46"/>
        <v>Adult</v>
      </c>
      <c r="AC598" s="69">
        <v>5</v>
      </c>
      <c r="AD598" s="69">
        <v>2</v>
      </c>
      <c r="AE598" s="45" t="str">
        <f t="shared" si="47"/>
        <v>Morphological</v>
      </c>
      <c r="AF598" s="56">
        <v>4</v>
      </c>
    </row>
    <row r="599" spans="1:32" ht="18" customHeight="1" x14ac:dyDescent="0.25">
      <c r="A599" s="45">
        <v>595</v>
      </c>
      <c r="B599" s="45" t="s">
        <v>60</v>
      </c>
      <c r="C599" s="45" t="s">
        <v>61</v>
      </c>
      <c r="D599" s="45" t="s">
        <v>62</v>
      </c>
      <c r="E599" s="45" t="s">
        <v>62</v>
      </c>
      <c r="F599" s="46" cm="1">
        <f t="array" ref="F599">_xlfn.IFS($G599=$G$5,F$5,$G599=$G$6,F$6,$G599=$G$7,F$7,$G599=$G$8,F$8,$G599=$G$9,F$9,$G599=$G$10,F$10,$G599=$G$11,F$11,$G599=$G$12,F$12,$G599=$G$13,F$13,$G599=$G$15,F$15,$G599=$G$16,F$16,$G599=$G$17,F$17,$G599=$G$18,F$18,$G599=$G$19,F$19,$G599=$G$20,F$20,$G599=$G$21,F$21,$G599=$G$22,F$22,$G599=$G$25,F$25,$G599=$G$26,F$26,$G599=$G$27,F$27,$G599=$G$29,F$29,$G599=$G$31,F$31,$G599=$G$32,F$32,$G599=$G$248,F$248,$G599=$G$250,F$250)</f>
        <v>8038</v>
      </c>
      <c r="G599" t="s">
        <v>74</v>
      </c>
      <c r="H599" s="67" cm="1">
        <f t="array" ref="H599">_xlfn.IFS($G599=$G$5,H$5,$G599=$G$6,H$6,$G599=$G$7,H$7,$G599=$G$8,H$8,$G599=$G$9,H$9,$G599=$G$10,H$10,$G599=$G$11,H$11,$G599=$G$12,H$12,$G599=$G$13,H$13,$G599=$G$15,H$15,$G599=$G$16,H$16,$G599=$G$17,H$17,$G599=$G$18,H$18,$G599=$G$19,H$19,$G599=$G$20,H$20,$G599=$G$21,H$21,$G599=$G$22,H$22,$G599=$G$25,H$25,$G599=$G$26,H$26,$G599=$G$27,H$27,$G599=$G$29,H$29,$G599=$G$31,H$31,$G599=$G$32,H$150,$G599=$G$248,H$248,$G599=$G$250,H$250)</f>
        <v>41.371864000000002</v>
      </c>
      <c r="I599" s="67" cm="1">
        <f t="array" ref="I599">_xlfn.IFS($G599=$G$5,I$5,$G599=$G$6,I$6,$G599=$G$7,I$7,$G599=$G$8,I$8,$G599=$G$9,I$9,$G599=$G$10,I$10,$G599=$G$11,I$11,$G599=$G$12,I$12,$G599=$G$13,I$13,$G599=$G$15,I$15,$G599=$G$16,I$16,$G599=$G$17,I$17,$G599=$G$18,I$18,$G599=$G$19,I$19,$G599=$G$20,I$20,$G599=$G$21,I$21,$G599=$G$22,I$22,$G599=$G$25,I$25,$G599=$G$26,I$26,$G599=$G$27,I$27,$G599=$G$29,I$29,$G599=$G$31,I$31,$G599=$G$32,I$150,$G599=$G$248,I$248,$G599=$G$250,I$250)</f>
        <v>2.173899</v>
      </c>
      <c r="J599" s="48" cm="1">
        <f t="array" ref="J599">_xlfn.IFS($G599=$G$5,J$5,$G599=$G$6,J$6,$G599=$G$7,J$7,$G599=$G$8,J$8,$G599=$G$9,J$9,$G599=$G$10,J$10,$G599=$G$11,J$11,$G599=$G$12,J$12,$G599=$G$13,J$13,$G599=$G$15,J$15,$G599=$G$16,J$16,$G599=$G$17,J$17,$G599=$G$18,J$18,$G599=$G$19,J$19,$G599=$G$20,J$20,$G599=$G$21,J$21,$G599=$G$22,J$22,$G599=$G$25,J$25,$G599=$G$26,J$26,$G599=$G$27,J$27,$G599=$G$29,J$29,$G599=$G$31,J$31,$G599=$G$32,J$150,$G599=$G$248,J$248,$G599=$G$250,J$250)</f>
        <v>5</v>
      </c>
      <c r="K599" s="48" t="str" cm="1">
        <f t="array" ref="K599">_xlfn.IFS($G599=$G$5,K$5,$G599=$G$6,K$6,$G599=$G$7,K$7,$G599=$G$8,K$8,$G599=$G$9,K$9,$G599=$G$10,K$10,$G599=$G$11,K$11,$G599=$G$12,K$12,$G599=$G$13,K$13,$G599=$G$15,K$15,$G599=$G$16,K$16,$G599=$G$17,K$17,$G599=$G$18,K$18,$G599=$G$19,K$19,$G599=$G$20,K$20,$G599=$G$21,K$21,$G599=$G$22,K$22,$G599=$G$25,K$25,$G599=$G$26,K$26,$G599=$G$27,K$27,$G599=$G$29,K$29,$G599=$G$31,K$31,$G599=$G$32,K$150,$G599=$G$248,K$248,$G599=$G$250,K$250)</f>
        <v>BG sentinel + BG lure7</v>
      </c>
      <c r="L599" s="48"/>
      <c r="M599" s="48"/>
      <c r="O599" s="45" t="str">
        <f t="shared" si="45"/>
        <v>A_SP_BCN_7_210819</v>
      </c>
      <c r="P599" s="64">
        <v>44427</v>
      </c>
      <c r="R599" s="72"/>
      <c r="S599" s="64">
        <v>44434</v>
      </c>
      <c r="U599" s="72"/>
      <c r="V599" s="54" t="s">
        <v>66</v>
      </c>
      <c r="X599" s="45">
        <f t="shared" si="48"/>
        <v>7</v>
      </c>
      <c r="Z599" s="45" t="s">
        <v>70</v>
      </c>
      <c r="AA599" s="45">
        <f t="shared" si="49"/>
        <v>1</v>
      </c>
      <c r="AB599" t="str">
        <f t="shared" si="46"/>
        <v>Adult</v>
      </c>
      <c r="AC599" s="69">
        <v>1</v>
      </c>
      <c r="AD599" s="69">
        <v>0</v>
      </c>
      <c r="AE599" s="45" t="str">
        <f t="shared" si="47"/>
        <v>Morphological</v>
      </c>
      <c r="AF599" s="56">
        <v>4</v>
      </c>
    </row>
    <row r="600" spans="1:32" ht="18" customHeight="1" x14ac:dyDescent="0.25">
      <c r="A600" s="45">
        <v>596</v>
      </c>
      <c r="B600" s="45" t="s">
        <v>60</v>
      </c>
      <c r="C600" s="45" t="s">
        <v>61</v>
      </c>
      <c r="D600" s="45" t="s">
        <v>62</v>
      </c>
      <c r="E600" s="45" t="s">
        <v>62</v>
      </c>
      <c r="F600" s="46" cm="1">
        <f t="array" ref="F600">_xlfn.IFS($G600=$G$5,F$5,$G600=$G$6,F$6,$G600=$G$7,F$7,$G600=$G$8,F$8,$G600=$G$9,F$9,$G600=$G$10,F$10,$G600=$G$11,F$11,$G600=$G$12,F$12,$G600=$G$13,F$13,$G600=$G$15,F$15,$G600=$G$16,F$16,$G600=$G$17,F$17,$G600=$G$18,F$18,$G600=$G$19,F$19,$G600=$G$20,F$20,$G600=$G$21,F$21,$G600=$G$22,F$22,$G600=$G$25,F$25,$G600=$G$26,F$26,$G600=$G$27,F$27,$G600=$G$29,F$29,$G600=$G$31,F$31,$G600=$G$32,F$32,$G600=$G$248,F$248,$G600=$G$250,F$250)</f>
        <v>8038</v>
      </c>
      <c r="G600" t="s">
        <v>75</v>
      </c>
      <c r="H600" s="67" cm="1">
        <f t="array" ref="H600">_xlfn.IFS($G600=$G$5,H$5,$G600=$G$6,H$6,$G600=$G$7,H$7,$G600=$G$8,H$8,$G600=$G$9,H$9,$G600=$G$10,H$10,$G600=$G$11,H$11,$G600=$G$12,H$12,$G600=$G$13,H$13,$G600=$G$15,H$15,$G600=$G$16,H$16,$G600=$G$17,H$17,$G600=$G$18,H$18,$G600=$G$19,H$19,$G600=$G$20,H$20,$G600=$G$21,H$21,$G600=$G$22,H$22,$G600=$G$25,H$25,$G600=$G$26,H$26,$G600=$G$27,H$27,$G600=$G$29,H$29,$G600=$G$31,H$31,$G600=$G$32,H$150,$G600=$G$248,H$248,$G600=$G$250,H$250)</f>
        <v>41.368589</v>
      </c>
      <c r="I600" s="67" cm="1">
        <f t="array" ref="I600">_xlfn.IFS($G600=$G$5,I$5,$G600=$G$6,I$6,$G600=$G$7,I$7,$G600=$G$8,I$8,$G600=$G$9,I$9,$G600=$G$10,I$10,$G600=$G$11,I$11,$G600=$G$12,I$12,$G600=$G$13,I$13,$G600=$G$15,I$15,$G600=$G$16,I$16,$G600=$G$17,I$17,$G600=$G$18,I$18,$G600=$G$19,I$19,$G600=$G$20,I$20,$G600=$G$21,I$21,$G600=$G$22,I$22,$G600=$G$25,I$25,$G600=$G$26,I$26,$G600=$G$27,I$27,$G600=$G$29,I$29,$G600=$G$31,I$31,$G600=$G$32,I$150,$G600=$G$248,I$248,$G600=$G$250,I$250)</f>
        <v>2.1620900000000001</v>
      </c>
      <c r="J600" s="48" cm="1">
        <f t="array" ref="J600">_xlfn.IFS($G600=$G$5,J$5,$G600=$G$6,J$6,$G600=$G$7,J$7,$G600=$G$8,J$8,$G600=$G$9,J$9,$G600=$G$10,J$10,$G600=$G$11,J$11,$G600=$G$12,J$12,$G600=$G$13,J$13,$G600=$G$15,J$15,$G600=$G$16,J$16,$G600=$G$17,J$17,$G600=$G$18,J$18,$G600=$G$19,J$19,$G600=$G$20,J$20,$G600=$G$21,J$21,$G600=$G$22,J$22,$G600=$G$25,J$25,$G600=$G$26,J$26,$G600=$G$27,J$27,$G600=$G$29,J$29,$G600=$G$31,J$31,$G600=$G$32,J$150,$G600=$G$248,J$248,$G600=$G$250,J$250)</f>
        <v>95</v>
      </c>
      <c r="K600" s="48" t="str" cm="1">
        <f t="array" ref="K600">_xlfn.IFS($G600=$G$5,K$5,$G600=$G$6,K$6,$G600=$G$7,K$7,$G600=$G$8,K$8,$G600=$G$9,K$9,$G600=$G$10,K$10,$G600=$G$11,K$11,$G600=$G$12,K$12,$G600=$G$13,K$13,$G600=$G$15,K$15,$G600=$G$16,K$16,$G600=$G$17,K$17,$G600=$G$18,K$18,$G600=$G$19,K$19,$G600=$G$20,K$20,$G600=$G$21,K$21,$G600=$G$22,K$22,$G600=$G$25,K$25,$G600=$G$26,K$26,$G600=$G$27,K$27,$G600=$G$29,K$29,$G600=$G$31,K$31,$G600=$G$32,K$150,$G600=$G$248,K$248,$G600=$G$250,K$250)</f>
        <v>BG sentinel + BG lure7</v>
      </c>
      <c r="L600" s="48" t="str" cm="1">
        <f t="array" ref="L600">_xlfn.IFS($G600=$G$5,L$5,$G600=$G$6,L$6,$G600=$G$7,L$7,$G600=$G$8,L$8,$G600=$G$9,L$9,$G600=$G$10,L$10,$G600=$G$11,L$11,$G600=$G$12,L$12,$G600=$G$13,L$13,$G600=$G$15,L$15,$G600=$G$16,L$16,$G600=$G$17,L$17,$G600=$G$18,L$18,$G600=$G$19,L$19,$G600=$G$20,L$20,$G600=$G$21,L$21,$G600=$G$22,L$22,$G600=$G$25,L$25,$G600=$G$26,L$26,$G600=$G$27,L$27,$G600=$G$29,L$29,$G600=$G$31,L$31,$G600=$G$32,L$32,$G600=$G$248,L$248,$G600=$G$250,L$250)</f>
        <v>Other</v>
      </c>
      <c r="M600" s="48"/>
      <c r="O600" s="45" t="str">
        <f t="shared" si="45"/>
        <v>A_SP_BCN_8_210819</v>
      </c>
      <c r="P600" s="64">
        <v>44427</v>
      </c>
      <c r="R600" s="72"/>
      <c r="S600" s="64">
        <v>44434</v>
      </c>
      <c r="U600" s="72"/>
      <c r="V600" s="54" t="s">
        <v>66</v>
      </c>
      <c r="X600" s="45">
        <f t="shared" si="48"/>
        <v>7</v>
      </c>
      <c r="Z600" s="69" t="s">
        <v>69</v>
      </c>
      <c r="AA600" s="45">
        <f t="shared" si="49"/>
        <v>31</v>
      </c>
      <c r="AB600" t="str">
        <f t="shared" si="46"/>
        <v>Adult</v>
      </c>
      <c r="AC600" s="69">
        <v>24</v>
      </c>
      <c r="AD600" s="69">
        <v>7</v>
      </c>
      <c r="AE600" s="45" t="str">
        <f t="shared" si="47"/>
        <v>Morphological</v>
      </c>
      <c r="AF600" s="56">
        <v>4</v>
      </c>
    </row>
    <row r="601" spans="1:32" ht="18" customHeight="1" x14ac:dyDescent="0.25">
      <c r="A601" s="45">
        <v>597</v>
      </c>
      <c r="B601" s="45" t="s">
        <v>60</v>
      </c>
      <c r="C601" s="45" t="s">
        <v>61</v>
      </c>
      <c r="D601" s="45" t="s">
        <v>62</v>
      </c>
      <c r="E601" s="45" t="s">
        <v>62</v>
      </c>
      <c r="F601" s="46" cm="1">
        <f t="array" ref="F601">_xlfn.IFS($G601=$G$5,F$5,$G601=$G$6,F$6,$G601=$G$7,F$7,$G601=$G$8,F$8,$G601=$G$9,F$9,$G601=$G$10,F$10,$G601=$G$11,F$11,$G601=$G$12,F$12,$G601=$G$13,F$13,$G601=$G$15,F$15,$G601=$G$16,F$16,$G601=$G$17,F$17,$G601=$G$18,F$18,$G601=$G$19,F$19,$G601=$G$20,F$20,$G601=$G$21,F$21,$G601=$G$22,F$22,$G601=$G$25,F$25,$G601=$G$26,F$26,$G601=$G$27,F$27,$G601=$G$29,F$29,$G601=$G$31,F$31,$G601=$G$32,F$32,$G601=$G$248,F$248,$G601=$G$250,F$250)</f>
        <v>8038</v>
      </c>
      <c r="G601" t="s">
        <v>75</v>
      </c>
      <c r="H601" s="67" cm="1">
        <f t="array" ref="H601">_xlfn.IFS($G601=$G$5,H$5,$G601=$G$6,H$6,$G601=$G$7,H$7,$G601=$G$8,H$8,$G601=$G$9,H$9,$G601=$G$10,H$10,$G601=$G$11,H$11,$G601=$G$12,H$12,$G601=$G$13,H$13,$G601=$G$15,H$15,$G601=$G$16,H$16,$G601=$G$17,H$17,$G601=$G$18,H$18,$G601=$G$19,H$19,$G601=$G$20,H$20,$G601=$G$21,H$21,$G601=$G$22,H$22,$G601=$G$25,H$25,$G601=$G$26,H$26,$G601=$G$27,H$27,$G601=$G$29,H$29,$G601=$G$31,H$31,$G601=$G$32,H$150,$G601=$G$248,H$248,$G601=$G$250,H$250)</f>
        <v>41.368589</v>
      </c>
      <c r="I601" s="67" cm="1">
        <f t="array" ref="I601">_xlfn.IFS($G601=$G$5,I$5,$G601=$G$6,I$6,$G601=$G$7,I$7,$G601=$G$8,I$8,$G601=$G$9,I$9,$G601=$G$10,I$10,$G601=$G$11,I$11,$G601=$G$12,I$12,$G601=$G$13,I$13,$G601=$G$15,I$15,$G601=$G$16,I$16,$G601=$G$17,I$17,$G601=$G$18,I$18,$G601=$G$19,I$19,$G601=$G$20,I$20,$G601=$G$21,I$21,$G601=$G$22,I$22,$G601=$G$25,I$25,$G601=$G$26,I$26,$G601=$G$27,I$27,$G601=$G$29,I$29,$G601=$G$31,I$31,$G601=$G$32,I$150,$G601=$G$248,I$248,$G601=$G$250,I$250)</f>
        <v>2.1620900000000001</v>
      </c>
      <c r="J601" s="48" cm="1">
        <f t="array" ref="J601">_xlfn.IFS($G601=$G$5,J$5,$G601=$G$6,J$6,$G601=$G$7,J$7,$G601=$G$8,J$8,$G601=$G$9,J$9,$G601=$G$10,J$10,$G601=$G$11,J$11,$G601=$G$12,J$12,$G601=$G$13,J$13,$G601=$G$15,J$15,$G601=$G$16,J$16,$G601=$G$17,J$17,$G601=$G$18,J$18,$G601=$G$19,J$19,$G601=$G$20,J$20,$G601=$G$21,J$21,$G601=$G$22,J$22,$G601=$G$25,J$25,$G601=$G$26,J$26,$G601=$G$27,J$27,$G601=$G$29,J$29,$G601=$G$31,J$31,$G601=$G$32,J$150,$G601=$G$248,J$248,$G601=$G$250,J$250)</f>
        <v>95</v>
      </c>
      <c r="K601" s="48" t="str" cm="1">
        <f t="array" ref="K601">_xlfn.IFS($G601=$G$5,K$5,$G601=$G$6,K$6,$G601=$G$7,K$7,$G601=$G$8,K$8,$G601=$G$9,K$9,$G601=$G$10,K$10,$G601=$G$11,K$11,$G601=$G$12,K$12,$G601=$G$13,K$13,$G601=$G$15,K$15,$G601=$G$16,K$16,$G601=$G$17,K$17,$G601=$G$18,K$18,$G601=$G$19,K$19,$G601=$G$20,K$20,$G601=$G$21,K$21,$G601=$G$22,K$22,$G601=$G$25,K$25,$G601=$G$26,K$26,$G601=$G$27,K$27,$G601=$G$29,K$29,$G601=$G$31,K$31,$G601=$G$32,K$150,$G601=$G$248,K$248,$G601=$G$250,K$250)</f>
        <v>BG sentinel + BG lure7</v>
      </c>
      <c r="L601" s="48" t="str" cm="1">
        <f t="array" ref="L601">_xlfn.IFS($G601=$G$5,L$5,$G601=$G$6,L$6,$G601=$G$7,L$7,$G601=$G$8,L$8,$G601=$G$9,L$9,$G601=$G$10,L$10,$G601=$G$11,L$11,$G601=$G$12,L$12,$G601=$G$13,L$13,$G601=$G$15,L$15,$G601=$G$16,L$16,$G601=$G$17,L$17,$G601=$G$18,L$18,$G601=$G$19,L$19,$G601=$G$20,L$20,$G601=$G$21,L$21,$G601=$G$22,L$22,$G601=$G$25,L$25,$G601=$G$26,L$26,$G601=$G$27,L$27,$G601=$G$29,L$29,$G601=$G$31,L$31,$G601=$G$32,L$32,$G601=$G$248,L$248,$G601=$G$250,L$250)</f>
        <v>Other</v>
      </c>
      <c r="M601" s="48"/>
      <c r="O601" s="45" t="str">
        <f t="shared" si="45"/>
        <v>A_SP_BCN_8_210819</v>
      </c>
      <c r="P601" s="64">
        <v>44427</v>
      </c>
      <c r="R601" s="72"/>
      <c r="S601" s="64">
        <v>44434</v>
      </c>
      <c r="U601" s="72"/>
      <c r="V601" s="54" t="s">
        <v>66</v>
      </c>
      <c r="X601" s="45">
        <f t="shared" si="48"/>
        <v>7</v>
      </c>
      <c r="Z601" s="45" t="s">
        <v>70</v>
      </c>
      <c r="AA601" s="45">
        <f t="shared" si="49"/>
        <v>4</v>
      </c>
      <c r="AB601" t="str">
        <f t="shared" si="46"/>
        <v>Adult</v>
      </c>
      <c r="AC601" s="69">
        <v>4</v>
      </c>
      <c r="AD601" s="69">
        <v>0</v>
      </c>
      <c r="AE601" s="45" t="str">
        <f t="shared" si="47"/>
        <v>Morphological</v>
      </c>
      <c r="AF601" s="56">
        <v>4</v>
      </c>
    </row>
    <row r="602" spans="1:32" ht="18" customHeight="1" x14ac:dyDescent="0.25">
      <c r="A602" s="45">
        <v>598</v>
      </c>
      <c r="B602" s="45" t="s">
        <v>60</v>
      </c>
      <c r="C602" s="45" t="s">
        <v>61</v>
      </c>
      <c r="D602" s="45" t="s">
        <v>62</v>
      </c>
      <c r="E602" s="45" t="s">
        <v>62</v>
      </c>
      <c r="F602" s="46" cm="1">
        <f t="array" ref="F602">_xlfn.IFS($G602=$G$5,F$5,$G602=$G$6,F$6,$G602=$G$7,F$7,$G602=$G$8,F$8,$G602=$G$9,F$9,$G602=$G$10,F$10,$G602=$G$11,F$11,$G602=$G$12,F$12,$G602=$G$13,F$13,$G602=$G$15,F$15,$G602=$G$16,F$16,$G602=$G$17,F$17,$G602=$G$18,F$18,$G602=$G$19,F$19,$G602=$G$20,F$20,$G602=$G$21,F$21,$G602=$G$22,F$22,$G602=$G$25,F$25,$G602=$G$26,F$26,$G602=$G$27,F$27,$G602=$G$29,F$29,$G602=$G$31,F$31,$G602=$G$32,F$32,$G602=$G$248,F$248,$G602=$G$250,F$250)</f>
        <v>8040</v>
      </c>
      <c r="G602" t="s">
        <v>81</v>
      </c>
      <c r="H602" s="67" cm="1">
        <f t="array" ref="H602">_xlfn.IFS($G602=$G$5,H$5,$G602=$G$6,H$6,$G602=$G$7,H$7,$G602=$G$8,H$8,$G602=$G$9,H$9,$G602=$G$10,H$10,$G602=$G$11,H$11,$G602=$G$12,H$12,$G602=$G$13,H$13,$G602=$G$15,H$15,$G602=$G$16,H$16,$G602=$G$17,H$17,$G602=$G$18,H$18,$G602=$G$19,H$19,$G602=$G$20,H$20,$G602=$G$21,H$21,$G602=$G$22,H$22,$G602=$G$25,H$25,$G602=$G$26,H$26,$G602=$G$27,H$27,$G602=$G$29,H$29,$G602=$G$31,H$31,$G602=$G$32,H$150,$G602=$G$248,H$248,$G602=$G$250,H$250)</f>
        <v>41.343685000000001</v>
      </c>
      <c r="I602" s="67" cm="1">
        <f t="array" ref="I602">_xlfn.IFS($G602=$G$5,I$5,$G602=$G$6,I$6,$G602=$G$7,I$7,$G602=$G$8,I$8,$G602=$G$9,I$9,$G602=$G$10,I$10,$G602=$G$11,I$11,$G602=$G$12,I$12,$G602=$G$13,I$13,$G602=$G$15,I$15,$G602=$G$16,I$16,$G602=$G$17,I$17,$G602=$G$18,I$18,$G602=$G$19,I$19,$G602=$G$20,I$20,$G602=$G$21,I$21,$G602=$G$22,I$22,$G602=$G$25,I$25,$G602=$G$26,I$26,$G602=$G$27,I$27,$G602=$G$29,I$29,$G602=$G$31,I$31,$G602=$G$32,I$150,$G602=$G$248,I$248,$G602=$G$250,I$250)</f>
        <v>2.1441490000000001</v>
      </c>
      <c r="J602" s="48" cm="1">
        <f t="array" ref="J602">_xlfn.IFS($G602=$G$5,J$5,$G602=$G$6,J$6,$G602=$G$7,J$7,$G602=$G$8,J$8,$G602=$G$9,J$9,$G602=$G$10,J$10,$G602=$G$11,J$11,$G602=$G$12,J$12,$G602=$G$13,J$13,$G602=$G$15,J$15,$G602=$G$16,J$16,$G602=$G$17,J$17,$G602=$G$18,J$18,$G602=$G$19,J$19,$G602=$G$20,J$20,$G602=$G$21,J$21,$G602=$G$22,J$22,$G602=$G$25,J$25,$G602=$G$26,J$26,$G602=$G$27,J$27,$G602=$G$29,J$29,$G602=$G$31,J$31,$G602=$G$32,J$150,$G602=$G$248,J$248,$G602=$G$250,J$250)</f>
        <v>4</v>
      </c>
      <c r="K602" s="48" t="str" cm="1">
        <f t="array" ref="K602">_xlfn.IFS($G602=$G$5,K$5,$G602=$G$6,K$6,$G602=$G$7,K$7,$G602=$G$8,K$8,$G602=$G$9,K$9,$G602=$G$10,K$10,$G602=$G$11,K$11,$G602=$G$12,K$12,$G602=$G$13,K$13,$G602=$G$15,K$15,$G602=$G$16,K$16,$G602=$G$17,K$17,$G602=$G$18,K$18,$G602=$G$19,K$19,$G602=$G$20,K$20,$G602=$G$21,K$21,$G602=$G$22,K$22,$G602=$G$25,K$25,$G602=$G$26,K$26,$G602=$G$27,K$27,$G602=$G$29,K$29,$G602=$G$31,K$31,$G602=$G$32,K$150,$G602=$G$248,K$248,$G602=$G$250,K$250)</f>
        <v>BG sentinel + BG lure7</v>
      </c>
      <c r="L602" s="48" t="str" cm="1">
        <f t="array" ref="L602">_xlfn.IFS($G602=$G$5,L$5,$G602=$G$6,L$6,$G602=$G$7,L$7,$G602=$G$8,L$8,$G602=$G$9,L$9,$G602=$G$10,L$10,$G602=$G$11,L$11,$G602=$G$12,L$12,$G602=$G$13,L$13,$G602=$G$15,L$15,$G602=$G$16,L$16,$G602=$G$17,L$17,$G602=$G$18,L$18,$G602=$G$19,L$19,$G602=$G$20,L$20,$G602=$G$21,L$21,$G602=$G$22,L$22,$G602=$G$25,L$25,$G602=$G$26,L$26,$G602=$G$27,L$27,$G602=$G$29,L$29,$G602=$G$31,L$31,$G602=$G$32,L$32,$G602=$G$248,L$248,$G602=$G$250,L$250)</f>
        <v>Urban habitat</v>
      </c>
      <c r="M602" s="48"/>
      <c r="O602" s="45" t="str">
        <f t="shared" si="45"/>
        <v>A_SP_BCN_10_210819</v>
      </c>
      <c r="P602" s="64">
        <v>44427</v>
      </c>
      <c r="R602" s="72"/>
      <c r="S602" s="64">
        <v>44434</v>
      </c>
      <c r="U602" s="72"/>
      <c r="V602" s="54" t="s">
        <v>66</v>
      </c>
      <c r="X602" s="45">
        <f t="shared" si="48"/>
        <v>7</v>
      </c>
      <c r="Z602" s="69" t="s">
        <v>69</v>
      </c>
      <c r="AA602" s="45">
        <f t="shared" si="49"/>
        <v>17</v>
      </c>
      <c r="AB602" t="str">
        <f t="shared" si="46"/>
        <v>Adult</v>
      </c>
      <c r="AC602" s="69">
        <v>12</v>
      </c>
      <c r="AD602" s="69">
        <v>5</v>
      </c>
      <c r="AE602" s="45" t="str">
        <f t="shared" si="47"/>
        <v>Morphological</v>
      </c>
      <c r="AF602" s="56">
        <v>4</v>
      </c>
    </row>
    <row r="603" spans="1:32" ht="18" customHeight="1" x14ac:dyDescent="0.25">
      <c r="A603" s="45">
        <v>599</v>
      </c>
      <c r="B603" s="45" t="s">
        <v>60</v>
      </c>
      <c r="C603" s="45" t="s">
        <v>61</v>
      </c>
      <c r="D603" s="45" t="s">
        <v>62</v>
      </c>
      <c r="E603" s="45" t="s">
        <v>62</v>
      </c>
      <c r="F603" s="46" cm="1">
        <f t="array" ref="F603">_xlfn.IFS($G603=$G$5,F$5,$G603=$G$6,F$6,$G603=$G$7,F$7,$G603=$G$8,F$8,$G603=$G$9,F$9,$G603=$G$10,F$10,$G603=$G$11,F$11,$G603=$G$12,F$12,$G603=$G$13,F$13,$G603=$G$15,F$15,$G603=$G$16,F$16,$G603=$G$17,F$17,$G603=$G$18,F$18,$G603=$G$19,F$19,$G603=$G$20,F$20,$G603=$G$21,F$21,$G603=$G$22,F$22,$G603=$G$25,F$25,$G603=$G$26,F$26,$G603=$G$27,F$27,$G603=$G$29,F$29,$G603=$G$31,F$31,$G603=$G$32,F$32,$G603=$G$248,F$248,$G603=$G$250,F$250)</f>
        <v>8040</v>
      </c>
      <c r="G603" t="s">
        <v>81</v>
      </c>
      <c r="H603" s="67" cm="1">
        <f t="array" ref="H603">_xlfn.IFS($G603=$G$5,H$5,$G603=$G$6,H$6,$G603=$G$7,H$7,$G603=$G$8,H$8,$G603=$G$9,H$9,$G603=$G$10,H$10,$G603=$G$11,H$11,$G603=$G$12,H$12,$G603=$G$13,H$13,$G603=$G$15,H$15,$G603=$G$16,H$16,$G603=$G$17,H$17,$G603=$G$18,H$18,$G603=$G$19,H$19,$G603=$G$20,H$20,$G603=$G$21,H$21,$G603=$G$22,H$22,$G603=$G$25,H$25,$G603=$G$26,H$26,$G603=$G$27,H$27,$G603=$G$29,H$29,$G603=$G$31,H$31,$G603=$G$32,H$150,$G603=$G$248,H$248,$G603=$G$250,H$250)</f>
        <v>41.343685000000001</v>
      </c>
      <c r="I603" s="67" cm="1">
        <f t="array" ref="I603">_xlfn.IFS($G603=$G$5,I$5,$G603=$G$6,I$6,$G603=$G$7,I$7,$G603=$G$8,I$8,$G603=$G$9,I$9,$G603=$G$10,I$10,$G603=$G$11,I$11,$G603=$G$12,I$12,$G603=$G$13,I$13,$G603=$G$15,I$15,$G603=$G$16,I$16,$G603=$G$17,I$17,$G603=$G$18,I$18,$G603=$G$19,I$19,$G603=$G$20,I$20,$G603=$G$21,I$21,$G603=$G$22,I$22,$G603=$G$25,I$25,$G603=$G$26,I$26,$G603=$G$27,I$27,$G603=$G$29,I$29,$G603=$G$31,I$31,$G603=$G$32,I$150,$G603=$G$248,I$248,$G603=$G$250,I$250)</f>
        <v>2.1441490000000001</v>
      </c>
      <c r="J603" s="48" cm="1">
        <f t="array" ref="J603">_xlfn.IFS($G603=$G$5,J$5,$G603=$G$6,J$6,$G603=$G$7,J$7,$G603=$G$8,J$8,$G603=$G$9,J$9,$G603=$G$10,J$10,$G603=$G$11,J$11,$G603=$G$12,J$12,$G603=$G$13,J$13,$G603=$G$15,J$15,$G603=$G$16,J$16,$G603=$G$17,J$17,$G603=$G$18,J$18,$G603=$G$19,J$19,$G603=$G$20,J$20,$G603=$G$21,J$21,$G603=$G$22,J$22,$G603=$G$25,J$25,$G603=$G$26,J$26,$G603=$G$27,J$27,$G603=$G$29,J$29,$G603=$G$31,J$31,$G603=$G$32,J$150,$G603=$G$248,J$248,$G603=$G$250,J$250)</f>
        <v>4</v>
      </c>
      <c r="K603" s="48" t="str" cm="1">
        <f t="array" ref="K603">_xlfn.IFS($G603=$G$5,K$5,$G603=$G$6,K$6,$G603=$G$7,K$7,$G603=$G$8,K$8,$G603=$G$9,K$9,$G603=$G$10,K$10,$G603=$G$11,K$11,$G603=$G$12,K$12,$G603=$G$13,K$13,$G603=$G$15,K$15,$G603=$G$16,K$16,$G603=$G$17,K$17,$G603=$G$18,K$18,$G603=$G$19,K$19,$G603=$G$20,K$20,$G603=$G$21,K$21,$G603=$G$22,K$22,$G603=$G$25,K$25,$G603=$G$26,K$26,$G603=$G$27,K$27,$G603=$G$29,K$29,$G603=$G$31,K$31,$G603=$G$32,K$150,$G603=$G$248,K$248,$G603=$G$250,K$250)</f>
        <v>BG sentinel + BG lure7</v>
      </c>
      <c r="L603" s="48" t="str" cm="1">
        <f t="array" ref="L603">_xlfn.IFS($G603=$G$5,L$5,$G603=$G$6,L$6,$G603=$G$7,L$7,$G603=$G$8,L$8,$G603=$G$9,L$9,$G603=$G$10,L$10,$G603=$G$11,L$11,$G603=$G$12,L$12,$G603=$G$13,L$13,$G603=$G$15,L$15,$G603=$G$16,L$16,$G603=$G$17,L$17,$G603=$G$18,L$18,$G603=$G$19,L$19,$G603=$G$20,L$20,$G603=$G$21,L$21,$G603=$G$22,L$22,$G603=$G$25,L$25,$G603=$G$26,L$26,$G603=$G$27,L$27,$G603=$G$29,L$29,$G603=$G$31,L$31,$G603=$G$32,L$32,$G603=$G$248,L$248,$G603=$G$250,L$250)</f>
        <v>Urban habitat</v>
      </c>
      <c r="M603" s="48"/>
      <c r="O603" s="45" t="str">
        <f t="shared" si="45"/>
        <v>A_SP_BCN_10_210819</v>
      </c>
      <c r="P603" s="64">
        <v>44427</v>
      </c>
      <c r="R603" s="72"/>
      <c r="S603" s="64">
        <v>44434</v>
      </c>
      <c r="U603" s="72"/>
      <c r="V603" s="54" t="s">
        <v>66</v>
      </c>
      <c r="X603" s="45">
        <f t="shared" si="48"/>
        <v>7</v>
      </c>
      <c r="Z603" s="45" t="s">
        <v>70</v>
      </c>
      <c r="AA603" s="45">
        <f t="shared" si="49"/>
        <v>9</v>
      </c>
      <c r="AB603" t="str">
        <f t="shared" si="46"/>
        <v>Adult</v>
      </c>
      <c r="AC603" s="69">
        <v>9</v>
      </c>
      <c r="AD603" s="69">
        <v>0</v>
      </c>
      <c r="AE603" s="45" t="str">
        <f t="shared" si="47"/>
        <v>Morphological</v>
      </c>
      <c r="AF603" s="56">
        <v>4</v>
      </c>
    </row>
    <row r="604" spans="1:32" ht="18" customHeight="1" x14ac:dyDescent="0.25">
      <c r="A604" s="45">
        <v>600</v>
      </c>
      <c r="B604" s="45" t="s">
        <v>60</v>
      </c>
      <c r="C604" s="45" t="s">
        <v>61</v>
      </c>
      <c r="D604" s="45" t="s">
        <v>62</v>
      </c>
      <c r="E604" s="45" t="s">
        <v>62</v>
      </c>
      <c r="F604" s="46" cm="1">
        <f t="array" ref="F604">_xlfn.IFS($G604=$G$5,F$5,$G604=$G$6,F$6,$G604=$G$7,F$7,$G604=$G$8,F$8,$G604=$G$9,F$9,$G604=$G$10,F$10,$G604=$G$11,F$11,$G604=$G$12,F$12,$G604=$G$13,F$13,$G604=$G$15,F$15,$G604=$G$16,F$16,$G604=$G$17,F$17,$G604=$G$18,F$18,$G604=$G$19,F$19,$G604=$G$20,F$20,$G604=$G$21,F$21,$G604=$G$22,F$22,$G604=$G$25,F$25,$G604=$G$26,F$26,$G604=$G$27,F$27,$G604=$G$29,F$29,$G604=$G$31,F$31,$G604=$G$32,F$32,$G604=$G$248,F$248,$G604=$G$250,F$250)</f>
        <v>8038</v>
      </c>
      <c r="G604" t="s">
        <v>82</v>
      </c>
      <c r="H604" s="67" cm="1">
        <f t="array" ref="H604">_xlfn.IFS($G604=$G$5,H$5,$G604=$G$6,H$6,$G604=$G$7,H$7,$G604=$G$8,H$8,$G604=$G$9,H$9,$G604=$G$10,H$10,$G604=$G$11,H$11,$G604=$G$12,H$12,$G604=$G$13,H$13,$G604=$G$15,H$15,$G604=$G$16,H$16,$G604=$G$17,H$17,$G604=$G$18,H$18,$G604=$G$19,H$19,$G604=$G$20,H$20,$G604=$G$21,H$21,$G604=$G$22,H$22,$G604=$G$25,H$25,$G604=$G$26,H$26,$G604=$G$27,H$27,$G604=$G$29,H$29,$G604=$G$31,H$31,$G604=$G$32,H$150,$G604=$G$248,H$248,$G604=$G$250,H$250)</f>
        <v>41.367429999999999</v>
      </c>
      <c r="I604" s="67" cm="1">
        <f t="array" ref="I604">_xlfn.IFS($G604=$G$5,I$5,$G604=$G$6,I$6,$G604=$G$7,I$7,$G604=$G$8,I$8,$G604=$G$9,I$9,$G604=$G$10,I$10,$G604=$G$11,I$11,$G604=$G$12,I$12,$G604=$G$13,I$13,$G604=$G$15,I$15,$G604=$G$16,I$16,$G604=$G$17,I$17,$G604=$G$18,I$18,$G604=$G$19,I$19,$G604=$G$20,I$20,$G604=$G$21,I$21,$G604=$G$22,I$22,$G604=$G$25,I$25,$G604=$G$26,I$26,$G604=$G$27,I$27,$G604=$G$29,I$29,$G604=$G$31,I$31,$G604=$G$32,I$150,$G604=$G$248,I$248,$G604=$G$250,I$250)</f>
        <v>2.1569609999999999</v>
      </c>
      <c r="J604" s="48" cm="1">
        <f t="array" ref="J604">_xlfn.IFS($G604=$G$5,J$5,$G604=$G$6,J$6,$G604=$G$7,J$7,$G604=$G$8,J$8,$G604=$G$9,J$9,$G604=$G$10,J$10,$G604=$G$11,J$11,$G604=$G$12,J$12,$G604=$G$13,J$13,$G604=$G$15,J$15,$G604=$G$16,J$16,$G604=$G$17,J$17,$G604=$G$18,J$18,$G604=$G$19,J$19,$G604=$G$20,J$20,$G604=$G$21,J$21,$G604=$G$22,J$22,$G604=$G$25,J$25,$G604=$G$26,J$26,$G604=$G$27,J$27,$G604=$G$29,J$29,$G604=$G$31,J$31,$G604=$G$32,J$150,$G604=$G$248,J$248,$G604=$G$250,J$250)</f>
        <v>91</v>
      </c>
      <c r="K604" s="48" t="str" cm="1">
        <f t="array" ref="K604">_xlfn.IFS($G604=$G$5,K$5,$G604=$G$6,K$6,$G604=$G$7,K$7,$G604=$G$8,K$8,$G604=$G$9,K$9,$G604=$G$10,K$10,$G604=$G$11,K$11,$G604=$G$12,K$12,$G604=$G$13,K$13,$G604=$G$15,K$15,$G604=$G$16,K$16,$G604=$G$17,K$17,$G604=$G$18,K$18,$G604=$G$19,K$19,$G604=$G$20,K$20,$G604=$G$21,K$21,$G604=$G$22,K$22,$G604=$G$25,K$25,$G604=$G$26,K$26,$G604=$G$27,K$27,$G604=$G$29,K$29,$G604=$G$31,K$31,$G604=$G$32,K$150,$G604=$G$248,K$248,$G604=$G$250,K$250)</f>
        <v>BG sentinel + BG lure7</v>
      </c>
      <c r="L604" s="48" t="str" cm="1">
        <f t="array" ref="L604">_xlfn.IFS($G604=$G$5,L$5,$G604=$G$6,L$6,$G604=$G$7,L$7,$G604=$G$8,L$8,$G604=$G$9,L$9,$G604=$G$10,L$10,$G604=$G$11,L$11,$G604=$G$12,L$12,$G604=$G$13,L$13,$G604=$G$15,L$15,$G604=$G$16,L$16,$G604=$G$17,L$17,$G604=$G$18,L$18,$G604=$G$19,L$19,$G604=$G$20,L$20,$G604=$G$21,L$21,$G604=$G$22,L$22,$G604=$G$25,L$25,$G604=$G$26,L$26,$G604=$G$27,L$27,$G604=$G$29,L$29,$G604=$G$31,L$31,$G604=$G$32,L$32,$G604=$G$248,L$248,$G604=$G$250,L$250)</f>
        <v>Other</v>
      </c>
      <c r="M604" s="48"/>
      <c r="O604" s="45" t="str">
        <f t="shared" si="45"/>
        <v>A_SP_BCN_11_210819</v>
      </c>
      <c r="P604" s="64">
        <v>44427</v>
      </c>
      <c r="R604" s="72"/>
      <c r="S604" s="64">
        <v>44434</v>
      </c>
      <c r="U604" s="72"/>
      <c r="V604" s="54" t="s">
        <v>66</v>
      </c>
      <c r="X604" s="45">
        <f t="shared" si="48"/>
        <v>7</v>
      </c>
      <c r="Z604" s="69" t="s">
        <v>69</v>
      </c>
      <c r="AA604" s="45">
        <f t="shared" si="49"/>
        <v>22</v>
      </c>
      <c r="AB604" t="str">
        <f t="shared" si="46"/>
        <v>Adult</v>
      </c>
      <c r="AC604" s="69">
        <v>20</v>
      </c>
      <c r="AD604" s="69">
        <v>2</v>
      </c>
      <c r="AE604" s="45" t="str">
        <f t="shared" si="47"/>
        <v>Morphological</v>
      </c>
      <c r="AF604" s="56">
        <v>4</v>
      </c>
    </row>
    <row r="605" spans="1:32" ht="18" customHeight="1" x14ac:dyDescent="0.25">
      <c r="A605" s="45">
        <v>601</v>
      </c>
      <c r="B605" s="45" t="s">
        <v>60</v>
      </c>
      <c r="C605" s="45" t="s">
        <v>61</v>
      </c>
      <c r="D605" s="45" t="s">
        <v>62</v>
      </c>
      <c r="E605" s="45" t="s">
        <v>62</v>
      </c>
      <c r="F605" s="46" cm="1">
        <f t="array" ref="F605">_xlfn.IFS($G605=$G$5,F$5,$G605=$G$6,F$6,$G605=$G$7,F$7,$G605=$G$8,F$8,$G605=$G$9,F$9,$G605=$G$10,F$10,$G605=$G$11,F$11,$G605=$G$12,F$12,$G605=$G$13,F$13,$G605=$G$15,F$15,$G605=$G$16,F$16,$G605=$G$17,F$17,$G605=$G$18,F$18,$G605=$G$19,F$19,$G605=$G$20,F$20,$G605=$G$21,F$21,$G605=$G$22,F$22,$G605=$G$25,F$25,$G605=$G$26,F$26,$G605=$G$27,F$27,$G605=$G$29,F$29,$G605=$G$31,F$31,$G605=$G$32,F$32,$G605=$G$248,F$248,$G605=$G$250,F$250)</f>
        <v>8038</v>
      </c>
      <c r="G605" t="s">
        <v>82</v>
      </c>
      <c r="H605" s="67" cm="1">
        <f t="array" ref="H605">_xlfn.IFS($G605=$G$5,H$5,$G605=$G$6,H$6,$G605=$G$7,H$7,$G605=$G$8,H$8,$G605=$G$9,H$9,$G605=$G$10,H$10,$G605=$G$11,H$11,$G605=$G$12,H$12,$G605=$G$13,H$13,$G605=$G$15,H$15,$G605=$G$16,H$16,$G605=$G$17,H$17,$G605=$G$18,H$18,$G605=$G$19,H$19,$G605=$G$20,H$20,$G605=$G$21,H$21,$G605=$G$22,H$22,$G605=$G$25,H$25,$G605=$G$26,H$26,$G605=$G$27,H$27,$G605=$G$29,H$29,$G605=$G$31,H$31,$G605=$G$32,H$150,$G605=$G$248,H$248,$G605=$G$250,H$250)</f>
        <v>41.367429999999999</v>
      </c>
      <c r="I605" s="67" cm="1">
        <f t="array" ref="I605">_xlfn.IFS($G605=$G$5,I$5,$G605=$G$6,I$6,$G605=$G$7,I$7,$G605=$G$8,I$8,$G605=$G$9,I$9,$G605=$G$10,I$10,$G605=$G$11,I$11,$G605=$G$12,I$12,$G605=$G$13,I$13,$G605=$G$15,I$15,$G605=$G$16,I$16,$G605=$G$17,I$17,$G605=$G$18,I$18,$G605=$G$19,I$19,$G605=$G$20,I$20,$G605=$G$21,I$21,$G605=$G$22,I$22,$G605=$G$25,I$25,$G605=$G$26,I$26,$G605=$G$27,I$27,$G605=$G$29,I$29,$G605=$G$31,I$31,$G605=$G$32,I$150,$G605=$G$248,I$248,$G605=$G$250,I$250)</f>
        <v>2.1569609999999999</v>
      </c>
      <c r="J605" s="48" cm="1">
        <f t="array" ref="J605">_xlfn.IFS($G605=$G$5,J$5,$G605=$G$6,J$6,$G605=$G$7,J$7,$G605=$G$8,J$8,$G605=$G$9,J$9,$G605=$G$10,J$10,$G605=$G$11,J$11,$G605=$G$12,J$12,$G605=$G$13,J$13,$G605=$G$15,J$15,$G605=$G$16,J$16,$G605=$G$17,J$17,$G605=$G$18,J$18,$G605=$G$19,J$19,$G605=$G$20,J$20,$G605=$G$21,J$21,$G605=$G$22,J$22,$G605=$G$25,J$25,$G605=$G$26,J$26,$G605=$G$27,J$27,$G605=$G$29,J$29,$G605=$G$31,J$31,$G605=$G$32,J$150,$G605=$G$248,J$248,$G605=$G$250,J$250)</f>
        <v>91</v>
      </c>
      <c r="K605" s="48" t="str" cm="1">
        <f t="array" ref="K605">_xlfn.IFS($G605=$G$5,K$5,$G605=$G$6,K$6,$G605=$G$7,K$7,$G605=$G$8,K$8,$G605=$G$9,K$9,$G605=$G$10,K$10,$G605=$G$11,K$11,$G605=$G$12,K$12,$G605=$G$13,K$13,$G605=$G$15,K$15,$G605=$G$16,K$16,$G605=$G$17,K$17,$G605=$G$18,K$18,$G605=$G$19,K$19,$G605=$G$20,K$20,$G605=$G$21,K$21,$G605=$G$22,K$22,$G605=$G$25,K$25,$G605=$G$26,K$26,$G605=$G$27,K$27,$G605=$G$29,K$29,$G605=$G$31,K$31,$G605=$G$32,K$150,$G605=$G$248,K$248,$G605=$G$250,K$250)</f>
        <v>BG sentinel + BG lure7</v>
      </c>
      <c r="L605" s="48" t="str" cm="1">
        <f t="array" ref="L605">_xlfn.IFS($G605=$G$5,L$5,$G605=$G$6,L$6,$G605=$G$7,L$7,$G605=$G$8,L$8,$G605=$G$9,L$9,$G605=$G$10,L$10,$G605=$G$11,L$11,$G605=$G$12,L$12,$G605=$G$13,L$13,$G605=$G$15,L$15,$G605=$G$16,L$16,$G605=$G$17,L$17,$G605=$G$18,L$18,$G605=$G$19,L$19,$G605=$G$20,L$20,$G605=$G$21,L$21,$G605=$G$22,L$22,$G605=$G$25,L$25,$G605=$G$26,L$26,$G605=$G$27,L$27,$G605=$G$29,L$29,$G605=$G$31,L$31,$G605=$G$32,L$32,$G605=$G$248,L$248,$G605=$G$250,L$250)</f>
        <v>Other</v>
      </c>
      <c r="M605" s="48"/>
      <c r="O605" s="45" t="str">
        <f t="shared" si="45"/>
        <v>A_SP_BCN_11_210819</v>
      </c>
      <c r="P605" s="64">
        <v>44427</v>
      </c>
      <c r="R605" s="72"/>
      <c r="S605" s="64">
        <v>44434</v>
      </c>
      <c r="U605" s="72"/>
      <c r="V605" s="54" t="s">
        <v>66</v>
      </c>
      <c r="X605" s="45">
        <f t="shared" si="48"/>
        <v>7</v>
      </c>
      <c r="Z605" s="45" t="s">
        <v>70</v>
      </c>
      <c r="AA605" s="45">
        <f t="shared" si="49"/>
        <v>4</v>
      </c>
      <c r="AB605" t="str">
        <f t="shared" si="46"/>
        <v>Adult</v>
      </c>
      <c r="AC605" s="69">
        <v>3</v>
      </c>
      <c r="AD605" s="69">
        <v>1</v>
      </c>
      <c r="AE605" s="45" t="str">
        <f t="shared" si="47"/>
        <v>Morphological</v>
      </c>
      <c r="AF605" s="56">
        <v>4</v>
      </c>
    </row>
    <row r="606" spans="1:32" ht="18" customHeight="1" x14ac:dyDescent="0.25">
      <c r="A606" s="45">
        <v>602</v>
      </c>
      <c r="B606" s="45" t="s">
        <v>60</v>
      </c>
      <c r="C606" s="45" t="s">
        <v>61</v>
      </c>
      <c r="D606" s="45" t="s">
        <v>62</v>
      </c>
      <c r="E606" s="45" t="s">
        <v>62</v>
      </c>
      <c r="F606" s="46" cm="1">
        <f t="array" ref="F606">_xlfn.IFS($G606=$G$5,F$5,$G606=$G$6,F$6,$G606=$G$7,F$7,$G606=$G$8,F$8,$G606=$G$9,F$9,$G606=$G$10,F$10,$G606=$G$11,F$11,$G606=$G$12,F$12,$G606=$G$13,F$13,$G606=$G$15,F$15,$G606=$G$16,F$16,$G606=$G$17,F$17,$G606=$G$18,F$18,$G606=$G$19,F$19,$G606=$G$20,F$20,$G606=$G$21,F$21,$G606=$G$22,F$22,$G606=$G$25,F$25,$G606=$G$26,F$26,$G606=$G$27,F$27,$G606=$G$29,F$29,$G606=$G$31,F$31,$G606=$G$32,F$32,$G606=$G$248,F$248,$G606=$G$250,F$250)</f>
        <v>8038</v>
      </c>
      <c r="G606" t="s">
        <v>84</v>
      </c>
      <c r="H606" s="67" cm="1">
        <f t="array" ref="H606">_xlfn.IFS($G606=$G$5,H$5,$G606=$G$6,H$6,$G606=$G$7,H$7,$G606=$G$8,H$8,$G606=$G$9,H$9,$G606=$G$10,H$10,$G606=$G$11,H$11,$G606=$G$12,H$12,$G606=$G$13,H$13,$G606=$G$15,H$15,$G606=$G$16,H$16,$G606=$G$17,H$17,$G606=$G$18,H$18,$G606=$G$19,H$19,$G606=$G$20,H$20,$G606=$G$21,H$21,$G606=$G$22,H$22,$G606=$G$25,H$25,$G606=$G$26,H$26,$G606=$G$27,H$27,$G606=$G$29,H$29,$G606=$G$31,H$31,$G606=$G$32,H$150,$G606=$G$248,H$248,$G606=$G$250,H$250)</f>
        <v>41.363377999999997</v>
      </c>
      <c r="I606" s="67" cm="1">
        <f t="array" ref="I606">_xlfn.IFS($G606=$G$5,I$5,$G606=$G$6,I$6,$G606=$G$7,I$7,$G606=$G$8,I$8,$G606=$G$9,I$9,$G606=$G$10,I$10,$G606=$G$11,I$11,$G606=$G$12,I$12,$G606=$G$13,I$13,$G606=$G$15,I$15,$G606=$G$16,I$16,$G606=$G$17,I$17,$G606=$G$18,I$18,$G606=$G$19,I$19,$G606=$G$20,I$20,$G606=$G$21,I$21,$G606=$G$22,I$22,$G606=$G$25,I$25,$G606=$G$26,I$26,$G606=$G$27,I$27,$G606=$G$29,I$29,$G606=$G$31,I$31,$G606=$G$32,I$150,$G606=$G$248,I$248,$G606=$G$250,I$250)</f>
        <v>2.164879</v>
      </c>
      <c r="J606" s="48" cm="1">
        <f t="array" ref="J606">_xlfn.IFS($G606=$G$5,J$5,$G606=$G$6,J$6,$G606=$G$7,J$7,$G606=$G$8,J$8,$G606=$G$9,J$9,$G606=$G$10,J$10,$G606=$G$11,J$11,$G606=$G$12,J$12,$G606=$G$13,J$13,$G606=$G$15,J$15,$G606=$G$16,J$16,$G606=$G$17,J$17,$G606=$G$18,J$18,$G606=$G$19,J$19,$G606=$G$20,J$20,$G606=$G$21,J$21,$G606=$G$22,J$22,$G606=$G$25,J$25,$G606=$G$26,J$26,$G606=$G$27,J$27,$G606=$G$29,J$29,$G606=$G$31,J$31,$G606=$G$32,J$150,$G606=$G$248,J$248,$G606=$G$250,J$250)</f>
        <v>185</v>
      </c>
      <c r="K606" s="48" t="str" cm="1">
        <f t="array" ref="K606">_xlfn.IFS($G606=$G$5,K$5,$G606=$G$6,K$6,$G606=$G$7,K$7,$G606=$G$8,K$8,$G606=$G$9,K$9,$G606=$G$10,K$10,$G606=$G$11,K$11,$G606=$G$12,K$12,$G606=$G$13,K$13,$G606=$G$15,K$15,$G606=$G$16,K$16,$G606=$G$17,K$17,$G606=$G$18,K$18,$G606=$G$19,K$19,$G606=$G$20,K$20,$G606=$G$21,K$21,$G606=$G$22,K$22,$G606=$G$25,K$25,$G606=$G$26,K$26,$G606=$G$27,K$27,$G606=$G$29,K$29,$G606=$G$31,K$31,$G606=$G$32,K$150,$G606=$G$248,K$248,$G606=$G$250,K$250)</f>
        <v>BG sentinel + BG lure7</v>
      </c>
      <c r="L606" s="48" t="str" cm="1">
        <f t="array" ref="L606">_xlfn.IFS($G606=$G$5,L$5,$G606=$G$6,L$6,$G606=$G$7,L$7,$G606=$G$8,L$8,$G606=$G$9,L$9,$G606=$G$10,L$10,$G606=$G$11,L$11,$G606=$G$12,L$12,$G606=$G$13,L$13,$G606=$G$15,L$15,$G606=$G$16,L$16,$G606=$G$17,L$17,$G606=$G$18,L$18,$G606=$G$19,L$19,$G606=$G$20,L$20,$G606=$G$21,L$21,$G606=$G$22,L$22,$G606=$G$25,L$25,$G606=$G$26,L$26,$G606=$G$27,L$27,$G606=$G$29,L$29,$G606=$G$31,L$31,$G606=$G$32,L$32,$G606=$G$248,L$248,$G606=$G$250,L$250)</f>
        <v>Other</v>
      </c>
      <c r="M606" s="48"/>
      <c r="O606" s="45" t="str">
        <f t="shared" si="45"/>
        <v>A_SP_BCN_12_210819</v>
      </c>
      <c r="P606" s="64">
        <v>44427</v>
      </c>
      <c r="R606" s="72"/>
      <c r="S606" s="64">
        <v>44434</v>
      </c>
      <c r="U606" s="72"/>
      <c r="V606" s="54" t="s">
        <v>66</v>
      </c>
      <c r="X606" s="45">
        <f t="shared" si="48"/>
        <v>7</v>
      </c>
      <c r="Z606" s="69" t="s">
        <v>69</v>
      </c>
      <c r="AA606" s="45">
        <f t="shared" si="49"/>
        <v>12</v>
      </c>
      <c r="AB606" t="str">
        <f t="shared" si="46"/>
        <v>Adult</v>
      </c>
      <c r="AC606" s="69">
        <v>9</v>
      </c>
      <c r="AD606" s="69">
        <v>3</v>
      </c>
      <c r="AE606" s="45" t="str">
        <f t="shared" si="47"/>
        <v>Morphological</v>
      </c>
      <c r="AF606" s="56">
        <v>4</v>
      </c>
    </row>
    <row r="607" spans="1:32" ht="18" customHeight="1" x14ac:dyDescent="0.25">
      <c r="A607" s="45">
        <v>603</v>
      </c>
      <c r="B607" s="45" t="s">
        <v>60</v>
      </c>
      <c r="C607" s="45" t="s">
        <v>61</v>
      </c>
      <c r="D607" s="45" t="s">
        <v>62</v>
      </c>
      <c r="E607" s="45" t="s">
        <v>62</v>
      </c>
      <c r="F607" s="46" cm="1">
        <f t="array" ref="F607">_xlfn.IFS($G607=$G$5,F$5,$G607=$G$6,F$6,$G607=$G$7,F$7,$G607=$G$8,F$8,$G607=$G$9,F$9,$G607=$G$10,F$10,$G607=$G$11,F$11,$G607=$G$12,F$12,$G607=$G$13,F$13,$G607=$G$15,F$15,$G607=$G$16,F$16,$G607=$G$17,F$17,$G607=$G$18,F$18,$G607=$G$19,F$19,$G607=$G$20,F$20,$G607=$G$21,F$21,$G607=$G$22,F$22,$G607=$G$25,F$25,$G607=$G$26,F$26,$G607=$G$27,F$27,$G607=$G$29,F$29,$G607=$G$31,F$31,$G607=$G$32,F$32,$G607=$G$248,F$248,$G607=$G$250,F$250)</f>
        <v>8038</v>
      </c>
      <c r="G607" t="s">
        <v>84</v>
      </c>
      <c r="H607" s="67" cm="1">
        <f t="array" ref="H607">_xlfn.IFS($G607=$G$5,H$5,$G607=$G$6,H$6,$G607=$G$7,H$7,$G607=$G$8,H$8,$G607=$G$9,H$9,$G607=$G$10,H$10,$G607=$G$11,H$11,$G607=$G$12,H$12,$G607=$G$13,H$13,$G607=$G$15,H$15,$G607=$G$16,H$16,$G607=$G$17,H$17,$G607=$G$18,H$18,$G607=$G$19,H$19,$G607=$G$20,H$20,$G607=$G$21,H$21,$G607=$G$22,H$22,$G607=$G$25,H$25,$G607=$G$26,H$26,$G607=$G$27,H$27,$G607=$G$29,H$29,$G607=$G$31,H$31,$G607=$G$32,H$150,$G607=$G$248,H$248,$G607=$G$250,H$250)</f>
        <v>41.363377999999997</v>
      </c>
      <c r="I607" s="67" cm="1">
        <f t="array" ref="I607">_xlfn.IFS($G607=$G$5,I$5,$G607=$G$6,I$6,$G607=$G$7,I$7,$G607=$G$8,I$8,$G607=$G$9,I$9,$G607=$G$10,I$10,$G607=$G$11,I$11,$G607=$G$12,I$12,$G607=$G$13,I$13,$G607=$G$15,I$15,$G607=$G$16,I$16,$G607=$G$17,I$17,$G607=$G$18,I$18,$G607=$G$19,I$19,$G607=$G$20,I$20,$G607=$G$21,I$21,$G607=$G$22,I$22,$G607=$G$25,I$25,$G607=$G$26,I$26,$G607=$G$27,I$27,$G607=$G$29,I$29,$G607=$G$31,I$31,$G607=$G$32,I$150,$G607=$G$248,I$248,$G607=$G$250,I$250)</f>
        <v>2.164879</v>
      </c>
      <c r="J607" s="48" cm="1">
        <f t="array" ref="J607">_xlfn.IFS($G607=$G$5,J$5,$G607=$G$6,J$6,$G607=$G$7,J$7,$G607=$G$8,J$8,$G607=$G$9,J$9,$G607=$G$10,J$10,$G607=$G$11,J$11,$G607=$G$12,J$12,$G607=$G$13,J$13,$G607=$G$15,J$15,$G607=$G$16,J$16,$G607=$G$17,J$17,$G607=$G$18,J$18,$G607=$G$19,J$19,$G607=$G$20,J$20,$G607=$G$21,J$21,$G607=$G$22,J$22,$G607=$G$25,J$25,$G607=$G$26,J$26,$G607=$G$27,J$27,$G607=$G$29,J$29,$G607=$G$31,J$31,$G607=$G$32,J$150,$G607=$G$248,J$248,$G607=$G$250,J$250)</f>
        <v>185</v>
      </c>
      <c r="K607" s="48" t="str" cm="1">
        <f t="array" ref="K607">_xlfn.IFS($G607=$G$5,K$5,$G607=$G$6,K$6,$G607=$G$7,K$7,$G607=$G$8,K$8,$G607=$G$9,K$9,$G607=$G$10,K$10,$G607=$G$11,K$11,$G607=$G$12,K$12,$G607=$G$13,K$13,$G607=$G$15,K$15,$G607=$G$16,K$16,$G607=$G$17,K$17,$G607=$G$18,K$18,$G607=$G$19,K$19,$G607=$G$20,K$20,$G607=$G$21,K$21,$G607=$G$22,K$22,$G607=$G$25,K$25,$G607=$G$26,K$26,$G607=$G$27,K$27,$G607=$G$29,K$29,$G607=$G$31,K$31,$G607=$G$32,K$150,$G607=$G$248,K$248,$G607=$G$250,K$250)</f>
        <v>BG sentinel + BG lure7</v>
      </c>
      <c r="L607" s="48"/>
      <c r="M607" s="48"/>
      <c r="O607" s="45" t="str">
        <f t="shared" si="45"/>
        <v>A_SP_BCN_12_210819</v>
      </c>
      <c r="P607" s="64">
        <v>44427</v>
      </c>
      <c r="R607" s="72"/>
      <c r="S607" s="64">
        <v>44434</v>
      </c>
      <c r="U607" s="72"/>
      <c r="V607" s="54" t="s">
        <v>66</v>
      </c>
      <c r="X607" s="45">
        <f t="shared" si="48"/>
        <v>7</v>
      </c>
      <c r="Z607" s="45" t="s">
        <v>70</v>
      </c>
      <c r="AA607" s="45">
        <f t="shared" si="49"/>
        <v>34</v>
      </c>
      <c r="AB607" t="str">
        <f t="shared" si="46"/>
        <v>Adult</v>
      </c>
      <c r="AC607" s="69">
        <v>32</v>
      </c>
      <c r="AD607" s="69">
        <v>2</v>
      </c>
      <c r="AE607" s="45" t="str">
        <f t="shared" si="47"/>
        <v>Morphological</v>
      </c>
      <c r="AF607" s="56">
        <v>4</v>
      </c>
    </row>
    <row r="608" spans="1:32" ht="18" customHeight="1" x14ac:dyDescent="0.25">
      <c r="A608" s="45">
        <v>604</v>
      </c>
      <c r="B608" s="45" t="s">
        <v>60</v>
      </c>
      <c r="C608" s="45" t="s">
        <v>61</v>
      </c>
      <c r="D608" s="45" t="s">
        <v>62</v>
      </c>
      <c r="E608" s="45" t="s">
        <v>62</v>
      </c>
      <c r="F608" s="46" cm="1">
        <f t="array" ref="F608">_xlfn.IFS($G608=$G$5,F$5,$G608=$G$6,F$6,$G608=$G$7,F$7,$G608=$G$8,F$8,$G608=$G$9,F$9,$G608=$G$10,F$10,$G608=$G$11,F$11,$G608=$G$12,F$12,$G608=$G$13,F$13,$G608=$G$15,F$15,$G608=$G$16,F$16,$G608=$G$17,F$17,$G608=$G$18,F$18,$G608=$G$19,F$19,$G608=$G$20,F$20,$G608=$G$21,F$21,$G608=$G$22,F$22,$G608=$G$25,F$25,$G608=$G$26,F$26,$G608=$G$27,F$27,$G608=$G$29,F$29,$G608=$G$31,F$31,$G608=$G$32,F$32,$G608=$G$248,F$248,$G608=$G$250,F$250)</f>
        <v>8038</v>
      </c>
      <c r="G608" t="s">
        <v>84</v>
      </c>
      <c r="H608" s="67" cm="1">
        <f t="array" ref="H608">_xlfn.IFS($G608=$G$5,H$5,$G608=$G$6,H$6,$G608=$G$7,H$7,$G608=$G$8,H$8,$G608=$G$9,H$9,$G608=$G$10,H$10,$G608=$G$11,H$11,$G608=$G$12,H$12,$G608=$G$13,H$13,$G608=$G$15,H$15,$G608=$G$16,H$16,$G608=$G$17,H$17,$G608=$G$18,H$18,$G608=$G$19,H$19,$G608=$G$20,H$20,$G608=$G$21,H$21,$G608=$G$22,H$22,$G608=$G$25,H$25,$G608=$G$26,H$26,$G608=$G$27,H$27,$G608=$G$29,H$29,$G608=$G$31,H$31,$G608=$G$32,H$150,$G608=$G$248,H$248,$G608=$G$250,H$250)</f>
        <v>41.363377999999997</v>
      </c>
      <c r="I608" s="67" cm="1">
        <f t="array" ref="I608">_xlfn.IFS($G608=$G$5,I$5,$G608=$G$6,I$6,$G608=$G$7,I$7,$G608=$G$8,I$8,$G608=$G$9,I$9,$G608=$G$10,I$10,$G608=$G$11,I$11,$G608=$G$12,I$12,$G608=$G$13,I$13,$G608=$G$15,I$15,$G608=$G$16,I$16,$G608=$G$17,I$17,$G608=$G$18,I$18,$G608=$G$19,I$19,$G608=$G$20,I$20,$G608=$G$21,I$21,$G608=$G$22,I$22,$G608=$G$25,I$25,$G608=$G$26,I$26,$G608=$G$27,I$27,$G608=$G$29,I$29,$G608=$G$31,I$31,$G608=$G$32,I$150,$G608=$G$248,I$248,$G608=$G$250,I$250)</f>
        <v>2.164879</v>
      </c>
      <c r="J608" s="48" cm="1">
        <f t="array" ref="J608">_xlfn.IFS($G608=$G$5,J$5,$G608=$G$6,J$6,$G608=$G$7,J$7,$G608=$G$8,J$8,$G608=$G$9,J$9,$G608=$G$10,J$10,$G608=$G$11,J$11,$G608=$G$12,J$12,$G608=$G$13,J$13,$G608=$G$15,J$15,$G608=$G$16,J$16,$G608=$G$17,J$17,$G608=$G$18,J$18,$G608=$G$19,J$19,$G608=$G$20,J$20,$G608=$G$21,J$21,$G608=$G$22,J$22,$G608=$G$25,J$25,$G608=$G$26,J$26,$G608=$G$27,J$27,$G608=$G$29,J$29,$G608=$G$31,J$31,$G608=$G$32,J$150,$G608=$G$248,J$248,$G608=$G$250,J$250)</f>
        <v>185</v>
      </c>
      <c r="K608" s="48" t="str" cm="1">
        <f t="array" ref="K608">_xlfn.IFS($G608=$G$5,K$5,$G608=$G$6,K$6,$G608=$G$7,K$7,$G608=$G$8,K$8,$G608=$G$9,K$9,$G608=$G$10,K$10,$G608=$G$11,K$11,$G608=$G$12,K$12,$G608=$G$13,K$13,$G608=$G$15,K$15,$G608=$G$16,K$16,$G608=$G$17,K$17,$G608=$G$18,K$18,$G608=$G$19,K$19,$G608=$G$20,K$20,$G608=$G$21,K$21,$G608=$G$22,K$22,$G608=$G$25,K$25,$G608=$G$26,K$26,$G608=$G$27,K$27,$G608=$G$29,K$29,$G608=$G$31,K$31,$G608=$G$32,K$150,$G608=$G$248,K$248,$G608=$G$250,K$250)</f>
        <v>BG sentinel + BG lure7</v>
      </c>
      <c r="L608" s="48"/>
      <c r="M608" s="48"/>
      <c r="O608" s="45" t="str">
        <f t="shared" si="45"/>
        <v>A_SP_BCN_12_210819</v>
      </c>
      <c r="P608" s="64">
        <v>44427</v>
      </c>
      <c r="R608" s="72"/>
      <c r="S608" s="64">
        <v>44434</v>
      </c>
      <c r="U608" s="72"/>
      <c r="V608" s="54" t="s">
        <v>66</v>
      </c>
      <c r="X608" s="45">
        <f t="shared" si="48"/>
        <v>7</v>
      </c>
      <c r="Z608" s="45" t="s">
        <v>80</v>
      </c>
      <c r="AA608" s="45">
        <f t="shared" si="49"/>
        <v>1</v>
      </c>
      <c r="AB608" t="str">
        <f t="shared" si="46"/>
        <v>Adult</v>
      </c>
      <c r="AC608" s="69">
        <v>0</v>
      </c>
      <c r="AD608" s="69">
        <v>1</v>
      </c>
      <c r="AE608" s="45" t="str">
        <f t="shared" si="47"/>
        <v>Morphological</v>
      </c>
      <c r="AF608" s="56">
        <v>4</v>
      </c>
    </row>
    <row r="609" spans="1:32" ht="18" customHeight="1" x14ac:dyDescent="0.25">
      <c r="A609" s="45">
        <v>605</v>
      </c>
      <c r="B609" s="45" t="s">
        <v>60</v>
      </c>
      <c r="C609" s="45" t="s">
        <v>61</v>
      </c>
      <c r="D609" s="45" t="s">
        <v>62</v>
      </c>
      <c r="E609" s="45" t="s">
        <v>62</v>
      </c>
      <c r="F609" s="46" cm="1">
        <f t="array" ref="F609">_xlfn.IFS($G609=$G$5,F$5,$G609=$G$6,F$6,$G609=$G$7,F$7,$G609=$G$8,F$8,$G609=$G$9,F$9,$G609=$G$10,F$10,$G609=$G$11,F$11,$G609=$G$12,F$12,$G609=$G$13,F$13,$G609=$G$15,F$15,$G609=$G$16,F$16,$G609=$G$17,F$17,$G609=$G$18,F$18,$G609=$G$19,F$19,$G609=$G$20,F$20,$G609=$G$21,F$21,$G609=$G$22,F$22,$G609=$G$25,F$25,$G609=$G$26,F$26,$G609=$G$27,F$27,$G609=$G$29,F$29,$G609=$G$31,F$31,$G609=$G$32,F$32,$G609=$G$248,F$248,$G609=$G$250,F$250)</f>
        <v>8035</v>
      </c>
      <c r="G609" t="s">
        <v>85</v>
      </c>
      <c r="H609" s="67" cm="1">
        <f t="array" ref="H609">_xlfn.IFS($G609=$G$5,H$5,$G609=$G$6,H$6,$G609=$G$7,H$7,$G609=$G$8,H$8,$G609=$G$9,H$9,$G609=$G$10,H$10,$G609=$G$11,H$11,$G609=$G$12,H$12,$G609=$G$13,H$13,$G609=$G$15,H$15,$G609=$G$16,H$16,$G609=$G$17,H$17,$G609=$G$18,H$18,$G609=$G$19,H$19,$G609=$G$20,H$20,$G609=$G$21,H$21,$G609=$G$22,H$22,$G609=$G$25,H$25,$G609=$G$26,H$26,$G609=$G$27,H$27,$G609=$G$29,H$29,$G609=$G$31,H$31,$G609=$G$32,H$150,$G609=$G$248,H$248,$G609=$G$250,H$250)</f>
        <v>41.434472</v>
      </c>
      <c r="I609" s="67" cm="1">
        <f t="array" ref="I609">_xlfn.IFS($G609=$G$5,I$5,$G609=$G$6,I$6,$G609=$G$7,I$7,$G609=$G$8,I$8,$G609=$G$9,I$9,$G609=$G$10,I$10,$G609=$G$11,I$11,$G609=$G$12,I$12,$G609=$G$13,I$13,$G609=$G$15,I$15,$G609=$G$16,I$16,$G609=$G$17,I$17,$G609=$G$18,I$18,$G609=$G$19,I$19,$G609=$G$20,I$20,$G609=$G$21,I$21,$G609=$G$22,I$22,$G609=$G$25,I$25,$G609=$G$26,I$26,$G609=$G$27,I$27,$G609=$G$29,I$29,$G609=$G$31,I$31,$G609=$G$32,I$150,$G609=$G$248,I$248,$G609=$G$250,I$250)</f>
        <v>2.1315789999999999</v>
      </c>
      <c r="J609" s="48" cm="1">
        <f t="array" ref="J609">_xlfn.IFS($G609=$G$5,J$5,$G609=$G$6,J$6,$G609=$G$7,J$7,$G609=$G$8,J$8,$G609=$G$9,J$9,$G609=$G$10,J$10,$G609=$G$11,J$11,$G609=$G$12,J$12,$G609=$G$13,J$13,$G609=$G$15,J$15,$G609=$G$16,J$16,$G609=$G$17,J$17,$G609=$G$18,J$18,$G609=$G$19,J$19,$G609=$G$20,J$20,$G609=$G$21,J$21,$G609=$G$22,J$22,$G609=$G$25,J$25,$G609=$G$26,J$26,$G609=$G$27,J$27,$G609=$G$29,J$29,$G609=$G$31,J$31,$G609=$G$32,J$150,$G609=$G$248,J$248,$G609=$G$250,J$250)</f>
        <v>365</v>
      </c>
      <c r="K609" s="48" t="str" cm="1">
        <f t="array" ref="K609">_xlfn.IFS($G609=$G$5,K$5,$G609=$G$6,K$6,$G609=$G$7,K$7,$G609=$G$8,K$8,$G609=$G$9,K$9,$G609=$G$10,K$10,$G609=$G$11,K$11,$G609=$G$12,K$12,$G609=$G$13,K$13,$G609=$G$15,K$15,$G609=$G$16,K$16,$G609=$G$17,K$17,$G609=$G$18,K$18,$G609=$G$19,K$19,$G609=$G$20,K$20,$G609=$G$21,K$21,$G609=$G$22,K$22,$G609=$G$25,K$25,$G609=$G$26,K$26,$G609=$G$27,K$27,$G609=$G$29,K$29,$G609=$G$31,K$31,$G609=$G$32,K$150,$G609=$G$248,K$248,$G609=$G$250,K$250)</f>
        <v>BG sentinel + BG lure7</v>
      </c>
      <c r="L609" s="48"/>
      <c r="M609" s="48"/>
      <c r="O609" s="45" t="str">
        <f t="shared" si="45"/>
        <v>A_SP_BCN_13_210818</v>
      </c>
      <c r="P609" s="64">
        <v>44426</v>
      </c>
      <c r="R609" s="72"/>
      <c r="S609" s="64">
        <v>44433</v>
      </c>
      <c r="U609" s="72"/>
      <c r="V609" s="54" t="s">
        <v>66</v>
      </c>
      <c r="X609" s="45">
        <f t="shared" si="48"/>
        <v>7</v>
      </c>
      <c r="Z609" s="69" t="s">
        <v>69</v>
      </c>
      <c r="AA609" s="45">
        <f t="shared" si="49"/>
        <v>1</v>
      </c>
      <c r="AB609" t="str">
        <f t="shared" si="46"/>
        <v>Adult</v>
      </c>
      <c r="AC609" s="69">
        <v>1</v>
      </c>
      <c r="AD609" s="69">
        <v>0</v>
      </c>
      <c r="AE609" s="45" t="str">
        <f t="shared" si="47"/>
        <v>Morphological</v>
      </c>
      <c r="AF609" s="56">
        <v>4</v>
      </c>
    </row>
    <row r="610" spans="1:32" ht="18" customHeight="1" x14ac:dyDescent="0.25">
      <c r="A610" s="45">
        <v>606</v>
      </c>
      <c r="B610" s="45" t="s">
        <v>60</v>
      </c>
      <c r="C610" s="45" t="s">
        <v>61</v>
      </c>
      <c r="D610" s="45" t="s">
        <v>62</v>
      </c>
      <c r="E610" s="45" t="s">
        <v>62</v>
      </c>
      <c r="F610" s="46" cm="1">
        <f t="array" ref="F610">_xlfn.IFS($G610=$G$5,F$5,$G610=$G$6,F$6,$G610=$G$7,F$7,$G610=$G$8,F$8,$G610=$G$9,F$9,$G610=$G$10,F$10,$G610=$G$11,F$11,$G610=$G$12,F$12,$G610=$G$13,F$13,$G610=$G$15,F$15,$G610=$G$16,F$16,$G610=$G$17,F$17,$G610=$G$18,F$18,$G610=$G$19,F$19,$G610=$G$20,F$20,$G610=$G$21,F$21,$G610=$G$22,F$22,$G610=$G$25,F$25,$G610=$G$26,F$26,$G610=$G$27,F$27,$G610=$G$29,F$29,$G610=$G$31,F$31,$G610=$G$32,F$32,$G610=$G$248,F$248,$G610=$G$250,F$250)</f>
        <v>8017</v>
      </c>
      <c r="G610" t="s">
        <v>86</v>
      </c>
      <c r="H610" s="67" cm="1">
        <f t="array" ref="H610">_xlfn.IFS($G610=$G$5,H$5,$G610=$G$6,H$6,$G610=$G$7,H$7,$G610=$G$8,H$8,$G610=$G$9,H$9,$G610=$G$10,H$10,$G610=$G$11,H$11,$G610=$G$12,H$12,$G610=$G$13,H$13,$G610=$G$15,H$15,$G610=$G$16,H$16,$G610=$G$17,H$17,$G610=$G$18,H$18,$G610=$G$19,H$19,$G610=$G$20,H$20,$G610=$G$21,H$21,$G610=$G$22,H$22,$G610=$G$25,H$25,$G610=$G$26,H$26,$G610=$G$27,H$27,$G610=$G$29,H$29,$G610=$G$31,H$31,$G610=$G$32,H$150,$G610=$G$248,H$248,$G610=$G$250,H$250)</f>
        <v>41.428533999999999</v>
      </c>
      <c r="I610" s="67" cm="1">
        <f t="array" ref="I610">_xlfn.IFS($G610=$G$5,I$5,$G610=$G$6,I$6,$G610=$G$7,I$7,$G610=$G$8,I$8,$G610=$G$9,I$9,$G610=$G$10,I$10,$G610=$G$11,I$11,$G610=$G$12,I$12,$G610=$G$13,I$13,$G610=$G$15,I$15,$G610=$G$16,I$16,$G610=$G$17,I$17,$G610=$G$18,I$18,$G610=$G$19,I$19,$G610=$G$20,I$20,$G610=$G$21,I$21,$G610=$G$22,I$22,$G610=$G$25,I$25,$G610=$G$26,I$26,$G610=$G$27,I$27,$G610=$G$29,I$29,$G610=$G$31,I$31,$G610=$G$32,I$150,$G610=$G$248,I$248,$G610=$G$250,I$250)</f>
        <v>2.090954</v>
      </c>
      <c r="J610" s="48" cm="1">
        <f t="array" ref="J610">_xlfn.IFS($G610=$G$5,J$5,$G610=$G$6,J$6,$G610=$G$7,J$7,$G610=$G$8,J$8,$G610=$G$9,J$9,$G610=$G$10,J$10,$G610=$G$11,J$11,$G610=$G$12,J$12,$G610=$G$13,J$13,$G610=$G$15,J$15,$G610=$G$16,J$16,$G610=$G$17,J$17,$G610=$G$18,J$18,$G610=$G$19,J$19,$G610=$G$20,J$20,$G610=$G$21,J$21,$G610=$G$22,J$22,$G610=$G$25,J$25,$G610=$G$26,J$26,$G610=$G$27,J$27,$G610=$G$29,J$29,$G610=$G$31,J$31,$G610=$G$32,J$150,$G610=$G$248,J$248,$G610=$G$250,J$250)</f>
        <v>215</v>
      </c>
      <c r="K610" s="48" t="str" cm="1">
        <f t="array" ref="K610">_xlfn.IFS($G610=$G$5,K$5,$G610=$G$6,K$6,$G610=$G$7,K$7,$G610=$G$8,K$8,$G610=$G$9,K$9,$G610=$G$10,K$10,$G610=$G$11,K$11,$G610=$G$12,K$12,$G610=$G$13,K$13,$G610=$G$15,K$15,$G610=$G$16,K$16,$G610=$G$17,K$17,$G610=$G$18,K$18,$G610=$G$19,K$19,$G610=$G$20,K$20,$G610=$G$21,K$21,$G610=$G$22,K$22,$G610=$G$25,K$25,$G610=$G$26,K$26,$G610=$G$27,K$27,$G610=$G$29,K$29,$G610=$G$31,K$31,$G610=$G$32,K$150,$G610=$G$248,K$248,$G610=$G$250,K$250)</f>
        <v>BG sentinel + BG lure7</v>
      </c>
      <c r="L610" s="48"/>
      <c r="M610" s="48"/>
      <c r="O610" s="45" t="str">
        <f t="shared" si="45"/>
        <v>A_SP_BCN_14_210818</v>
      </c>
      <c r="P610" s="64">
        <v>44426</v>
      </c>
      <c r="R610" s="72"/>
      <c r="S610" s="64">
        <v>44433</v>
      </c>
      <c r="U610" s="72"/>
      <c r="V610" s="54" t="s">
        <v>66</v>
      </c>
      <c r="X610" s="45">
        <f t="shared" si="48"/>
        <v>7</v>
      </c>
      <c r="Z610" s="69" t="s">
        <v>69</v>
      </c>
      <c r="AA610" s="45">
        <f t="shared" si="49"/>
        <v>10</v>
      </c>
      <c r="AB610" t="str">
        <f t="shared" si="46"/>
        <v>Adult</v>
      </c>
      <c r="AC610" s="69">
        <v>10</v>
      </c>
      <c r="AD610" s="69">
        <v>0</v>
      </c>
      <c r="AE610" s="45" t="str">
        <f t="shared" si="47"/>
        <v>Morphological</v>
      </c>
      <c r="AF610" s="56">
        <v>4</v>
      </c>
    </row>
    <row r="611" spans="1:32" ht="18" customHeight="1" x14ac:dyDescent="0.25">
      <c r="A611" s="45">
        <v>607</v>
      </c>
      <c r="B611" s="45" t="s">
        <v>60</v>
      </c>
      <c r="C611" s="45" t="s">
        <v>61</v>
      </c>
      <c r="D611" s="45" t="s">
        <v>62</v>
      </c>
      <c r="E611" s="45" t="s">
        <v>62</v>
      </c>
      <c r="F611" s="46" cm="1">
        <f t="array" ref="F611">_xlfn.IFS($G611=$G$5,F$5,$G611=$G$6,F$6,$G611=$G$7,F$7,$G611=$G$8,F$8,$G611=$G$9,F$9,$G611=$G$10,F$10,$G611=$G$11,F$11,$G611=$G$12,F$12,$G611=$G$13,F$13,$G611=$G$15,F$15,$G611=$G$16,F$16,$G611=$G$17,F$17,$G611=$G$18,F$18,$G611=$G$19,F$19,$G611=$G$20,F$20,$G611=$G$21,F$21,$G611=$G$22,F$22,$G611=$G$25,F$25,$G611=$G$26,F$26,$G611=$G$27,F$27,$G611=$G$29,F$29,$G611=$G$31,F$31,$G611=$G$32,F$32,$G611=$G$248,F$248,$G611=$G$250,F$250)</f>
        <v>8017</v>
      </c>
      <c r="G611" t="s">
        <v>86</v>
      </c>
      <c r="H611" s="67" cm="1">
        <f t="array" ref="H611">_xlfn.IFS($G611=$G$5,H$5,$G611=$G$6,H$6,$G611=$G$7,H$7,$G611=$G$8,H$8,$G611=$G$9,H$9,$G611=$G$10,H$10,$G611=$G$11,H$11,$G611=$G$12,H$12,$G611=$G$13,H$13,$G611=$G$15,H$15,$G611=$G$16,H$16,$G611=$G$17,H$17,$G611=$G$18,H$18,$G611=$G$19,H$19,$G611=$G$20,H$20,$G611=$G$21,H$21,$G611=$G$22,H$22,$G611=$G$25,H$25,$G611=$G$26,H$26,$G611=$G$27,H$27,$G611=$G$29,H$29,$G611=$G$31,H$31,$G611=$G$32,H$150,$G611=$G$248,H$248,$G611=$G$250,H$250)</f>
        <v>41.428533999999999</v>
      </c>
      <c r="I611" s="67" cm="1">
        <f t="array" ref="I611">_xlfn.IFS($G611=$G$5,I$5,$G611=$G$6,I$6,$G611=$G$7,I$7,$G611=$G$8,I$8,$G611=$G$9,I$9,$G611=$G$10,I$10,$G611=$G$11,I$11,$G611=$G$12,I$12,$G611=$G$13,I$13,$G611=$G$15,I$15,$G611=$G$16,I$16,$G611=$G$17,I$17,$G611=$G$18,I$18,$G611=$G$19,I$19,$G611=$G$20,I$20,$G611=$G$21,I$21,$G611=$G$22,I$22,$G611=$G$25,I$25,$G611=$G$26,I$26,$G611=$G$27,I$27,$G611=$G$29,I$29,$G611=$G$31,I$31,$G611=$G$32,I$150,$G611=$G$248,I$248,$G611=$G$250,I$250)</f>
        <v>2.090954</v>
      </c>
      <c r="J611" s="48" cm="1">
        <f t="array" ref="J611">_xlfn.IFS($G611=$G$5,J$5,$G611=$G$6,J$6,$G611=$G$7,J$7,$G611=$G$8,J$8,$G611=$G$9,J$9,$G611=$G$10,J$10,$G611=$G$11,J$11,$G611=$G$12,J$12,$G611=$G$13,J$13,$G611=$G$15,J$15,$G611=$G$16,J$16,$G611=$G$17,J$17,$G611=$G$18,J$18,$G611=$G$19,J$19,$G611=$G$20,J$20,$G611=$G$21,J$21,$G611=$G$22,J$22,$G611=$G$25,J$25,$G611=$G$26,J$26,$G611=$G$27,J$27,$G611=$G$29,J$29,$G611=$G$31,J$31,$G611=$G$32,J$150,$G611=$G$248,J$248,$G611=$G$250,J$250)</f>
        <v>215</v>
      </c>
      <c r="K611" s="48" t="str" cm="1">
        <f t="array" ref="K611">_xlfn.IFS($G611=$G$5,K$5,$G611=$G$6,K$6,$G611=$G$7,K$7,$G611=$G$8,K$8,$G611=$G$9,K$9,$G611=$G$10,K$10,$G611=$G$11,K$11,$G611=$G$12,K$12,$G611=$G$13,K$13,$G611=$G$15,K$15,$G611=$G$16,K$16,$G611=$G$17,K$17,$G611=$G$18,K$18,$G611=$G$19,K$19,$G611=$G$20,K$20,$G611=$G$21,K$21,$G611=$G$22,K$22,$G611=$G$25,K$25,$G611=$G$26,K$26,$G611=$G$27,K$27,$G611=$G$29,K$29,$G611=$G$31,K$31,$G611=$G$32,K$150,$G611=$G$248,K$248,$G611=$G$250,K$250)</f>
        <v>BG sentinel + BG lure7</v>
      </c>
      <c r="L611" s="48"/>
      <c r="M611" s="48"/>
      <c r="O611" s="45" t="str">
        <f t="shared" si="45"/>
        <v>A_SP_BCN_14_210818</v>
      </c>
      <c r="P611" s="64">
        <v>44426</v>
      </c>
      <c r="R611" s="72"/>
      <c r="S611" s="64">
        <v>44433</v>
      </c>
      <c r="U611" s="72"/>
      <c r="V611" s="54" t="s">
        <v>66</v>
      </c>
      <c r="X611" s="45">
        <f t="shared" si="48"/>
        <v>7</v>
      </c>
      <c r="Z611" s="45" t="s">
        <v>80</v>
      </c>
      <c r="AA611" s="45">
        <f t="shared" si="49"/>
        <v>1</v>
      </c>
      <c r="AB611" t="str">
        <f t="shared" si="46"/>
        <v>Adult</v>
      </c>
      <c r="AC611" s="69">
        <v>1</v>
      </c>
      <c r="AD611" s="69">
        <v>0</v>
      </c>
      <c r="AE611" s="45" t="str">
        <f t="shared" si="47"/>
        <v>Morphological</v>
      </c>
      <c r="AF611" s="56">
        <v>4</v>
      </c>
    </row>
    <row r="612" spans="1:32" ht="18" customHeight="1" x14ac:dyDescent="0.25">
      <c r="A612" s="45">
        <v>608</v>
      </c>
      <c r="B612" s="45" t="s">
        <v>60</v>
      </c>
      <c r="C612" s="45" t="s">
        <v>61</v>
      </c>
      <c r="D612" s="45" t="s">
        <v>62</v>
      </c>
      <c r="E612" s="45" t="s">
        <v>62</v>
      </c>
      <c r="F612" s="46" cm="1">
        <f t="array" ref="F612">_xlfn.IFS($G612=$G$5,F$5,$G612=$G$6,F$6,$G612=$G$7,F$7,$G612=$G$8,F$8,$G612=$G$9,F$9,$G612=$G$10,F$10,$G612=$G$11,F$11,$G612=$G$12,F$12,$G612=$G$13,F$13,$G612=$G$15,F$15,$G612=$G$16,F$16,$G612=$G$17,F$17,$G612=$G$18,F$18,$G612=$G$19,F$19,$G612=$G$20,F$20,$G612=$G$21,F$21,$G612=$G$22,F$22,$G612=$G$25,F$25,$G612=$G$26,F$26,$G612=$G$27,F$27,$G612=$G$29,F$29,$G612=$G$31,F$31,$G612=$G$32,F$32,$G612=$G$248,F$248,$G612=$G$250,F$250)</f>
        <v>8017</v>
      </c>
      <c r="G612" t="s">
        <v>87</v>
      </c>
      <c r="H612" s="67" cm="1">
        <f t="array" ref="H612">_xlfn.IFS($G612=$G$5,H$5,$G612=$G$6,H$6,$G612=$G$7,H$7,$G612=$G$8,H$8,$G612=$G$9,H$9,$G612=$G$10,H$10,$G612=$G$11,H$11,$G612=$G$12,H$12,$G612=$G$13,H$13,$G612=$G$15,H$15,$G612=$G$16,H$16,$G612=$G$17,H$17,$G612=$G$18,H$18,$G612=$G$19,H$19,$G612=$G$20,H$20,$G612=$G$21,H$21,$G612=$G$22,H$22,$G612=$G$25,H$25,$G612=$G$26,H$26,$G612=$G$27,H$27,$G612=$G$29,H$29,$G612=$G$31,H$31,$G612=$G$32,H$150,$G612=$G$248,H$248,$G612=$G$250,H$250)</f>
        <v>41.419471000000001</v>
      </c>
      <c r="I612" s="67" cm="1">
        <f t="array" ref="I612">_xlfn.IFS($G612=$G$5,I$5,$G612=$G$6,I$6,$G612=$G$7,I$7,$G612=$G$8,I$8,$G612=$G$9,I$9,$G612=$G$10,I$10,$G612=$G$11,I$11,$G612=$G$12,I$12,$G612=$G$13,I$13,$G612=$G$15,I$15,$G612=$G$16,I$16,$G612=$G$17,I$17,$G612=$G$18,I$18,$G612=$G$19,I$19,$G612=$G$20,I$20,$G612=$G$21,I$21,$G612=$G$22,I$22,$G612=$G$25,I$25,$G612=$G$26,I$26,$G612=$G$27,I$27,$G612=$G$29,I$29,$G612=$G$31,I$31,$G612=$G$32,I$150,$G612=$G$248,I$248,$G612=$G$250,I$250)</f>
        <v>2.1010149999999999</v>
      </c>
      <c r="J612" s="48" cm="1">
        <f t="array" ref="J612">_xlfn.IFS($G612=$G$5,J$5,$G612=$G$6,J$6,$G612=$G$7,J$7,$G612=$G$8,J$8,$G612=$G$9,J$9,$G612=$G$10,J$10,$G612=$G$11,J$11,$G612=$G$12,J$12,$G612=$G$13,J$13,$G612=$G$15,J$15,$G612=$G$16,J$16,$G612=$G$17,J$17,$G612=$G$18,J$18,$G612=$G$19,J$19,$G612=$G$20,J$20,$G612=$G$21,J$21,$G612=$G$22,J$22,$G612=$G$25,J$25,$G612=$G$26,J$26,$G612=$G$27,J$27,$G612=$G$29,J$29,$G612=$G$31,J$31,$G612=$G$32,J$150,$G612=$G$248,J$248,$G612=$G$250,J$250)</f>
        <v>284</v>
      </c>
      <c r="K612" s="48" t="str" cm="1">
        <f t="array" ref="K612">_xlfn.IFS($G612=$G$5,K$5,$G612=$G$6,K$6,$G612=$G$7,K$7,$G612=$G$8,K$8,$G612=$G$9,K$9,$G612=$G$10,K$10,$G612=$G$11,K$11,$G612=$G$12,K$12,$G612=$G$13,K$13,$G612=$G$15,K$15,$G612=$G$16,K$16,$G612=$G$17,K$17,$G612=$G$18,K$18,$G612=$G$19,K$19,$G612=$G$20,K$20,$G612=$G$21,K$21,$G612=$G$22,K$22,$G612=$G$25,K$25,$G612=$G$26,K$26,$G612=$G$27,K$27,$G612=$G$29,K$29,$G612=$G$31,K$31,$G612=$G$32,K$150,$G612=$G$248,K$248,$G612=$G$250,K$250)</f>
        <v>BG sentinel + BG lure7</v>
      </c>
      <c r="L612" s="48"/>
      <c r="M612" s="48"/>
      <c r="O612" s="45" t="str">
        <f t="shared" si="45"/>
        <v>A_SP_BCN_15_210818</v>
      </c>
      <c r="P612" s="64">
        <v>44426</v>
      </c>
      <c r="R612" s="72"/>
      <c r="S612" s="64">
        <v>44433</v>
      </c>
      <c r="U612" s="72"/>
      <c r="V612" s="54" t="s">
        <v>66</v>
      </c>
      <c r="X612" s="45">
        <f t="shared" si="48"/>
        <v>7</v>
      </c>
      <c r="Z612" s="69" t="s">
        <v>69</v>
      </c>
      <c r="AA612" s="45">
        <f t="shared" si="49"/>
        <v>18</v>
      </c>
      <c r="AB612" t="str">
        <f t="shared" si="46"/>
        <v>Adult</v>
      </c>
      <c r="AC612" s="69">
        <v>18</v>
      </c>
      <c r="AD612" s="69">
        <v>0</v>
      </c>
      <c r="AE612" s="45" t="str">
        <f t="shared" si="47"/>
        <v>Morphological</v>
      </c>
      <c r="AF612" s="56">
        <v>4</v>
      </c>
    </row>
    <row r="613" spans="1:32" ht="18" customHeight="1" x14ac:dyDescent="0.25">
      <c r="A613" s="45">
        <v>609</v>
      </c>
      <c r="B613" s="45" t="s">
        <v>60</v>
      </c>
      <c r="C613" s="45" t="s">
        <v>61</v>
      </c>
      <c r="D613" s="45" t="s">
        <v>62</v>
      </c>
      <c r="E613" s="45" t="s">
        <v>62</v>
      </c>
      <c r="F613" s="46" cm="1">
        <f t="array" ref="F613">_xlfn.IFS($G613=$G$5,F$5,$G613=$G$6,F$6,$G613=$G$7,F$7,$G613=$G$8,F$8,$G613=$G$9,F$9,$G613=$G$10,F$10,$G613=$G$11,F$11,$G613=$G$12,F$12,$G613=$G$13,F$13,$G613=$G$15,F$15,$G613=$G$16,F$16,$G613=$G$17,F$17,$G613=$G$18,F$18,$G613=$G$19,F$19,$G613=$G$20,F$20,$G613=$G$21,F$21,$G613=$G$22,F$22,$G613=$G$25,F$25,$G613=$G$26,F$26,$G613=$G$27,F$27,$G613=$G$29,F$29,$G613=$G$31,F$31,$G613=$G$32,F$32,$G613=$G$248,F$248,$G613=$G$250,F$250)</f>
        <v>8038</v>
      </c>
      <c r="G613" t="s">
        <v>93</v>
      </c>
      <c r="H613" s="67" cm="1">
        <f t="array" ref="H613">_xlfn.IFS($G613=$G$5,H$5,$G613=$G$6,H$6,$G613=$G$7,H$7,$G613=$G$8,H$8,$G613=$G$9,H$9,$G613=$G$10,H$10,$G613=$G$11,H$11,$G613=$G$12,H$12,$G613=$G$13,H$13,$G613=$G$15,H$15,$G613=$G$16,H$16,$G613=$G$17,H$17,$G613=$G$18,H$18,$G613=$G$19,H$19,$G613=$G$20,H$20,$G613=$G$21,H$21,$G613=$G$22,H$22,$G613=$G$25,H$25,$G613=$G$26,H$26,$G613=$G$27,H$27,$G613=$G$29,H$29,$G613=$G$31,H$31,$G613=$G$32,H$150,$G613=$G$248,H$248,$G613=$G$250,H$250)</f>
        <v>41.359864999999999</v>
      </c>
      <c r="I613" s="67" cm="1">
        <f t="array" ref="I613">_xlfn.IFS($G613=$G$5,I$5,$G613=$G$6,I$6,$G613=$G$7,I$7,$G613=$G$8,I$8,$G613=$G$9,I$9,$G613=$G$10,I$10,$G613=$G$11,I$11,$G613=$G$12,I$12,$G613=$G$13,I$13,$G613=$G$15,I$15,$G613=$G$16,I$16,$G613=$G$17,I$17,$G613=$G$18,I$18,$G613=$G$19,I$19,$G613=$G$20,I$20,$G613=$G$21,I$21,$G613=$G$22,I$22,$G613=$G$25,I$25,$G613=$G$26,I$26,$G613=$G$27,I$27,$G613=$G$29,I$29,$G613=$G$31,I$31,$G613=$G$32,I$150,$G613=$G$248,I$248,$G613=$G$250,I$250)</f>
        <v>2.1445430000000001</v>
      </c>
      <c r="J613" s="48" cm="1">
        <f t="array" ref="J613">_xlfn.IFS($G613=$G$5,J$5,$G613=$G$6,J$6,$G613=$G$7,J$7,$G613=$G$8,J$8,$G613=$G$9,J$9,$G613=$G$10,J$10,$G613=$G$11,J$11,$G613=$G$12,J$12,$G613=$G$13,J$13,$G613=$G$15,J$15,$G613=$G$16,J$16,$G613=$G$17,J$17,$G613=$G$18,J$18,$G613=$G$19,J$19,$G613=$G$20,J$20,$G613=$G$21,J$21,$G613=$G$22,J$22,$G613=$G$25,J$25,$G613=$G$26,J$26,$G613=$G$27,J$27,$G613=$G$29,J$29,$G613=$G$31,J$31,$G613=$G$32,J$150,$G613=$G$248,J$248,$G613=$G$250,J$250)</f>
        <v>11.4</v>
      </c>
      <c r="K613" s="48" t="str" cm="1">
        <f t="array" ref="K613">_xlfn.IFS($G613=$G$5,K$5,$G613=$G$6,K$6,$G613=$G$7,K$7,$G613=$G$8,K$8,$G613=$G$9,K$9,$G613=$G$10,K$10,$G613=$G$11,K$11,$G613=$G$12,K$12,$G613=$G$13,K$13,$G613=$G$15,K$15,$G613=$G$16,K$16,$G613=$G$17,K$17,$G613=$G$18,K$18,$G613=$G$19,K$19,$G613=$G$20,K$20,$G613=$G$21,K$21,$G613=$G$22,K$22,$G613=$G$25,K$25,$G613=$G$26,K$26,$G613=$G$27,K$27,$G613=$G$29,K$29,$G613=$G$31,K$31,$G613=$G$32,K$150,$G613=$G$248,K$248,$G613=$G$250,K$250)</f>
        <v>BG sentinel + BG lure7</v>
      </c>
      <c r="L613" s="48"/>
      <c r="M613" s="48"/>
      <c r="O613" s="45" t="str">
        <f t="shared" si="45"/>
        <v>A_SP_BCN_19_210819</v>
      </c>
      <c r="P613" s="64">
        <v>44427</v>
      </c>
      <c r="R613" s="72"/>
      <c r="S613" s="64">
        <v>44434</v>
      </c>
      <c r="U613" s="72"/>
      <c r="V613" s="54" t="s">
        <v>66</v>
      </c>
      <c r="W613" t="s">
        <v>147</v>
      </c>
      <c r="X613" s="45">
        <f t="shared" si="48"/>
        <v>7</v>
      </c>
      <c r="Z613" s="69" t="s">
        <v>69</v>
      </c>
      <c r="AA613" s="45">
        <f t="shared" si="49"/>
        <v>5</v>
      </c>
      <c r="AB613" t="str">
        <f t="shared" si="46"/>
        <v>Adult</v>
      </c>
      <c r="AC613" s="69">
        <v>5</v>
      </c>
      <c r="AD613" s="69">
        <v>0</v>
      </c>
      <c r="AE613" s="45" t="str">
        <f t="shared" si="47"/>
        <v>Morphological</v>
      </c>
      <c r="AF613" s="56">
        <v>3</v>
      </c>
    </row>
    <row r="614" spans="1:32" ht="18" customHeight="1" x14ac:dyDescent="0.25">
      <c r="A614" s="45">
        <v>610</v>
      </c>
      <c r="B614" s="45" t="s">
        <v>60</v>
      </c>
      <c r="C614" s="45" t="s">
        <v>61</v>
      </c>
      <c r="D614" s="45" t="s">
        <v>62</v>
      </c>
      <c r="E614" s="45" t="s">
        <v>62</v>
      </c>
      <c r="F614" s="46" cm="1">
        <f t="array" ref="F614">_xlfn.IFS($G614=$G$5,F$5,$G614=$G$6,F$6,$G614=$G$7,F$7,$G614=$G$8,F$8,$G614=$G$9,F$9,$G614=$G$10,F$10,$G614=$G$11,F$11,$G614=$G$12,F$12,$G614=$G$13,F$13,$G614=$G$15,F$15,$G614=$G$16,F$16,$G614=$G$17,F$17,$G614=$G$18,F$18,$G614=$G$19,F$19,$G614=$G$20,F$20,$G614=$G$21,F$21,$G614=$G$22,F$22,$G614=$G$25,F$25,$G614=$G$26,F$26,$G614=$G$27,F$27,$G614=$G$29,F$29,$G614=$G$31,F$31,$G614=$G$32,F$32,$G614=$G$248,F$248,$G614=$G$250,F$250)</f>
        <v>8038</v>
      </c>
      <c r="G614" t="s">
        <v>93</v>
      </c>
      <c r="H614" s="67" cm="1">
        <f t="array" ref="H614">_xlfn.IFS($G614=$G$5,H$5,$G614=$G$6,H$6,$G614=$G$7,H$7,$G614=$G$8,H$8,$G614=$G$9,H$9,$G614=$G$10,H$10,$G614=$G$11,H$11,$G614=$G$12,H$12,$G614=$G$13,H$13,$G614=$G$15,H$15,$G614=$G$16,H$16,$G614=$G$17,H$17,$G614=$G$18,H$18,$G614=$G$19,H$19,$G614=$G$20,H$20,$G614=$G$21,H$21,$G614=$G$22,H$22,$G614=$G$25,H$25,$G614=$G$26,H$26,$G614=$G$27,H$27,$G614=$G$29,H$29,$G614=$G$31,H$31,$G614=$G$32,H$150,$G614=$G$248,H$248,$G614=$G$250,H$250)</f>
        <v>41.359864999999999</v>
      </c>
      <c r="I614" s="67" cm="1">
        <f t="array" ref="I614">_xlfn.IFS($G614=$G$5,I$5,$G614=$G$6,I$6,$G614=$G$7,I$7,$G614=$G$8,I$8,$G614=$G$9,I$9,$G614=$G$10,I$10,$G614=$G$11,I$11,$G614=$G$12,I$12,$G614=$G$13,I$13,$G614=$G$15,I$15,$G614=$G$16,I$16,$G614=$G$17,I$17,$G614=$G$18,I$18,$G614=$G$19,I$19,$G614=$G$20,I$20,$G614=$G$21,I$21,$G614=$G$22,I$22,$G614=$G$25,I$25,$G614=$G$26,I$26,$G614=$G$27,I$27,$G614=$G$29,I$29,$G614=$G$31,I$31,$G614=$G$32,I$150,$G614=$G$248,I$248,$G614=$G$250,I$250)</f>
        <v>2.1445430000000001</v>
      </c>
      <c r="J614" s="48" cm="1">
        <f t="array" ref="J614">_xlfn.IFS($G614=$G$5,J$5,$G614=$G$6,J$6,$G614=$G$7,J$7,$G614=$G$8,J$8,$G614=$G$9,J$9,$G614=$G$10,J$10,$G614=$G$11,J$11,$G614=$G$12,J$12,$G614=$G$13,J$13,$G614=$G$15,J$15,$G614=$G$16,J$16,$G614=$G$17,J$17,$G614=$G$18,J$18,$G614=$G$19,J$19,$G614=$G$20,J$20,$G614=$G$21,J$21,$G614=$G$22,J$22,$G614=$G$25,J$25,$G614=$G$26,J$26,$G614=$G$27,J$27,$G614=$G$29,J$29,$G614=$G$31,J$31,$G614=$G$32,J$150,$G614=$G$248,J$248,$G614=$G$250,J$250)</f>
        <v>11.4</v>
      </c>
      <c r="K614" s="48" t="str" cm="1">
        <f t="array" ref="K614">_xlfn.IFS($G614=$G$5,K$5,$G614=$G$6,K$6,$G614=$G$7,K$7,$G614=$G$8,K$8,$G614=$G$9,K$9,$G614=$G$10,K$10,$G614=$G$11,K$11,$G614=$G$12,K$12,$G614=$G$13,K$13,$G614=$G$15,K$15,$G614=$G$16,K$16,$G614=$G$17,K$17,$G614=$G$18,K$18,$G614=$G$19,K$19,$G614=$G$20,K$20,$G614=$G$21,K$21,$G614=$G$22,K$22,$G614=$G$25,K$25,$G614=$G$26,K$26,$G614=$G$27,K$27,$G614=$G$29,K$29,$G614=$G$31,K$31,$G614=$G$32,K$150,$G614=$G$248,K$248,$G614=$G$250,K$250)</f>
        <v>BG sentinel + BG lure7</v>
      </c>
      <c r="L614" s="48"/>
      <c r="M614" s="48"/>
      <c r="O614" s="45" t="str">
        <f t="shared" si="45"/>
        <v>A_SP_BCN_19_210819</v>
      </c>
      <c r="P614" s="64">
        <v>44427</v>
      </c>
      <c r="R614" s="72"/>
      <c r="S614" s="64">
        <v>44434</v>
      </c>
      <c r="U614" s="72"/>
      <c r="V614" s="54" t="s">
        <v>66</v>
      </c>
      <c r="W614" t="s">
        <v>147</v>
      </c>
      <c r="X614" s="45">
        <f t="shared" si="48"/>
        <v>7</v>
      </c>
      <c r="Z614" s="45" t="s">
        <v>70</v>
      </c>
      <c r="AA614" s="45">
        <f t="shared" si="49"/>
        <v>3</v>
      </c>
      <c r="AB614" t="str">
        <f t="shared" si="46"/>
        <v>Adult</v>
      </c>
      <c r="AC614" s="69">
        <v>3</v>
      </c>
      <c r="AD614" s="69">
        <v>0</v>
      </c>
      <c r="AE614" s="45" t="str">
        <f t="shared" si="47"/>
        <v>Morphological</v>
      </c>
      <c r="AF614" s="56">
        <v>3</v>
      </c>
    </row>
    <row r="615" spans="1:32" ht="18" customHeight="1" x14ac:dyDescent="0.25">
      <c r="A615" s="45">
        <v>611</v>
      </c>
      <c r="B615" s="45" t="s">
        <v>60</v>
      </c>
      <c r="C615" s="45" t="s">
        <v>61</v>
      </c>
      <c r="D615" s="45" t="s">
        <v>62</v>
      </c>
      <c r="E615" s="45" t="s">
        <v>62</v>
      </c>
      <c r="F615" s="46" cm="1">
        <f t="array" ref="F615">_xlfn.IFS($G615=$G$5,F$5,$G615=$G$6,F$6,$G615=$G$7,F$7,$G615=$G$8,F$8,$G615=$G$9,F$9,$G615=$G$10,F$10,$G615=$G$11,F$11,$G615=$G$12,F$12,$G615=$G$13,F$13,$G615=$G$15,F$15,$G615=$G$16,F$16,$G615=$G$17,F$17,$G615=$G$18,F$18,$G615=$G$19,F$19,$G615=$G$20,F$20,$G615=$G$21,F$21,$G615=$G$22,F$22,$G615=$G$25,F$25,$G615=$G$26,F$26,$G615=$G$27,F$27,$G615=$G$29,F$29,$G615=$G$31,F$31,$G615=$G$32,F$32,$G615=$G$248,F$248,$G615=$G$250,F$250)</f>
        <v>8017</v>
      </c>
      <c r="G615" t="s">
        <v>98</v>
      </c>
      <c r="H615" s="67" cm="1">
        <f t="array" ref="H615">_xlfn.IFS($G615=$G$5,H$5,$G615=$G$6,H$6,$G615=$G$7,H$7,$G615=$G$8,H$8,$G615=$G$9,H$9,$G615=$G$10,H$10,$G615=$G$11,H$11,$G615=$G$12,H$12,$G615=$G$13,H$13,$G615=$G$15,H$15,$G615=$G$16,H$16,$G615=$G$17,H$17,$G615=$G$18,H$18,$G615=$G$19,H$19,$G615=$G$20,H$20,$G615=$G$21,H$21,$G615=$G$22,H$22,$G615=$G$25,H$25,$G615=$G$26,H$26,$G615=$G$27,H$27,$G615=$G$29,H$29,$G615=$G$31,H$31,$G615=$G$32,H$150,$G615=$G$248,H$248,$G615=$G$250,H$250)</f>
        <v>41.430315999999998</v>
      </c>
      <c r="I615" s="67" cm="1">
        <f t="array" ref="I615">_xlfn.IFS($G615=$G$5,I$5,$G615=$G$6,I$6,$G615=$G$7,I$7,$G615=$G$8,I$8,$G615=$G$9,I$9,$G615=$G$10,I$10,$G615=$G$11,I$11,$G615=$G$12,I$12,$G615=$G$13,I$13,$G615=$G$15,I$15,$G615=$G$16,I$16,$G615=$G$17,I$17,$G615=$G$18,I$18,$G615=$G$19,I$19,$G615=$G$20,I$20,$G615=$G$21,I$21,$G615=$G$22,I$22,$G615=$G$25,I$25,$G615=$G$26,I$26,$G615=$G$27,I$27,$G615=$G$29,I$29,$G615=$G$31,I$31,$G615=$G$32,I$150,$G615=$G$248,I$248,$G615=$G$250,I$250)</f>
        <v>2.077556</v>
      </c>
      <c r="J615" s="48" cm="1">
        <f t="array" ref="J615">_xlfn.IFS($G615=$G$5,J$5,$G615=$G$6,J$6,$G615=$G$7,J$7,$G615=$G$8,J$8,$G615=$G$9,J$9,$G615=$G$10,J$10,$G615=$G$11,J$11,$G615=$G$12,J$12,$G615=$G$13,J$13,$G615=$G$15,J$15,$G615=$G$16,J$16,$G615=$G$17,J$17,$G615=$G$18,J$18,$G615=$G$19,J$19,$G615=$G$20,J$20,$G615=$G$21,J$21,$G615=$G$22,J$22,$G615=$G$25,J$25,$G615=$G$26,J$26,$G615=$G$27,J$27,$G615=$G$29,J$29,$G615=$G$31,J$31,$G615=$G$32,J$150,$G615=$G$248,J$248,$G615=$G$250,J$250)</f>
        <v>243.3</v>
      </c>
      <c r="K615" s="48" t="str" cm="1">
        <f t="array" ref="K615">_xlfn.IFS($G615=$G$5,K$5,$G615=$G$6,K$6,$G615=$G$7,K$7,$G615=$G$8,K$8,$G615=$G$9,K$9,$G615=$G$10,K$10,$G615=$G$11,K$11,$G615=$G$12,K$12,$G615=$G$13,K$13,$G615=$G$15,K$15,$G615=$G$16,K$16,$G615=$G$17,K$17,$G615=$G$18,K$18,$G615=$G$19,K$19,$G615=$G$20,K$20,$G615=$G$21,K$21,$G615=$G$22,K$22,$G615=$G$25,K$25,$G615=$G$26,K$26,$G615=$G$27,K$27,$G615=$G$29,K$29,$G615=$G$31,K$31,$G615=$G$32,K$150,$G615=$G$248,K$248,$G615=$G$250,K$250)</f>
        <v>BG sentinel + BG lure7</v>
      </c>
      <c r="L615" s="48"/>
      <c r="M615" s="48"/>
      <c r="O615" s="45" t="str">
        <f t="shared" si="45"/>
        <v>A_SP_BCN_22_210818</v>
      </c>
      <c r="P615" s="64">
        <v>44426</v>
      </c>
      <c r="R615" s="72"/>
      <c r="S615" s="64">
        <v>44433</v>
      </c>
      <c r="U615" s="72"/>
      <c r="V615" s="54" t="s">
        <v>66</v>
      </c>
      <c r="X615" s="45">
        <f t="shared" si="48"/>
        <v>7</v>
      </c>
      <c r="AA615" s="45">
        <f t="shared" si="49"/>
        <v>0</v>
      </c>
      <c r="AB615" t="str">
        <f t="shared" si="46"/>
        <v/>
      </c>
      <c r="AE615" s="45" t="str">
        <f t="shared" si="47"/>
        <v/>
      </c>
      <c r="AF615" s="56">
        <v>4</v>
      </c>
    </row>
    <row r="616" spans="1:32" ht="18" customHeight="1" x14ac:dyDescent="0.25">
      <c r="A616" s="45">
        <v>612</v>
      </c>
      <c r="B616" s="45" t="s">
        <v>60</v>
      </c>
      <c r="C616" s="45" t="s">
        <v>61</v>
      </c>
      <c r="D616" s="45" t="s">
        <v>62</v>
      </c>
      <c r="E616" s="45" t="s">
        <v>62</v>
      </c>
      <c r="F616" s="46" cm="1">
        <f t="array" ref="F616">_xlfn.IFS($G616=$G$5,F$5,$G616=$G$6,F$6,$G616=$G$7,F$7,$G616=$G$8,F$8,$G616=$G$9,F$9,$G616=$G$10,F$10,$G616=$G$11,F$11,$G616=$G$12,F$12,$G616=$G$13,F$13,$G616=$G$15,F$15,$G616=$G$16,F$16,$G616=$G$17,F$17,$G616=$G$18,F$18,$G616=$G$19,F$19,$G616=$G$20,F$20,$G616=$G$21,F$21,$G616=$G$22,F$22,$G616=$G$25,F$25,$G616=$G$26,F$26,$G616=$G$27,F$27,$G616=$G$29,F$29,$G616=$G$31,F$31,$G616=$G$32,F$32,$G616=$G$248,F$248,$G616=$G$250,F$250)</f>
        <v>8038</v>
      </c>
      <c r="G616" t="s">
        <v>103</v>
      </c>
      <c r="H616" s="67" cm="1">
        <f t="array" ref="H616">_xlfn.IFS($G616=$G$5,H$5,$G616=$G$6,H$6,$G616=$G$7,H$7,$G616=$G$8,H$8,$G616=$G$9,H$9,$G616=$G$10,H$10,$G616=$G$11,H$11,$G616=$G$12,H$12,$G616=$G$13,H$13,$G616=$G$15,H$15,$G616=$G$16,H$16,$G616=$G$17,H$17,$G616=$G$18,H$18,$G616=$G$19,H$19,$G616=$G$20,H$20,$G616=$G$21,H$21,$G616=$G$22,H$22,$G616=$G$25,H$25,$G616=$G$26,H$26,$G616=$G$27,H$27,$G616=$G$29,H$29,$G616=$G$31,H$31,$G616=$G$32,H$150,$G616=$G$248,H$248,$G616=$G$250,H$250)</f>
        <v>41.367100000000001</v>
      </c>
      <c r="I616" s="67" cm="1">
        <f t="array" ref="I616">_xlfn.IFS($G616=$G$5,I$5,$G616=$G$6,I$6,$G616=$G$7,I$7,$G616=$G$8,I$8,$G616=$G$9,I$9,$G616=$G$10,I$10,$G616=$G$11,I$11,$G616=$G$12,I$12,$G616=$G$13,I$13,$G616=$G$15,I$15,$G616=$G$16,I$16,$G616=$G$17,I$17,$G616=$G$18,I$18,$G616=$G$19,I$19,$G616=$G$20,I$20,$G616=$G$21,I$21,$G616=$G$22,I$22,$G616=$G$25,I$25,$G616=$G$26,I$26,$G616=$G$27,I$27,$G616=$G$29,I$29,$G616=$G$31,I$31,$G616=$G$32,I$150,$G616=$G$248,I$248,$G616=$G$250,I$250)</f>
        <v>2.1539079999999999</v>
      </c>
      <c r="J616" s="48" cm="1">
        <f t="array" ref="J616">_xlfn.IFS($G616=$G$5,J$5,$G616=$G$6,J$6,$G616=$G$7,J$7,$G616=$G$8,J$8,$G616=$G$9,J$9,$G616=$G$10,J$10,$G616=$G$11,J$11,$G616=$G$12,J$12,$G616=$G$13,J$13,$G616=$G$15,J$15,$G616=$G$16,J$16,$G616=$G$17,J$17,$G616=$G$18,J$18,$G616=$G$19,J$19,$G616=$G$20,J$20,$G616=$G$21,J$21,$G616=$G$22,J$22,$G616=$G$25,J$25,$G616=$G$26,J$26,$G616=$G$27,J$27,$G616=$G$29,J$29,$G616=$G$31,J$31,$G616=$G$32,J$150,$G616=$G$248,J$248,$G616=$G$250,J$250)</f>
        <v>68</v>
      </c>
      <c r="K616" s="48" t="str" cm="1">
        <f t="array" ref="K616">_xlfn.IFS($G616=$G$5,K$5,$G616=$G$6,K$6,$G616=$G$7,K$7,$G616=$G$8,K$8,$G616=$G$9,K$9,$G616=$G$10,K$10,$G616=$G$11,K$11,$G616=$G$12,K$12,$G616=$G$13,K$13,$G616=$G$15,K$15,$G616=$G$16,K$16,$G616=$G$17,K$17,$G616=$G$18,K$18,$G616=$G$19,K$19,$G616=$G$20,K$20,$G616=$G$21,K$21,$G616=$G$22,K$22,$G616=$G$25,K$25,$G616=$G$26,K$26,$G616=$G$27,K$27,$G616=$G$29,K$29,$G616=$G$31,K$31,$G616=$G$32,K$150,$G616=$G$248,K$248,$G616=$G$250,K$250)</f>
        <v>BG sentinel + BG lure7</v>
      </c>
      <c r="L616" s="48"/>
      <c r="M616" s="48"/>
      <c r="O616" s="45" t="str">
        <f t="shared" si="45"/>
        <v>A_SP_BCN_23_210819</v>
      </c>
      <c r="P616" s="64">
        <v>44427</v>
      </c>
      <c r="R616" s="72"/>
      <c r="S616" s="64">
        <v>44434</v>
      </c>
      <c r="U616" s="72"/>
      <c r="V616" s="54" t="s">
        <v>66</v>
      </c>
      <c r="X616" s="45">
        <f t="shared" si="48"/>
        <v>7</v>
      </c>
      <c r="Z616" s="69" t="s">
        <v>69</v>
      </c>
      <c r="AA616" s="45">
        <f>SUM(AC616:AD616)</f>
        <v>4</v>
      </c>
      <c r="AB616" t="str">
        <f t="shared" si="46"/>
        <v>Adult</v>
      </c>
      <c r="AC616" s="69">
        <v>3</v>
      </c>
      <c r="AD616" s="69">
        <v>1</v>
      </c>
      <c r="AE616" s="45" t="str">
        <f t="shared" si="47"/>
        <v>Morphological</v>
      </c>
      <c r="AF616" s="56">
        <v>4</v>
      </c>
    </row>
    <row r="617" spans="1:32" ht="18" customHeight="1" x14ac:dyDescent="0.25">
      <c r="A617" s="45">
        <v>613</v>
      </c>
      <c r="B617" s="45" t="s">
        <v>60</v>
      </c>
      <c r="C617" s="45" t="s">
        <v>61</v>
      </c>
      <c r="D617" s="45" t="s">
        <v>62</v>
      </c>
      <c r="E617" s="45" t="s">
        <v>62</v>
      </c>
      <c r="F617" s="46" cm="1">
        <f t="array" ref="F617">_xlfn.IFS($G617=$G$5,F$5,$G617=$G$6,F$6,$G617=$G$7,F$7,$G617=$G$8,F$8,$G617=$G$9,F$9,$G617=$G$10,F$10,$G617=$G$11,F$11,$G617=$G$12,F$12,$G617=$G$13,F$13,$G617=$G$15,F$15,$G617=$G$16,F$16,$G617=$G$17,F$17,$G617=$G$18,F$18,$G617=$G$19,F$19,$G617=$G$20,F$20,$G617=$G$21,F$21,$G617=$G$22,F$22,$G617=$G$25,F$25,$G617=$G$26,F$26,$G617=$G$27,F$27,$G617=$G$29,F$29,$G617=$G$31,F$31,$G617=$G$32,F$32,$G617=$G$248,F$248,$G617=$G$250,F$250)</f>
        <v>8015</v>
      </c>
      <c r="G617" t="s">
        <v>109</v>
      </c>
      <c r="H617" s="67" cm="1">
        <f t="array" ref="H617">_xlfn.IFS($G617=$G$5,H$5,$G617=$G$6,H$6,$G617=$G$7,H$7,$G617=$G$8,H$8,$G617=$G$9,H$9,$G617=$G$10,H$10,$G617=$G$11,H$11,$G617=$G$12,H$12,$G617=$G$13,H$13,$G617=$G$15,H$15,$G617=$G$16,H$16,$G617=$G$17,H$17,$G617=$G$18,H$18,$G617=$G$19,H$19,$G617=$G$20,H$20,$G617=$G$21,H$21,$G617=$G$22,H$22,$G617=$G$25,H$25,$G617=$G$26,H$26,$G617=$G$27,H$27,$G617=$G$29,H$29,$G617=$G$31,H$31,$G617=$G$32,H$150,$G617=$G$248,H$248,$G617=$G$250,H$250)</f>
        <v>41.381725000000003</v>
      </c>
      <c r="I617" s="67" cm="1">
        <f t="array" ref="I617">_xlfn.IFS($G617=$G$5,I$5,$G617=$G$6,I$6,$G617=$G$7,I$7,$G617=$G$8,I$8,$G617=$G$9,I$9,$G617=$G$10,I$10,$G617=$G$11,I$11,$G617=$G$12,I$12,$G617=$G$13,I$13,$G617=$G$15,I$15,$G617=$G$16,I$16,$G617=$G$17,I$17,$G617=$G$18,I$18,$G617=$G$19,I$19,$G617=$G$20,I$20,$G617=$G$21,I$21,$G617=$G$22,I$22,$G617=$G$25,I$25,$G617=$G$26,I$26,$G617=$G$27,I$27,$G617=$G$29,I$29,$G617=$G$31,I$31,$G617=$G$32,I$150,$G617=$G$248,I$248,$G617=$G$250,I$250)</f>
        <v>2.1543679999999998</v>
      </c>
      <c r="J617" s="48" cm="1">
        <f t="array" ref="J617">_xlfn.IFS($G617=$G$5,J$5,$G617=$G$6,J$6,$G617=$G$7,J$7,$G617=$G$8,J$8,$G617=$G$9,J$9,$G617=$G$10,J$10,$G617=$G$11,J$11,$G617=$G$12,J$12,$G617=$G$13,J$13,$G617=$G$15,J$15,$G617=$G$16,J$16,$G617=$G$17,J$17,$G617=$G$18,J$18,$G617=$G$19,J$19,$G617=$G$20,J$20,$G617=$G$21,J$21,$G617=$G$22,J$22,$G617=$G$25,J$25,$G617=$G$26,J$26,$G617=$G$27,J$27,$G617=$G$29,J$29,$G617=$G$31,J$31,$G617=$G$32,J$150,$G617=$G$248,J$248,$G617=$G$250,J$250)</f>
        <v>20.7</v>
      </c>
      <c r="K617" s="48" t="str" cm="1">
        <f t="array" ref="K617">_xlfn.IFS($G617=$G$5,K$5,$G617=$G$6,K$6,$G617=$G$7,K$7,$G617=$G$8,K$8,$G617=$G$9,K$9,$G617=$G$10,K$10,$G617=$G$11,K$11,$G617=$G$12,K$12,$G617=$G$13,K$13,$G617=$G$15,K$15,$G617=$G$16,K$16,$G617=$G$17,K$17,$G617=$G$18,K$18,$G617=$G$19,K$19,$G617=$G$20,K$20,$G617=$G$21,K$21,$G617=$G$22,K$22,$G617=$G$25,K$25,$G617=$G$26,K$26,$G617=$G$27,K$27,$G617=$G$29,K$29,$G617=$G$31,K$31,$G617=$G$32,K$150,$G617=$G$248,K$248,$G617=$G$250,K$250)</f>
        <v>BG sentinel + BG lure7</v>
      </c>
      <c r="L617" s="48"/>
      <c r="M617" s="48"/>
      <c r="O617" s="45" t="str">
        <f t="shared" si="45"/>
        <v>A_SP_BCN_24_210818</v>
      </c>
      <c r="P617" s="64">
        <v>44426</v>
      </c>
      <c r="R617" s="72"/>
      <c r="S617" s="64">
        <v>44433</v>
      </c>
      <c r="U617" s="72"/>
      <c r="V617" s="54" t="s">
        <v>66</v>
      </c>
      <c r="X617" s="45">
        <f t="shared" si="48"/>
        <v>7</v>
      </c>
      <c r="Z617" s="69" t="s">
        <v>69</v>
      </c>
      <c r="AA617" s="45">
        <f t="shared" ref="AA617:AA664" si="50">SUM(AC617:AD617)</f>
        <v>4</v>
      </c>
      <c r="AB617" t="str">
        <f t="shared" si="46"/>
        <v>Adult</v>
      </c>
      <c r="AC617" s="69">
        <v>2</v>
      </c>
      <c r="AD617" s="69">
        <v>2</v>
      </c>
      <c r="AE617" s="45" t="str">
        <f t="shared" si="47"/>
        <v>Morphological</v>
      </c>
      <c r="AF617" s="56">
        <v>4</v>
      </c>
    </row>
    <row r="618" spans="1:32" ht="18" customHeight="1" x14ac:dyDescent="0.25">
      <c r="A618" s="45">
        <v>614</v>
      </c>
      <c r="B618" s="45" t="s">
        <v>60</v>
      </c>
      <c r="C618" s="45" t="s">
        <v>61</v>
      </c>
      <c r="D618" s="45" t="s">
        <v>62</v>
      </c>
      <c r="E618" s="45" t="s">
        <v>62</v>
      </c>
      <c r="F618" s="46" cm="1">
        <f t="array" ref="F618">_xlfn.IFS($G618=$G$5,F$5,$G618=$G$6,F$6,$G618=$G$7,F$7,$G618=$G$8,F$8,$G618=$G$9,F$9,$G618=$G$10,F$10,$G618=$G$11,F$11,$G618=$G$12,F$12,$G618=$G$13,F$13,$G618=$G$15,F$15,$G618=$G$16,F$16,$G618=$G$17,F$17,$G618=$G$18,F$18,$G618=$G$19,F$19,$G618=$G$20,F$20,$G618=$G$21,F$21,$G618=$G$22,F$22,$G618=$G$25,F$25,$G618=$G$26,F$26,$G618=$G$27,F$27,$G618=$G$29,F$29,$G618=$G$31,F$31,$G618=$G$32,F$32,$G618=$G$248,F$248,$G618=$G$250,F$250)</f>
        <v>8015</v>
      </c>
      <c r="G618" t="s">
        <v>109</v>
      </c>
      <c r="H618" s="67" cm="1">
        <f t="array" ref="H618">_xlfn.IFS($G618=$G$5,H$5,$G618=$G$6,H$6,$G618=$G$7,H$7,$G618=$G$8,H$8,$G618=$G$9,H$9,$G618=$G$10,H$10,$G618=$G$11,H$11,$G618=$G$12,H$12,$G618=$G$13,H$13,$G618=$G$15,H$15,$G618=$G$16,H$16,$G618=$G$17,H$17,$G618=$G$18,H$18,$G618=$G$19,H$19,$G618=$G$20,H$20,$G618=$G$21,H$21,$G618=$G$22,H$22,$G618=$G$25,H$25,$G618=$G$26,H$26,$G618=$G$27,H$27,$G618=$G$29,H$29,$G618=$G$31,H$31,$G618=$G$32,H$150,$G618=$G$248,H$248,$G618=$G$250,H$250)</f>
        <v>41.381725000000003</v>
      </c>
      <c r="I618" s="67" cm="1">
        <f t="array" ref="I618">_xlfn.IFS($G618=$G$5,I$5,$G618=$G$6,I$6,$G618=$G$7,I$7,$G618=$G$8,I$8,$G618=$G$9,I$9,$G618=$G$10,I$10,$G618=$G$11,I$11,$G618=$G$12,I$12,$G618=$G$13,I$13,$G618=$G$15,I$15,$G618=$G$16,I$16,$G618=$G$17,I$17,$G618=$G$18,I$18,$G618=$G$19,I$19,$G618=$G$20,I$20,$G618=$G$21,I$21,$G618=$G$22,I$22,$G618=$G$25,I$25,$G618=$G$26,I$26,$G618=$G$27,I$27,$G618=$G$29,I$29,$G618=$G$31,I$31,$G618=$G$32,I$150,$G618=$G$248,I$248,$G618=$G$250,I$250)</f>
        <v>2.1543679999999998</v>
      </c>
      <c r="J618" s="48" cm="1">
        <f t="array" ref="J618">_xlfn.IFS($G618=$G$5,J$5,$G618=$G$6,J$6,$G618=$G$7,J$7,$G618=$G$8,J$8,$G618=$G$9,J$9,$G618=$G$10,J$10,$G618=$G$11,J$11,$G618=$G$12,J$12,$G618=$G$13,J$13,$G618=$G$15,J$15,$G618=$G$16,J$16,$G618=$G$17,J$17,$G618=$G$18,J$18,$G618=$G$19,J$19,$G618=$G$20,J$20,$G618=$G$21,J$21,$G618=$G$22,J$22,$G618=$G$25,J$25,$G618=$G$26,J$26,$G618=$G$27,J$27,$G618=$G$29,J$29,$G618=$G$31,J$31,$G618=$G$32,J$150,$G618=$G$248,J$248,$G618=$G$250,J$250)</f>
        <v>20.7</v>
      </c>
      <c r="K618" s="48" t="str" cm="1">
        <f t="array" ref="K618">_xlfn.IFS($G618=$G$5,K$5,$G618=$G$6,K$6,$G618=$G$7,K$7,$G618=$G$8,K$8,$G618=$G$9,K$9,$G618=$G$10,K$10,$G618=$G$11,K$11,$G618=$G$12,K$12,$G618=$G$13,K$13,$G618=$G$15,K$15,$G618=$G$16,K$16,$G618=$G$17,K$17,$G618=$G$18,K$18,$G618=$G$19,K$19,$G618=$G$20,K$20,$G618=$G$21,K$21,$G618=$G$22,K$22,$G618=$G$25,K$25,$G618=$G$26,K$26,$G618=$G$27,K$27,$G618=$G$29,K$29,$G618=$G$31,K$31,$G618=$G$32,K$150,$G618=$G$248,K$248,$G618=$G$250,K$250)</f>
        <v>BG sentinel + BG lure7</v>
      </c>
      <c r="L618" s="48"/>
      <c r="M618" s="48"/>
      <c r="O618" s="45" t="str">
        <f t="shared" si="45"/>
        <v>A_SP_BCN_24_210818</v>
      </c>
      <c r="P618" s="64">
        <v>44426</v>
      </c>
      <c r="R618" s="72"/>
      <c r="S618" s="64">
        <v>44433</v>
      </c>
      <c r="U618" s="72"/>
      <c r="V618" s="54" t="s">
        <v>66</v>
      </c>
      <c r="X618" s="45">
        <f t="shared" si="48"/>
        <v>7</v>
      </c>
      <c r="Z618" s="45" t="s">
        <v>70</v>
      </c>
      <c r="AA618" s="45">
        <f t="shared" si="50"/>
        <v>4</v>
      </c>
      <c r="AB618" t="str">
        <f t="shared" si="46"/>
        <v>Adult</v>
      </c>
      <c r="AC618" s="69">
        <v>3</v>
      </c>
      <c r="AD618" s="69">
        <v>1</v>
      </c>
      <c r="AE618" s="45" t="str">
        <f t="shared" si="47"/>
        <v>Morphological</v>
      </c>
      <c r="AF618" s="56">
        <v>4</v>
      </c>
    </row>
    <row r="619" spans="1:32" ht="18" customHeight="1" x14ac:dyDescent="0.25">
      <c r="A619" s="45">
        <v>615</v>
      </c>
      <c r="B619" s="45" t="s">
        <v>60</v>
      </c>
      <c r="C619" s="45" t="s">
        <v>61</v>
      </c>
      <c r="D619" s="45" t="s">
        <v>62</v>
      </c>
      <c r="E619" s="45" t="s">
        <v>62</v>
      </c>
      <c r="F619" s="46" cm="1">
        <f t="array" ref="F619">_xlfn.IFS($G619=$G$5,F$5,$G619=$G$6,F$6,$G619=$G$7,F$7,$G619=$G$8,F$8,$G619=$G$9,F$9,$G619=$G$10,F$10,$G619=$G$11,F$11,$G619=$G$12,F$12,$G619=$G$13,F$13,$G619=$G$15,F$15,$G619=$G$16,F$16,$G619=$G$17,F$17,$G619=$G$18,F$18,$G619=$G$19,F$19,$G619=$G$20,F$20,$G619=$G$21,F$21,$G619=$G$22,F$22,$G619=$G$25,F$25,$G619=$G$26,F$26,$G619=$G$27,F$27,$G619=$G$29,F$29,$G619=$G$31,F$31,$G619=$G$32,F$32,$G619=$G$248,F$248,$G619=$G$250,F$250)</f>
        <v>8035</v>
      </c>
      <c r="G619" t="s">
        <v>67</v>
      </c>
      <c r="H619" s="67" cm="1">
        <f t="array" ref="H619">_xlfn.IFS($G619=$G$5,H$5,$G619=$G$6,H$6,$G619=$G$7,H$7,$G619=$G$8,H$8,$G619=$G$9,H$9,$G619=$G$10,H$10,$G619=$G$11,H$11,$G619=$G$12,H$12,$G619=$G$13,H$13,$G619=$G$15,H$15,$G619=$G$16,H$16,$G619=$G$17,H$17,$G619=$G$18,H$18,$G619=$G$19,H$19,$G619=$G$20,H$20,$G619=$G$21,H$21,$G619=$G$22,H$22,$G619=$G$25,H$25,$G619=$G$26,H$26,$G619=$G$27,H$27,$G619=$G$29,H$29,$G619=$G$31,H$31,$G619=$G$32,H$150,$G619=$G$248,H$248,$G619=$G$250,H$250)</f>
        <v>41.424387000000003</v>
      </c>
      <c r="I619" s="67" cm="1">
        <f t="array" ref="I619">_xlfn.IFS($G619=$G$5,I$5,$G619=$G$6,I$6,$G619=$G$7,I$7,$G619=$G$8,I$8,$G619=$G$9,I$9,$G619=$G$10,I$10,$G619=$G$11,I$11,$G619=$G$12,I$12,$G619=$G$13,I$13,$G619=$G$15,I$15,$G619=$G$16,I$16,$G619=$G$17,I$17,$G619=$G$18,I$18,$G619=$G$19,I$19,$G619=$G$20,I$20,$G619=$G$21,I$21,$G619=$G$22,I$22,$G619=$G$25,I$25,$G619=$G$26,I$26,$G619=$G$27,I$27,$G619=$G$29,I$29,$G619=$G$31,I$31,$G619=$G$32,I$150,$G619=$G$248,I$248,$G619=$G$250,I$250)</f>
        <v>2.1431439999999999</v>
      </c>
      <c r="J619" s="48" cm="1">
        <f t="array" ref="J619">_xlfn.IFS($G619=$G$5,J$5,$G619=$G$6,J$6,$G619=$G$7,J$7,$G619=$G$8,J$8,$G619=$G$9,J$9,$G619=$G$10,J$10,$G619=$G$11,J$11,$G619=$G$12,J$12,$G619=$G$13,J$13,$G619=$G$15,J$15,$G619=$G$16,J$16,$G619=$G$17,J$17,$G619=$G$18,J$18,$G619=$G$19,J$19,$G619=$G$20,J$20,$G619=$G$21,J$21,$G619=$G$22,J$22,$G619=$G$25,J$25,$G619=$G$26,J$26,$G619=$G$27,J$27,$G619=$G$29,J$29,$G619=$G$31,J$31,$G619=$G$32,J$150,$G619=$G$248,J$248,$G619=$G$250,J$250)</f>
        <v>160</v>
      </c>
      <c r="K619" s="48" t="str" cm="1">
        <f t="array" ref="K619">_xlfn.IFS($G619=$G$5,K$5,$G619=$G$6,K$6,$G619=$G$7,K$7,$G619=$G$8,K$8,$G619=$G$9,K$9,$G619=$G$10,K$10,$G619=$G$11,K$11,$G619=$G$12,K$12,$G619=$G$13,K$13,$G619=$G$15,K$15,$G619=$G$16,K$16,$G619=$G$17,K$17,$G619=$G$18,K$18,$G619=$G$19,K$19,$G619=$G$20,K$20,$G619=$G$21,K$21,$G619=$G$22,K$22,$G619=$G$25,K$25,$G619=$G$26,K$26,$G619=$G$27,K$27,$G619=$G$29,K$29,$G619=$G$31,K$31,$G619=$G$32,K$150,$G619=$G$248,K$248,$G619=$G$250,K$250)</f>
        <v>BG sentinel + BG lure7</v>
      </c>
      <c r="L619" s="48"/>
      <c r="M619" s="48"/>
      <c r="O619" s="45" t="str">
        <f t="shared" si="45"/>
        <v>A_SP_BCN_2_210825</v>
      </c>
      <c r="P619" s="64">
        <v>44433</v>
      </c>
      <c r="R619" s="72"/>
      <c r="S619" s="64">
        <v>44440</v>
      </c>
      <c r="U619" s="72"/>
      <c r="V619" s="54" t="s">
        <v>66</v>
      </c>
      <c r="X619" s="45">
        <f t="shared" si="48"/>
        <v>7</v>
      </c>
      <c r="Z619" s="69" t="s">
        <v>69</v>
      </c>
      <c r="AA619" s="45">
        <f t="shared" si="50"/>
        <v>2</v>
      </c>
      <c r="AB619" t="str">
        <f t="shared" si="46"/>
        <v>Adult</v>
      </c>
      <c r="AC619" s="69">
        <v>1</v>
      </c>
      <c r="AD619" s="69">
        <v>1</v>
      </c>
      <c r="AE619" s="45" t="str">
        <f t="shared" si="47"/>
        <v>Morphological</v>
      </c>
      <c r="AF619" s="56">
        <v>4</v>
      </c>
    </row>
    <row r="620" spans="1:32" ht="18" customHeight="1" x14ac:dyDescent="0.25">
      <c r="A620" s="45">
        <v>616</v>
      </c>
      <c r="B620" s="45" t="s">
        <v>60</v>
      </c>
      <c r="C620" s="45" t="s">
        <v>61</v>
      </c>
      <c r="D620" s="45" t="s">
        <v>62</v>
      </c>
      <c r="E620" s="45" t="s">
        <v>62</v>
      </c>
      <c r="F620" s="46" cm="1">
        <f t="array" ref="F620">_xlfn.IFS($G620=$G$5,F$5,$G620=$G$6,F$6,$G620=$G$7,F$7,$G620=$G$8,F$8,$G620=$G$9,F$9,$G620=$G$10,F$10,$G620=$G$11,F$11,$G620=$G$12,F$12,$G620=$G$13,F$13,$G620=$G$15,F$15,$G620=$G$16,F$16,$G620=$G$17,F$17,$G620=$G$18,F$18,$G620=$G$19,F$19,$G620=$G$20,F$20,$G620=$G$21,F$21,$G620=$G$22,F$22,$G620=$G$25,F$25,$G620=$G$26,F$26,$G620=$G$27,F$27,$G620=$G$29,F$29,$G620=$G$31,F$31,$G620=$G$32,F$32,$G620=$G$248,F$248,$G620=$G$250,F$250)</f>
        <v>8035</v>
      </c>
      <c r="G620" t="s">
        <v>67</v>
      </c>
      <c r="H620" s="67" cm="1">
        <f t="array" ref="H620">_xlfn.IFS($G620=$G$5,H$5,$G620=$G$6,H$6,$G620=$G$7,H$7,$G620=$G$8,H$8,$G620=$G$9,H$9,$G620=$G$10,H$10,$G620=$G$11,H$11,$G620=$G$12,H$12,$G620=$G$13,H$13,$G620=$G$15,H$15,$G620=$G$16,H$16,$G620=$G$17,H$17,$G620=$G$18,H$18,$G620=$G$19,H$19,$G620=$G$20,H$20,$G620=$G$21,H$21,$G620=$G$22,H$22,$G620=$G$25,H$25,$G620=$G$26,H$26,$G620=$G$27,H$27,$G620=$G$29,H$29,$G620=$G$31,H$31,$G620=$G$32,H$150,$G620=$G$248,H$248,$G620=$G$250,H$250)</f>
        <v>41.424387000000003</v>
      </c>
      <c r="I620" s="67" cm="1">
        <f t="array" ref="I620">_xlfn.IFS($G620=$G$5,I$5,$G620=$G$6,I$6,$G620=$G$7,I$7,$G620=$G$8,I$8,$G620=$G$9,I$9,$G620=$G$10,I$10,$G620=$G$11,I$11,$G620=$G$12,I$12,$G620=$G$13,I$13,$G620=$G$15,I$15,$G620=$G$16,I$16,$G620=$G$17,I$17,$G620=$G$18,I$18,$G620=$G$19,I$19,$G620=$G$20,I$20,$G620=$G$21,I$21,$G620=$G$22,I$22,$G620=$G$25,I$25,$G620=$G$26,I$26,$G620=$G$27,I$27,$G620=$G$29,I$29,$G620=$G$31,I$31,$G620=$G$32,I$150,$G620=$G$248,I$248,$G620=$G$250,I$250)</f>
        <v>2.1431439999999999</v>
      </c>
      <c r="J620" s="48" cm="1">
        <f t="array" ref="J620">_xlfn.IFS($G620=$G$5,J$5,$G620=$G$6,J$6,$G620=$G$7,J$7,$G620=$G$8,J$8,$G620=$G$9,J$9,$G620=$G$10,J$10,$G620=$G$11,J$11,$G620=$G$12,J$12,$G620=$G$13,J$13,$G620=$G$15,J$15,$G620=$G$16,J$16,$G620=$G$17,J$17,$G620=$G$18,J$18,$G620=$G$19,J$19,$G620=$G$20,J$20,$G620=$G$21,J$21,$G620=$G$22,J$22,$G620=$G$25,J$25,$G620=$G$26,J$26,$G620=$G$27,J$27,$G620=$G$29,J$29,$G620=$G$31,J$31,$G620=$G$32,J$150,$G620=$G$248,J$248,$G620=$G$250,J$250)</f>
        <v>160</v>
      </c>
      <c r="K620" s="48" t="str" cm="1">
        <f t="array" ref="K620">_xlfn.IFS($G620=$G$5,K$5,$G620=$G$6,K$6,$G620=$G$7,K$7,$G620=$G$8,K$8,$G620=$G$9,K$9,$G620=$G$10,K$10,$G620=$G$11,K$11,$G620=$G$12,K$12,$G620=$G$13,K$13,$G620=$G$15,K$15,$G620=$G$16,K$16,$G620=$G$17,K$17,$G620=$G$18,K$18,$G620=$G$19,K$19,$G620=$G$20,K$20,$G620=$G$21,K$21,$G620=$G$22,K$22,$G620=$G$25,K$25,$G620=$G$26,K$26,$G620=$G$27,K$27,$G620=$G$29,K$29,$G620=$G$31,K$31,$G620=$G$32,K$150,$G620=$G$248,K$248,$G620=$G$250,K$250)</f>
        <v>BG sentinel + BG lure7</v>
      </c>
      <c r="L620" s="48"/>
      <c r="M620" s="48"/>
      <c r="O620" s="45" t="str">
        <f t="shared" si="45"/>
        <v>A_SP_BCN_2_210825</v>
      </c>
      <c r="P620" s="64">
        <v>44433</v>
      </c>
      <c r="R620" s="72"/>
      <c r="S620" s="64">
        <v>44440</v>
      </c>
      <c r="U620" s="72"/>
      <c r="V620" s="54" t="s">
        <v>66</v>
      </c>
      <c r="X620" s="45">
        <f t="shared" si="48"/>
        <v>7</v>
      </c>
      <c r="Z620" s="45" t="s">
        <v>80</v>
      </c>
      <c r="AA620" s="45">
        <f t="shared" si="50"/>
        <v>1</v>
      </c>
      <c r="AB620" t="str">
        <f t="shared" si="46"/>
        <v>Adult</v>
      </c>
      <c r="AC620" s="69">
        <v>1</v>
      </c>
      <c r="AD620" s="69">
        <v>0</v>
      </c>
      <c r="AE620" s="45" t="str">
        <f t="shared" si="47"/>
        <v>Morphological</v>
      </c>
      <c r="AF620" s="56">
        <v>4</v>
      </c>
    </row>
    <row r="621" spans="1:32" ht="18" customHeight="1" x14ac:dyDescent="0.25">
      <c r="A621" s="45">
        <v>617</v>
      </c>
      <c r="B621" s="45" t="s">
        <v>60</v>
      </c>
      <c r="C621" s="45" t="s">
        <v>61</v>
      </c>
      <c r="D621" s="45" t="s">
        <v>62</v>
      </c>
      <c r="E621" s="45" t="s">
        <v>62</v>
      </c>
      <c r="F621" s="46" cm="1">
        <f t="array" ref="F621">_xlfn.IFS($G621=$G$5,F$5,$G621=$G$6,F$6,$G621=$G$7,F$7,$G621=$G$8,F$8,$G621=$G$9,F$9,$G621=$G$10,F$10,$G621=$G$11,F$11,$G621=$G$12,F$12,$G621=$G$13,F$13,$G621=$G$15,F$15,$G621=$G$16,F$16,$G621=$G$17,F$17,$G621=$G$18,F$18,$G621=$G$19,F$19,$G621=$G$20,F$20,$G621=$G$21,F$21,$G621=$G$22,F$22,$G621=$G$25,F$25,$G621=$G$26,F$26,$G621=$G$27,F$27,$G621=$G$29,F$29,$G621=$G$31,F$31,$G621=$G$32,F$32,$G621=$G$248,F$248,$G621=$G$250,F$250)</f>
        <v>8016</v>
      </c>
      <c r="G621" t="s">
        <v>68</v>
      </c>
      <c r="H621" s="67" cm="1">
        <f t="array" ref="H621">_xlfn.IFS($G621=$G$5,H$5,$G621=$G$6,H$6,$G621=$G$7,H$7,$G621=$G$8,H$8,$G621=$G$9,H$9,$G621=$G$10,H$10,$G621=$G$11,H$11,$G621=$G$12,H$12,$G621=$G$13,H$13,$G621=$G$15,H$15,$G621=$G$16,H$16,$G621=$G$17,H$17,$G621=$G$18,H$18,$G621=$G$19,H$19,$G621=$G$20,H$20,$G621=$G$21,H$21,$G621=$G$22,H$22,$G621=$G$25,H$25,$G621=$G$26,H$26,$G621=$G$27,H$27,$G621=$G$29,H$29,$G621=$G$31,H$31,$G621=$G$32,H$150,$G621=$G$248,H$248,$G621=$G$250,H$250)</f>
        <v>41.437435000000001</v>
      </c>
      <c r="I621" s="67" cm="1">
        <f t="array" ref="I621">_xlfn.IFS($G621=$G$5,I$5,$G621=$G$6,I$6,$G621=$G$7,I$7,$G621=$G$8,I$8,$G621=$G$9,I$9,$G621=$G$10,I$10,$G621=$G$11,I$11,$G621=$G$12,I$12,$G621=$G$13,I$13,$G621=$G$15,I$15,$G621=$G$16,I$16,$G621=$G$17,I$17,$G621=$G$18,I$18,$G621=$G$19,I$19,$G621=$G$20,I$20,$G621=$G$21,I$21,$G621=$G$22,I$22,$G621=$G$25,I$25,$G621=$G$26,I$26,$G621=$G$27,I$27,$G621=$G$29,I$29,$G621=$G$31,I$31,$G621=$G$32,I$150,$G621=$G$248,I$248,$G621=$G$250,I$250)</f>
        <v>2.1812779999999998</v>
      </c>
      <c r="J621" s="48" cm="1">
        <f t="array" ref="J621">_xlfn.IFS($G621=$G$5,J$5,$G621=$G$6,J$6,$G621=$G$7,J$7,$G621=$G$8,J$8,$G621=$G$9,J$9,$G621=$G$10,J$10,$G621=$G$11,J$11,$G621=$G$12,J$12,$G621=$G$13,J$13,$G621=$G$15,J$15,$G621=$G$16,J$16,$G621=$G$17,J$17,$G621=$G$18,J$18,$G621=$G$19,J$19,$G621=$G$20,J$20,$G621=$G$21,J$21,$G621=$G$22,J$22,$G621=$G$25,J$25,$G621=$G$26,J$26,$G621=$G$27,J$27,$G621=$G$29,J$29,$G621=$G$31,J$31,$G621=$G$32,J$150,$G621=$G$248,J$248,$G621=$G$250,J$250)</f>
        <v>47</v>
      </c>
      <c r="K621" s="48" t="str" cm="1">
        <f t="array" ref="K621">_xlfn.IFS($G621=$G$5,K$5,$G621=$G$6,K$6,$G621=$G$7,K$7,$G621=$G$8,K$8,$G621=$G$9,K$9,$G621=$G$10,K$10,$G621=$G$11,K$11,$G621=$G$12,K$12,$G621=$G$13,K$13,$G621=$G$15,K$15,$G621=$G$16,K$16,$G621=$G$17,K$17,$G621=$G$18,K$18,$G621=$G$19,K$19,$G621=$G$20,K$20,$G621=$G$21,K$21,$G621=$G$22,K$22,$G621=$G$25,K$25,$G621=$G$26,K$26,$G621=$G$27,K$27,$G621=$G$29,K$29,$G621=$G$31,K$31,$G621=$G$32,K$150,$G621=$G$248,K$248,$G621=$G$250,K$250)</f>
        <v>BG sentinel + BG lure7</v>
      </c>
      <c r="L621" s="48"/>
      <c r="M621" s="48"/>
      <c r="O621" s="45" t="str">
        <f t="shared" si="45"/>
        <v>A_SP_BCN_3_210825</v>
      </c>
      <c r="P621" s="64">
        <v>44433</v>
      </c>
      <c r="R621" s="72"/>
      <c r="S621" s="64">
        <v>44440</v>
      </c>
      <c r="U621" s="72"/>
      <c r="V621" s="54" t="s">
        <v>66</v>
      </c>
      <c r="X621" s="45">
        <f t="shared" si="48"/>
        <v>7</v>
      </c>
      <c r="Z621" s="69" t="s">
        <v>69</v>
      </c>
      <c r="AA621" s="45">
        <f t="shared" si="50"/>
        <v>3</v>
      </c>
      <c r="AB621" t="str">
        <f t="shared" si="46"/>
        <v>Adult</v>
      </c>
      <c r="AC621" s="69">
        <v>3</v>
      </c>
      <c r="AD621" s="69">
        <v>0</v>
      </c>
      <c r="AE621" s="45" t="str">
        <f t="shared" si="47"/>
        <v>Morphological</v>
      </c>
      <c r="AF621" s="56">
        <v>4</v>
      </c>
    </row>
    <row r="622" spans="1:32" ht="18" customHeight="1" x14ac:dyDescent="0.25">
      <c r="A622" s="45">
        <v>618</v>
      </c>
      <c r="B622" s="45" t="s">
        <v>60</v>
      </c>
      <c r="C622" s="45" t="s">
        <v>61</v>
      </c>
      <c r="D622" s="45" t="s">
        <v>62</v>
      </c>
      <c r="E622" s="45" t="s">
        <v>62</v>
      </c>
      <c r="F622" s="46" cm="1">
        <f t="array" ref="F622">_xlfn.IFS($G622=$G$5,F$5,$G622=$G$6,F$6,$G622=$G$7,F$7,$G622=$G$8,F$8,$G622=$G$9,F$9,$G622=$G$10,F$10,$G622=$G$11,F$11,$G622=$G$12,F$12,$G622=$G$13,F$13,$G622=$G$15,F$15,$G622=$G$16,F$16,$G622=$G$17,F$17,$G622=$G$18,F$18,$G622=$G$19,F$19,$G622=$G$20,F$20,$G622=$G$21,F$21,$G622=$G$22,F$22,$G622=$G$25,F$25,$G622=$G$26,F$26,$G622=$G$27,F$27,$G622=$G$29,F$29,$G622=$G$31,F$31,$G622=$G$32,F$32,$G622=$G$248,F$248,$G622=$G$250,F$250)</f>
        <v>8018</v>
      </c>
      <c r="G622" t="s">
        <v>71</v>
      </c>
      <c r="H622" s="67" cm="1">
        <f t="array" ref="H622">_xlfn.IFS($G622=$G$5,H$5,$G622=$G$6,H$6,$G622=$G$7,H$7,$G622=$G$8,H$8,$G622=$G$9,H$9,$G622=$G$10,H$10,$G622=$G$11,H$11,$G622=$G$12,H$12,$G622=$G$13,H$13,$G622=$G$15,H$15,$G622=$G$16,H$16,$G622=$G$17,H$17,$G622=$G$18,H$18,$G622=$G$19,H$19,$G622=$G$20,H$20,$G622=$G$21,H$21,$G622=$G$22,H$22,$G622=$G$25,H$25,$G622=$G$26,H$26,$G622=$G$27,H$27,$G622=$G$29,H$29,$G622=$G$31,H$31,$G622=$G$32,H$150,$G622=$G$248,H$248,$G622=$G$250,H$250)</f>
        <v>41.410684000000003</v>
      </c>
      <c r="I622" s="67" cm="1">
        <f t="array" ref="I622">_xlfn.IFS($G622=$G$5,I$5,$G622=$G$6,I$6,$G622=$G$7,I$7,$G622=$G$8,I$8,$G622=$G$9,I$9,$G622=$G$10,I$10,$G622=$G$11,I$11,$G622=$G$12,I$12,$G622=$G$13,I$13,$G622=$G$15,I$15,$G622=$G$16,I$16,$G622=$G$17,I$17,$G622=$G$18,I$18,$G622=$G$19,I$19,$G622=$G$20,I$20,$G622=$G$21,I$21,$G622=$G$22,I$22,$G622=$G$25,I$25,$G622=$G$26,I$26,$G622=$G$27,I$27,$G622=$G$29,I$29,$G622=$G$31,I$31,$G622=$G$32,I$150,$G622=$G$248,I$248,$G622=$G$250,I$250)</f>
        <v>2.2208019999999999</v>
      </c>
      <c r="J622" s="48" cm="1">
        <f t="array" ref="J622">_xlfn.IFS($G622=$G$5,J$5,$G622=$G$6,J$6,$G622=$G$7,J$7,$G622=$G$8,J$8,$G622=$G$9,J$9,$G622=$G$10,J$10,$G622=$G$11,J$11,$G622=$G$12,J$12,$G622=$G$13,J$13,$G622=$G$15,J$15,$G622=$G$16,J$16,$G622=$G$17,J$17,$G622=$G$18,J$18,$G622=$G$19,J$19,$G622=$G$20,J$20,$G622=$G$21,J$21,$G622=$G$22,J$22,$G622=$G$25,J$25,$G622=$G$26,J$26,$G622=$G$27,J$27,$G622=$G$29,J$29,$G622=$G$31,J$31,$G622=$G$32,J$150,$G622=$G$248,J$248,$G622=$G$250,J$250)</f>
        <v>4</v>
      </c>
      <c r="K622" s="48" t="str" cm="1">
        <f t="array" ref="K622">_xlfn.IFS($G622=$G$5,K$5,$G622=$G$6,K$6,$G622=$G$7,K$7,$G622=$G$8,K$8,$G622=$G$9,K$9,$G622=$G$10,K$10,$G622=$G$11,K$11,$G622=$G$12,K$12,$G622=$G$13,K$13,$G622=$G$15,K$15,$G622=$G$16,K$16,$G622=$G$17,K$17,$G622=$G$18,K$18,$G622=$G$19,K$19,$G622=$G$20,K$20,$G622=$G$21,K$21,$G622=$G$22,K$22,$G622=$G$25,K$25,$G622=$G$26,K$26,$G622=$G$27,K$27,$G622=$G$29,K$29,$G622=$G$31,K$31,$G622=$G$32,K$150,$G622=$G$248,K$248,$G622=$G$250,K$250)</f>
        <v>BG sentinel + BG lure7</v>
      </c>
      <c r="L622" s="48"/>
      <c r="M622" s="48"/>
      <c r="O622" s="45" t="str">
        <f t="shared" si="45"/>
        <v>A_SP_BCN_4_210826</v>
      </c>
      <c r="P622" s="64">
        <v>44434</v>
      </c>
      <c r="R622" s="72"/>
      <c r="S622" s="64">
        <v>44441</v>
      </c>
      <c r="U622" s="72"/>
      <c r="V622" s="54" t="s">
        <v>66</v>
      </c>
      <c r="X622" s="45">
        <f t="shared" si="48"/>
        <v>7</v>
      </c>
      <c r="Z622" s="69" t="s">
        <v>69</v>
      </c>
      <c r="AA622" s="45">
        <f t="shared" si="50"/>
        <v>8</v>
      </c>
      <c r="AB622" t="str">
        <f t="shared" si="46"/>
        <v>Adult</v>
      </c>
      <c r="AC622" s="69">
        <v>5</v>
      </c>
      <c r="AD622" s="69">
        <v>3</v>
      </c>
      <c r="AE622" s="45" t="str">
        <f t="shared" si="47"/>
        <v>Morphological</v>
      </c>
      <c r="AF622" s="56">
        <v>4</v>
      </c>
    </row>
    <row r="623" spans="1:32" ht="18" customHeight="1" x14ac:dyDescent="0.25">
      <c r="A623" s="45">
        <v>619</v>
      </c>
      <c r="B623" s="45" t="s">
        <v>60</v>
      </c>
      <c r="C623" s="45" t="s">
        <v>61</v>
      </c>
      <c r="D623" s="45" t="s">
        <v>62</v>
      </c>
      <c r="E623" s="45" t="s">
        <v>62</v>
      </c>
      <c r="F623" s="46" cm="1">
        <f t="array" ref="F623">_xlfn.IFS($G623=$G$5,F$5,$G623=$G$6,F$6,$G623=$G$7,F$7,$G623=$G$8,F$8,$G623=$G$9,F$9,$G623=$G$10,F$10,$G623=$G$11,F$11,$G623=$G$12,F$12,$G623=$G$13,F$13,$G623=$G$15,F$15,$G623=$G$16,F$16,$G623=$G$17,F$17,$G623=$G$18,F$18,$G623=$G$19,F$19,$G623=$G$20,F$20,$G623=$G$21,F$21,$G623=$G$22,F$22,$G623=$G$25,F$25,$G623=$G$26,F$26,$G623=$G$27,F$27,$G623=$G$29,F$29,$G623=$G$31,F$31,$G623=$G$32,F$32,$G623=$G$248,F$248,$G623=$G$250,F$250)</f>
        <v>8018</v>
      </c>
      <c r="G623" t="s">
        <v>71</v>
      </c>
      <c r="H623" s="67" cm="1">
        <f t="array" ref="H623">_xlfn.IFS($G623=$G$5,H$5,$G623=$G$6,H$6,$G623=$G$7,H$7,$G623=$G$8,H$8,$G623=$G$9,H$9,$G623=$G$10,H$10,$G623=$G$11,H$11,$G623=$G$12,H$12,$G623=$G$13,H$13,$G623=$G$15,H$15,$G623=$G$16,H$16,$G623=$G$17,H$17,$G623=$G$18,H$18,$G623=$G$19,H$19,$G623=$G$20,H$20,$G623=$G$21,H$21,$G623=$G$22,H$22,$G623=$G$25,H$25,$G623=$G$26,H$26,$G623=$G$27,H$27,$G623=$G$29,H$29,$G623=$G$31,H$31,$G623=$G$32,H$150,$G623=$G$248,H$248,$G623=$G$250,H$250)</f>
        <v>41.410684000000003</v>
      </c>
      <c r="I623" s="67" cm="1">
        <f t="array" ref="I623">_xlfn.IFS($G623=$G$5,I$5,$G623=$G$6,I$6,$G623=$G$7,I$7,$G623=$G$8,I$8,$G623=$G$9,I$9,$G623=$G$10,I$10,$G623=$G$11,I$11,$G623=$G$12,I$12,$G623=$G$13,I$13,$G623=$G$15,I$15,$G623=$G$16,I$16,$G623=$G$17,I$17,$G623=$G$18,I$18,$G623=$G$19,I$19,$G623=$G$20,I$20,$G623=$G$21,I$21,$G623=$G$22,I$22,$G623=$G$25,I$25,$G623=$G$26,I$26,$G623=$G$27,I$27,$G623=$G$29,I$29,$G623=$G$31,I$31,$G623=$G$32,I$150,$G623=$G$248,I$248,$G623=$G$250,I$250)</f>
        <v>2.2208019999999999</v>
      </c>
      <c r="J623" s="48" cm="1">
        <f t="array" ref="J623">_xlfn.IFS($G623=$G$5,J$5,$G623=$G$6,J$6,$G623=$G$7,J$7,$G623=$G$8,J$8,$G623=$G$9,J$9,$G623=$G$10,J$10,$G623=$G$11,J$11,$G623=$G$12,J$12,$G623=$G$13,J$13,$G623=$G$15,J$15,$G623=$G$16,J$16,$G623=$G$17,J$17,$G623=$G$18,J$18,$G623=$G$19,J$19,$G623=$G$20,J$20,$G623=$G$21,J$21,$G623=$G$22,J$22,$G623=$G$25,J$25,$G623=$G$26,J$26,$G623=$G$27,J$27,$G623=$G$29,J$29,$G623=$G$31,J$31,$G623=$G$32,J$150,$G623=$G$248,J$248,$G623=$G$250,J$250)</f>
        <v>4</v>
      </c>
      <c r="K623" s="48" t="str" cm="1">
        <f t="array" ref="K623">_xlfn.IFS($G623=$G$5,K$5,$G623=$G$6,K$6,$G623=$G$7,K$7,$G623=$G$8,K$8,$G623=$G$9,K$9,$G623=$G$10,K$10,$G623=$G$11,K$11,$G623=$G$12,K$12,$G623=$G$13,K$13,$G623=$G$15,K$15,$G623=$G$16,K$16,$G623=$G$17,K$17,$G623=$G$18,K$18,$G623=$G$19,K$19,$G623=$G$20,K$20,$G623=$G$21,K$21,$G623=$G$22,K$22,$G623=$G$25,K$25,$G623=$G$26,K$26,$G623=$G$27,K$27,$G623=$G$29,K$29,$G623=$G$31,K$31,$G623=$G$32,K$150,$G623=$G$248,K$248,$G623=$G$250,K$250)</f>
        <v>BG sentinel + BG lure7</v>
      </c>
      <c r="L623" s="48" t="str" cm="1">
        <f t="array" ref="L623">_xlfn.IFS($G623=$G$5,L$5,$G623=$G$6,L$6,$G623=$G$7,L$7,$G623=$G$8,L$8,$G623=$G$9,L$9,$G623=$G$10,L$10,$G623=$G$11,L$11,$G623=$G$12,L$12,$G623=$G$13,L$13,$G623=$G$15,L$15,$G623=$G$16,L$16,$G623=$G$17,L$17,$G623=$G$18,L$18,$G623=$G$19,L$19,$G623=$G$20,L$20,$G623=$G$21,L$21,$G623=$G$22,L$22,$G623=$G$25,L$25,$G623=$G$26,L$26,$G623=$G$27,L$27,$G623=$G$29,L$29,$G623=$G$31,L$31,$G623=$G$32,L$32,$G623=$G$248,L$248,$G623=$G$250,L$250)</f>
        <v>Urban habitat</v>
      </c>
      <c r="M623" s="48"/>
      <c r="O623" s="45" t="str">
        <f t="shared" si="45"/>
        <v>A_SP_BCN_4_210826</v>
      </c>
      <c r="P623" s="64">
        <v>44434</v>
      </c>
      <c r="R623" s="72"/>
      <c r="S623" s="64">
        <v>44441</v>
      </c>
      <c r="U623" s="72"/>
      <c r="V623" s="54" t="s">
        <v>66</v>
      </c>
      <c r="X623" s="45">
        <f t="shared" si="48"/>
        <v>7</v>
      </c>
      <c r="Z623" s="45" t="s">
        <v>70</v>
      </c>
      <c r="AA623" s="45">
        <f t="shared" si="50"/>
        <v>6</v>
      </c>
      <c r="AB623" t="str">
        <f t="shared" si="46"/>
        <v>Adult</v>
      </c>
      <c r="AC623" s="69">
        <v>4</v>
      </c>
      <c r="AD623" s="69">
        <v>2</v>
      </c>
      <c r="AE623" s="45" t="str">
        <f t="shared" si="47"/>
        <v>Morphological</v>
      </c>
      <c r="AF623" s="56">
        <v>4</v>
      </c>
    </row>
    <row r="624" spans="1:32" ht="18" customHeight="1" x14ac:dyDescent="0.25">
      <c r="A624" s="45">
        <v>620</v>
      </c>
      <c r="B624" s="45" t="s">
        <v>60</v>
      </c>
      <c r="C624" s="45" t="s">
        <v>61</v>
      </c>
      <c r="D624" s="45" t="s">
        <v>62</v>
      </c>
      <c r="E624" s="45" t="s">
        <v>62</v>
      </c>
      <c r="F624" s="46" cm="1">
        <f t="array" ref="F624">_xlfn.IFS($G624=$G$5,F$5,$G624=$G$6,F$6,$G624=$G$7,F$7,$G624=$G$8,F$8,$G624=$G$9,F$9,$G624=$G$10,F$10,$G624=$G$11,F$11,$G624=$G$12,F$12,$G624=$G$13,F$13,$G624=$G$15,F$15,$G624=$G$16,F$16,$G624=$G$17,F$17,$G624=$G$18,F$18,$G624=$G$19,F$19,$G624=$G$20,F$20,$G624=$G$21,F$21,$G624=$G$22,F$22,$G624=$G$25,F$25,$G624=$G$26,F$26,$G624=$G$27,F$27,$G624=$G$29,F$29,$G624=$G$31,F$31,$G624=$G$32,F$32,$G624=$G$248,F$248,$G624=$G$250,F$250)</f>
        <v>8019</v>
      </c>
      <c r="G624" t="s">
        <v>72</v>
      </c>
      <c r="H624" s="67" cm="1">
        <f t="array" ref="H624">_xlfn.IFS($G624=$G$5,H$5,$G624=$G$6,H$6,$G624=$G$7,H$7,$G624=$G$8,H$8,$G624=$G$9,H$9,$G624=$G$10,H$10,$G624=$G$11,H$11,$G624=$G$12,H$12,$G624=$G$13,H$13,$G624=$G$15,H$15,$G624=$G$16,H$16,$G624=$G$17,H$17,$G624=$G$18,H$18,$G624=$G$19,H$19,$G624=$G$20,H$20,$G624=$G$21,H$21,$G624=$G$22,H$22,$G624=$G$25,H$25,$G624=$G$26,H$26,$G624=$G$27,H$27,$G624=$G$29,H$29,$G624=$G$31,H$31,$G624=$G$32,H$150,$G624=$G$248,H$248,$G624=$G$250,H$250)</f>
        <v>41.382339999999999</v>
      </c>
      <c r="I624" s="67" cm="1">
        <f t="array" ref="I624">_xlfn.IFS($G624=$G$5,I$5,$G624=$G$6,I$6,$G624=$G$7,I$7,$G624=$G$8,I$8,$G624=$G$9,I$9,$G624=$G$10,I$10,$G624=$G$11,I$11,$G624=$G$12,I$12,$G624=$G$13,I$13,$G624=$G$15,I$15,$G624=$G$16,I$16,$G624=$G$17,I$17,$G624=$G$18,I$18,$G624=$G$19,I$19,$G624=$G$20,I$20,$G624=$G$21,I$21,$G624=$G$22,I$22,$G624=$G$25,I$25,$G624=$G$26,I$26,$G624=$G$27,I$27,$G624=$G$29,I$29,$G624=$G$31,I$31,$G624=$G$32,I$150,$G624=$G$248,I$248,$G624=$G$250,I$250)</f>
        <v>2.1714790000000002</v>
      </c>
      <c r="J624" s="48" cm="1">
        <f t="array" ref="J624">_xlfn.IFS($G624=$G$5,J$5,$G624=$G$6,J$6,$G624=$G$7,J$7,$G624=$G$8,J$8,$G624=$G$9,J$9,$G624=$G$10,J$10,$G624=$G$11,J$11,$G624=$G$12,J$12,$G624=$G$13,J$13,$G624=$G$15,J$15,$G624=$G$16,J$16,$G624=$G$17,J$17,$G624=$G$18,J$18,$G624=$G$19,J$19,$G624=$G$20,J$20,$G624=$G$21,J$21,$G624=$G$22,J$22,$G624=$G$25,J$25,$G624=$G$26,J$26,$G624=$G$27,J$27,$G624=$G$29,J$29,$G624=$G$31,J$31,$G624=$G$32,J$150,$G624=$G$248,J$248,$G624=$G$250,J$250)</f>
        <v>18</v>
      </c>
      <c r="K624" s="48" t="str" cm="1">
        <f t="array" ref="K624">_xlfn.IFS($G624=$G$5,K$5,$G624=$G$6,K$6,$G624=$G$7,K$7,$G624=$G$8,K$8,$G624=$G$9,K$9,$G624=$G$10,K$10,$G624=$G$11,K$11,$G624=$G$12,K$12,$G624=$G$13,K$13,$G624=$G$15,K$15,$G624=$G$16,K$16,$G624=$G$17,K$17,$G624=$G$18,K$18,$G624=$G$19,K$19,$G624=$G$20,K$20,$G624=$G$21,K$21,$G624=$G$22,K$22,$G624=$G$25,K$25,$G624=$G$26,K$26,$G624=$G$27,K$27,$G624=$G$29,K$29,$G624=$G$31,K$31,$G624=$G$32,K$150,$G624=$G$248,K$248,$G624=$G$250,K$250)</f>
        <v>BG sentinel + BG lure7</v>
      </c>
      <c r="L624" s="48" t="str" cm="1">
        <f t="array" ref="L624">_xlfn.IFS($G624=$G$5,L$5,$G624=$G$6,L$6,$G624=$G$7,L$7,$G624=$G$8,L$8,$G624=$G$9,L$9,$G624=$G$10,L$10,$G624=$G$11,L$11,$G624=$G$12,L$12,$G624=$G$13,L$13,$G624=$G$15,L$15,$G624=$G$16,L$16,$G624=$G$17,L$17,$G624=$G$18,L$18,$G624=$G$19,L$19,$G624=$G$20,L$20,$G624=$G$21,L$21,$G624=$G$22,L$22,$G624=$G$25,L$25,$G624=$G$26,L$26,$G624=$G$27,L$27,$G624=$G$29,L$29,$G624=$G$31,L$31,$G624=$G$32,L$32,$G624=$G$248,L$248,$G624=$G$250,L$250)</f>
        <v>Urban habitat</v>
      </c>
      <c r="M624" s="48"/>
      <c r="O624" s="45" t="str">
        <f t="shared" si="45"/>
        <v>A_SP_BCN_5_210826</v>
      </c>
      <c r="P624" s="64">
        <v>44434</v>
      </c>
      <c r="R624" s="72"/>
      <c r="S624" s="64">
        <v>44441</v>
      </c>
      <c r="U624" s="72"/>
      <c r="V624" s="54" t="s">
        <v>66</v>
      </c>
      <c r="X624" s="45">
        <f t="shared" si="48"/>
        <v>7</v>
      </c>
      <c r="Z624" s="45" t="s">
        <v>70</v>
      </c>
      <c r="AA624" s="45">
        <f t="shared" si="50"/>
        <v>7</v>
      </c>
      <c r="AB624" t="str">
        <f t="shared" si="46"/>
        <v>Adult</v>
      </c>
      <c r="AC624" s="69">
        <v>4</v>
      </c>
      <c r="AD624" s="69">
        <v>3</v>
      </c>
      <c r="AE624" s="45" t="str">
        <f t="shared" si="47"/>
        <v>Morphological</v>
      </c>
      <c r="AF624" s="56">
        <v>4</v>
      </c>
    </row>
    <row r="625" spans="1:32" ht="18" customHeight="1" x14ac:dyDescent="0.25">
      <c r="A625" s="45">
        <v>621</v>
      </c>
      <c r="B625" s="45" t="s">
        <v>60</v>
      </c>
      <c r="C625" s="45" t="s">
        <v>61</v>
      </c>
      <c r="D625" s="45" t="s">
        <v>62</v>
      </c>
      <c r="E625" s="45" t="s">
        <v>62</v>
      </c>
      <c r="F625" s="46" cm="1">
        <f t="array" ref="F625">_xlfn.IFS($G625=$G$5,F$5,$G625=$G$6,F$6,$G625=$G$7,F$7,$G625=$G$8,F$8,$G625=$G$9,F$9,$G625=$G$10,F$10,$G625=$G$11,F$11,$G625=$G$12,F$12,$G625=$G$13,F$13,$G625=$G$15,F$15,$G625=$G$16,F$16,$G625=$G$17,F$17,$G625=$G$18,F$18,$G625=$G$19,F$19,$G625=$G$20,F$20,$G625=$G$21,F$21,$G625=$G$22,F$22,$G625=$G$25,F$25,$G625=$G$26,F$26,$G625=$G$27,F$27,$G625=$G$29,F$29,$G625=$G$31,F$31,$G625=$G$32,F$32,$G625=$G$248,F$248,$G625=$G$250,F$250)</f>
        <v>8002</v>
      </c>
      <c r="G625" t="s">
        <v>73</v>
      </c>
      <c r="H625" s="67" cm="1">
        <f t="array" ref="H625">_xlfn.IFS($G625=$G$5,H$5,$G625=$G$6,H$6,$G625=$G$7,H$7,$G625=$G$8,H$8,$G625=$G$9,H$9,$G625=$G$10,H$10,$G625=$G$11,H$11,$G625=$G$12,H$12,$G625=$G$13,H$13,$G625=$G$15,H$15,$G625=$G$16,H$16,$G625=$G$17,H$17,$G625=$G$18,H$18,$G625=$G$19,H$19,$G625=$G$20,H$20,$G625=$G$21,H$21,$G625=$G$22,H$22,$G625=$G$25,H$25,$G625=$G$26,H$26,$G625=$G$27,H$27,$G625=$G$29,H$29,$G625=$G$31,H$31,$G625=$G$32,H$150,$G625=$G$248,H$248,$G625=$G$250,H$250)</f>
        <v>41.371864000000002</v>
      </c>
      <c r="I625" s="67" cm="1">
        <f t="array" ref="I625">_xlfn.IFS($G625=$G$5,I$5,$G625=$G$6,I$6,$G625=$G$7,I$7,$G625=$G$8,I$8,$G625=$G$9,I$9,$G625=$G$10,I$10,$G625=$G$11,I$11,$G625=$G$12,I$12,$G625=$G$13,I$13,$G625=$G$15,I$15,$G625=$G$16,I$16,$G625=$G$17,I$17,$G625=$G$18,I$18,$G625=$G$19,I$19,$G625=$G$20,I$20,$G625=$G$21,I$21,$G625=$G$22,I$22,$G625=$G$25,I$25,$G625=$G$26,I$26,$G625=$G$27,I$27,$G625=$G$29,I$29,$G625=$G$31,I$31,$G625=$G$32,I$150,$G625=$G$248,I$248,$G625=$G$250,I$250)</f>
        <v>2.173899</v>
      </c>
      <c r="J625" s="48" cm="1">
        <f t="array" ref="J625">_xlfn.IFS($G625=$G$5,J$5,$G625=$G$6,J$6,$G625=$G$7,J$7,$G625=$G$8,J$8,$G625=$G$9,J$9,$G625=$G$10,J$10,$G625=$G$11,J$11,$G625=$G$12,J$12,$G625=$G$13,J$13,$G625=$G$15,J$15,$G625=$G$16,J$16,$G625=$G$17,J$17,$G625=$G$18,J$18,$G625=$G$19,J$19,$G625=$G$20,J$20,$G625=$G$21,J$21,$G625=$G$22,J$22,$G625=$G$25,J$25,$G625=$G$26,J$26,$G625=$G$27,J$27,$G625=$G$29,J$29,$G625=$G$31,J$31,$G625=$G$32,J$150,$G625=$G$248,J$248,$G625=$G$250,J$250)</f>
        <v>19</v>
      </c>
      <c r="K625" s="48" t="str" cm="1">
        <f t="array" ref="K625">_xlfn.IFS($G625=$G$5,K$5,$G625=$G$6,K$6,$G625=$G$7,K$7,$G625=$G$8,K$8,$G625=$G$9,K$9,$G625=$G$10,K$10,$G625=$G$11,K$11,$G625=$G$12,K$12,$G625=$G$13,K$13,$G625=$G$15,K$15,$G625=$G$16,K$16,$G625=$G$17,K$17,$G625=$G$18,K$18,$G625=$G$19,K$19,$G625=$G$20,K$20,$G625=$G$21,K$21,$G625=$G$22,K$22,$G625=$G$25,K$25,$G625=$G$26,K$26,$G625=$G$27,K$27,$G625=$G$29,K$29,$G625=$G$31,K$31,$G625=$G$32,K$150,$G625=$G$248,K$248,$G625=$G$250,K$250)</f>
        <v>BG sentinel + BG lure7</v>
      </c>
      <c r="L625" s="48" t="str" cm="1">
        <f t="array" ref="L625">_xlfn.IFS($G625=$G$5,L$5,$G625=$G$6,L$6,$G625=$G$7,L$7,$G625=$G$8,L$8,$G625=$G$9,L$9,$G625=$G$10,L$10,$G625=$G$11,L$11,$G625=$G$12,L$12,$G625=$G$13,L$13,$G625=$G$15,L$15,$G625=$G$16,L$16,$G625=$G$17,L$17,$G625=$G$18,L$18,$G625=$G$19,L$19,$G625=$G$20,L$20,$G625=$G$21,L$21,$G625=$G$22,L$22,$G625=$G$25,L$25,$G625=$G$26,L$26,$G625=$G$27,L$27,$G625=$G$29,L$29,$G625=$G$31,L$31,$G625=$G$32,L$32,$G625=$G$248,L$248,$G625=$G$250,L$250)</f>
        <v>Urban habitat</v>
      </c>
      <c r="M625" s="48"/>
      <c r="O625" s="45" t="str">
        <f t="shared" si="45"/>
        <v>A_SP_BCN_6_210826</v>
      </c>
      <c r="P625" s="64">
        <v>44434</v>
      </c>
      <c r="R625" s="72"/>
      <c r="S625" s="64">
        <v>44441</v>
      </c>
      <c r="U625" s="72"/>
      <c r="V625" s="54" t="s">
        <v>66</v>
      </c>
      <c r="X625" s="45">
        <f t="shared" si="48"/>
        <v>7</v>
      </c>
      <c r="AA625" s="45">
        <f t="shared" si="50"/>
        <v>0</v>
      </c>
      <c r="AB625" t="str">
        <f t="shared" si="46"/>
        <v/>
      </c>
      <c r="AE625" s="45" t="str">
        <f t="shared" si="47"/>
        <v/>
      </c>
      <c r="AF625" s="56">
        <v>4</v>
      </c>
    </row>
    <row r="626" spans="1:32" ht="18" customHeight="1" x14ac:dyDescent="0.25">
      <c r="A626" s="45">
        <v>622</v>
      </c>
      <c r="B626" s="45" t="s">
        <v>60</v>
      </c>
      <c r="C626" s="45" t="s">
        <v>61</v>
      </c>
      <c r="D626" s="45" t="s">
        <v>62</v>
      </c>
      <c r="E626" s="45" t="s">
        <v>62</v>
      </c>
      <c r="F626" s="46" cm="1">
        <f t="array" ref="F626">_xlfn.IFS($G626=$G$5,F$5,$G626=$G$6,F$6,$G626=$G$7,F$7,$G626=$G$8,F$8,$G626=$G$9,F$9,$G626=$G$10,F$10,$G626=$G$11,F$11,$G626=$G$12,F$12,$G626=$G$13,F$13,$G626=$G$15,F$15,$G626=$G$16,F$16,$G626=$G$17,F$17,$G626=$G$18,F$18,$G626=$G$19,F$19,$G626=$G$20,F$20,$G626=$G$21,F$21,$G626=$G$22,F$22,$G626=$G$25,F$25,$G626=$G$26,F$26,$G626=$G$27,F$27,$G626=$G$29,F$29,$G626=$G$31,F$31,$G626=$G$32,F$32,$G626=$G$248,F$248,$G626=$G$250,F$250)</f>
        <v>8038</v>
      </c>
      <c r="G626" t="s">
        <v>74</v>
      </c>
      <c r="H626" s="67" cm="1">
        <f t="array" ref="H626">_xlfn.IFS($G626=$G$5,H$5,$G626=$G$6,H$6,$G626=$G$7,H$7,$G626=$G$8,H$8,$G626=$G$9,H$9,$G626=$G$10,H$10,$G626=$G$11,H$11,$G626=$G$12,H$12,$G626=$G$13,H$13,$G626=$G$15,H$15,$G626=$G$16,H$16,$G626=$G$17,H$17,$G626=$G$18,H$18,$G626=$G$19,H$19,$G626=$G$20,H$20,$G626=$G$21,H$21,$G626=$G$22,H$22,$G626=$G$25,H$25,$G626=$G$26,H$26,$G626=$G$27,H$27,$G626=$G$29,H$29,$G626=$G$31,H$31,$G626=$G$32,H$150,$G626=$G$248,H$248,$G626=$G$250,H$250)</f>
        <v>41.371864000000002</v>
      </c>
      <c r="I626" s="67" cm="1">
        <f t="array" ref="I626">_xlfn.IFS($G626=$G$5,I$5,$G626=$G$6,I$6,$G626=$G$7,I$7,$G626=$G$8,I$8,$G626=$G$9,I$9,$G626=$G$10,I$10,$G626=$G$11,I$11,$G626=$G$12,I$12,$G626=$G$13,I$13,$G626=$G$15,I$15,$G626=$G$16,I$16,$G626=$G$17,I$17,$G626=$G$18,I$18,$G626=$G$19,I$19,$G626=$G$20,I$20,$G626=$G$21,I$21,$G626=$G$22,I$22,$G626=$G$25,I$25,$G626=$G$26,I$26,$G626=$G$27,I$27,$G626=$G$29,I$29,$G626=$G$31,I$31,$G626=$G$32,I$150,$G626=$G$248,I$248,$G626=$G$250,I$250)</f>
        <v>2.173899</v>
      </c>
      <c r="J626" s="48" cm="1">
        <f t="array" ref="J626">_xlfn.IFS($G626=$G$5,J$5,$G626=$G$6,J$6,$G626=$G$7,J$7,$G626=$G$8,J$8,$G626=$G$9,J$9,$G626=$G$10,J$10,$G626=$G$11,J$11,$G626=$G$12,J$12,$G626=$G$13,J$13,$G626=$G$15,J$15,$G626=$G$16,J$16,$G626=$G$17,J$17,$G626=$G$18,J$18,$G626=$G$19,J$19,$G626=$G$20,J$20,$G626=$G$21,J$21,$G626=$G$22,J$22,$G626=$G$25,J$25,$G626=$G$26,J$26,$G626=$G$27,J$27,$G626=$G$29,J$29,$G626=$G$31,J$31,$G626=$G$32,J$150,$G626=$G$248,J$248,$G626=$G$250,J$250)</f>
        <v>5</v>
      </c>
      <c r="K626" s="48" t="str" cm="1">
        <f t="array" ref="K626">_xlfn.IFS($G626=$G$5,K$5,$G626=$G$6,K$6,$G626=$G$7,K$7,$G626=$G$8,K$8,$G626=$G$9,K$9,$G626=$G$10,K$10,$G626=$G$11,K$11,$G626=$G$12,K$12,$G626=$G$13,K$13,$G626=$G$15,K$15,$G626=$G$16,K$16,$G626=$G$17,K$17,$G626=$G$18,K$18,$G626=$G$19,K$19,$G626=$G$20,K$20,$G626=$G$21,K$21,$G626=$G$22,K$22,$G626=$G$25,K$25,$G626=$G$26,K$26,$G626=$G$27,K$27,$G626=$G$29,K$29,$G626=$G$31,K$31,$G626=$G$32,K$150,$G626=$G$248,K$248,$G626=$G$250,K$250)</f>
        <v>BG sentinel + BG lure7</v>
      </c>
      <c r="L626" s="48" t="str" cm="1">
        <f t="array" ref="L626">_xlfn.IFS($G626=$G$5,L$5,$G626=$G$6,L$6,$G626=$G$7,L$7,$G626=$G$8,L$8,$G626=$G$9,L$9,$G626=$G$10,L$10,$G626=$G$11,L$11,$G626=$G$12,L$12,$G626=$G$13,L$13,$G626=$G$15,L$15,$G626=$G$16,L$16,$G626=$G$17,L$17,$G626=$G$18,L$18,$G626=$G$19,L$19,$G626=$G$20,L$20,$G626=$G$21,L$21,$G626=$G$22,L$22,$G626=$G$25,L$25,$G626=$G$26,L$26,$G626=$G$27,L$27,$G626=$G$29,L$29,$G626=$G$31,L$31,$G626=$G$32,L$32,$G626=$G$248,L$248,$G626=$G$250,L$250)</f>
        <v>Urban habitat</v>
      </c>
      <c r="M626" s="48"/>
      <c r="O626" s="45" t="str">
        <f t="shared" si="45"/>
        <v>A_SP_BCN_7_210826</v>
      </c>
      <c r="P626" s="64">
        <v>44434</v>
      </c>
      <c r="R626" s="72"/>
      <c r="S626" s="64">
        <v>44441</v>
      </c>
      <c r="U626" s="72"/>
      <c r="V626" s="54" t="s">
        <v>66</v>
      </c>
      <c r="X626" s="45">
        <f t="shared" si="48"/>
        <v>7</v>
      </c>
      <c r="Z626" s="69" t="s">
        <v>69</v>
      </c>
      <c r="AA626" s="45">
        <f t="shared" si="50"/>
        <v>5</v>
      </c>
      <c r="AB626" t="str">
        <f t="shared" si="46"/>
        <v>Adult</v>
      </c>
      <c r="AC626" s="69">
        <v>5</v>
      </c>
      <c r="AD626" s="69">
        <v>0</v>
      </c>
      <c r="AE626" s="45" t="str">
        <f t="shared" si="47"/>
        <v>Morphological</v>
      </c>
      <c r="AF626" s="56">
        <v>4</v>
      </c>
    </row>
    <row r="627" spans="1:32" ht="18" customHeight="1" x14ac:dyDescent="0.25">
      <c r="A627" s="45">
        <v>623</v>
      </c>
      <c r="B627" s="45" t="s">
        <v>60</v>
      </c>
      <c r="C627" s="45" t="s">
        <v>61</v>
      </c>
      <c r="D627" s="45" t="s">
        <v>62</v>
      </c>
      <c r="E627" s="45" t="s">
        <v>62</v>
      </c>
      <c r="F627" s="46" cm="1">
        <f t="array" ref="F627">_xlfn.IFS($G627=$G$5,F$5,$G627=$G$6,F$6,$G627=$G$7,F$7,$G627=$G$8,F$8,$G627=$G$9,F$9,$G627=$G$10,F$10,$G627=$G$11,F$11,$G627=$G$12,F$12,$G627=$G$13,F$13,$G627=$G$15,F$15,$G627=$G$16,F$16,$G627=$G$17,F$17,$G627=$G$18,F$18,$G627=$G$19,F$19,$G627=$G$20,F$20,$G627=$G$21,F$21,$G627=$G$22,F$22,$G627=$G$25,F$25,$G627=$G$26,F$26,$G627=$G$27,F$27,$G627=$G$29,F$29,$G627=$G$31,F$31,$G627=$G$32,F$32,$G627=$G$248,F$248,$G627=$G$250,F$250)</f>
        <v>8038</v>
      </c>
      <c r="G627" t="s">
        <v>74</v>
      </c>
      <c r="H627" s="67" cm="1">
        <f t="array" ref="H627">_xlfn.IFS($G627=$G$5,H$5,$G627=$G$6,H$6,$G627=$G$7,H$7,$G627=$G$8,H$8,$G627=$G$9,H$9,$G627=$G$10,H$10,$G627=$G$11,H$11,$G627=$G$12,H$12,$G627=$G$13,H$13,$G627=$G$15,H$15,$G627=$G$16,H$16,$G627=$G$17,H$17,$G627=$G$18,H$18,$G627=$G$19,H$19,$G627=$G$20,H$20,$G627=$G$21,H$21,$G627=$G$22,H$22,$G627=$G$25,H$25,$G627=$G$26,H$26,$G627=$G$27,H$27,$G627=$G$29,H$29,$G627=$G$31,H$31,$G627=$G$32,H$150,$G627=$G$248,H$248,$G627=$G$250,H$250)</f>
        <v>41.371864000000002</v>
      </c>
      <c r="I627" s="67" cm="1">
        <f t="array" ref="I627">_xlfn.IFS($G627=$G$5,I$5,$G627=$G$6,I$6,$G627=$G$7,I$7,$G627=$G$8,I$8,$G627=$G$9,I$9,$G627=$G$10,I$10,$G627=$G$11,I$11,$G627=$G$12,I$12,$G627=$G$13,I$13,$G627=$G$15,I$15,$G627=$G$16,I$16,$G627=$G$17,I$17,$G627=$G$18,I$18,$G627=$G$19,I$19,$G627=$G$20,I$20,$G627=$G$21,I$21,$G627=$G$22,I$22,$G627=$G$25,I$25,$G627=$G$26,I$26,$G627=$G$27,I$27,$G627=$G$29,I$29,$G627=$G$31,I$31,$G627=$G$32,I$150,$G627=$G$248,I$248,$G627=$G$250,I$250)</f>
        <v>2.173899</v>
      </c>
      <c r="J627" s="48" cm="1">
        <f t="array" ref="J627">_xlfn.IFS($G627=$G$5,J$5,$G627=$G$6,J$6,$G627=$G$7,J$7,$G627=$G$8,J$8,$G627=$G$9,J$9,$G627=$G$10,J$10,$G627=$G$11,J$11,$G627=$G$12,J$12,$G627=$G$13,J$13,$G627=$G$15,J$15,$G627=$G$16,J$16,$G627=$G$17,J$17,$G627=$G$18,J$18,$G627=$G$19,J$19,$G627=$G$20,J$20,$G627=$G$21,J$21,$G627=$G$22,J$22,$G627=$G$25,J$25,$G627=$G$26,J$26,$G627=$G$27,J$27,$G627=$G$29,J$29,$G627=$G$31,J$31,$G627=$G$32,J$150,$G627=$G$248,J$248,$G627=$G$250,J$250)</f>
        <v>5</v>
      </c>
      <c r="K627" s="48" t="str" cm="1">
        <f t="array" ref="K627">_xlfn.IFS($G627=$G$5,K$5,$G627=$G$6,K$6,$G627=$G$7,K$7,$G627=$G$8,K$8,$G627=$G$9,K$9,$G627=$G$10,K$10,$G627=$G$11,K$11,$G627=$G$12,K$12,$G627=$G$13,K$13,$G627=$G$15,K$15,$G627=$G$16,K$16,$G627=$G$17,K$17,$G627=$G$18,K$18,$G627=$G$19,K$19,$G627=$G$20,K$20,$G627=$G$21,K$21,$G627=$G$22,K$22,$G627=$G$25,K$25,$G627=$G$26,K$26,$G627=$G$27,K$27,$G627=$G$29,K$29,$G627=$G$31,K$31,$G627=$G$32,K$150,$G627=$G$248,K$248,$G627=$G$250,K$250)</f>
        <v>BG sentinel + BG lure7</v>
      </c>
      <c r="L627" s="48" t="str" cm="1">
        <f t="array" ref="L627">_xlfn.IFS($G627=$G$5,L$5,$G627=$G$6,L$6,$G627=$G$7,L$7,$G627=$G$8,L$8,$G627=$G$9,L$9,$G627=$G$10,L$10,$G627=$G$11,L$11,$G627=$G$12,L$12,$G627=$G$13,L$13,$G627=$G$15,L$15,$G627=$G$16,L$16,$G627=$G$17,L$17,$G627=$G$18,L$18,$G627=$G$19,L$19,$G627=$G$20,L$20,$G627=$G$21,L$21,$G627=$G$22,L$22,$G627=$G$25,L$25,$G627=$G$26,L$26,$G627=$G$27,L$27,$G627=$G$29,L$29,$G627=$G$31,L$31,$G627=$G$32,L$32,$G627=$G$248,L$248,$G627=$G$250,L$250)</f>
        <v>Urban habitat</v>
      </c>
      <c r="M627" s="48"/>
      <c r="O627" s="45" t="str">
        <f t="shared" si="45"/>
        <v>A_SP_BCN_7_210826</v>
      </c>
      <c r="P627" s="64">
        <v>44434</v>
      </c>
      <c r="R627" s="72"/>
      <c r="S627" s="64">
        <v>44441</v>
      </c>
      <c r="U627" s="72"/>
      <c r="V627" s="54" t="s">
        <v>66</v>
      </c>
      <c r="X627" s="45">
        <f t="shared" si="48"/>
        <v>7</v>
      </c>
      <c r="Z627" s="45" t="s">
        <v>70</v>
      </c>
      <c r="AA627" s="45">
        <f t="shared" si="50"/>
        <v>3</v>
      </c>
      <c r="AB627" t="str">
        <f t="shared" si="46"/>
        <v>Adult</v>
      </c>
      <c r="AC627" s="69">
        <v>2</v>
      </c>
      <c r="AD627" s="69">
        <v>1</v>
      </c>
      <c r="AE627" s="45" t="str">
        <f t="shared" si="47"/>
        <v>Morphological</v>
      </c>
      <c r="AF627" s="56">
        <v>4</v>
      </c>
    </row>
    <row r="628" spans="1:32" ht="18" customHeight="1" x14ac:dyDescent="0.25">
      <c r="A628" s="45">
        <v>624</v>
      </c>
      <c r="B628" s="45" t="s">
        <v>60</v>
      </c>
      <c r="C628" s="45" t="s">
        <v>61</v>
      </c>
      <c r="D628" s="45" t="s">
        <v>62</v>
      </c>
      <c r="E628" s="45" t="s">
        <v>62</v>
      </c>
      <c r="F628" s="46" cm="1">
        <f t="array" ref="F628">_xlfn.IFS($G628=$G$5,F$5,$G628=$G$6,F$6,$G628=$G$7,F$7,$G628=$G$8,F$8,$G628=$G$9,F$9,$G628=$G$10,F$10,$G628=$G$11,F$11,$G628=$G$12,F$12,$G628=$G$13,F$13,$G628=$G$15,F$15,$G628=$G$16,F$16,$G628=$G$17,F$17,$G628=$G$18,F$18,$G628=$G$19,F$19,$G628=$G$20,F$20,$G628=$G$21,F$21,$G628=$G$22,F$22,$G628=$G$25,F$25,$G628=$G$26,F$26,$G628=$G$27,F$27,$G628=$G$29,F$29,$G628=$G$31,F$31,$G628=$G$32,F$32,$G628=$G$248,F$248,$G628=$G$250,F$250)</f>
        <v>8038</v>
      </c>
      <c r="G628" t="s">
        <v>75</v>
      </c>
      <c r="H628" s="67" cm="1">
        <f t="array" ref="H628">_xlfn.IFS($G628=$G$5,H$5,$G628=$G$6,H$6,$G628=$G$7,H$7,$G628=$G$8,H$8,$G628=$G$9,H$9,$G628=$G$10,H$10,$G628=$G$11,H$11,$G628=$G$12,H$12,$G628=$G$13,H$13,$G628=$G$15,H$15,$G628=$G$16,H$16,$G628=$G$17,H$17,$G628=$G$18,H$18,$G628=$G$19,H$19,$G628=$G$20,H$20,$G628=$G$21,H$21,$G628=$G$22,H$22,$G628=$G$25,H$25,$G628=$G$26,H$26,$G628=$G$27,H$27,$G628=$G$29,H$29,$G628=$G$31,H$31,$G628=$G$32,H$150,$G628=$G$248,H$248,$G628=$G$250,H$250)</f>
        <v>41.368589</v>
      </c>
      <c r="I628" s="67" cm="1">
        <f t="array" ref="I628">_xlfn.IFS($G628=$G$5,I$5,$G628=$G$6,I$6,$G628=$G$7,I$7,$G628=$G$8,I$8,$G628=$G$9,I$9,$G628=$G$10,I$10,$G628=$G$11,I$11,$G628=$G$12,I$12,$G628=$G$13,I$13,$G628=$G$15,I$15,$G628=$G$16,I$16,$G628=$G$17,I$17,$G628=$G$18,I$18,$G628=$G$19,I$19,$G628=$G$20,I$20,$G628=$G$21,I$21,$G628=$G$22,I$22,$G628=$G$25,I$25,$G628=$G$26,I$26,$G628=$G$27,I$27,$G628=$G$29,I$29,$G628=$G$31,I$31,$G628=$G$32,I$150,$G628=$G$248,I$248,$G628=$G$250,I$250)</f>
        <v>2.1620900000000001</v>
      </c>
      <c r="J628" s="48" cm="1">
        <f t="array" ref="J628">_xlfn.IFS($G628=$G$5,J$5,$G628=$G$6,J$6,$G628=$G$7,J$7,$G628=$G$8,J$8,$G628=$G$9,J$9,$G628=$G$10,J$10,$G628=$G$11,J$11,$G628=$G$12,J$12,$G628=$G$13,J$13,$G628=$G$15,J$15,$G628=$G$16,J$16,$G628=$G$17,J$17,$G628=$G$18,J$18,$G628=$G$19,J$19,$G628=$G$20,J$20,$G628=$G$21,J$21,$G628=$G$22,J$22,$G628=$G$25,J$25,$G628=$G$26,J$26,$G628=$G$27,J$27,$G628=$G$29,J$29,$G628=$G$31,J$31,$G628=$G$32,J$150,$G628=$G$248,J$248,$G628=$G$250,J$250)</f>
        <v>95</v>
      </c>
      <c r="K628" s="48" t="str" cm="1">
        <f t="array" ref="K628">_xlfn.IFS($G628=$G$5,K$5,$G628=$G$6,K$6,$G628=$G$7,K$7,$G628=$G$8,K$8,$G628=$G$9,K$9,$G628=$G$10,K$10,$G628=$G$11,K$11,$G628=$G$12,K$12,$G628=$G$13,K$13,$G628=$G$15,K$15,$G628=$G$16,K$16,$G628=$G$17,K$17,$G628=$G$18,K$18,$G628=$G$19,K$19,$G628=$G$20,K$20,$G628=$G$21,K$21,$G628=$G$22,K$22,$G628=$G$25,K$25,$G628=$G$26,K$26,$G628=$G$27,K$27,$G628=$G$29,K$29,$G628=$G$31,K$31,$G628=$G$32,K$150,$G628=$G$248,K$248,$G628=$G$250,K$250)</f>
        <v>BG sentinel + BG lure7</v>
      </c>
      <c r="L628" s="48" t="str" cm="1">
        <f t="array" ref="L628">_xlfn.IFS($G628=$G$5,L$5,$G628=$G$6,L$6,$G628=$G$7,L$7,$G628=$G$8,L$8,$G628=$G$9,L$9,$G628=$G$10,L$10,$G628=$G$11,L$11,$G628=$G$12,L$12,$G628=$G$13,L$13,$G628=$G$15,L$15,$G628=$G$16,L$16,$G628=$G$17,L$17,$G628=$G$18,L$18,$G628=$G$19,L$19,$G628=$G$20,L$20,$G628=$G$21,L$21,$G628=$G$22,L$22,$G628=$G$25,L$25,$G628=$G$26,L$26,$G628=$G$27,L$27,$G628=$G$29,L$29,$G628=$G$31,L$31,$G628=$G$32,L$32,$G628=$G$248,L$248,$G628=$G$250,L$250)</f>
        <v>Other</v>
      </c>
      <c r="M628" s="48"/>
      <c r="O628" s="45" t="str">
        <f t="shared" si="45"/>
        <v>A_SP_BCN_8_210826</v>
      </c>
      <c r="P628" s="64">
        <v>44434</v>
      </c>
      <c r="R628" s="72"/>
      <c r="S628" s="64">
        <v>44441</v>
      </c>
      <c r="U628" s="72"/>
      <c r="V628" s="54" t="s">
        <v>66</v>
      </c>
      <c r="X628" s="45">
        <f t="shared" si="48"/>
        <v>7</v>
      </c>
      <c r="Z628" s="69" t="s">
        <v>69</v>
      </c>
      <c r="AA628" s="45">
        <f t="shared" si="50"/>
        <v>21</v>
      </c>
      <c r="AB628" t="str">
        <f t="shared" si="46"/>
        <v>Adult</v>
      </c>
      <c r="AC628" s="69">
        <v>20</v>
      </c>
      <c r="AD628" s="69">
        <v>1</v>
      </c>
      <c r="AE628" s="45" t="str">
        <f t="shared" si="47"/>
        <v>Morphological</v>
      </c>
      <c r="AF628" s="56">
        <v>4</v>
      </c>
    </row>
    <row r="629" spans="1:32" ht="18" customHeight="1" x14ac:dyDescent="0.25">
      <c r="A629" s="45">
        <v>625</v>
      </c>
      <c r="B629" s="45" t="s">
        <v>60</v>
      </c>
      <c r="C629" s="45" t="s">
        <v>61</v>
      </c>
      <c r="D629" s="45" t="s">
        <v>62</v>
      </c>
      <c r="E629" s="45" t="s">
        <v>62</v>
      </c>
      <c r="F629" s="46" cm="1">
        <f t="array" ref="F629">_xlfn.IFS($G629=$G$5,F$5,$G629=$G$6,F$6,$G629=$G$7,F$7,$G629=$G$8,F$8,$G629=$G$9,F$9,$G629=$G$10,F$10,$G629=$G$11,F$11,$G629=$G$12,F$12,$G629=$G$13,F$13,$G629=$G$15,F$15,$G629=$G$16,F$16,$G629=$G$17,F$17,$G629=$G$18,F$18,$G629=$G$19,F$19,$G629=$G$20,F$20,$G629=$G$21,F$21,$G629=$G$22,F$22,$G629=$G$25,F$25,$G629=$G$26,F$26,$G629=$G$27,F$27,$G629=$G$29,F$29,$G629=$G$31,F$31,$G629=$G$32,F$32,$G629=$G$248,F$248,$G629=$G$250,F$250)</f>
        <v>8038</v>
      </c>
      <c r="G629" t="s">
        <v>75</v>
      </c>
      <c r="H629" s="67" cm="1">
        <f t="array" ref="H629">_xlfn.IFS($G629=$G$5,H$5,$G629=$G$6,H$6,$G629=$G$7,H$7,$G629=$G$8,H$8,$G629=$G$9,H$9,$G629=$G$10,H$10,$G629=$G$11,H$11,$G629=$G$12,H$12,$G629=$G$13,H$13,$G629=$G$15,H$15,$G629=$G$16,H$16,$G629=$G$17,H$17,$G629=$G$18,H$18,$G629=$G$19,H$19,$G629=$G$20,H$20,$G629=$G$21,H$21,$G629=$G$22,H$22,$G629=$G$25,H$25,$G629=$G$26,H$26,$G629=$G$27,H$27,$G629=$G$29,H$29,$G629=$G$31,H$31,$G629=$G$32,H$150,$G629=$G$248,H$248,$G629=$G$250,H$250)</f>
        <v>41.368589</v>
      </c>
      <c r="I629" s="67" cm="1">
        <f t="array" ref="I629">_xlfn.IFS($G629=$G$5,I$5,$G629=$G$6,I$6,$G629=$G$7,I$7,$G629=$G$8,I$8,$G629=$G$9,I$9,$G629=$G$10,I$10,$G629=$G$11,I$11,$G629=$G$12,I$12,$G629=$G$13,I$13,$G629=$G$15,I$15,$G629=$G$16,I$16,$G629=$G$17,I$17,$G629=$G$18,I$18,$G629=$G$19,I$19,$G629=$G$20,I$20,$G629=$G$21,I$21,$G629=$G$22,I$22,$G629=$G$25,I$25,$G629=$G$26,I$26,$G629=$G$27,I$27,$G629=$G$29,I$29,$G629=$G$31,I$31,$G629=$G$32,I$150,$G629=$G$248,I$248,$G629=$G$250,I$250)</f>
        <v>2.1620900000000001</v>
      </c>
      <c r="J629" s="48" cm="1">
        <f t="array" ref="J629">_xlfn.IFS($G629=$G$5,J$5,$G629=$G$6,J$6,$G629=$G$7,J$7,$G629=$G$8,J$8,$G629=$G$9,J$9,$G629=$G$10,J$10,$G629=$G$11,J$11,$G629=$G$12,J$12,$G629=$G$13,J$13,$G629=$G$15,J$15,$G629=$G$16,J$16,$G629=$G$17,J$17,$G629=$G$18,J$18,$G629=$G$19,J$19,$G629=$G$20,J$20,$G629=$G$21,J$21,$G629=$G$22,J$22,$G629=$G$25,J$25,$G629=$G$26,J$26,$G629=$G$27,J$27,$G629=$G$29,J$29,$G629=$G$31,J$31,$G629=$G$32,J$150,$G629=$G$248,J$248,$G629=$G$250,J$250)</f>
        <v>95</v>
      </c>
      <c r="K629" s="48" t="str" cm="1">
        <f t="array" ref="K629">_xlfn.IFS($G629=$G$5,K$5,$G629=$G$6,K$6,$G629=$G$7,K$7,$G629=$G$8,K$8,$G629=$G$9,K$9,$G629=$G$10,K$10,$G629=$G$11,K$11,$G629=$G$12,K$12,$G629=$G$13,K$13,$G629=$G$15,K$15,$G629=$G$16,K$16,$G629=$G$17,K$17,$G629=$G$18,K$18,$G629=$G$19,K$19,$G629=$G$20,K$20,$G629=$G$21,K$21,$G629=$G$22,K$22,$G629=$G$25,K$25,$G629=$G$26,K$26,$G629=$G$27,K$27,$G629=$G$29,K$29,$G629=$G$31,K$31,$G629=$G$32,K$150,$G629=$G$248,K$248,$G629=$G$250,K$250)</f>
        <v>BG sentinel + BG lure7</v>
      </c>
      <c r="L629" s="48" t="str" cm="1">
        <f t="array" ref="L629">_xlfn.IFS($G629=$G$5,L$5,$G629=$G$6,L$6,$G629=$G$7,L$7,$G629=$G$8,L$8,$G629=$G$9,L$9,$G629=$G$10,L$10,$G629=$G$11,L$11,$G629=$G$12,L$12,$G629=$G$13,L$13,$G629=$G$15,L$15,$G629=$G$16,L$16,$G629=$G$17,L$17,$G629=$G$18,L$18,$G629=$G$19,L$19,$G629=$G$20,L$20,$G629=$G$21,L$21,$G629=$G$22,L$22,$G629=$G$25,L$25,$G629=$G$26,L$26,$G629=$G$27,L$27,$G629=$G$29,L$29,$G629=$G$31,L$31,$G629=$G$32,L$32,$G629=$G$248,L$248,$G629=$G$250,L$250)</f>
        <v>Other</v>
      </c>
      <c r="M629" s="48"/>
      <c r="O629" s="45" t="str">
        <f t="shared" si="45"/>
        <v>A_SP_BCN_8_210826</v>
      </c>
      <c r="P629" s="64">
        <v>44434</v>
      </c>
      <c r="R629" s="72"/>
      <c r="S629" s="64">
        <v>44441</v>
      </c>
      <c r="U629" s="72"/>
      <c r="V629" s="54" t="s">
        <v>66</v>
      </c>
      <c r="X629" s="45">
        <f t="shared" si="48"/>
        <v>7</v>
      </c>
      <c r="Z629" s="45" t="s">
        <v>70</v>
      </c>
      <c r="AA629" s="45">
        <f t="shared" si="50"/>
        <v>3</v>
      </c>
      <c r="AB629" t="str">
        <f t="shared" si="46"/>
        <v>Adult</v>
      </c>
      <c r="AC629" s="69">
        <v>3</v>
      </c>
      <c r="AD629" s="69">
        <v>0</v>
      </c>
      <c r="AE629" s="45" t="str">
        <f t="shared" si="47"/>
        <v>Morphological</v>
      </c>
      <c r="AF629" s="56">
        <v>4</v>
      </c>
    </row>
    <row r="630" spans="1:32" ht="18" customHeight="1" x14ac:dyDescent="0.25">
      <c r="A630" s="45">
        <v>626</v>
      </c>
      <c r="B630" s="45" t="s">
        <v>60</v>
      </c>
      <c r="C630" s="45" t="s">
        <v>61</v>
      </c>
      <c r="D630" s="45" t="s">
        <v>62</v>
      </c>
      <c r="E630" s="45" t="s">
        <v>62</v>
      </c>
      <c r="F630" s="46" cm="1">
        <f t="array" ref="F630">_xlfn.IFS($G630=$G$5,F$5,$G630=$G$6,F$6,$G630=$G$7,F$7,$G630=$G$8,F$8,$G630=$G$9,F$9,$G630=$G$10,F$10,$G630=$G$11,F$11,$G630=$G$12,F$12,$G630=$G$13,F$13,$G630=$G$15,F$15,$G630=$G$16,F$16,$G630=$G$17,F$17,$G630=$G$18,F$18,$G630=$G$19,F$19,$G630=$G$20,F$20,$G630=$G$21,F$21,$G630=$G$22,F$22,$G630=$G$25,F$25,$G630=$G$26,F$26,$G630=$G$27,F$27,$G630=$G$29,F$29,$G630=$G$31,F$31,$G630=$G$32,F$32,$G630=$G$248,F$248,$G630=$G$250,F$250)</f>
        <v>8038</v>
      </c>
      <c r="G630" t="s">
        <v>75</v>
      </c>
      <c r="H630" s="67" cm="1">
        <f t="array" ref="H630">_xlfn.IFS($G630=$G$5,H$5,$G630=$G$6,H$6,$G630=$G$7,H$7,$G630=$G$8,H$8,$G630=$G$9,H$9,$G630=$G$10,H$10,$G630=$G$11,H$11,$G630=$G$12,H$12,$G630=$G$13,H$13,$G630=$G$15,H$15,$G630=$G$16,H$16,$G630=$G$17,H$17,$G630=$G$18,H$18,$G630=$G$19,H$19,$G630=$G$20,H$20,$G630=$G$21,H$21,$G630=$G$22,H$22,$G630=$G$25,H$25,$G630=$G$26,H$26,$G630=$G$27,H$27,$G630=$G$29,H$29,$G630=$G$31,H$31,$G630=$G$32,H$150,$G630=$G$248,H$248,$G630=$G$250,H$250)</f>
        <v>41.368589</v>
      </c>
      <c r="I630" s="67" cm="1">
        <f t="array" ref="I630">_xlfn.IFS($G630=$G$5,I$5,$G630=$G$6,I$6,$G630=$G$7,I$7,$G630=$G$8,I$8,$G630=$G$9,I$9,$G630=$G$10,I$10,$G630=$G$11,I$11,$G630=$G$12,I$12,$G630=$G$13,I$13,$G630=$G$15,I$15,$G630=$G$16,I$16,$G630=$G$17,I$17,$G630=$G$18,I$18,$G630=$G$19,I$19,$G630=$G$20,I$20,$G630=$G$21,I$21,$G630=$G$22,I$22,$G630=$G$25,I$25,$G630=$G$26,I$26,$G630=$G$27,I$27,$G630=$G$29,I$29,$G630=$G$31,I$31,$G630=$G$32,I$150,$G630=$G$248,I$248,$G630=$G$250,I$250)</f>
        <v>2.1620900000000001</v>
      </c>
      <c r="J630" s="48" cm="1">
        <f t="array" ref="J630">_xlfn.IFS($G630=$G$5,J$5,$G630=$G$6,J$6,$G630=$G$7,J$7,$G630=$G$8,J$8,$G630=$G$9,J$9,$G630=$G$10,J$10,$G630=$G$11,J$11,$G630=$G$12,J$12,$G630=$G$13,J$13,$G630=$G$15,J$15,$G630=$G$16,J$16,$G630=$G$17,J$17,$G630=$G$18,J$18,$G630=$G$19,J$19,$G630=$G$20,J$20,$G630=$G$21,J$21,$G630=$G$22,J$22,$G630=$G$25,J$25,$G630=$G$26,J$26,$G630=$G$27,J$27,$G630=$G$29,J$29,$G630=$G$31,J$31,$G630=$G$32,J$150,$G630=$G$248,J$248,$G630=$G$250,J$250)</f>
        <v>95</v>
      </c>
      <c r="K630" s="48" t="str" cm="1">
        <f t="array" ref="K630">_xlfn.IFS($G630=$G$5,K$5,$G630=$G$6,K$6,$G630=$G$7,K$7,$G630=$G$8,K$8,$G630=$G$9,K$9,$G630=$G$10,K$10,$G630=$G$11,K$11,$G630=$G$12,K$12,$G630=$G$13,K$13,$G630=$G$15,K$15,$G630=$G$16,K$16,$G630=$G$17,K$17,$G630=$G$18,K$18,$G630=$G$19,K$19,$G630=$G$20,K$20,$G630=$G$21,K$21,$G630=$G$22,K$22,$G630=$G$25,K$25,$G630=$G$26,K$26,$G630=$G$27,K$27,$G630=$G$29,K$29,$G630=$G$31,K$31,$G630=$G$32,K$150,$G630=$G$248,K$248,$G630=$G$250,K$250)</f>
        <v>BG sentinel + BG lure7</v>
      </c>
      <c r="L630" s="48" t="str" cm="1">
        <f t="array" ref="L630">_xlfn.IFS($G630=$G$5,L$5,$G630=$G$6,L$6,$G630=$G$7,L$7,$G630=$G$8,L$8,$G630=$G$9,L$9,$G630=$G$10,L$10,$G630=$G$11,L$11,$G630=$G$12,L$12,$G630=$G$13,L$13,$G630=$G$15,L$15,$G630=$G$16,L$16,$G630=$G$17,L$17,$G630=$G$18,L$18,$G630=$G$19,L$19,$G630=$G$20,L$20,$G630=$G$21,L$21,$G630=$G$22,L$22,$G630=$G$25,L$25,$G630=$G$26,L$26,$G630=$G$27,L$27,$G630=$G$29,L$29,$G630=$G$31,L$31,$G630=$G$32,L$32,$G630=$G$248,L$248,$G630=$G$250,L$250)</f>
        <v>Other</v>
      </c>
      <c r="M630" s="48"/>
      <c r="O630" s="45" t="str">
        <f t="shared" si="45"/>
        <v>A_SP_BCN_8_210826</v>
      </c>
      <c r="P630" s="64">
        <v>44434</v>
      </c>
      <c r="R630" s="72"/>
      <c r="S630" s="64">
        <v>44441</v>
      </c>
      <c r="U630" s="72"/>
      <c r="V630" s="54" t="s">
        <v>66</v>
      </c>
      <c r="X630" s="45">
        <f t="shared" si="48"/>
        <v>7</v>
      </c>
      <c r="Z630" s="45" t="s">
        <v>80</v>
      </c>
      <c r="AA630" s="45">
        <f t="shared" si="50"/>
        <v>1</v>
      </c>
      <c r="AB630" t="str">
        <f t="shared" si="46"/>
        <v>Adult</v>
      </c>
      <c r="AC630" s="69">
        <v>1</v>
      </c>
      <c r="AD630" s="69">
        <v>0</v>
      </c>
      <c r="AE630" s="45" t="str">
        <f t="shared" si="47"/>
        <v>Morphological</v>
      </c>
      <c r="AF630" s="56">
        <v>4</v>
      </c>
    </row>
    <row r="631" spans="1:32" ht="18" customHeight="1" x14ac:dyDescent="0.25">
      <c r="A631" s="45">
        <v>627</v>
      </c>
      <c r="B631" s="45" t="s">
        <v>60</v>
      </c>
      <c r="C631" s="45" t="s">
        <v>61</v>
      </c>
      <c r="D631" s="45" t="s">
        <v>62</v>
      </c>
      <c r="E631" s="45" t="s">
        <v>62</v>
      </c>
      <c r="F631" s="46" cm="1">
        <f t="array" ref="F631">_xlfn.IFS($G631=$G$5,F$5,$G631=$G$6,F$6,$G631=$G$7,F$7,$G631=$G$8,F$8,$G631=$G$9,F$9,$G631=$G$10,F$10,$G631=$G$11,F$11,$G631=$G$12,F$12,$G631=$G$13,F$13,$G631=$G$15,F$15,$G631=$G$16,F$16,$G631=$G$17,F$17,$G631=$G$18,F$18,$G631=$G$19,F$19,$G631=$G$20,F$20,$G631=$G$21,F$21,$G631=$G$22,F$22,$G631=$G$25,F$25,$G631=$G$26,F$26,$G631=$G$27,F$27,$G631=$G$29,F$29,$G631=$G$31,F$31,$G631=$G$32,F$32,$G631=$G$248,F$248,$G631=$G$250,F$250)</f>
        <v>8040</v>
      </c>
      <c r="G631" t="s">
        <v>81</v>
      </c>
      <c r="H631" s="67" cm="1">
        <f t="array" ref="H631">_xlfn.IFS($G631=$G$5,H$5,$G631=$G$6,H$6,$G631=$G$7,H$7,$G631=$G$8,H$8,$G631=$G$9,H$9,$G631=$G$10,H$10,$G631=$G$11,H$11,$G631=$G$12,H$12,$G631=$G$13,H$13,$G631=$G$15,H$15,$G631=$G$16,H$16,$G631=$G$17,H$17,$G631=$G$18,H$18,$G631=$G$19,H$19,$G631=$G$20,H$20,$G631=$G$21,H$21,$G631=$G$22,H$22,$G631=$G$25,H$25,$G631=$G$26,H$26,$G631=$G$27,H$27,$G631=$G$29,H$29,$G631=$G$31,H$31,$G631=$G$32,H$150,$G631=$G$248,H$248,$G631=$G$250,H$250)</f>
        <v>41.343685000000001</v>
      </c>
      <c r="I631" s="67" cm="1">
        <f t="array" ref="I631">_xlfn.IFS($G631=$G$5,I$5,$G631=$G$6,I$6,$G631=$G$7,I$7,$G631=$G$8,I$8,$G631=$G$9,I$9,$G631=$G$10,I$10,$G631=$G$11,I$11,$G631=$G$12,I$12,$G631=$G$13,I$13,$G631=$G$15,I$15,$G631=$G$16,I$16,$G631=$G$17,I$17,$G631=$G$18,I$18,$G631=$G$19,I$19,$G631=$G$20,I$20,$G631=$G$21,I$21,$G631=$G$22,I$22,$G631=$G$25,I$25,$G631=$G$26,I$26,$G631=$G$27,I$27,$G631=$G$29,I$29,$G631=$G$31,I$31,$G631=$G$32,I$150,$G631=$G$248,I$248,$G631=$G$250,I$250)</f>
        <v>2.1441490000000001</v>
      </c>
      <c r="J631" s="48" cm="1">
        <f t="array" ref="J631">_xlfn.IFS($G631=$G$5,J$5,$G631=$G$6,J$6,$G631=$G$7,J$7,$G631=$G$8,J$8,$G631=$G$9,J$9,$G631=$G$10,J$10,$G631=$G$11,J$11,$G631=$G$12,J$12,$G631=$G$13,J$13,$G631=$G$15,J$15,$G631=$G$16,J$16,$G631=$G$17,J$17,$G631=$G$18,J$18,$G631=$G$19,J$19,$G631=$G$20,J$20,$G631=$G$21,J$21,$G631=$G$22,J$22,$G631=$G$25,J$25,$G631=$G$26,J$26,$G631=$G$27,J$27,$G631=$G$29,J$29,$G631=$G$31,J$31,$G631=$G$32,J$150,$G631=$G$248,J$248,$G631=$G$250,J$250)</f>
        <v>4</v>
      </c>
      <c r="K631" s="48" t="str" cm="1">
        <f t="array" ref="K631">_xlfn.IFS($G631=$G$5,K$5,$G631=$G$6,K$6,$G631=$G$7,K$7,$G631=$G$8,K$8,$G631=$G$9,K$9,$G631=$G$10,K$10,$G631=$G$11,K$11,$G631=$G$12,K$12,$G631=$G$13,K$13,$G631=$G$15,K$15,$G631=$G$16,K$16,$G631=$G$17,K$17,$G631=$G$18,K$18,$G631=$G$19,K$19,$G631=$G$20,K$20,$G631=$G$21,K$21,$G631=$G$22,K$22,$G631=$G$25,K$25,$G631=$G$26,K$26,$G631=$G$27,K$27,$G631=$G$29,K$29,$G631=$G$31,K$31,$G631=$G$32,K$150,$G631=$G$248,K$248,$G631=$G$250,K$250)</f>
        <v>BG sentinel + BG lure7</v>
      </c>
      <c r="L631" s="48" t="str" cm="1">
        <f t="array" ref="L631">_xlfn.IFS($G631=$G$5,L$5,$G631=$G$6,L$6,$G631=$G$7,L$7,$G631=$G$8,L$8,$G631=$G$9,L$9,$G631=$G$10,L$10,$G631=$G$11,L$11,$G631=$G$12,L$12,$G631=$G$13,L$13,$G631=$G$15,L$15,$G631=$G$16,L$16,$G631=$G$17,L$17,$G631=$G$18,L$18,$G631=$G$19,L$19,$G631=$G$20,L$20,$G631=$G$21,L$21,$G631=$G$22,L$22,$G631=$G$25,L$25,$G631=$G$26,L$26,$G631=$G$27,L$27,$G631=$G$29,L$29,$G631=$G$31,L$31,$G631=$G$32,L$32,$G631=$G$248,L$248,$G631=$G$250,L$250)</f>
        <v>Urban habitat</v>
      </c>
      <c r="M631" s="48"/>
      <c r="O631" s="45" t="str">
        <f t="shared" si="45"/>
        <v>A_SP_BCN_10_210826</v>
      </c>
      <c r="P631" s="64">
        <v>44434</v>
      </c>
      <c r="R631" s="72"/>
      <c r="S631" s="64">
        <v>44441</v>
      </c>
      <c r="U631" s="72"/>
      <c r="V631" s="54" t="s">
        <v>66</v>
      </c>
      <c r="X631" s="45">
        <f t="shared" si="48"/>
        <v>7</v>
      </c>
      <c r="Z631" s="69" t="s">
        <v>69</v>
      </c>
      <c r="AA631" s="45">
        <f t="shared" si="50"/>
        <v>10</v>
      </c>
      <c r="AB631" t="str">
        <f t="shared" si="46"/>
        <v>Adult</v>
      </c>
      <c r="AC631" s="69">
        <v>6</v>
      </c>
      <c r="AD631" s="69">
        <v>4</v>
      </c>
      <c r="AE631" s="45" t="str">
        <f t="shared" si="47"/>
        <v>Morphological</v>
      </c>
      <c r="AF631" s="56">
        <v>4</v>
      </c>
    </row>
    <row r="632" spans="1:32" ht="18" customHeight="1" x14ac:dyDescent="0.25">
      <c r="A632" s="45">
        <v>628</v>
      </c>
      <c r="B632" s="45" t="s">
        <v>60</v>
      </c>
      <c r="C632" s="45" t="s">
        <v>61</v>
      </c>
      <c r="D632" s="45" t="s">
        <v>62</v>
      </c>
      <c r="E632" s="45" t="s">
        <v>62</v>
      </c>
      <c r="F632" s="46" cm="1">
        <f t="array" ref="F632">_xlfn.IFS($G632=$G$5,F$5,$G632=$G$6,F$6,$G632=$G$7,F$7,$G632=$G$8,F$8,$G632=$G$9,F$9,$G632=$G$10,F$10,$G632=$G$11,F$11,$G632=$G$12,F$12,$G632=$G$13,F$13,$G632=$G$15,F$15,$G632=$G$16,F$16,$G632=$G$17,F$17,$G632=$G$18,F$18,$G632=$G$19,F$19,$G632=$G$20,F$20,$G632=$G$21,F$21,$G632=$G$22,F$22,$G632=$G$25,F$25,$G632=$G$26,F$26,$G632=$G$27,F$27,$G632=$G$29,F$29,$G632=$G$31,F$31,$G632=$G$32,F$32,$G632=$G$248,F$248,$G632=$G$250,F$250)</f>
        <v>8040</v>
      </c>
      <c r="G632" t="s">
        <v>81</v>
      </c>
      <c r="H632" s="67" cm="1">
        <f t="array" ref="H632">_xlfn.IFS($G632=$G$5,H$5,$G632=$G$6,H$6,$G632=$G$7,H$7,$G632=$G$8,H$8,$G632=$G$9,H$9,$G632=$G$10,H$10,$G632=$G$11,H$11,$G632=$G$12,H$12,$G632=$G$13,H$13,$G632=$G$15,H$15,$G632=$G$16,H$16,$G632=$G$17,H$17,$G632=$G$18,H$18,$G632=$G$19,H$19,$G632=$G$20,H$20,$G632=$G$21,H$21,$G632=$G$22,H$22,$G632=$G$25,H$25,$G632=$G$26,H$26,$G632=$G$27,H$27,$G632=$G$29,H$29,$G632=$G$31,H$31,$G632=$G$32,H$150,$G632=$G$248,H$248,$G632=$G$250,H$250)</f>
        <v>41.343685000000001</v>
      </c>
      <c r="I632" s="67" cm="1">
        <f t="array" ref="I632">_xlfn.IFS($G632=$G$5,I$5,$G632=$G$6,I$6,$G632=$G$7,I$7,$G632=$G$8,I$8,$G632=$G$9,I$9,$G632=$G$10,I$10,$G632=$G$11,I$11,$G632=$G$12,I$12,$G632=$G$13,I$13,$G632=$G$15,I$15,$G632=$G$16,I$16,$G632=$G$17,I$17,$G632=$G$18,I$18,$G632=$G$19,I$19,$G632=$G$20,I$20,$G632=$G$21,I$21,$G632=$G$22,I$22,$G632=$G$25,I$25,$G632=$G$26,I$26,$G632=$G$27,I$27,$G632=$G$29,I$29,$G632=$G$31,I$31,$G632=$G$32,I$150,$G632=$G$248,I$248,$G632=$G$250,I$250)</f>
        <v>2.1441490000000001</v>
      </c>
      <c r="J632" s="48" cm="1">
        <f t="array" ref="J632">_xlfn.IFS($G632=$G$5,J$5,$G632=$G$6,J$6,$G632=$G$7,J$7,$G632=$G$8,J$8,$G632=$G$9,J$9,$G632=$G$10,J$10,$G632=$G$11,J$11,$G632=$G$12,J$12,$G632=$G$13,J$13,$G632=$G$15,J$15,$G632=$G$16,J$16,$G632=$G$17,J$17,$G632=$G$18,J$18,$G632=$G$19,J$19,$G632=$G$20,J$20,$G632=$G$21,J$21,$G632=$G$22,J$22,$G632=$G$25,J$25,$G632=$G$26,J$26,$G632=$G$27,J$27,$G632=$G$29,J$29,$G632=$G$31,J$31,$G632=$G$32,J$150,$G632=$G$248,J$248,$G632=$G$250,J$250)</f>
        <v>4</v>
      </c>
      <c r="K632" s="48" t="str" cm="1">
        <f t="array" ref="K632">_xlfn.IFS($G632=$G$5,K$5,$G632=$G$6,K$6,$G632=$G$7,K$7,$G632=$G$8,K$8,$G632=$G$9,K$9,$G632=$G$10,K$10,$G632=$G$11,K$11,$G632=$G$12,K$12,$G632=$G$13,K$13,$G632=$G$15,K$15,$G632=$G$16,K$16,$G632=$G$17,K$17,$G632=$G$18,K$18,$G632=$G$19,K$19,$G632=$G$20,K$20,$G632=$G$21,K$21,$G632=$G$22,K$22,$G632=$G$25,K$25,$G632=$G$26,K$26,$G632=$G$27,K$27,$G632=$G$29,K$29,$G632=$G$31,K$31,$G632=$G$32,K$150,$G632=$G$248,K$248,$G632=$G$250,K$250)</f>
        <v>BG sentinel + BG lure7</v>
      </c>
      <c r="L632" s="48" t="str" cm="1">
        <f t="array" ref="L632">_xlfn.IFS($G632=$G$5,L$5,$G632=$G$6,L$6,$G632=$G$7,L$7,$G632=$G$8,L$8,$G632=$G$9,L$9,$G632=$G$10,L$10,$G632=$G$11,L$11,$G632=$G$12,L$12,$G632=$G$13,L$13,$G632=$G$15,L$15,$G632=$G$16,L$16,$G632=$G$17,L$17,$G632=$G$18,L$18,$G632=$G$19,L$19,$G632=$G$20,L$20,$G632=$G$21,L$21,$G632=$G$22,L$22,$G632=$G$25,L$25,$G632=$G$26,L$26,$G632=$G$27,L$27,$G632=$G$29,L$29,$G632=$G$31,L$31,$G632=$G$32,L$32,$G632=$G$248,L$248,$G632=$G$250,L$250)</f>
        <v>Urban habitat</v>
      </c>
      <c r="M632" s="48"/>
      <c r="O632" s="45" t="str">
        <f t="shared" si="45"/>
        <v>A_SP_BCN_10_210826</v>
      </c>
      <c r="P632" s="64">
        <v>44434</v>
      </c>
      <c r="R632" s="72"/>
      <c r="S632" s="64">
        <v>44441</v>
      </c>
      <c r="U632" s="72"/>
      <c r="V632" s="54" t="s">
        <v>66</v>
      </c>
      <c r="X632" s="45">
        <f t="shared" si="48"/>
        <v>7</v>
      </c>
      <c r="Z632" s="45" t="s">
        <v>70</v>
      </c>
      <c r="AA632" s="45">
        <f t="shared" si="50"/>
        <v>4</v>
      </c>
      <c r="AB632" t="str">
        <f t="shared" si="46"/>
        <v>Adult</v>
      </c>
      <c r="AC632" s="69">
        <v>4</v>
      </c>
      <c r="AD632" s="69">
        <v>0</v>
      </c>
      <c r="AE632" s="45" t="str">
        <f t="shared" si="47"/>
        <v>Morphological</v>
      </c>
      <c r="AF632" s="56">
        <v>4</v>
      </c>
    </row>
    <row r="633" spans="1:32" ht="18" customHeight="1" x14ac:dyDescent="0.25">
      <c r="A633" s="45">
        <v>629</v>
      </c>
      <c r="B633" s="45" t="s">
        <v>60</v>
      </c>
      <c r="C633" s="45" t="s">
        <v>61</v>
      </c>
      <c r="D633" s="45" t="s">
        <v>62</v>
      </c>
      <c r="E633" s="45" t="s">
        <v>62</v>
      </c>
      <c r="F633" s="46" cm="1">
        <f t="array" ref="F633">_xlfn.IFS($G633=$G$5,F$5,$G633=$G$6,F$6,$G633=$G$7,F$7,$G633=$G$8,F$8,$G633=$G$9,F$9,$G633=$G$10,F$10,$G633=$G$11,F$11,$G633=$G$12,F$12,$G633=$G$13,F$13,$G633=$G$15,F$15,$G633=$G$16,F$16,$G633=$G$17,F$17,$G633=$G$18,F$18,$G633=$G$19,F$19,$G633=$G$20,F$20,$G633=$G$21,F$21,$G633=$G$22,F$22,$G633=$G$25,F$25,$G633=$G$26,F$26,$G633=$G$27,F$27,$G633=$G$29,F$29,$G633=$G$31,F$31,$G633=$G$32,F$32,$G633=$G$248,F$248,$G633=$G$250,F$250)</f>
        <v>8040</v>
      </c>
      <c r="G633" t="s">
        <v>81</v>
      </c>
      <c r="H633" s="67" cm="1">
        <f t="array" ref="H633">_xlfn.IFS($G633=$G$5,H$5,$G633=$G$6,H$6,$G633=$G$7,H$7,$G633=$G$8,H$8,$G633=$G$9,H$9,$G633=$G$10,H$10,$G633=$G$11,H$11,$G633=$G$12,H$12,$G633=$G$13,H$13,$G633=$G$15,H$15,$G633=$G$16,H$16,$G633=$G$17,H$17,$G633=$G$18,H$18,$G633=$G$19,H$19,$G633=$G$20,H$20,$G633=$G$21,H$21,$G633=$G$22,H$22,$G633=$G$25,H$25,$G633=$G$26,H$26,$G633=$G$27,H$27,$G633=$G$29,H$29,$G633=$G$31,H$31,$G633=$G$32,H$150,$G633=$G$248,H$248,$G633=$G$250,H$250)</f>
        <v>41.343685000000001</v>
      </c>
      <c r="I633" s="67" cm="1">
        <f t="array" ref="I633">_xlfn.IFS($G633=$G$5,I$5,$G633=$G$6,I$6,$G633=$G$7,I$7,$G633=$G$8,I$8,$G633=$G$9,I$9,$G633=$G$10,I$10,$G633=$G$11,I$11,$G633=$G$12,I$12,$G633=$G$13,I$13,$G633=$G$15,I$15,$G633=$G$16,I$16,$G633=$G$17,I$17,$G633=$G$18,I$18,$G633=$G$19,I$19,$G633=$G$20,I$20,$G633=$G$21,I$21,$G633=$G$22,I$22,$G633=$G$25,I$25,$G633=$G$26,I$26,$G633=$G$27,I$27,$G633=$G$29,I$29,$G633=$G$31,I$31,$G633=$G$32,I$150,$G633=$G$248,I$248,$G633=$G$250,I$250)</f>
        <v>2.1441490000000001</v>
      </c>
      <c r="J633" s="48" cm="1">
        <f t="array" ref="J633">_xlfn.IFS($G633=$G$5,J$5,$G633=$G$6,J$6,$G633=$G$7,J$7,$G633=$G$8,J$8,$G633=$G$9,J$9,$G633=$G$10,J$10,$G633=$G$11,J$11,$G633=$G$12,J$12,$G633=$G$13,J$13,$G633=$G$15,J$15,$G633=$G$16,J$16,$G633=$G$17,J$17,$G633=$G$18,J$18,$G633=$G$19,J$19,$G633=$G$20,J$20,$G633=$G$21,J$21,$G633=$G$22,J$22,$G633=$G$25,J$25,$G633=$G$26,J$26,$G633=$G$27,J$27,$G633=$G$29,J$29,$G633=$G$31,J$31,$G633=$G$32,J$150,$G633=$G$248,J$248,$G633=$G$250,J$250)</f>
        <v>4</v>
      </c>
      <c r="K633" s="48" t="str" cm="1">
        <f t="array" ref="K633">_xlfn.IFS($G633=$G$5,K$5,$G633=$G$6,K$6,$G633=$G$7,K$7,$G633=$G$8,K$8,$G633=$G$9,K$9,$G633=$G$10,K$10,$G633=$G$11,K$11,$G633=$G$12,K$12,$G633=$G$13,K$13,$G633=$G$15,K$15,$G633=$G$16,K$16,$G633=$G$17,K$17,$G633=$G$18,K$18,$G633=$G$19,K$19,$G633=$G$20,K$20,$G633=$G$21,K$21,$G633=$G$22,K$22,$G633=$G$25,K$25,$G633=$G$26,K$26,$G633=$G$27,K$27,$G633=$G$29,K$29,$G633=$G$31,K$31,$G633=$G$32,K$150,$G633=$G$248,K$248,$G633=$G$250,K$250)</f>
        <v>BG sentinel + BG lure7</v>
      </c>
      <c r="L633" s="48" t="str" cm="1">
        <f t="array" ref="L633">_xlfn.IFS($G633=$G$5,L$5,$G633=$G$6,L$6,$G633=$G$7,L$7,$G633=$G$8,L$8,$G633=$G$9,L$9,$G633=$G$10,L$10,$G633=$G$11,L$11,$G633=$G$12,L$12,$G633=$G$13,L$13,$G633=$G$15,L$15,$G633=$G$16,L$16,$G633=$G$17,L$17,$G633=$G$18,L$18,$G633=$G$19,L$19,$G633=$G$20,L$20,$G633=$G$21,L$21,$G633=$G$22,L$22,$G633=$G$25,L$25,$G633=$G$26,L$26,$G633=$G$27,L$27,$G633=$G$29,L$29,$G633=$G$31,L$31,$G633=$G$32,L$32,$G633=$G$248,L$248,$G633=$G$250,L$250)</f>
        <v>Urban habitat</v>
      </c>
      <c r="M633" s="48"/>
      <c r="O633" s="45" t="str">
        <f t="shared" si="45"/>
        <v>A_SP_BCN_10_210826</v>
      </c>
      <c r="P633" s="64">
        <v>44434</v>
      </c>
      <c r="R633" s="72"/>
      <c r="S633" s="64">
        <v>44441</v>
      </c>
      <c r="U633" s="72"/>
      <c r="V633" s="54" t="s">
        <v>66</v>
      </c>
      <c r="X633" s="45">
        <f t="shared" si="48"/>
        <v>7</v>
      </c>
      <c r="Z633" s="45" t="s">
        <v>80</v>
      </c>
      <c r="AA633" s="45">
        <f t="shared" si="50"/>
        <v>1</v>
      </c>
      <c r="AB633" t="str">
        <f t="shared" si="46"/>
        <v>Adult</v>
      </c>
      <c r="AC633" s="69">
        <v>0</v>
      </c>
      <c r="AD633" s="69">
        <v>1</v>
      </c>
      <c r="AE633" s="45" t="str">
        <f t="shared" si="47"/>
        <v>Morphological</v>
      </c>
      <c r="AF633" s="56">
        <v>4</v>
      </c>
    </row>
    <row r="634" spans="1:32" ht="18" customHeight="1" x14ac:dyDescent="0.25">
      <c r="A634" s="45">
        <v>630</v>
      </c>
      <c r="B634" s="45" t="s">
        <v>60</v>
      </c>
      <c r="C634" s="45" t="s">
        <v>61</v>
      </c>
      <c r="D634" s="45" t="s">
        <v>62</v>
      </c>
      <c r="E634" s="45" t="s">
        <v>62</v>
      </c>
      <c r="F634" s="46" cm="1">
        <f t="array" ref="F634">_xlfn.IFS($G634=$G$5,F$5,$G634=$G$6,F$6,$G634=$G$7,F$7,$G634=$G$8,F$8,$G634=$G$9,F$9,$G634=$G$10,F$10,$G634=$G$11,F$11,$G634=$G$12,F$12,$G634=$G$13,F$13,$G634=$G$15,F$15,$G634=$G$16,F$16,$G634=$G$17,F$17,$G634=$G$18,F$18,$G634=$G$19,F$19,$G634=$G$20,F$20,$G634=$G$21,F$21,$G634=$G$22,F$22,$G634=$G$25,F$25,$G634=$G$26,F$26,$G634=$G$27,F$27,$G634=$G$29,F$29,$G634=$G$31,F$31,$G634=$G$32,F$32,$G634=$G$248,F$248,$G634=$G$250,F$250)</f>
        <v>8038</v>
      </c>
      <c r="G634" t="s">
        <v>82</v>
      </c>
      <c r="H634" s="67" cm="1">
        <f t="array" ref="H634">_xlfn.IFS($G634=$G$5,H$5,$G634=$G$6,H$6,$G634=$G$7,H$7,$G634=$G$8,H$8,$G634=$G$9,H$9,$G634=$G$10,H$10,$G634=$G$11,H$11,$G634=$G$12,H$12,$G634=$G$13,H$13,$G634=$G$15,H$15,$G634=$G$16,H$16,$G634=$G$17,H$17,$G634=$G$18,H$18,$G634=$G$19,H$19,$G634=$G$20,H$20,$G634=$G$21,H$21,$G634=$G$22,H$22,$G634=$G$25,H$25,$G634=$G$26,H$26,$G634=$G$27,H$27,$G634=$G$29,H$29,$G634=$G$31,H$31,$G634=$G$32,H$150,$G634=$G$248,H$248,$G634=$G$250,H$250)</f>
        <v>41.367429999999999</v>
      </c>
      <c r="I634" s="67" cm="1">
        <f t="array" ref="I634">_xlfn.IFS($G634=$G$5,I$5,$G634=$G$6,I$6,$G634=$G$7,I$7,$G634=$G$8,I$8,$G634=$G$9,I$9,$G634=$G$10,I$10,$G634=$G$11,I$11,$G634=$G$12,I$12,$G634=$G$13,I$13,$G634=$G$15,I$15,$G634=$G$16,I$16,$G634=$G$17,I$17,$G634=$G$18,I$18,$G634=$G$19,I$19,$G634=$G$20,I$20,$G634=$G$21,I$21,$G634=$G$22,I$22,$G634=$G$25,I$25,$G634=$G$26,I$26,$G634=$G$27,I$27,$G634=$G$29,I$29,$G634=$G$31,I$31,$G634=$G$32,I$150,$G634=$G$248,I$248,$G634=$G$250,I$250)</f>
        <v>2.1569609999999999</v>
      </c>
      <c r="J634" s="48" cm="1">
        <f t="array" ref="J634">_xlfn.IFS($G634=$G$5,J$5,$G634=$G$6,J$6,$G634=$G$7,J$7,$G634=$G$8,J$8,$G634=$G$9,J$9,$G634=$G$10,J$10,$G634=$G$11,J$11,$G634=$G$12,J$12,$G634=$G$13,J$13,$G634=$G$15,J$15,$G634=$G$16,J$16,$G634=$G$17,J$17,$G634=$G$18,J$18,$G634=$G$19,J$19,$G634=$G$20,J$20,$G634=$G$21,J$21,$G634=$G$22,J$22,$G634=$G$25,J$25,$G634=$G$26,J$26,$G634=$G$27,J$27,$G634=$G$29,J$29,$G634=$G$31,J$31,$G634=$G$32,J$150,$G634=$G$248,J$248,$G634=$G$250,J$250)</f>
        <v>91</v>
      </c>
      <c r="K634" s="48" t="str" cm="1">
        <f t="array" ref="K634">_xlfn.IFS($G634=$G$5,K$5,$G634=$G$6,K$6,$G634=$G$7,K$7,$G634=$G$8,K$8,$G634=$G$9,K$9,$G634=$G$10,K$10,$G634=$G$11,K$11,$G634=$G$12,K$12,$G634=$G$13,K$13,$G634=$G$15,K$15,$G634=$G$16,K$16,$G634=$G$17,K$17,$G634=$G$18,K$18,$G634=$G$19,K$19,$G634=$G$20,K$20,$G634=$G$21,K$21,$G634=$G$22,K$22,$G634=$G$25,K$25,$G634=$G$26,K$26,$G634=$G$27,K$27,$G634=$G$29,K$29,$G634=$G$31,K$31,$G634=$G$32,K$150,$G634=$G$248,K$248,$G634=$G$250,K$250)</f>
        <v>BG sentinel + BG lure7</v>
      </c>
      <c r="L634" s="48" t="str" cm="1">
        <f t="array" ref="L634">_xlfn.IFS($G634=$G$5,L$5,$G634=$G$6,L$6,$G634=$G$7,L$7,$G634=$G$8,L$8,$G634=$G$9,L$9,$G634=$G$10,L$10,$G634=$G$11,L$11,$G634=$G$12,L$12,$G634=$G$13,L$13,$G634=$G$15,L$15,$G634=$G$16,L$16,$G634=$G$17,L$17,$G634=$G$18,L$18,$G634=$G$19,L$19,$G634=$G$20,L$20,$G634=$G$21,L$21,$G634=$G$22,L$22,$G634=$G$25,L$25,$G634=$G$26,L$26,$G634=$G$27,L$27,$G634=$G$29,L$29,$G634=$G$31,L$31,$G634=$G$32,L$32,$G634=$G$248,L$248,$G634=$G$250,L$250)</f>
        <v>Other</v>
      </c>
      <c r="M634" s="48"/>
      <c r="O634" s="45" t="str">
        <f t="shared" si="45"/>
        <v>A_SP_BCN_11_210826</v>
      </c>
      <c r="P634" s="64">
        <v>44434</v>
      </c>
      <c r="R634" s="72"/>
      <c r="S634" s="64">
        <v>44441</v>
      </c>
      <c r="U634" s="72"/>
      <c r="V634" s="54" t="s">
        <v>66</v>
      </c>
      <c r="W634" t="s">
        <v>148</v>
      </c>
      <c r="X634" s="45">
        <f t="shared" si="48"/>
        <v>7</v>
      </c>
      <c r="Z634" s="69" t="s">
        <v>69</v>
      </c>
      <c r="AA634" s="45">
        <f t="shared" si="50"/>
        <v>21</v>
      </c>
      <c r="AB634" t="str">
        <f t="shared" si="46"/>
        <v>Adult</v>
      </c>
      <c r="AC634" s="69">
        <v>17</v>
      </c>
      <c r="AD634" s="69">
        <v>4</v>
      </c>
      <c r="AE634" s="45" t="str">
        <f t="shared" si="47"/>
        <v>Morphological</v>
      </c>
      <c r="AF634" s="56">
        <v>3</v>
      </c>
    </row>
    <row r="635" spans="1:32" ht="18" customHeight="1" x14ac:dyDescent="0.25">
      <c r="A635" s="45">
        <v>631</v>
      </c>
      <c r="B635" s="45" t="s">
        <v>60</v>
      </c>
      <c r="C635" s="45" t="s">
        <v>61</v>
      </c>
      <c r="D635" s="45" t="s">
        <v>62</v>
      </c>
      <c r="E635" s="45" t="s">
        <v>62</v>
      </c>
      <c r="F635" s="46" cm="1">
        <f t="array" ref="F635">_xlfn.IFS($G635=$G$5,F$5,$G635=$G$6,F$6,$G635=$G$7,F$7,$G635=$G$8,F$8,$G635=$G$9,F$9,$G635=$G$10,F$10,$G635=$G$11,F$11,$G635=$G$12,F$12,$G635=$G$13,F$13,$G635=$G$15,F$15,$G635=$G$16,F$16,$G635=$G$17,F$17,$G635=$G$18,F$18,$G635=$G$19,F$19,$G635=$G$20,F$20,$G635=$G$21,F$21,$G635=$G$22,F$22,$G635=$G$25,F$25,$G635=$G$26,F$26,$G635=$G$27,F$27,$G635=$G$29,F$29,$G635=$G$31,F$31,$G635=$G$32,F$32,$G635=$G$248,F$248,$G635=$G$250,F$250)</f>
        <v>8038</v>
      </c>
      <c r="G635" t="s">
        <v>82</v>
      </c>
      <c r="H635" s="67" cm="1">
        <f t="array" ref="H635">_xlfn.IFS($G635=$G$5,H$5,$G635=$G$6,H$6,$G635=$G$7,H$7,$G635=$G$8,H$8,$G635=$G$9,H$9,$G635=$G$10,H$10,$G635=$G$11,H$11,$G635=$G$12,H$12,$G635=$G$13,H$13,$G635=$G$15,H$15,$G635=$G$16,H$16,$G635=$G$17,H$17,$G635=$G$18,H$18,$G635=$G$19,H$19,$G635=$G$20,H$20,$G635=$G$21,H$21,$G635=$G$22,H$22,$G635=$G$25,H$25,$G635=$G$26,H$26,$G635=$G$27,H$27,$G635=$G$29,H$29,$G635=$G$31,H$31,$G635=$G$32,H$150,$G635=$G$248,H$248,$G635=$G$250,H$250)</f>
        <v>41.367429999999999</v>
      </c>
      <c r="I635" s="67" cm="1">
        <f t="array" ref="I635">_xlfn.IFS($G635=$G$5,I$5,$G635=$G$6,I$6,$G635=$G$7,I$7,$G635=$G$8,I$8,$G635=$G$9,I$9,$G635=$G$10,I$10,$G635=$G$11,I$11,$G635=$G$12,I$12,$G635=$G$13,I$13,$G635=$G$15,I$15,$G635=$G$16,I$16,$G635=$G$17,I$17,$G635=$G$18,I$18,$G635=$G$19,I$19,$G635=$G$20,I$20,$G635=$G$21,I$21,$G635=$G$22,I$22,$G635=$G$25,I$25,$G635=$G$26,I$26,$G635=$G$27,I$27,$G635=$G$29,I$29,$G635=$G$31,I$31,$G635=$G$32,I$150,$G635=$G$248,I$248,$G635=$G$250,I$250)</f>
        <v>2.1569609999999999</v>
      </c>
      <c r="J635" s="48" cm="1">
        <f t="array" ref="J635">_xlfn.IFS($G635=$G$5,J$5,$G635=$G$6,J$6,$G635=$G$7,J$7,$G635=$G$8,J$8,$G635=$G$9,J$9,$G635=$G$10,J$10,$G635=$G$11,J$11,$G635=$G$12,J$12,$G635=$G$13,J$13,$G635=$G$15,J$15,$G635=$G$16,J$16,$G635=$G$17,J$17,$G635=$G$18,J$18,$G635=$G$19,J$19,$G635=$G$20,J$20,$G635=$G$21,J$21,$G635=$G$22,J$22,$G635=$G$25,J$25,$G635=$G$26,J$26,$G635=$G$27,J$27,$G635=$G$29,J$29,$G635=$G$31,J$31,$G635=$G$32,J$150,$G635=$G$248,J$248,$G635=$G$250,J$250)</f>
        <v>91</v>
      </c>
      <c r="K635" s="48" t="str" cm="1">
        <f t="array" ref="K635">_xlfn.IFS($G635=$G$5,K$5,$G635=$G$6,K$6,$G635=$G$7,K$7,$G635=$G$8,K$8,$G635=$G$9,K$9,$G635=$G$10,K$10,$G635=$G$11,K$11,$G635=$G$12,K$12,$G635=$G$13,K$13,$G635=$G$15,K$15,$G635=$G$16,K$16,$G635=$G$17,K$17,$G635=$G$18,K$18,$G635=$G$19,K$19,$G635=$G$20,K$20,$G635=$G$21,K$21,$G635=$G$22,K$22,$G635=$G$25,K$25,$G635=$G$26,K$26,$G635=$G$27,K$27,$G635=$G$29,K$29,$G635=$G$31,K$31,$G635=$G$32,K$150,$G635=$G$248,K$248,$G635=$G$250,K$250)</f>
        <v>BG sentinel + BG lure7</v>
      </c>
      <c r="L635" s="48" t="str" cm="1">
        <f t="array" ref="L635">_xlfn.IFS($G635=$G$5,L$5,$G635=$G$6,L$6,$G635=$G$7,L$7,$G635=$G$8,L$8,$G635=$G$9,L$9,$G635=$G$10,L$10,$G635=$G$11,L$11,$G635=$G$12,L$12,$G635=$G$13,L$13,$G635=$G$15,L$15,$G635=$G$16,L$16,$G635=$G$17,L$17,$G635=$G$18,L$18,$G635=$G$19,L$19,$G635=$G$20,L$20,$G635=$G$21,L$21,$G635=$G$22,L$22,$G635=$G$25,L$25,$G635=$G$26,L$26,$G635=$G$27,L$27,$G635=$G$29,L$29,$G635=$G$31,L$31,$G635=$G$32,L$32,$G635=$G$248,L$248,$G635=$G$250,L$250)</f>
        <v>Other</v>
      </c>
      <c r="M635" s="48"/>
      <c r="O635" s="45" t="str">
        <f t="shared" si="45"/>
        <v>A_SP_BCN_11_210826</v>
      </c>
      <c r="P635" s="64">
        <v>44434</v>
      </c>
      <c r="R635" s="72"/>
      <c r="S635" s="64">
        <v>44441</v>
      </c>
      <c r="U635" s="72"/>
      <c r="V635" s="54" t="s">
        <v>66</v>
      </c>
      <c r="W635" t="s">
        <v>148</v>
      </c>
      <c r="X635" s="45">
        <f t="shared" si="48"/>
        <v>7</v>
      </c>
      <c r="Z635" s="45" t="s">
        <v>70</v>
      </c>
      <c r="AA635" s="45">
        <f t="shared" si="50"/>
        <v>2</v>
      </c>
      <c r="AB635" t="str">
        <f t="shared" si="46"/>
        <v>Adult</v>
      </c>
      <c r="AC635" s="69">
        <v>2</v>
      </c>
      <c r="AD635" s="69">
        <v>0</v>
      </c>
      <c r="AE635" s="45" t="str">
        <f t="shared" si="47"/>
        <v>Morphological</v>
      </c>
      <c r="AF635" s="56">
        <v>3</v>
      </c>
    </row>
    <row r="636" spans="1:32" ht="18" customHeight="1" x14ac:dyDescent="0.25">
      <c r="A636" s="45">
        <v>632</v>
      </c>
      <c r="B636" s="45" t="s">
        <v>60</v>
      </c>
      <c r="C636" s="45" t="s">
        <v>61</v>
      </c>
      <c r="D636" s="45" t="s">
        <v>62</v>
      </c>
      <c r="E636" s="45" t="s">
        <v>62</v>
      </c>
      <c r="F636" s="46" cm="1">
        <f t="array" ref="F636">_xlfn.IFS($G636=$G$5,F$5,$G636=$G$6,F$6,$G636=$G$7,F$7,$G636=$G$8,F$8,$G636=$G$9,F$9,$G636=$G$10,F$10,$G636=$G$11,F$11,$G636=$G$12,F$12,$G636=$G$13,F$13,$G636=$G$15,F$15,$G636=$G$16,F$16,$G636=$G$17,F$17,$G636=$G$18,F$18,$G636=$G$19,F$19,$G636=$G$20,F$20,$G636=$G$21,F$21,$G636=$G$22,F$22,$G636=$G$25,F$25,$G636=$G$26,F$26,$G636=$G$27,F$27,$G636=$G$29,F$29,$G636=$G$31,F$31,$G636=$G$32,F$32,$G636=$G$248,F$248,$G636=$G$250,F$250)</f>
        <v>8038</v>
      </c>
      <c r="G636" t="s">
        <v>84</v>
      </c>
      <c r="H636" s="67" cm="1">
        <f t="array" ref="H636">_xlfn.IFS($G636=$G$5,H$5,$G636=$G$6,H$6,$G636=$G$7,H$7,$G636=$G$8,H$8,$G636=$G$9,H$9,$G636=$G$10,H$10,$G636=$G$11,H$11,$G636=$G$12,H$12,$G636=$G$13,H$13,$G636=$G$15,H$15,$G636=$G$16,H$16,$G636=$G$17,H$17,$G636=$G$18,H$18,$G636=$G$19,H$19,$G636=$G$20,H$20,$G636=$G$21,H$21,$G636=$G$22,H$22,$G636=$G$25,H$25,$G636=$G$26,H$26,$G636=$G$27,H$27,$G636=$G$29,H$29,$G636=$G$31,H$31,$G636=$G$32,H$150,$G636=$G$248,H$248,$G636=$G$250,H$250)</f>
        <v>41.363377999999997</v>
      </c>
      <c r="I636" s="67" cm="1">
        <f t="array" ref="I636">_xlfn.IFS($G636=$G$5,I$5,$G636=$G$6,I$6,$G636=$G$7,I$7,$G636=$G$8,I$8,$G636=$G$9,I$9,$G636=$G$10,I$10,$G636=$G$11,I$11,$G636=$G$12,I$12,$G636=$G$13,I$13,$G636=$G$15,I$15,$G636=$G$16,I$16,$G636=$G$17,I$17,$G636=$G$18,I$18,$G636=$G$19,I$19,$G636=$G$20,I$20,$G636=$G$21,I$21,$G636=$G$22,I$22,$G636=$G$25,I$25,$G636=$G$26,I$26,$G636=$G$27,I$27,$G636=$G$29,I$29,$G636=$G$31,I$31,$G636=$G$32,I$150,$G636=$G$248,I$248,$G636=$G$250,I$250)</f>
        <v>2.164879</v>
      </c>
      <c r="J636" s="48" cm="1">
        <f t="array" ref="J636">_xlfn.IFS($G636=$G$5,J$5,$G636=$G$6,J$6,$G636=$G$7,J$7,$G636=$G$8,J$8,$G636=$G$9,J$9,$G636=$G$10,J$10,$G636=$G$11,J$11,$G636=$G$12,J$12,$G636=$G$13,J$13,$G636=$G$15,J$15,$G636=$G$16,J$16,$G636=$G$17,J$17,$G636=$G$18,J$18,$G636=$G$19,J$19,$G636=$G$20,J$20,$G636=$G$21,J$21,$G636=$G$22,J$22,$G636=$G$25,J$25,$G636=$G$26,J$26,$G636=$G$27,J$27,$G636=$G$29,J$29,$G636=$G$31,J$31,$G636=$G$32,J$150,$G636=$G$248,J$248,$G636=$G$250,J$250)</f>
        <v>185</v>
      </c>
      <c r="K636" s="48" t="str" cm="1">
        <f t="array" ref="K636">_xlfn.IFS($G636=$G$5,K$5,$G636=$G$6,K$6,$G636=$G$7,K$7,$G636=$G$8,K$8,$G636=$G$9,K$9,$G636=$G$10,K$10,$G636=$G$11,K$11,$G636=$G$12,K$12,$G636=$G$13,K$13,$G636=$G$15,K$15,$G636=$G$16,K$16,$G636=$G$17,K$17,$G636=$G$18,K$18,$G636=$G$19,K$19,$G636=$G$20,K$20,$G636=$G$21,K$21,$G636=$G$22,K$22,$G636=$G$25,K$25,$G636=$G$26,K$26,$G636=$G$27,K$27,$G636=$G$29,K$29,$G636=$G$31,K$31,$G636=$G$32,K$150,$G636=$G$248,K$248,$G636=$G$250,K$250)</f>
        <v>BG sentinel + BG lure7</v>
      </c>
      <c r="L636" s="48" t="str" cm="1">
        <f t="array" ref="L636">_xlfn.IFS($G636=$G$5,L$5,$G636=$G$6,L$6,$G636=$G$7,L$7,$G636=$G$8,L$8,$G636=$G$9,L$9,$G636=$G$10,L$10,$G636=$G$11,L$11,$G636=$G$12,L$12,$G636=$G$13,L$13,$G636=$G$15,L$15,$G636=$G$16,L$16,$G636=$G$17,L$17,$G636=$G$18,L$18,$G636=$G$19,L$19,$G636=$G$20,L$20,$G636=$G$21,L$21,$G636=$G$22,L$22,$G636=$G$25,L$25,$G636=$G$26,L$26,$G636=$G$27,L$27,$G636=$G$29,L$29,$G636=$G$31,L$31,$G636=$G$32,L$32,$G636=$G$248,L$248,$G636=$G$250,L$250)</f>
        <v>Other</v>
      </c>
      <c r="M636" s="48"/>
      <c r="O636" s="45" t="str">
        <f t="shared" si="45"/>
        <v>A_SP_BCN_12_210826</v>
      </c>
      <c r="P636" s="64">
        <v>44434</v>
      </c>
      <c r="R636" s="72"/>
      <c r="S636" s="64">
        <v>44441</v>
      </c>
      <c r="U636" s="72"/>
      <c r="V636" s="54" t="s">
        <v>66</v>
      </c>
      <c r="X636" s="45">
        <f t="shared" si="48"/>
        <v>7</v>
      </c>
      <c r="Z636" s="69" t="s">
        <v>69</v>
      </c>
      <c r="AA636" s="45">
        <f t="shared" si="50"/>
        <v>12</v>
      </c>
      <c r="AB636" t="str">
        <f t="shared" si="46"/>
        <v>Adult</v>
      </c>
      <c r="AC636" s="69">
        <v>9</v>
      </c>
      <c r="AD636" s="69">
        <v>3</v>
      </c>
      <c r="AE636" s="45" t="str">
        <f t="shared" si="47"/>
        <v>Morphological</v>
      </c>
      <c r="AF636" s="56">
        <v>4</v>
      </c>
    </row>
    <row r="637" spans="1:32" ht="18" customHeight="1" x14ac:dyDescent="0.25">
      <c r="A637" s="45">
        <v>633</v>
      </c>
      <c r="B637" s="45" t="s">
        <v>60</v>
      </c>
      <c r="C637" s="45" t="s">
        <v>61</v>
      </c>
      <c r="D637" s="45" t="s">
        <v>62</v>
      </c>
      <c r="E637" s="45" t="s">
        <v>62</v>
      </c>
      <c r="F637" s="46" cm="1">
        <f t="array" ref="F637">_xlfn.IFS($G637=$G$5,F$5,$G637=$G$6,F$6,$G637=$G$7,F$7,$G637=$G$8,F$8,$G637=$G$9,F$9,$G637=$G$10,F$10,$G637=$G$11,F$11,$G637=$G$12,F$12,$G637=$G$13,F$13,$G637=$G$15,F$15,$G637=$G$16,F$16,$G637=$G$17,F$17,$G637=$G$18,F$18,$G637=$G$19,F$19,$G637=$G$20,F$20,$G637=$G$21,F$21,$G637=$G$22,F$22,$G637=$G$25,F$25,$G637=$G$26,F$26,$G637=$G$27,F$27,$G637=$G$29,F$29,$G637=$G$31,F$31,$G637=$G$32,F$32,$G637=$G$248,F$248,$G637=$G$250,F$250)</f>
        <v>8038</v>
      </c>
      <c r="G637" t="s">
        <v>84</v>
      </c>
      <c r="H637" s="67" cm="1">
        <f t="array" ref="H637">_xlfn.IFS($G637=$G$5,H$5,$G637=$G$6,H$6,$G637=$G$7,H$7,$G637=$G$8,H$8,$G637=$G$9,H$9,$G637=$G$10,H$10,$G637=$G$11,H$11,$G637=$G$12,H$12,$G637=$G$13,H$13,$G637=$G$15,H$15,$G637=$G$16,H$16,$G637=$G$17,H$17,$G637=$G$18,H$18,$G637=$G$19,H$19,$G637=$G$20,H$20,$G637=$G$21,H$21,$G637=$G$22,H$22,$G637=$G$25,H$25,$G637=$G$26,H$26,$G637=$G$27,H$27,$G637=$G$29,H$29,$G637=$G$31,H$31,$G637=$G$32,H$150,$G637=$G$248,H$248,$G637=$G$250,H$250)</f>
        <v>41.363377999999997</v>
      </c>
      <c r="I637" s="67" cm="1">
        <f t="array" ref="I637">_xlfn.IFS($G637=$G$5,I$5,$G637=$G$6,I$6,$G637=$G$7,I$7,$G637=$G$8,I$8,$G637=$G$9,I$9,$G637=$G$10,I$10,$G637=$G$11,I$11,$G637=$G$12,I$12,$G637=$G$13,I$13,$G637=$G$15,I$15,$G637=$G$16,I$16,$G637=$G$17,I$17,$G637=$G$18,I$18,$G637=$G$19,I$19,$G637=$G$20,I$20,$G637=$G$21,I$21,$G637=$G$22,I$22,$G637=$G$25,I$25,$G637=$G$26,I$26,$G637=$G$27,I$27,$G637=$G$29,I$29,$G637=$G$31,I$31,$G637=$G$32,I$150,$G637=$G$248,I$248,$G637=$G$250,I$250)</f>
        <v>2.164879</v>
      </c>
      <c r="J637" s="48" cm="1">
        <f t="array" ref="J637">_xlfn.IFS($G637=$G$5,J$5,$G637=$G$6,J$6,$G637=$G$7,J$7,$G637=$G$8,J$8,$G637=$G$9,J$9,$G637=$G$10,J$10,$G637=$G$11,J$11,$G637=$G$12,J$12,$G637=$G$13,J$13,$G637=$G$15,J$15,$G637=$G$16,J$16,$G637=$G$17,J$17,$G637=$G$18,J$18,$G637=$G$19,J$19,$G637=$G$20,J$20,$G637=$G$21,J$21,$G637=$G$22,J$22,$G637=$G$25,J$25,$G637=$G$26,J$26,$G637=$G$27,J$27,$G637=$G$29,J$29,$G637=$G$31,J$31,$G637=$G$32,J$150,$G637=$G$248,J$248,$G637=$G$250,J$250)</f>
        <v>185</v>
      </c>
      <c r="K637" s="48" t="str" cm="1">
        <f t="array" ref="K637">_xlfn.IFS($G637=$G$5,K$5,$G637=$G$6,K$6,$G637=$G$7,K$7,$G637=$G$8,K$8,$G637=$G$9,K$9,$G637=$G$10,K$10,$G637=$G$11,K$11,$G637=$G$12,K$12,$G637=$G$13,K$13,$G637=$G$15,K$15,$G637=$G$16,K$16,$G637=$G$17,K$17,$G637=$G$18,K$18,$G637=$G$19,K$19,$G637=$G$20,K$20,$G637=$G$21,K$21,$G637=$G$22,K$22,$G637=$G$25,K$25,$G637=$G$26,K$26,$G637=$G$27,K$27,$G637=$G$29,K$29,$G637=$G$31,K$31,$G637=$G$32,K$150,$G637=$G$248,K$248,$G637=$G$250,K$250)</f>
        <v>BG sentinel + BG lure7</v>
      </c>
      <c r="L637" s="48" t="str" cm="1">
        <f t="array" ref="L637">_xlfn.IFS($G637=$G$5,L$5,$G637=$G$6,L$6,$G637=$G$7,L$7,$G637=$G$8,L$8,$G637=$G$9,L$9,$G637=$G$10,L$10,$G637=$G$11,L$11,$G637=$G$12,L$12,$G637=$G$13,L$13,$G637=$G$15,L$15,$G637=$G$16,L$16,$G637=$G$17,L$17,$G637=$G$18,L$18,$G637=$G$19,L$19,$G637=$G$20,L$20,$G637=$G$21,L$21,$G637=$G$22,L$22,$G637=$G$25,L$25,$G637=$G$26,L$26,$G637=$G$27,L$27,$G637=$G$29,L$29,$G637=$G$31,L$31,$G637=$G$32,L$32,$G637=$G$248,L$248,$G637=$G$250,L$250)</f>
        <v>Other</v>
      </c>
      <c r="M637" s="48"/>
      <c r="O637" s="45" t="str">
        <f t="shared" si="45"/>
        <v>A_SP_BCN_12_210826</v>
      </c>
      <c r="P637" s="64">
        <v>44434</v>
      </c>
      <c r="R637" s="72"/>
      <c r="S637" s="64">
        <v>44441</v>
      </c>
      <c r="U637" s="72"/>
      <c r="V637" s="54" t="s">
        <v>66</v>
      </c>
      <c r="X637" s="45">
        <f t="shared" si="48"/>
        <v>7</v>
      </c>
      <c r="Z637" s="45" t="s">
        <v>70</v>
      </c>
      <c r="AA637" s="45">
        <f t="shared" si="50"/>
        <v>69</v>
      </c>
      <c r="AB637" t="str">
        <f t="shared" ref="AB637:AB664" si="51">IF(AA637=0,"",IF(AA637="","",IF(AA637&gt;0,"Adult")))</f>
        <v>Adult</v>
      </c>
      <c r="AC637" s="69">
        <v>67</v>
      </c>
      <c r="AD637" s="69">
        <v>2</v>
      </c>
      <c r="AE637" s="45" t="str">
        <f t="shared" ref="AE637:AE664" si="52">IF(AA637=0,"",IF(AA637="","",IF(AA637&gt;0,"Morphological")))</f>
        <v>Morphological</v>
      </c>
      <c r="AF637" s="56">
        <v>4</v>
      </c>
    </row>
    <row r="638" spans="1:32" ht="18" customHeight="1" x14ac:dyDescent="0.25">
      <c r="A638" s="45">
        <v>634</v>
      </c>
      <c r="B638" s="45" t="s">
        <v>60</v>
      </c>
      <c r="C638" s="45" t="s">
        <v>61</v>
      </c>
      <c r="D638" s="45" t="s">
        <v>62</v>
      </c>
      <c r="E638" s="45" t="s">
        <v>62</v>
      </c>
      <c r="F638" s="46" cm="1">
        <f t="array" ref="F638">_xlfn.IFS($G638=$G$5,F$5,$G638=$G$6,F$6,$G638=$G$7,F$7,$G638=$G$8,F$8,$G638=$G$9,F$9,$G638=$G$10,F$10,$G638=$G$11,F$11,$G638=$G$12,F$12,$G638=$G$13,F$13,$G638=$G$15,F$15,$G638=$G$16,F$16,$G638=$G$17,F$17,$G638=$G$18,F$18,$G638=$G$19,F$19,$G638=$G$20,F$20,$G638=$G$21,F$21,$G638=$G$22,F$22,$G638=$G$25,F$25,$G638=$G$26,F$26,$G638=$G$27,F$27,$G638=$G$29,F$29,$G638=$G$31,F$31,$G638=$G$32,F$32,$G638=$G$248,F$248,$G638=$G$250,F$250)</f>
        <v>8035</v>
      </c>
      <c r="G638" t="s">
        <v>85</v>
      </c>
      <c r="H638" s="67" cm="1">
        <f t="array" ref="H638">_xlfn.IFS($G638=$G$5,H$5,$G638=$G$6,H$6,$G638=$G$7,H$7,$G638=$G$8,H$8,$G638=$G$9,H$9,$G638=$G$10,H$10,$G638=$G$11,H$11,$G638=$G$12,H$12,$G638=$G$13,H$13,$G638=$G$15,H$15,$G638=$G$16,H$16,$G638=$G$17,H$17,$G638=$G$18,H$18,$G638=$G$19,H$19,$G638=$G$20,H$20,$G638=$G$21,H$21,$G638=$G$22,H$22,$G638=$G$25,H$25,$G638=$G$26,H$26,$G638=$G$27,H$27,$G638=$G$29,H$29,$G638=$G$31,H$31,$G638=$G$32,H$150,$G638=$G$248,H$248,$G638=$G$250,H$250)</f>
        <v>41.434472</v>
      </c>
      <c r="I638" s="67" cm="1">
        <f t="array" ref="I638">_xlfn.IFS($G638=$G$5,I$5,$G638=$G$6,I$6,$G638=$G$7,I$7,$G638=$G$8,I$8,$G638=$G$9,I$9,$G638=$G$10,I$10,$G638=$G$11,I$11,$G638=$G$12,I$12,$G638=$G$13,I$13,$G638=$G$15,I$15,$G638=$G$16,I$16,$G638=$G$17,I$17,$G638=$G$18,I$18,$G638=$G$19,I$19,$G638=$G$20,I$20,$G638=$G$21,I$21,$G638=$G$22,I$22,$G638=$G$25,I$25,$G638=$G$26,I$26,$G638=$G$27,I$27,$G638=$G$29,I$29,$G638=$G$31,I$31,$G638=$G$32,I$150,$G638=$G$248,I$248,$G638=$G$250,I$250)</f>
        <v>2.1315789999999999</v>
      </c>
      <c r="J638" s="48" cm="1">
        <f t="array" ref="J638">_xlfn.IFS($G638=$G$5,J$5,$G638=$G$6,J$6,$G638=$G$7,J$7,$G638=$G$8,J$8,$G638=$G$9,J$9,$G638=$G$10,J$10,$G638=$G$11,J$11,$G638=$G$12,J$12,$G638=$G$13,J$13,$G638=$G$15,J$15,$G638=$G$16,J$16,$G638=$G$17,J$17,$G638=$G$18,J$18,$G638=$G$19,J$19,$G638=$G$20,J$20,$G638=$G$21,J$21,$G638=$G$22,J$22,$G638=$G$25,J$25,$G638=$G$26,J$26,$G638=$G$27,J$27,$G638=$G$29,J$29,$G638=$G$31,J$31,$G638=$G$32,J$150,$G638=$G$248,J$248,$G638=$G$250,J$250)</f>
        <v>365</v>
      </c>
      <c r="K638" s="48" t="str" cm="1">
        <f t="array" ref="K638">_xlfn.IFS($G638=$G$5,K$5,$G638=$G$6,K$6,$G638=$G$7,K$7,$G638=$G$8,K$8,$G638=$G$9,K$9,$G638=$G$10,K$10,$G638=$G$11,K$11,$G638=$G$12,K$12,$G638=$G$13,K$13,$G638=$G$15,K$15,$G638=$G$16,K$16,$G638=$G$17,K$17,$G638=$G$18,K$18,$G638=$G$19,K$19,$G638=$G$20,K$20,$G638=$G$21,K$21,$G638=$G$22,K$22,$G638=$G$25,K$25,$G638=$G$26,K$26,$G638=$G$27,K$27,$G638=$G$29,K$29,$G638=$G$31,K$31,$G638=$G$32,K$150,$G638=$G$248,K$248,$G638=$G$250,K$250)</f>
        <v>BG sentinel + BG lure7</v>
      </c>
      <c r="L638" s="48" t="str" cm="1">
        <f t="array" ref="L638">_xlfn.IFS($G638=$G$5,L$5,$G638=$G$6,L$6,$G638=$G$7,L$7,$G638=$G$8,L$8,$G638=$G$9,L$9,$G638=$G$10,L$10,$G638=$G$11,L$11,$G638=$G$12,L$12,$G638=$G$13,L$13,$G638=$G$15,L$15,$G638=$G$16,L$16,$G638=$G$17,L$17,$G638=$G$18,L$18,$G638=$G$19,L$19,$G638=$G$20,L$20,$G638=$G$21,L$21,$G638=$G$22,L$22,$G638=$G$25,L$25,$G638=$G$26,L$26,$G638=$G$27,L$27,$G638=$G$29,L$29,$G638=$G$31,L$31,$G638=$G$32,L$32,$G638=$G$248,L$248,$G638=$G$250,L$250)</f>
        <v>Other</v>
      </c>
      <c r="M638" s="48"/>
      <c r="O638" s="45" t="str">
        <f t="shared" si="45"/>
        <v>A_SP_BCN_13_210825</v>
      </c>
      <c r="P638" s="64">
        <v>44433</v>
      </c>
      <c r="R638" s="72"/>
      <c r="S638" s="64">
        <v>44440</v>
      </c>
      <c r="U638" s="72"/>
      <c r="V638" s="54" t="s">
        <v>66</v>
      </c>
      <c r="X638" s="45">
        <f t="shared" si="48"/>
        <v>7</v>
      </c>
      <c r="AA638" s="45">
        <f t="shared" si="50"/>
        <v>0</v>
      </c>
      <c r="AB638" t="str">
        <f t="shared" si="51"/>
        <v/>
      </c>
      <c r="AE638" s="45" t="str">
        <f t="shared" si="52"/>
        <v/>
      </c>
      <c r="AF638" s="56">
        <v>4</v>
      </c>
    </row>
    <row r="639" spans="1:32" ht="18" customHeight="1" x14ac:dyDescent="0.25">
      <c r="A639" s="45">
        <v>635</v>
      </c>
      <c r="B639" s="45" t="s">
        <v>60</v>
      </c>
      <c r="C639" s="45" t="s">
        <v>61</v>
      </c>
      <c r="D639" s="45" t="s">
        <v>62</v>
      </c>
      <c r="E639" s="45" t="s">
        <v>62</v>
      </c>
      <c r="F639" s="46" cm="1">
        <f t="array" ref="F639">_xlfn.IFS($G639=$G$5,F$5,$G639=$G$6,F$6,$G639=$G$7,F$7,$G639=$G$8,F$8,$G639=$G$9,F$9,$G639=$G$10,F$10,$G639=$G$11,F$11,$G639=$G$12,F$12,$G639=$G$13,F$13,$G639=$G$15,F$15,$G639=$G$16,F$16,$G639=$G$17,F$17,$G639=$G$18,F$18,$G639=$G$19,F$19,$G639=$G$20,F$20,$G639=$G$21,F$21,$G639=$G$22,F$22,$G639=$G$25,F$25,$G639=$G$26,F$26,$G639=$G$27,F$27,$G639=$G$29,F$29,$G639=$G$31,F$31,$G639=$G$32,F$32,$G639=$G$248,F$248,$G639=$G$250,F$250)</f>
        <v>8017</v>
      </c>
      <c r="G639" t="s">
        <v>86</v>
      </c>
      <c r="H639" s="67" cm="1">
        <f t="array" ref="H639">_xlfn.IFS($G639=$G$5,H$5,$G639=$G$6,H$6,$G639=$G$7,H$7,$G639=$G$8,H$8,$G639=$G$9,H$9,$G639=$G$10,H$10,$G639=$G$11,H$11,$G639=$G$12,H$12,$G639=$G$13,H$13,$G639=$G$15,H$15,$G639=$G$16,H$16,$G639=$G$17,H$17,$G639=$G$18,H$18,$G639=$G$19,H$19,$G639=$G$20,H$20,$G639=$G$21,H$21,$G639=$G$22,H$22,$G639=$G$25,H$25,$G639=$G$26,H$26,$G639=$G$27,H$27,$G639=$G$29,H$29,$G639=$G$31,H$31,$G639=$G$32,H$150,$G639=$G$248,H$248,$G639=$G$250,H$250)</f>
        <v>41.428533999999999</v>
      </c>
      <c r="I639" s="67" cm="1">
        <f t="array" ref="I639">_xlfn.IFS($G639=$G$5,I$5,$G639=$G$6,I$6,$G639=$G$7,I$7,$G639=$G$8,I$8,$G639=$G$9,I$9,$G639=$G$10,I$10,$G639=$G$11,I$11,$G639=$G$12,I$12,$G639=$G$13,I$13,$G639=$G$15,I$15,$G639=$G$16,I$16,$G639=$G$17,I$17,$G639=$G$18,I$18,$G639=$G$19,I$19,$G639=$G$20,I$20,$G639=$G$21,I$21,$G639=$G$22,I$22,$G639=$G$25,I$25,$G639=$G$26,I$26,$G639=$G$27,I$27,$G639=$G$29,I$29,$G639=$G$31,I$31,$G639=$G$32,I$150,$G639=$G$248,I$248,$G639=$G$250,I$250)</f>
        <v>2.090954</v>
      </c>
      <c r="J639" s="48" cm="1">
        <f t="array" ref="J639">_xlfn.IFS($G639=$G$5,J$5,$G639=$G$6,J$6,$G639=$G$7,J$7,$G639=$G$8,J$8,$G639=$G$9,J$9,$G639=$G$10,J$10,$G639=$G$11,J$11,$G639=$G$12,J$12,$G639=$G$13,J$13,$G639=$G$15,J$15,$G639=$G$16,J$16,$G639=$G$17,J$17,$G639=$G$18,J$18,$G639=$G$19,J$19,$G639=$G$20,J$20,$G639=$G$21,J$21,$G639=$G$22,J$22,$G639=$G$25,J$25,$G639=$G$26,J$26,$G639=$G$27,J$27,$G639=$G$29,J$29,$G639=$G$31,J$31,$G639=$G$32,J$150,$G639=$G$248,J$248,$G639=$G$250,J$250)</f>
        <v>215</v>
      </c>
      <c r="K639" s="48" t="str" cm="1">
        <f t="array" ref="K639">_xlfn.IFS($G639=$G$5,K$5,$G639=$G$6,K$6,$G639=$G$7,K$7,$G639=$G$8,K$8,$G639=$G$9,K$9,$G639=$G$10,K$10,$G639=$G$11,K$11,$G639=$G$12,K$12,$G639=$G$13,K$13,$G639=$G$15,K$15,$G639=$G$16,K$16,$G639=$G$17,K$17,$G639=$G$18,K$18,$G639=$G$19,K$19,$G639=$G$20,K$20,$G639=$G$21,K$21,$G639=$G$22,K$22,$G639=$G$25,K$25,$G639=$G$26,K$26,$G639=$G$27,K$27,$G639=$G$29,K$29,$G639=$G$31,K$31,$G639=$G$32,K$150,$G639=$G$248,K$248,$G639=$G$250,K$250)</f>
        <v>BG sentinel + BG lure7</v>
      </c>
      <c r="L639" s="48"/>
      <c r="M639" s="48"/>
      <c r="O639" s="45" t="str">
        <f t="shared" si="45"/>
        <v>A_SP_BCN_14_210825</v>
      </c>
      <c r="P639" s="64">
        <v>44433</v>
      </c>
      <c r="R639" s="72"/>
      <c r="S639" s="64">
        <v>44440</v>
      </c>
      <c r="U639" s="72"/>
      <c r="V639" s="54" t="s">
        <v>66</v>
      </c>
      <c r="X639" s="45">
        <f t="shared" si="48"/>
        <v>7</v>
      </c>
      <c r="Z639" s="69" t="s">
        <v>69</v>
      </c>
      <c r="AA639" s="45">
        <f t="shared" si="50"/>
        <v>2</v>
      </c>
      <c r="AB639" t="str">
        <f t="shared" si="51"/>
        <v>Adult</v>
      </c>
      <c r="AC639" s="69">
        <v>2</v>
      </c>
      <c r="AD639" s="69">
        <v>0</v>
      </c>
      <c r="AE639" s="45" t="str">
        <f t="shared" si="52"/>
        <v>Morphological</v>
      </c>
      <c r="AF639" s="56">
        <v>4</v>
      </c>
    </row>
    <row r="640" spans="1:32" ht="18" customHeight="1" x14ac:dyDescent="0.25">
      <c r="A640" s="45">
        <v>636</v>
      </c>
      <c r="B640" s="45" t="s">
        <v>60</v>
      </c>
      <c r="C640" s="45" t="s">
        <v>61</v>
      </c>
      <c r="D640" s="45" t="s">
        <v>62</v>
      </c>
      <c r="E640" s="45" t="s">
        <v>62</v>
      </c>
      <c r="F640" s="46" cm="1">
        <f t="array" ref="F640">_xlfn.IFS($G640=$G$5,F$5,$G640=$G$6,F$6,$G640=$G$7,F$7,$G640=$G$8,F$8,$G640=$G$9,F$9,$G640=$G$10,F$10,$G640=$G$11,F$11,$G640=$G$12,F$12,$G640=$G$13,F$13,$G640=$G$15,F$15,$G640=$G$16,F$16,$G640=$G$17,F$17,$G640=$G$18,F$18,$G640=$G$19,F$19,$G640=$G$20,F$20,$G640=$G$21,F$21,$G640=$G$22,F$22,$G640=$G$25,F$25,$G640=$G$26,F$26,$G640=$G$27,F$27,$G640=$G$29,F$29,$G640=$G$31,F$31,$G640=$G$32,F$32,$G640=$G$248,F$248,$G640=$G$250,F$250)</f>
        <v>8017</v>
      </c>
      <c r="G640" t="s">
        <v>87</v>
      </c>
      <c r="H640" s="67" cm="1">
        <f t="array" ref="H640">_xlfn.IFS($G640=$G$5,H$5,$G640=$G$6,H$6,$G640=$G$7,H$7,$G640=$G$8,H$8,$G640=$G$9,H$9,$G640=$G$10,H$10,$G640=$G$11,H$11,$G640=$G$12,H$12,$G640=$G$13,H$13,$G640=$G$15,H$15,$G640=$G$16,H$16,$G640=$G$17,H$17,$G640=$G$18,H$18,$G640=$G$19,H$19,$G640=$G$20,H$20,$G640=$G$21,H$21,$G640=$G$22,H$22,$G640=$G$25,H$25,$G640=$G$26,H$26,$G640=$G$27,H$27,$G640=$G$29,H$29,$G640=$G$31,H$31,$G640=$G$32,H$150,$G640=$G$248,H$248,$G640=$G$250,H$250)</f>
        <v>41.419471000000001</v>
      </c>
      <c r="I640" s="67" cm="1">
        <f t="array" ref="I640">_xlfn.IFS($G640=$G$5,I$5,$G640=$G$6,I$6,$G640=$G$7,I$7,$G640=$G$8,I$8,$G640=$G$9,I$9,$G640=$G$10,I$10,$G640=$G$11,I$11,$G640=$G$12,I$12,$G640=$G$13,I$13,$G640=$G$15,I$15,$G640=$G$16,I$16,$G640=$G$17,I$17,$G640=$G$18,I$18,$G640=$G$19,I$19,$G640=$G$20,I$20,$G640=$G$21,I$21,$G640=$G$22,I$22,$G640=$G$25,I$25,$G640=$G$26,I$26,$G640=$G$27,I$27,$G640=$G$29,I$29,$G640=$G$31,I$31,$G640=$G$32,I$150,$G640=$G$248,I$248,$G640=$G$250,I$250)</f>
        <v>2.1010149999999999</v>
      </c>
      <c r="J640" s="48" cm="1">
        <f t="array" ref="J640">_xlfn.IFS($G640=$G$5,J$5,$G640=$G$6,J$6,$G640=$G$7,J$7,$G640=$G$8,J$8,$G640=$G$9,J$9,$G640=$G$10,J$10,$G640=$G$11,J$11,$G640=$G$12,J$12,$G640=$G$13,J$13,$G640=$G$15,J$15,$G640=$G$16,J$16,$G640=$G$17,J$17,$G640=$G$18,J$18,$G640=$G$19,J$19,$G640=$G$20,J$20,$G640=$G$21,J$21,$G640=$G$22,J$22,$G640=$G$25,J$25,$G640=$G$26,J$26,$G640=$G$27,J$27,$G640=$G$29,J$29,$G640=$G$31,J$31,$G640=$G$32,J$150,$G640=$G$248,J$248,$G640=$G$250,J$250)</f>
        <v>284</v>
      </c>
      <c r="K640" s="48" t="str" cm="1">
        <f t="array" ref="K640">_xlfn.IFS($G640=$G$5,K$5,$G640=$G$6,K$6,$G640=$G$7,K$7,$G640=$G$8,K$8,$G640=$G$9,K$9,$G640=$G$10,K$10,$G640=$G$11,K$11,$G640=$G$12,K$12,$G640=$G$13,K$13,$G640=$G$15,K$15,$G640=$G$16,K$16,$G640=$G$17,K$17,$G640=$G$18,K$18,$G640=$G$19,K$19,$G640=$G$20,K$20,$G640=$G$21,K$21,$G640=$G$22,K$22,$G640=$G$25,K$25,$G640=$G$26,K$26,$G640=$G$27,K$27,$G640=$G$29,K$29,$G640=$G$31,K$31,$G640=$G$32,K$150,$G640=$G$248,K$248,$G640=$G$250,K$250)</f>
        <v>BG sentinel + BG lure7</v>
      </c>
      <c r="L640" s="48"/>
      <c r="M640" s="48"/>
      <c r="O640" s="45" t="str">
        <f t="shared" si="45"/>
        <v>A_SP_BCN_15_210825</v>
      </c>
      <c r="P640" s="64">
        <v>44433</v>
      </c>
      <c r="R640" s="72"/>
      <c r="S640" s="64">
        <v>44440</v>
      </c>
      <c r="U640" s="72"/>
      <c r="V640" s="54" t="s">
        <v>66</v>
      </c>
      <c r="X640" s="45">
        <f t="shared" si="48"/>
        <v>7</v>
      </c>
      <c r="Z640" s="69" t="s">
        <v>69</v>
      </c>
      <c r="AA640" s="45">
        <f t="shared" si="50"/>
        <v>4</v>
      </c>
      <c r="AB640" t="str">
        <f t="shared" si="51"/>
        <v>Adult</v>
      </c>
      <c r="AC640" s="69">
        <v>4</v>
      </c>
      <c r="AD640" s="69">
        <v>0</v>
      </c>
      <c r="AE640" s="45" t="str">
        <f t="shared" si="52"/>
        <v>Morphological</v>
      </c>
      <c r="AF640" s="56">
        <v>4</v>
      </c>
    </row>
    <row r="641" spans="1:32" ht="18" customHeight="1" x14ac:dyDescent="0.25">
      <c r="A641" s="45">
        <v>637</v>
      </c>
      <c r="B641" s="45" t="s">
        <v>60</v>
      </c>
      <c r="C641" s="45" t="s">
        <v>61</v>
      </c>
      <c r="D641" s="45" t="s">
        <v>62</v>
      </c>
      <c r="E641" s="45" t="s">
        <v>62</v>
      </c>
      <c r="F641" s="46" cm="1">
        <f t="array" ref="F641">_xlfn.IFS($G641=$G$5,F$5,$G641=$G$6,F$6,$G641=$G$7,F$7,$G641=$G$8,F$8,$G641=$G$9,F$9,$G641=$G$10,F$10,$G641=$G$11,F$11,$G641=$G$12,F$12,$G641=$G$13,F$13,$G641=$G$15,F$15,$G641=$G$16,F$16,$G641=$G$17,F$17,$G641=$G$18,F$18,$G641=$G$19,F$19,$G641=$G$20,F$20,$G641=$G$21,F$21,$G641=$G$22,F$22,$G641=$G$25,F$25,$G641=$G$26,F$26,$G641=$G$27,F$27,$G641=$G$29,F$29,$G641=$G$31,F$31,$G641=$G$32,F$32,$G641=$G$248,F$248,$G641=$G$250,F$250)</f>
        <v>8017</v>
      </c>
      <c r="G641" t="s">
        <v>88</v>
      </c>
      <c r="H641" s="67" cm="1">
        <f t="array" ref="H641">_xlfn.IFS($G641=$G$5,H$5,$G641=$G$6,H$6,$G641=$G$7,H$7,$G641=$G$8,H$8,$G641=$G$9,H$9,$G641=$G$10,H$10,$G641=$G$11,H$11,$G641=$G$12,H$12,$G641=$G$13,H$13,$G641=$G$15,H$15,$G641=$G$16,H$16,$G641=$G$17,H$17,$G641=$G$18,H$18,$G641=$G$19,H$19,$G641=$G$20,H$20,$G641=$G$21,H$21,$G641=$G$22,H$22,$G641=$G$25,H$25,$G641=$G$26,H$26,$G641=$G$27,H$27,$G641=$G$29,H$29,$G641=$G$31,H$31,$G641=$G$32,H$150,$G641=$G$248,H$248,$G641=$G$250,H$250)</f>
        <v>41.398387</v>
      </c>
      <c r="I641" s="67" cm="1">
        <f t="array" ref="I641">_xlfn.IFS($G641=$G$5,I$5,$G641=$G$6,I$6,$G641=$G$7,I$7,$G641=$G$8,I$8,$G641=$G$9,I$9,$G641=$G$10,I$10,$G641=$G$11,I$11,$G641=$G$12,I$12,$G641=$G$13,I$13,$G641=$G$15,I$15,$G641=$G$16,I$16,$G641=$G$17,I$17,$G641=$G$18,I$18,$G641=$G$19,I$19,$G641=$G$20,I$20,$G641=$G$21,I$21,$G641=$G$22,I$22,$G641=$G$25,I$25,$G641=$G$26,I$26,$G641=$G$27,I$27,$G641=$G$29,I$29,$G641=$G$31,I$31,$G641=$G$32,I$150,$G641=$G$248,I$248,$G641=$G$250,I$250)</f>
        <v>2.1244429999999999</v>
      </c>
      <c r="J641" s="48" cm="1">
        <f t="array" ref="J641">_xlfn.IFS($G641=$G$5,J$5,$G641=$G$6,J$6,$G641=$G$7,J$7,$G641=$G$8,J$8,$G641=$G$9,J$9,$G641=$G$10,J$10,$G641=$G$11,J$11,$G641=$G$12,J$12,$G641=$G$13,J$13,$G641=$G$15,J$15,$G641=$G$16,J$16,$G641=$G$17,J$17,$G641=$G$18,J$18,$G641=$G$19,J$19,$G641=$G$20,J$20,$G641=$G$21,J$21,$G641=$G$22,J$22,$G641=$G$25,J$25,$G641=$G$26,J$26,$G641=$G$27,J$27,$G641=$G$29,J$29,$G641=$G$31,J$31,$G641=$G$32,J$150,$G641=$G$248,J$248,$G641=$G$250,J$250)</f>
        <v>106</v>
      </c>
      <c r="K641" s="48" t="str" cm="1">
        <f t="array" ref="K641">_xlfn.IFS($G641=$G$5,K$5,$G641=$G$6,K$6,$G641=$G$7,K$7,$G641=$G$8,K$8,$G641=$G$9,K$9,$G641=$G$10,K$10,$G641=$G$11,K$11,$G641=$G$12,K$12,$G641=$G$13,K$13,$G641=$G$15,K$15,$G641=$G$16,K$16,$G641=$G$17,K$17,$G641=$G$18,K$18,$G641=$G$19,K$19,$G641=$G$20,K$20,$G641=$G$21,K$21,$G641=$G$22,K$22,$G641=$G$25,K$25,$G641=$G$26,K$26,$G641=$G$27,K$27,$G641=$G$29,K$29,$G641=$G$31,K$31,$G641=$G$32,K$150,$G641=$G$248,K$248,$G641=$G$250,K$250)</f>
        <v>BG sentinel + BG lure7</v>
      </c>
      <c r="L641" s="48"/>
      <c r="M641" s="48"/>
      <c r="O641" s="45" t="str">
        <f t="shared" si="45"/>
        <v>A_SP_BCN_16_210825</v>
      </c>
      <c r="P641" s="64">
        <v>44433</v>
      </c>
      <c r="R641" s="72"/>
      <c r="S641" s="64">
        <v>44440</v>
      </c>
      <c r="U641" s="72"/>
      <c r="V641" s="54" t="s">
        <v>66</v>
      </c>
      <c r="X641" s="45">
        <f t="shared" si="48"/>
        <v>7</v>
      </c>
      <c r="Z641" s="69" t="s">
        <v>69</v>
      </c>
      <c r="AA641" s="45">
        <f t="shared" si="50"/>
        <v>50</v>
      </c>
      <c r="AB641" t="str">
        <f t="shared" si="51"/>
        <v>Adult</v>
      </c>
      <c r="AC641" s="69">
        <v>30</v>
      </c>
      <c r="AD641" s="69">
        <v>20</v>
      </c>
      <c r="AE641" s="45" t="str">
        <f t="shared" si="52"/>
        <v>Morphological</v>
      </c>
      <c r="AF641" s="56">
        <v>4</v>
      </c>
    </row>
    <row r="642" spans="1:32" ht="18" customHeight="1" x14ac:dyDescent="0.25">
      <c r="A642" s="45">
        <v>638</v>
      </c>
      <c r="B642" s="45" t="s">
        <v>60</v>
      </c>
      <c r="C642" s="45" t="s">
        <v>61</v>
      </c>
      <c r="D642" s="45" t="s">
        <v>62</v>
      </c>
      <c r="E642" s="45" t="s">
        <v>62</v>
      </c>
      <c r="F642" s="46" cm="1">
        <f t="array" ref="F642">_xlfn.IFS($G642=$G$5,F$5,$G642=$G$6,F$6,$G642=$G$7,F$7,$G642=$G$8,F$8,$G642=$G$9,F$9,$G642=$G$10,F$10,$G642=$G$11,F$11,$G642=$G$12,F$12,$G642=$G$13,F$13,$G642=$G$15,F$15,$G642=$G$16,F$16,$G642=$G$17,F$17,$G642=$G$18,F$18,$G642=$G$19,F$19,$G642=$G$20,F$20,$G642=$G$21,F$21,$G642=$G$22,F$22,$G642=$G$25,F$25,$G642=$G$26,F$26,$G642=$G$27,F$27,$G642=$G$29,F$29,$G642=$G$31,F$31,$G642=$G$32,F$32,$G642=$G$248,F$248,$G642=$G$250,F$250)</f>
        <v>8017</v>
      </c>
      <c r="G642" t="s">
        <v>88</v>
      </c>
      <c r="H642" s="67" cm="1">
        <f t="array" ref="H642">_xlfn.IFS($G642=$G$5,H$5,$G642=$G$6,H$6,$G642=$G$7,H$7,$G642=$G$8,H$8,$G642=$G$9,H$9,$G642=$G$10,H$10,$G642=$G$11,H$11,$G642=$G$12,H$12,$G642=$G$13,H$13,$G642=$G$15,H$15,$G642=$G$16,H$16,$G642=$G$17,H$17,$G642=$G$18,H$18,$G642=$G$19,H$19,$G642=$G$20,H$20,$G642=$G$21,H$21,$G642=$G$22,H$22,$G642=$G$25,H$25,$G642=$G$26,H$26,$G642=$G$27,H$27,$G642=$G$29,H$29,$G642=$G$31,H$31,$G642=$G$32,H$150,$G642=$G$248,H$248,$G642=$G$250,H$250)</f>
        <v>41.398387</v>
      </c>
      <c r="I642" s="67" cm="1">
        <f t="array" ref="I642">_xlfn.IFS($G642=$G$5,I$5,$G642=$G$6,I$6,$G642=$G$7,I$7,$G642=$G$8,I$8,$G642=$G$9,I$9,$G642=$G$10,I$10,$G642=$G$11,I$11,$G642=$G$12,I$12,$G642=$G$13,I$13,$G642=$G$15,I$15,$G642=$G$16,I$16,$G642=$G$17,I$17,$G642=$G$18,I$18,$G642=$G$19,I$19,$G642=$G$20,I$20,$G642=$G$21,I$21,$G642=$G$22,I$22,$G642=$G$25,I$25,$G642=$G$26,I$26,$G642=$G$27,I$27,$G642=$G$29,I$29,$G642=$G$31,I$31,$G642=$G$32,I$150,$G642=$G$248,I$248,$G642=$G$250,I$250)</f>
        <v>2.1244429999999999</v>
      </c>
      <c r="J642" s="48" cm="1">
        <f t="array" ref="J642">_xlfn.IFS($G642=$G$5,J$5,$G642=$G$6,J$6,$G642=$G$7,J$7,$G642=$G$8,J$8,$G642=$G$9,J$9,$G642=$G$10,J$10,$G642=$G$11,J$11,$G642=$G$12,J$12,$G642=$G$13,J$13,$G642=$G$15,J$15,$G642=$G$16,J$16,$G642=$G$17,J$17,$G642=$G$18,J$18,$G642=$G$19,J$19,$G642=$G$20,J$20,$G642=$G$21,J$21,$G642=$G$22,J$22,$G642=$G$25,J$25,$G642=$G$26,J$26,$G642=$G$27,J$27,$G642=$G$29,J$29,$G642=$G$31,J$31,$G642=$G$32,J$150,$G642=$G$248,J$248,$G642=$G$250,J$250)</f>
        <v>106</v>
      </c>
      <c r="K642" s="48" t="str" cm="1">
        <f t="array" ref="K642">_xlfn.IFS($G642=$G$5,K$5,$G642=$G$6,K$6,$G642=$G$7,K$7,$G642=$G$8,K$8,$G642=$G$9,K$9,$G642=$G$10,K$10,$G642=$G$11,K$11,$G642=$G$12,K$12,$G642=$G$13,K$13,$G642=$G$15,K$15,$G642=$G$16,K$16,$G642=$G$17,K$17,$G642=$G$18,K$18,$G642=$G$19,K$19,$G642=$G$20,K$20,$G642=$G$21,K$21,$G642=$G$22,K$22,$G642=$G$25,K$25,$G642=$G$26,K$26,$G642=$G$27,K$27,$G642=$G$29,K$29,$G642=$G$31,K$31,$G642=$G$32,K$150,$G642=$G$248,K$248,$G642=$G$250,K$250)</f>
        <v>BG sentinel + BG lure7</v>
      </c>
      <c r="L642" s="48"/>
      <c r="M642" s="48"/>
      <c r="O642" s="45" t="str">
        <f t="shared" si="45"/>
        <v>A_SP_BCN_16_210825</v>
      </c>
      <c r="P642" s="64">
        <v>44433</v>
      </c>
      <c r="R642" s="72"/>
      <c r="S642" s="64">
        <v>44440</v>
      </c>
      <c r="U642" s="72"/>
      <c r="V642" s="54" t="s">
        <v>66</v>
      </c>
      <c r="X642" s="45">
        <f t="shared" si="48"/>
        <v>7</v>
      </c>
      <c r="Z642" s="45" t="s">
        <v>70</v>
      </c>
      <c r="AA642" s="45">
        <f t="shared" si="50"/>
        <v>16</v>
      </c>
      <c r="AB642" t="str">
        <f t="shared" si="51"/>
        <v>Adult</v>
      </c>
      <c r="AC642" s="69">
        <v>11</v>
      </c>
      <c r="AD642" s="69">
        <v>5</v>
      </c>
      <c r="AE642" s="45" t="str">
        <f t="shared" si="52"/>
        <v>Morphological</v>
      </c>
      <c r="AF642" s="56">
        <v>4</v>
      </c>
    </row>
    <row r="643" spans="1:32" ht="18" customHeight="1" x14ac:dyDescent="0.25">
      <c r="A643" s="45">
        <v>639</v>
      </c>
      <c r="B643" s="45" t="s">
        <v>60</v>
      </c>
      <c r="C643" s="45" t="s">
        <v>61</v>
      </c>
      <c r="D643" s="45" t="s">
        <v>62</v>
      </c>
      <c r="E643" s="45" t="s">
        <v>62</v>
      </c>
      <c r="F643" s="46" cm="1">
        <f t="array" ref="F643">_xlfn.IFS($G643=$G$5,F$5,$G643=$G$6,F$6,$G643=$G$7,F$7,$G643=$G$8,F$8,$G643=$G$9,F$9,$G643=$G$10,F$10,$G643=$G$11,F$11,$G643=$G$12,F$12,$G643=$G$13,F$13,$G643=$G$15,F$15,$G643=$G$16,F$16,$G643=$G$17,F$17,$G643=$G$18,F$18,$G643=$G$19,F$19,$G643=$G$20,F$20,$G643=$G$21,F$21,$G643=$G$22,F$22,$G643=$G$25,F$25,$G643=$G$26,F$26,$G643=$G$27,F$27,$G643=$G$29,F$29,$G643=$G$31,F$31,$G643=$G$32,F$32,$G643=$G$248,F$248,$G643=$G$250,F$250)</f>
        <v>8017</v>
      </c>
      <c r="G643" t="s">
        <v>88</v>
      </c>
      <c r="H643" s="67" cm="1">
        <f t="array" ref="H643">_xlfn.IFS($G643=$G$5,H$5,$G643=$G$6,H$6,$G643=$G$7,H$7,$G643=$G$8,H$8,$G643=$G$9,H$9,$G643=$G$10,H$10,$G643=$G$11,H$11,$G643=$G$12,H$12,$G643=$G$13,H$13,$G643=$G$15,H$15,$G643=$G$16,H$16,$G643=$G$17,H$17,$G643=$G$18,H$18,$G643=$G$19,H$19,$G643=$G$20,H$20,$G643=$G$21,H$21,$G643=$G$22,H$22,$G643=$G$25,H$25,$G643=$G$26,H$26,$G643=$G$27,H$27,$G643=$G$29,H$29,$G643=$G$31,H$31,$G643=$G$32,H$150,$G643=$G$248,H$248,$G643=$G$250,H$250)</f>
        <v>41.398387</v>
      </c>
      <c r="I643" s="67" cm="1">
        <f t="array" ref="I643">_xlfn.IFS($G643=$G$5,I$5,$G643=$G$6,I$6,$G643=$G$7,I$7,$G643=$G$8,I$8,$G643=$G$9,I$9,$G643=$G$10,I$10,$G643=$G$11,I$11,$G643=$G$12,I$12,$G643=$G$13,I$13,$G643=$G$15,I$15,$G643=$G$16,I$16,$G643=$G$17,I$17,$G643=$G$18,I$18,$G643=$G$19,I$19,$G643=$G$20,I$20,$G643=$G$21,I$21,$G643=$G$22,I$22,$G643=$G$25,I$25,$G643=$G$26,I$26,$G643=$G$27,I$27,$G643=$G$29,I$29,$G643=$G$31,I$31,$G643=$G$32,I$150,$G643=$G$248,I$248,$G643=$G$250,I$250)</f>
        <v>2.1244429999999999</v>
      </c>
      <c r="J643" s="48" cm="1">
        <f t="array" ref="J643">_xlfn.IFS($G643=$G$5,J$5,$G643=$G$6,J$6,$G643=$G$7,J$7,$G643=$G$8,J$8,$G643=$G$9,J$9,$G643=$G$10,J$10,$G643=$G$11,J$11,$G643=$G$12,J$12,$G643=$G$13,J$13,$G643=$G$15,J$15,$G643=$G$16,J$16,$G643=$G$17,J$17,$G643=$G$18,J$18,$G643=$G$19,J$19,$G643=$G$20,J$20,$G643=$G$21,J$21,$G643=$G$22,J$22,$G643=$G$25,J$25,$G643=$G$26,J$26,$G643=$G$27,J$27,$G643=$G$29,J$29,$G643=$G$31,J$31,$G643=$G$32,J$150,$G643=$G$248,J$248,$G643=$G$250,J$250)</f>
        <v>106</v>
      </c>
      <c r="K643" s="48" t="str" cm="1">
        <f t="array" ref="K643">_xlfn.IFS($G643=$G$5,K$5,$G643=$G$6,K$6,$G643=$G$7,K$7,$G643=$G$8,K$8,$G643=$G$9,K$9,$G643=$G$10,K$10,$G643=$G$11,K$11,$G643=$G$12,K$12,$G643=$G$13,K$13,$G643=$G$15,K$15,$G643=$G$16,K$16,$G643=$G$17,K$17,$G643=$G$18,K$18,$G643=$G$19,K$19,$G643=$G$20,K$20,$G643=$G$21,K$21,$G643=$G$22,K$22,$G643=$G$25,K$25,$G643=$G$26,K$26,$G643=$G$27,K$27,$G643=$G$29,K$29,$G643=$G$31,K$31,$G643=$G$32,K$150,$G643=$G$248,K$248,$G643=$G$250,K$250)</f>
        <v>BG sentinel + BG lure7</v>
      </c>
      <c r="L643" s="48"/>
      <c r="M643" s="48"/>
      <c r="O643" s="45" t="str">
        <f t="shared" si="45"/>
        <v>A_SP_BCN_16_210825</v>
      </c>
      <c r="P643" s="64">
        <v>44433</v>
      </c>
      <c r="R643" s="72"/>
      <c r="S643" s="64">
        <v>44440</v>
      </c>
      <c r="U643" s="72"/>
      <c r="V643" s="54" t="s">
        <v>66</v>
      </c>
      <c r="X643" s="45">
        <f t="shared" si="48"/>
        <v>7</v>
      </c>
      <c r="Z643" s="45" t="s">
        <v>80</v>
      </c>
      <c r="AA643" s="45">
        <f t="shared" si="50"/>
        <v>1</v>
      </c>
      <c r="AB643" t="str">
        <f t="shared" si="51"/>
        <v>Adult</v>
      </c>
      <c r="AC643" s="69">
        <v>1</v>
      </c>
      <c r="AD643" s="69">
        <v>0</v>
      </c>
      <c r="AE643" s="45" t="str">
        <f t="shared" si="52"/>
        <v>Morphological</v>
      </c>
      <c r="AF643" s="56">
        <v>4</v>
      </c>
    </row>
    <row r="644" spans="1:32" ht="18" customHeight="1" x14ac:dyDescent="0.25">
      <c r="A644" s="45">
        <v>640</v>
      </c>
      <c r="B644" s="45" t="s">
        <v>60</v>
      </c>
      <c r="C644" s="45" t="s">
        <v>61</v>
      </c>
      <c r="D644" s="45" t="s">
        <v>62</v>
      </c>
      <c r="E644" s="45" t="s">
        <v>62</v>
      </c>
      <c r="F644" s="46" cm="1">
        <f t="array" ref="F644">_xlfn.IFS($G644=$G$5,F$5,$G644=$G$6,F$6,$G644=$G$7,F$7,$G644=$G$8,F$8,$G644=$G$9,F$9,$G644=$G$10,F$10,$G644=$G$11,F$11,$G644=$G$12,F$12,$G644=$G$13,F$13,$G644=$G$15,F$15,$G644=$G$16,F$16,$G644=$G$17,F$17,$G644=$G$18,F$18,$G644=$G$19,F$19,$G644=$G$20,F$20,$G644=$G$21,F$21,$G644=$G$22,F$22,$G644=$G$25,F$25,$G644=$G$26,F$26,$G644=$G$27,F$27,$G644=$G$29,F$29,$G644=$G$31,F$31,$G644=$G$32,F$32,$G644=$G$248,F$248,$G644=$G$250,F$250)</f>
        <v>8038</v>
      </c>
      <c r="G644" t="s">
        <v>93</v>
      </c>
      <c r="H644" s="67" cm="1">
        <f t="array" ref="H644">_xlfn.IFS($G644=$G$5,H$5,$G644=$G$6,H$6,$G644=$G$7,H$7,$G644=$G$8,H$8,$G644=$G$9,H$9,$G644=$G$10,H$10,$G644=$G$11,H$11,$G644=$G$12,H$12,$G644=$G$13,H$13,$G644=$G$15,H$15,$G644=$G$16,H$16,$G644=$G$17,H$17,$G644=$G$18,H$18,$G644=$G$19,H$19,$G644=$G$20,H$20,$G644=$G$21,H$21,$G644=$G$22,H$22,$G644=$G$25,H$25,$G644=$G$26,H$26,$G644=$G$27,H$27,$G644=$G$29,H$29,$G644=$G$31,H$31,$G644=$G$32,H$150,$G644=$G$248,H$248,$G644=$G$250,H$250)</f>
        <v>41.359864999999999</v>
      </c>
      <c r="I644" s="67" cm="1">
        <f t="array" ref="I644">_xlfn.IFS($G644=$G$5,I$5,$G644=$G$6,I$6,$G644=$G$7,I$7,$G644=$G$8,I$8,$G644=$G$9,I$9,$G644=$G$10,I$10,$G644=$G$11,I$11,$G644=$G$12,I$12,$G644=$G$13,I$13,$G644=$G$15,I$15,$G644=$G$16,I$16,$G644=$G$17,I$17,$G644=$G$18,I$18,$G644=$G$19,I$19,$G644=$G$20,I$20,$G644=$G$21,I$21,$G644=$G$22,I$22,$G644=$G$25,I$25,$G644=$G$26,I$26,$G644=$G$27,I$27,$G644=$G$29,I$29,$G644=$G$31,I$31,$G644=$G$32,I$150,$G644=$G$248,I$248,$G644=$G$250,I$250)</f>
        <v>2.1445430000000001</v>
      </c>
      <c r="J644" s="48" cm="1">
        <f t="array" ref="J644">_xlfn.IFS($G644=$G$5,J$5,$G644=$G$6,J$6,$G644=$G$7,J$7,$G644=$G$8,J$8,$G644=$G$9,J$9,$G644=$G$10,J$10,$G644=$G$11,J$11,$G644=$G$12,J$12,$G644=$G$13,J$13,$G644=$G$15,J$15,$G644=$G$16,J$16,$G644=$G$17,J$17,$G644=$G$18,J$18,$G644=$G$19,J$19,$G644=$G$20,J$20,$G644=$G$21,J$21,$G644=$G$22,J$22,$G644=$G$25,J$25,$G644=$G$26,J$26,$G644=$G$27,J$27,$G644=$G$29,J$29,$G644=$G$31,J$31,$G644=$G$32,J$150,$G644=$G$248,J$248,$G644=$G$250,J$250)</f>
        <v>11.4</v>
      </c>
      <c r="K644" s="48" t="str" cm="1">
        <f t="array" ref="K644">_xlfn.IFS($G644=$G$5,K$5,$G644=$G$6,K$6,$G644=$G$7,K$7,$G644=$G$8,K$8,$G644=$G$9,K$9,$G644=$G$10,K$10,$G644=$G$11,K$11,$G644=$G$12,K$12,$G644=$G$13,K$13,$G644=$G$15,K$15,$G644=$G$16,K$16,$G644=$G$17,K$17,$G644=$G$18,K$18,$G644=$G$19,K$19,$G644=$G$20,K$20,$G644=$G$21,K$21,$G644=$G$22,K$22,$G644=$G$25,K$25,$G644=$G$26,K$26,$G644=$G$27,K$27,$G644=$G$29,K$29,$G644=$G$31,K$31,$G644=$G$32,K$150,$G644=$G$248,K$248,$G644=$G$250,K$250)</f>
        <v>BG sentinel + BG lure7</v>
      </c>
      <c r="L644" s="48"/>
      <c r="M644" s="48"/>
      <c r="O644" s="45" t="str">
        <f t="shared" si="45"/>
        <v>A_SP_BCN_19_210826</v>
      </c>
      <c r="P644" s="64">
        <v>44434</v>
      </c>
      <c r="R644" s="72"/>
      <c r="S644" s="64">
        <v>44441</v>
      </c>
      <c r="U644" s="72"/>
      <c r="V644" s="54" t="s">
        <v>66</v>
      </c>
      <c r="W644" t="s">
        <v>149</v>
      </c>
      <c r="X644" s="45">
        <f t="shared" si="48"/>
        <v>7</v>
      </c>
      <c r="Z644" s="69" t="s">
        <v>69</v>
      </c>
      <c r="AA644" s="45">
        <f t="shared" si="50"/>
        <v>4</v>
      </c>
      <c r="AB644" t="str">
        <f t="shared" si="51"/>
        <v>Adult</v>
      </c>
      <c r="AC644" s="69">
        <v>4</v>
      </c>
      <c r="AD644" s="69">
        <v>0</v>
      </c>
      <c r="AE644" s="45" t="str">
        <f t="shared" si="52"/>
        <v>Morphological</v>
      </c>
      <c r="AF644" s="56">
        <v>2</v>
      </c>
    </row>
    <row r="645" spans="1:32" ht="18" customHeight="1" x14ac:dyDescent="0.25">
      <c r="A645" s="45">
        <v>641</v>
      </c>
      <c r="B645" s="45" t="s">
        <v>60</v>
      </c>
      <c r="C645" s="45" t="s">
        <v>61</v>
      </c>
      <c r="D645" s="45" t="s">
        <v>62</v>
      </c>
      <c r="E645" s="45" t="s">
        <v>62</v>
      </c>
      <c r="F645" s="46" cm="1">
        <f t="array" ref="F645">_xlfn.IFS($G645=$G$5,F$5,$G645=$G$6,F$6,$G645=$G$7,F$7,$G645=$G$8,F$8,$G645=$G$9,F$9,$G645=$G$10,F$10,$G645=$G$11,F$11,$G645=$G$12,F$12,$G645=$G$13,F$13,$G645=$G$15,F$15,$G645=$G$16,F$16,$G645=$G$17,F$17,$G645=$G$18,F$18,$G645=$G$19,F$19,$G645=$G$20,F$20,$G645=$G$21,F$21,$G645=$G$22,F$22,$G645=$G$25,F$25,$G645=$G$26,F$26,$G645=$G$27,F$27,$G645=$G$29,F$29,$G645=$G$31,F$31,$G645=$G$32,F$32,$G645=$G$248,F$248,$G645=$G$250,F$250)</f>
        <v>8038</v>
      </c>
      <c r="G645" t="s">
        <v>93</v>
      </c>
      <c r="H645" s="67" cm="1">
        <f t="array" ref="H645">_xlfn.IFS($G645=$G$5,H$5,$G645=$G$6,H$6,$G645=$G$7,H$7,$G645=$G$8,H$8,$G645=$G$9,H$9,$G645=$G$10,H$10,$G645=$G$11,H$11,$G645=$G$12,H$12,$G645=$G$13,H$13,$G645=$G$15,H$15,$G645=$G$16,H$16,$G645=$G$17,H$17,$G645=$G$18,H$18,$G645=$G$19,H$19,$G645=$G$20,H$20,$G645=$G$21,H$21,$G645=$G$22,H$22,$G645=$G$25,H$25,$G645=$G$26,H$26,$G645=$G$27,H$27,$G645=$G$29,H$29,$G645=$G$31,H$31,$G645=$G$32,H$150,$G645=$G$248,H$248,$G645=$G$250,H$250)</f>
        <v>41.359864999999999</v>
      </c>
      <c r="I645" s="67" cm="1">
        <f t="array" ref="I645">_xlfn.IFS($G645=$G$5,I$5,$G645=$G$6,I$6,$G645=$G$7,I$7,$G645=$G$8,I$8,$G645=$G$9,I$9,$G645=$G$10,I$10,$G645=$G$11,I$11,$G645=$G$12,I$12,$G645=$G$13,I$13,$G645=$G$15,I$15,$G645=$G$16,I$16,$G645=$G$17,I$17,$G645=$G$18,I$18,$G645=$G$19,I$19,$G645=$G$20,I$20,$G645=$G$21,I$21,$G645=$G$22,I$22,$G645=$G$25,I$25,$G645=$G$26,I$26,$G645=$G$27,I$27,$G645=$G$29,I$29,$G645=$G$31,I$31,$G645=$G$32,I$150,$G645=$G$248,I$248,$G645=$G$250,I$250)</f>
        <v>2.1445430000000001</v>
      </c>
      <c r="J645" s="48" cm="1">
        <f t="array" ref="J645">_xlfn.IFS($G645=$G$5,J$5,$G645=$G$6,J$6,$G645=$G$7,J$7,$G645=$G$8,J$8,$G645=$G$9,J$9,$G645=$G$10,J$10,$G645=$G$11,J$11,$G645=$G$12,J$12,$G645=$G$13,J$13,$G645=$G$15,J$15,$G645=$G$16,J$16,$G645=$G$17,J$17,$G645=$G$18,J$18,$G645=$G$19,J$19,$G645=$G$20,J$20,$G645=$G$21,J$21,$G645=$G$22,J$22,$G645=$G$25,J$25,$G645=$G$26,J$26,$G645=$G$27,J$27,$G645=$G$29,J$29,$G645=$G$31,J$31,$G645=$G$32,J$150,$G645=$G$248,J$248,$G645=$G$250,J$250)</f>
        <v>11.4</v>
      </c>
      <c r="K645" s="48" t="str" cm="1">
        <f t="array" ref="K645">_xlfn.IFS($G645=$G$5,K$5,$G645=$G$6,K$6,$G645=$G$7,K$7,$G645=$G$8,K$8,$G645=$G$9,K$9,$G645=$G$10,K$10,$G645=$G$11,K$11,$G645=$G$12,K$12,$G645=$G$13,K$13,$G645=$G$15,K$15,$G645=$G$16,K$16,$G645=$G$17,K$17,$G645=$G$18,K$18,$G645=$G$19,K$19,$G645=$G$20,K$20,$G645=$G$21,K$21,$G645=$G$22,K$22,$G645=$G$25,K$25,$G645=$G$26,K$26,$G645=$G$27,K$27,$G645=$G$29,K$29,$G645=$G$31,K$31,$G645=$G$32,K$150,$G645=$G$248,K$248,$G645=$G$250,K$250)</f>
        <v>BG sentinel + BG lure7</v>
      </c>
      <c r="L645" s="48"/>
      <c r="M645" s="48"/>
      <c r="O645" s="45" t="str">
        <f t="shared" si="45"/>
        <v>A_SP_BCN_19_210826</v>
      </c>
      <c r="P645" s="64">
        <v>44434</v>
      </c>
      <c r="R645" s="72"/>
      <c r="S645" s="64">
        <v>44441</v>
      </c>
      <c r="U645" s="72"/>
      <c r="V645" s="54" t="s">
        <v>66</v>
      </c>
      <c r="W645" t="s">
        <v>149</v>
      </c>
      <c r="X645" s="45">
        <f t="shared" si="48"/>
        <v>7</v>
      </c>
      <c r="Z645" s="45" t="s">
        <v>70</v>
      </c>
      <c r="AA645" s="45">
        <f t="shared" si="50"/>
        <v>1</v>
      </c>
      <c r="AB645" t="str">
        <f t="shared" si="51"/>
        <v>Adult</v>
      </c>
      <c r="AC645" s="69">
        <v>1</v>
      </c>
      <c r="AD645" s="69">
        <v>0</v>
      </c>
      <c r="AE645" s="45" t="str">
        <f t="shared" si="52"/>
        <v>Morphological</v>
      </c>
      <c r="AF645" s="56">
        <v>2</v>
      </c>
    </row>
    <row r="646" spans="1:32" ht="18" customHeight="1" x14ac:dyDescent="0.25">
      <c r="A646" s="45">
        <v>642</v>
      </c>
      <c r="B646" s="45" t="s">
        <v>60</v>
      </c>
      <c r="C646" s="45" t="s">
        <v>61</v>
      </c>
      <c r="D646" s="45" t="s">
        <v>62</v>
      </c>
      <c r="E646" s="45" t="s">
        <v>62</v>
      </c>
      <c r="F646" s="46" cm="1">
        <f t="array" ref="F646">_xlfn.IFS($G646=$G$5,F$5,$G646=$G$6,F$6,$G646=$G$7,F$7,$G646=$G$8,F$8,$G646=$G$9,F$9,$G646=$G$10,F$10,$G646=$G$11,F$11,$G646=$G$12,F$12,$G646=$G$13,F$13,$G646=$G$15,F$15,$G646=$G$16,F$16,$G646=$G$17,F$17,$G646=$G$18,F$18,$G646=$G$19,F$19,$G646=$G$20,F$20,$G646=$G$21,F$21,$G646=$G$22,F$22,$G646=$G$25,F$25,$G646=$G$26,F$26,$G646=$G$27,F$27,$G646=$G$29,F$29,$G646=$G$31,F$31,$G646=$G$32,F$32,$G646=$G$248,F$248,$G646=$G$250,F$250)</f>
        <v>8017</v>
      </c>
      <c r="G646" t="s">
        <v>98</v>
      </c>
      <c r="H646" s="67" cm="1">
        <f t="array" ref="H646">_xlfn.IFS($G646=$G$5,H$5,$G646=$G$6,H$6,$G646=$G$7,H$7,$G646=$G$8,H$8,$G646=$G$9,H$9,$G646=$G$10,H$10,$G646=$G$11,H$11,$G646=$G$12,H$12,$G646=$G$13,H$13,$G646=$G$15,H$15,$G646=$G$16,H$16,$G646=$G$17,H$17,$G646=$G$18,H$18,$G646=$G$19,H$19,$G646=$G$20,H$20,$G646=$G$21,H$21,$G646=$G$22,H$22,$G646=$G$25,H$25,$G646=$G$26,H$26,$G646=$G$27,H$27,$G646=$G$29,H$29,$G646=$G$31,H$31,$G646=$G$32,H$150,$G646=$G$248,H$248,$G646=$G$250,H$250)</f>
        <v>41.430315999999998</v>
      </c>
      <c r="I646" s="67" cm="1">
        <f t="array" ref="I646">_xlfn.IFS($G646=$G$5,I$5,$G646=$G$6,I$6,$G646=$G$7,I$7,$G646=$G$8,I$8,$G646=$G$9,I$9,$G646=$G$10,I$10,$G646=$G$11,I$11,$G646=$G$12,I$12,$G646=$G$13,I$13,$G646=$G$15,I$15,$G646=$G$16,I$16,$G646=$G$17,I$17,$G646=$G$18,I$18,$G646=$G$19,I$19,$G646=$G$20,I$20,$G646=$G$21,I$21,$G646=$G$22,I$22,$G646=$G$25,I$25,$G646=$G$26,I$26,$G646=$G$27,I$27,$G646=$G$29,I$29,$G646=$G$31,I$31,$G646=$G$32,I$150,$G646=$G$248,I$248,$G646=$G$250,I$250)</f>
        <v>2.077556</v>
      </c>
      <c r="J646" s="48" cm="1">
        <f t="array" ref="J646">_xlfn.IFS($G646=$G$5,J$5,$G646=$G$6,J$6,$G646=$G$7,J$7,$G646=$G$8,J$8,$G646=$G$9,J$9,$G646=$G$10,J$10,$G646=$G$11,J$11,$G646=$G$12,J$12,$G646=$G$13,J$13,$G646=$G$15,J$15,$G646=$G$16,J$16,$G646=$G$17,J$17,$G646=$G$18,J$18,$G646=$G$19,J$19,$G646=$G$20,J$20,$G646=$G$21,J$21,$G646=$G$22,J$22,$G646=$G$25,J$25,$G646=$G$26,J$26,$G646=$G$27,J$27,$G646=$G$29,J$29,$G646=$G$31,J$31,$G646=$G$32,J$150,$G646=$G$248,J$248,$G646=$G$250,J$250)</f>
        <v>243.3</v>
      </c>
      <c r="K646" s="48" t="str" cm="1">
        <f t="array" ref="K646">_xlfn.IFS($G646=$G$5,K$5,$G646=$G$6,K$6,$G646=$G$7,K$7,$G646=$G$8,K$8,$G646=$G$9,K$9,$G646=$G$10,K$10,$G646=$G$11,K$11,$G646=$G$12,K$12,$G646=$G$13,K$13,$G646=$G$15,K$15,$G646=$G$16,K$16,$G646=$G$17,K$17,$G646=$G$18,K$18,$G646=$G$19,K$19,$G646=$G$20,K$20,$G646=$G$21,K$21,$G646=$G$22,K$22,$G646=$G$25,K$25,$G646=$G$26,K$26,$G646=$G$27,K$27,$G646=$G$29,K$29,$G646=$G$31,K$31,$G646=$G$32,K$150,$G646=$G$248,K$248,$G646=$G$250,K$250)</f>
        <v>BG sentinel + BG lure7</v>
      </c>
      <c r="L646" s="48"/>
      <c r="M646" s="48"/>
      <c r="O646" s="45" t="str">
        <f t="shared" si="45"/>
        <v>A_SP_BCN_22_210825</v>
      </c>
      <c r="P646" s="64">
        <v>44433</v>
      </c>
      <c r="R646" s="72"/>
      <c r="S646" s="64">
        <v>44440</v>
      </c>
      <c r="U646" s="72"/>
      <c r="V646" s="54" t="s">
        <v>66</v>
      </c>
      <c r="X646" s="45">
        <f t="shared" si="48"/>
        <v>7</v>
      </c>
      <c r="Z646" s="69" t="s">
        <v>69</v>
      </c>
      <c r="AA646" s="45">
        <f t="shared" si="50"/>
        <v>2</v>
      </c>
      <c r="AB646" t="str">
        <f t="shared" si="51"/>
        <v>Adult</v>
      </c>
      <c r="AC646" s="69">
        <v>2</v>
      </c>
      <c r="AD646" s="69">
        <v>0</v>
      </c>
      <c r="AE646" s="45" t="str">
        <f t="shared" si="52"/>
        <v>Morphological</v>
      </c>
      <c r="AF646" s="56">
        <v>4</v>
      </c>
    </row>
    <row r="647" spans="1:32" ht="18" customHeight="1" x14ac:dyDescent="0.25">
      <c r="A647" s="45">
        <v>643</v>
      </c>
      <c r="B647" s="45" t="s">
        <v>60</v>
      </c>
      <c r="C647" s="45" t="s">
        <v>61</v>
      </c>
      <c r="D647" s="45" t="s">
        <v>62</v>
      </c>
      <c r="E647" s="45" t="s">
        <v>62</v>
      </c>
      <c r="F647" s="46" cm="1">
        <f t="array" ref="F647">_xlfn.IFS($G647=$G$5,F$5,$G647=$G$6,F$6,$G647=$G$7,F$7,$G647=$G$8,F$8,$G647=$G$9,F$9,$G647=$G$10,F$10,$G647=$G$11,F$11,$G647=$G$12,F$12,$G647=$G$13,F$13,$G647=$G$15,F$15,$G647=$G$16,F$16,$G647=$G$17,F$17,$G647=$G$18,F$18,$G647=$G$19,F$19,$G647=$G$20,F$20,$G647=$G$21,F$21,$G647=$G$22,F$22,$G647=$G$25,F$25,$G647=$G$26,F$26,$G647=$G$27,F$27,$G647=$G$29,F$29,$G647=$G$31,F$31,$G647=$G$32,F$32,$G647=$G$248,F$248,$G647=$G$250,F$250)</f>
        <v>8038</v>
      </c>
      <c r="G647" t="s">
        <v>103</v>
      </c>
      <c r="H647" s="67" cm="1">
        <f t="array" ref="H647">_xlfn.IFS($G647=$G$5,H$5,$G647=$G$6,H$6,$G647=$G$7,H$7,$G647=$G$8,H$8,$G647=$G$9,H$9,$G647=$G$10,H$10,$G647=$G$11,H$11,$G647=$G$12,H$12,$G647=$G$13,H$13,$G647=$G$15,H$15,$G647=$G$16,H$16,$G647=$G$17,H$17,$G647=$G$18,H$18,$G647=$G$19,H$19,$G647=$G$20,H$20,$G647=$G$21,H$21,$G647=$G$22,H$22,$G647=$G$25,H$25,$G647=$G$26,H$26,$G647=$G$27,H$27,$G647=$G$29,H$29,$G647=$G$31,H$31,$G647=$G$32,H$150,$G647=$G$248,H$248,$G647=$G$250,H$250)</f>
        <v>41.367100000000001</v>
      </c>
      <c r="I647" s="67" cm="1">
        <f t="array" ref="I647">_xlfn.IFS($G647=$G$5,I$5,$G647=$G$6,I$6,$G647=$G$7,I$7,$G647=$G$8,I$8,$G647=$G$9,I$9,$G647=$G$10,I$10,$G647=$G$11,I$11,$G647=$G$12,I$12,$G647=$G$13,I$13,$G647=$G$15,I$15,$G647=$G$16,I$16,$G647=$G$17,I$17,$G647=$G$18,I$18,$G647=$G$19,I$19,$G647=$G$20,I$20,$G647=$G$21,I$21,$G647=$G$22,I$22,$G647=$G$25,I$25,$G647=$G$26,I$26,$G647=$G$27,I$27,$G647=$G$29,I$29,$G647=$G$31,I$31,$G647=$G$32,I$150,$G647=$G$248,I$248,$G647=$G$250,I$250)</f>
        <v>2.1539079999999999</v>
      </c>
      <c r="J647" s="48" cm="1">
        <f t="array" ref="J647">_xlfn.IFS($G647=$G$5,J$5,$G647=$G$6,J$6,$G647=$G$7,J$7,$G647=$G$8,J$8,$G647=$G$9,J$9,$G647=$G$10,J$10,$G647=$G$11,J$11,$G647=$G$12,J$12,$G647=$G$13,J$13,$G647=$G$15,J$15,$G647=$G$16,J$16,$G647=$G$17,J$17,$G647=$G$18,J$18,$G647=$G$19,J$19,$G647=$G$20,J$20,$G647=$G$21,J$21,$G647=$G$22,J$22,$G647=$G$25,J$25,$G647=$G$26,J$26,$G647=$G$27,J$27,$G647=$G$29,J$29,$G647=$G$31,J$31,$G647=$G$32,J$150,$G647=$G$248,J$248,$G647=$G$250,J$250)</f>
        <v>68</v>
      </c>
      <c r="K647" s="48" t="str" cm="1">
        <f t="array" ref="K647">_xlfn.IFS($G647=$G$5,K$5,$G647=$G$6,K$6,$G647=$G$7,K$7,$G647=$G$8,K$8,$G647=$G$9,K$9,$G647=$G$10,K$10,$G647=$G$11,K$11,$G647=$G$12,K$12,$G647=$G$13,K$13,$G647=$G$15,K$15,$G647=$G$16,K$16,$G647=$G$17,K$17,$G647=$G$18,K$18,$G647=$G$19,K$19,$G647=$G$20,K$20,$G647=$G$21,K$21,$G647=$G$22,K$22,$G647=$G$25,K$25,$G647=$G$26,K$26,$G647=$G$27,K$27,$G647=$G$29,K$29,$G647=$G$31,K$31,$G647=$G$32,K$150,$G647=$G$248,K$248,$G647=$G$250,K$250)</f>
        <v>BG sentinel + BG lure7</v>
      </c>
      <c r="L647" s="48"/>
      <c r="M647" s="48"/>
      <c r="O647" s="45" t="str">
        <f t="shared" si="45"/>
        <v>A_SP_BCN_23_210826</v>
      </c>
      <c r="P647" s="64">
        <v>44434</v>
      </c>
      <c r="R647" s="72"/>
      <c r="S647" s="64">
        <v>44441</v>
      </c>
      <c r="U647" s="72"/>
      <c r="V647" s="54" t="s">
        <v>66</v>
      </c>
      <c r="X647" s="45">
        <f t="shared" ref="X647:X664" si="53">S647-P647</f>
        <v>7</v>
      </c>
      <c r="Z647" s="69" t="s">
        <v>69</v>
      </c>
      <c r="AA647" s="45">
        <f t="shared" si="50"/>
        <v>1</v>
      </c>
      <c r="AB647" t="str">
        <f t="shared" si="51"/>
        <v>Adult</v>
      </c>
      <c r="AC647" s="69">
        <v>1</v>
      </c>
      <c r="AD647" s="69">
        <v>0</v>
      </c>
      <c r="AE647" s="45" t="str">
        <f t="shared" si="52"/>
        <v>Morphological</v>
      </c>
      <c r="AF647" s="56">
        <v>4</v>
      </c>
    </row>
    <row r="648" spans="1:32" ht="18" customHeight="1" x14ac:dyDescent="0.25">
      <c r="A648" s="45">
        <v>644</v>
      </c>
      <c r="B648" s="45" t="s">
        <v>60</v>
      </c>
      <c r="C648" s="45" t="s">
        <v>61</v>
      </c>
      <c r="D648" s="45" t="s">
        <v>62</v>
      </c>
      <c r="E648" s="45" t="s">
        <v>62</v>
      </c>
      <c r="F648" s="46" cm="1">
        <f t="array" ref="F648">_xlfn.IFS($G648=$G$5,F$5,$G648=$G$6,F$6,$G648=$G$7,F$7,$G648=$G$8,F$8,$G648=$G$9,F$9,$G648=$G$10,F$10,$G648=$G$11,F$11,$G648=$G$12,F$12,$G648=$G$13,F$13,$G648=$G$15,F$15,$G648=$G$16,F$16,$G648=$G$17,F$17,$G648=$G$18,F$18,$G648=$G$19,F$19,$G648=$G$20,F$20,$G648=$G$21,F$21,$G648=$G$22,F$22,$G648=$G$25,F$25,$G648=$G$26,F$26,$G648=$G$27,F$27,$G648=$G$29,F$29,$G648=$G$31,F$31,$G648=$G$32,F$32,$G648=$G$248,F$248,$G648=$G$250,F$250)</f>
        <v>8015</v>
      </c>
      <c r="G648" t="s">
        <v>109</v>
      </c>
      <c r="H648" s="67" cm="1">
        <f t="array" ref="H648">_xlfn.IFS($G648=$G$5,H$5,$G648=$G$6,H$6,$G648=$G$7,H$7,$G648=$G$8,H$8,$G648=$G$9,H$9,$G648=$G$10,H$10,$G648=$G$11,H$11,$G648=$G$12,H$12,$G648=$G$13,H$13,$G648=$G$15,H$15,$G648=$G$16,H$16,$G648=$G$17,H$17,$G648=$G$18,H$18,$G648=$G$19,H$19,$G648=$G$20,H$20,$G648=$G$21,H$21,$G648=$G$22,H$22,$G648=$G$25,H$25,$G648=$G$26,H$26,$G648=$G$27,H$27,$G648=$G$29,H$29,$G648=$G$31,H$31,$G648=$G$32,H$150,$G648=$G$248,H$248,$G648=$G$250,H$250)</f>
        <v>41.381725000000003</v>
      </c>
      <c r="I648" s="67" cm="1">
        <f t="array" ref="I648">_xlfn.IFS($G648=$G$5,I$5,$G648=$G$6,I$6,$G648=$G$7,I$7,$G648=$G$8,I$8,$G648=$G$9,I$9,$G648=$G$10,I$10,$G648=$G$11,I$11,$G648=$G$12,I$12,$G648=$G$13,I$13,$G648=$G$15,I$15,$G648=$G$16,I$16,$G648=$G$17,I$17,$G648=$G$18,I$18,$G648=$G$19,I$19,$G648=$G$20,I$20,$G648=$G$21,I$21,$G648=$G$22,I$22,$G648=$G$25,I$25,$G648=$G$26,I$26,$G648=$G$27,I$27,$G648=$G$29,I$29,$G648=$G$31,I$31,$G648=$G$32,I$150,$G648=$G$248,I$248,$G648=$G$250,I$250)</f>
        <v>2.1543679999999998</v>
      </c>
      <c r="J648" s="48" cm="1">
        <f t="array" ref="J648">_xlfn.IFS($G648=$G$5,J$5,$G648=$G$6,J$6,$G648=$G$7,J$7,$G648=$G$8,J$8,$G648=$G$9,J$9,$G648=$G$10,J$10,$G648=$G$11,J$11,$G648=$G$12,J$12,$G648=$G$13,J$13,$G648=$G$15,J$15,$G648=$G$16,J$16,$G648=$G$17,J$17,$G648=$G$18,J$18,$G648=$G$19,J$19,$G648=$G$20,J$20,$G648=$G$21,J$21,$G648=$G$22,J$22,$G648=$G$25,J$25,$G648=$G$26,J$26,$G648=$G$27,J$27,$G648=$G$29,J$29,$G648=$G$31,J$31,$G648=$G$32,J$150,$G648=$G$248,J$248,$G648=$G$250,J$250)</f>
        <v>20.7</v>
      </c>
      <c r="K648" s="48" t="str" cm="1">
        <f t="array" ref="K648">_xlfn.IFS($G648=$G$5,K$5,$G648=$G$6,K$6,$G648=$G$7,K$7,$G648=$G$8,K$8,$G648=$G$9,K$9,$G648=$G$10,K$10,$G648=$G$11,K$11,$G648=$G$12,K$12,$G648=$G$13,K$13,$G648=$G$15,K$15,$G648=$G$16,K$16,$G648=$G$17,K$17,$G648=$G$18,K$18,$G648=$G$19,K$19,$G648=$G$20,K$20,$G648=$G$21,K$21,$G648=$G$22,K$22,$G648=$G$25,K$25,$G648=$G$26,K$26,$G648=$G$27,K$27,$G648=$G$29,K$29,$G648=$G$31,K$31,$G648=$G$32,K$150,$G648=$G$248,K$248,$G648=$G$250,K$250)</f>
        <v>BG sentinel + BG lure7</v>
      </c>
      <c r="L648" s="48"/>
      <c r="M648" s="48"/>
      <c r="O648" s="45" t="str">
        <f t="shared" si="45"/>
        <v>A_SP_BCN_24_210825</v>
      </c>
      <c r="P648" s="64">
        <v>44433</v>
      </c>
      <c r="R648" s="72"/>
      <c r="S648" s="64">
        <v>44440</v>
      </c>
      <c r="U648" s="72"/>
      <c r="V648" s="54" t="s">
        <v>66</v>
      </c>
      <c r="X648" s="45">
        <f t="shared" si="53"/>
        <v>7</v>
      </c>
      <c r="Z648" s="69" t="s">
        <v>69</v>
      </c>
      <c r="AA648" s="45">
        <f t="shared" si="50"/>
        <v>19</v>
      </c>
      <c r="AB648" t="str">
        <f t="shared" si="51"/>
        <v>Adult</v>
      </c>
      <c r="AC648" s="69">
        <v>8</v>
      </c>
      <c r="AD648" s="69">
        <v>11</v>
      </c>
      <c r="AE648" s="45" t="str">
        <f t="shared" si="52"/>
        <v>Morphological</v>
      </c>
      <c r="AF648" s="56">
        <v>4</v>
      </c>
    </row>
    <row r="649" spans="1:32" ht="18" customHeight="1" x14ac:dyDescent="0.25">
      <c r="A649" s="45">
        <v>645</v>
      </c>
      <c r="B649" s="45" t="s">
        <v>60</v>
      </c>
      <c r="C649" s="45" t="s">
        <v>61</v>
      </c>
      <c r="D649" s="45" t="s">
        <v>62</v>
      </c>
      <c r="E649" s="45" t="s">
        <v>62</v>
      </c>
      <c r="F649" s="46" cm="1">
        <f t="array" ref="F649">_xlfn.IFS($G649=$G$5,F$5,$G649=$G$6,F$6,$G649=$G$7,F$7,$G649=$G$8,F$8,$G649=$G$9,F$9,$G649=$G$10,F$10,$G649=$G$11,F$11,$G649=$G$12,F$12,$G649=$G$13,F$13,$G649=$G$15,F$15,$G649=$G$16,F$16,$G649=$G$17,F$17,$G649=$G$18,F$18,$G649=$G$19,F$19,$G649=$G$20,F$20,$G649=$G$21,F$21,$G649=$G$22,F$22,$G649=$G$25,F$25,$G649=$G$26,F$26,$G649=$G$27,F$27,$G649=$G$29,F$29,$G649=$G$31,F$31,$G649=$G$32,F$32,$G649=$G$248,F$248,$G649=$G$250,F$250)</f>
        <v>8015</v>
      </c>
      <c r="G649" t="s">
        <v>109</v>
      </c>
      <c r="H649" s="67" cm="1">
        <f t="array" ref="H649">_xlfn.IFS($G649=$G$5,H$5,$G649=$G$6,H$6,$G649=$G$7,H$7,$G649=$G$8,H$8,$G649=$G$9,H$9,$G649=$G$10,H$10,$G649=$G$11,H$11,$G649=$G$12,H$12,$G649=$G$13,H$13,$G649=$G$15,H$15,$G649=$G$16,H$16,$G649=$G$17,H$17,$G649=$G$18,H$18,$G649=$G$19,H$19,$G649=$G$20,H$20,$G649=$G$21,H$21,$G649=$G$22,H$22,$G649=$G$25,H$25,$G649=$G$26,H$26,$G649=$G$27,H$27,$G649=$G$29,H$29,$G649=$G$31,H$31,$G649=$G$32,H$150,$G649=$G$248,H$248,$G649=$G$250,H$250)</f>
        <v>41.381725000000003</v>
      </c>
      <c r="I649" s="67" cm="1">
        <f t="array" ref="I649">_xlfn.IFS($G649=$G$5,I$5,$G649=$G$6,I$6,$G649=$G$7,I$7,$G649=$G$8,I$8,$G649=$G$9,I$9,$G649=$G$10,I$10,$G649=$G$11,I$11,$G649=$G$12,I$12,$G649=$G$13,I$13,$G649=$G$15,I$15,$G649=$G$16,I$16,$G649=$G$17,I$17,$G649=$G$18,I$18,$G649=$G$19,I$19,$G649=$G$20,I$20,$G649=$G$21,I$21,$G649=$G$22,I$22,$G649=$G$25,I$25,$G649=$G$26,I$26,$G649=$G$27,I$27,$G649=$G$29,I$29,$G649=$G$31,I$31,$G649=$G$32,I$150,$G649=$G$248,I$248,$G649=$G$250,I$250)</f>
        <v>2.1543679999999998</v>
      </c>
      <c r="J649" s="48" cm="1">
        <f t="array" ref="J649">_xlfn.IFS($G649=$G$5,J$5,$G649=$G$6,J$6,$G649=$G$7,J$7,$G649=$G$8,J$8,$G649=$G$9,J$9,$G649=$G$10,J$10,$G649=$G$11,J$11,$G649=$G$12,J$12,$G649=$G$13,J$13,$G649=$G$15,J$15,$G649=$G$16,J$16,$G649=$G$17,J$17,$G649=$G$18,J$18,$G649=$G$19,J$19,$G649=$G$20,J$20,$G649=$G$21,J$21,$G649=$G$22,J$22,$G649=$G$25,J$25,$G649=$G$26,J$26,$G649=$G$27,J$27,$G649=$G$29,J$29,$G649=$G$31,J$31,$G649=$G$32,J$150,$G649=$G$248,J$248,$G649=$G$250,J$250)</f>
        <v>20.7</v>
      </c>
      <c r="K649" s="48" t="str" cm="1">
        <f t="array" ref="K649">_xlfn.IFS($G649=$G$5,K$5,$G649=$G$6,K$6,$G649=$G$7,K$7,$G649=$G$8,K$8,$G649=$G$9,K$9,$G649=$G$10,K$10,$G649=$G$11,K$11,$G649=$G$12,K$12,$G649=$G$13,K$13,$G649=$G$15,K$15,$G649=$G$16,K$16,$G649=$G$17,K$17,$G649=$G$18,K$18,$G649=$G$19,K$19,$G649=$G$20,K$20,$G649=$G$21,K$21,$G649=$G$22,K$22,$G649=$G$25,K$25,$G649=$G$26,K$26,$G649=$G$27,K$27,$G649=$G$29,K$29,$G649=$G$31,K$31,$G649=$G$32,K$150,$G649=$G$248,K$248,$G649=$G$250,K$250)</f>
        <v>BG sentinel + BG lure7</v>
      </c>
      <c r="L649" s="48"/>
      <c r="M649" s="48"/>
      <c r="O649" s="45" t="str">
        <f t="shared" si="45"/>
        <v>A_SP_BCN_24_210825</v>
      </c>
      <c r="P649" s="64">
        <v>44433</v>
      </c>
      <c r="R649" s="72"/>
      <c r="S649" s="64">
        <v>44440</v>
      </c>
      <c r="U649" s="72"/>
      <c r="V649" s="54" t="s">
        <v>66</v>
      </c>
      <c r="X649" s="45">
        <f t="shared" si="53"/>
        <v>7</v>
      </c>
      <c r="Z649" s="45" t="s">
        <v>70</v>
      </c>
      <c r="AA649" s="45">
        <f t="shared" si="50"/>
        <v>5</v>
      </c>
      <c r="AB649" t="str">
        <f t="shared" si="51"/>
        <v>Adult</v>
      </c>
      <c r="AC649" s="69">
        <v>2</v>
      </c>
      <c r="AD649" s="69">
        <v>3</v>
      </c>
      <c r="AE649" s="45" t="str">
        <f t="shared" si="52"/>
        <v>Morphological</v>
      </c>
      <c r="AF649" s="56">
        <v>4</v>
      </c>
    </row>
    <row r="650" spans="1:32" ht="18" customHeight="1" x14ac:dyDescent="0.25">
      <c r="A650" s="45">
        <v>646</v>
      </c>
      <c r="B650" s="45" t="s">
        <v>60</v>
      </c>
      <c r="C650" s="45" t="s">
        <v>61</v>
      </c>
      <c r="D650" s="45" t="s">
        <v>62</v>
      </c>
      <c r="E650" s="45" t="s">
        <v>62</v>
      </c>
      <c r="F650" s="46" cm="1">
        <f t="array" ref="F650">_xlfn.IFS($G650=$G$5,F$5,$G650=$G$6,F$6,$G650=$G$7,F$7,$G650=$G$8,F$8,$G650=$G$9,F$9,$G650=$G$10,F$10,$G650=$G$11,F$11,$G650=$G$12,F$12,$G650=$G$13,F$13,$G650=$G$15,F$15,$G650=$G$16,F$16,$G650=$G$17,F$17,$G650=$G$18,F$18,$G650=$G$19,F$19,$G650=$G$20,F$20,$G650=$G$21,F$21,$G650=$G$22,F$22,$G650=$G$25,F$25,$G650=$G$26,F$26,$G650=$G$27,F$27,$G650=$G$29,F$29,$G650=$G$31,F$31,$G650=$G$32,F$32,$G650=$G$248,F$248,$G650=$G$250,F$250)</f>
        <v>8024</v>
      </c>
      <c r="G650" t="s">
        <v>63</v>
      </c>
      <c r="H650" s="67" cm="1">
        <f t="array" ref="H650">_xlfn.IFS($G650=$G$5,H$5,$G650=$G$6,H$6,$G650=$G$7,H$7,$G650=$G$8,H$8,$G650=$G$9,H$9,$G650=$G$10,H$10,$G650=$G$11,H$11,$G650=$G$12,H$12,$G650=$G$13,H$13,$G650=$G$15,H$15,$G650=$G$16,H$16,$G650=$G$17,H$17,$G650=$G$18,H$18,$G650=$G$19,H$19,$G650=$G$20,H$20,$G650=$G$21,H$21,$G650=$G$22,H$22,$G650=$G$25,H$25,$G650=$G$26,H$26,$G650=$G$27,H$27,$G650=$G$29,H$29,$G650=$G$31,H$31,$G650=$G$32,H$150,$G650=$G$248,H$248,$G650=$G$250,H$250)</f>
        <v>41.413573999999997</v>
      </c>
      <c r="I650" s="67" cm="1">
        <f t="array" ref="I650">_xlfn.IFS($G650=$G$5,I$5,$G650=$G$6,I$6,$G650=$G$7,I$7,$G650=$G$8,I$8,$G650=$G$9,I$9,$G650=$G$10,I$10,$G650=$G$11,I$11,$G650=$G$12,I$12,$G650=$G$13,I$13,$G650=$G$15,I$15,$G650=$G$16,I$16,$G650=$G$17,I$17,$G650=$G$18,I$18,$G650=$G$19,I$19,$G650=$G$20,I$20,$G650=$G$21,I$21,$G650=$G$22,I$22,$G650=$G$25,I$25,$G650=$G$26,I$26,$G650=$G$27,I$27,$G650=$G$29,I$29,$G650=$G$31,I$31,$G650=$G$32,I$150,$G650=$G$248,I$248,$G650=$G$250,I$250)</f>
        <v>2.1520730000000001</v>
      </c>
      <c r="J650" s="48" cm="1">
        <f t="array" ref="J650">_xlfn.IFS($G650=$G$5,J$5,$G650=$G$6,J$6,$G650=$G$7,J$7,$G650=$G$8,J$8,$G650=$G$9,J$9,$G650=$G$10,J$10,$G650=$G$11,J$11,$G650=$G$12,J$12,$G650=$G$13,J$13,$G650=$G$15,J$15,$G650=$G$16,J$16,$G650=$G$17,J$17,$G650=$G$18,J$18,$G650=$G$19,J$19,$G650=$G$20,J$20,$G650=$G$21,J$21,$G650=$G$22,J$22,$G650=$G$25,J$25,$G650=$G$26,J$26,$G650=$G$27,J$27,$G650=$G$29,J$29,$G650=$G$31,J$31,$G650=$G$32,J$150,$G650=$G$248,J$248,$G650=$G$250,J$250)</f>
        <v>141</v>
      </c>
      <c r="K650" s="48" t="str" cm="1">
        <f t="array" ref="K650">_xlfn.IFS($G650=$G$5,K$5,$G650=$G$6,K$6,$G650=$G$7,K$7,$G650=$G$8,K$8,$G650=$G$9,K$9,$G650=$G$10,K$10,$G650=$G$11,K$11,$G650=$G$12,K$12,$G650=$G$13,K$13,$G650=$G$15,K$15,$G650=$G$16,K$16,$G650=$G$17,K$17,$G650=$G$18,K$18,$G650=$G$19,K$19,$G650=$G$20,K$20,$G650=$G$21,K$21,$G650=$G$22,K$22,$G650=$G$25,K$25,$G650=$G$26,K$26,$G650=$G$27,K$27,$G650=$G$29,K$29,$G650=$G$31,K$31,$G650=$G$32,K$150,$G650=$G$248,K$248,$G650=$G$250,K$250)</f>
        <v>BG sentinel + BG lure7</v>
      </c>
      <c r="L650" s="48"/>
      <c r="M650" s="48"/>
      <c r="O650" s="45" t="str">
        <f t="shared" si="45"/>
        <v>A_SP_BCN_1_210901</v>
      </c>
      <c r="P650" s="64">
        <v>44440</v>
      </c>
      <c r="R650" s="72"/>
      <c r="S650" s="64">
        <v>44447</v>
      </c>
      <c r="U650" s="72"/>
      <c r="V650" s="54" t="s">
        <v>66</v>
      </c>
      <c r="X650" s="45">
        <f t="shared" si="53"/>
        <v>7</v>
      </c>
      <c r="Z650" s="69" t="s">
        <v>69</v>
      </c>
      <c r="AA650" s="45">
        <f t="shared" si="50"/>
        <v>5</v>
      </c>
      <c r="AB650" t="str">
        <f t="shared" si="51"/>
        <v>Adult</v>
      </c>
      <c r="AC650" s="69">
        <v>1</v>
      </c>
      <c r="AD650" s="69">
        <v>4</v>
      </c>
      <c r="AE650" s="45" t="str">
        <f t="shared" si="52"/>
        <v>Morphological</v>
      </c>
      <c r="AF650" s="56">
        <v>4</v>
      </c>
    </row>
    <row r="651" spans="1:32" ht="18" customHeight="1" x14ac:dyDescent="0.25">
      <c r="A651" s="45">
        <v>647</v>
      </c>
      <c r="B651" s="45" t="s">
        <v>60</v>
      </c>
      <c r="C651" s="45" t="s">
        <v>61</v>
      </c>
      <c r="D651" s="45" t="s">
        <v>62</v>
      </c>
      <c r="E651" s="45" t="s">
        <v>62</v>
      </c>
      <c r="F651" s="46" cm="1">
        <f t="array" ref="F651">_xlfn.IFS($G651=$G$5,F$5,$G651=$G$6,F$6,$G651=$G$7,F$7,$G651=$G$8,F$8,$G651=$G$9,F$9,$G651=$G$10,F$10,$G651=$G$11,F$11,$G651=$G$12,F$12,$G651=$G$13,F$13,$G651=$G$15,F$15,$G651=$G$16,F$16,$G651=$G$17,F$17,$G651=$G$18,F$18,$G651=$G$19,F$19,$G651=$G$20,F$20,$G651=$G$21,F$21,$G651=$G$22,F$22,$G651=$G$25,F$25,$G651=$G$26,F$26,$G651=$G$27,F$27,$G651=$G$29,F$29,$G651=$G$31,F$31,$G651=$G$32,F$32,$G651=$G$248,F$248,$G651=$G$250,F$250)</f>
        <v>8035</v>
      </c>
      <c r="G651" t="s">
        <v>67</v>
      </c>
      <c r="H651" s="67" cm="1">
        <f t="array" ref="H651">_xlfn.IFS($G651=$G$5,H$5,$G651=$G$6,H$6,$G651=$G$7,H$7,$G651=$G$8,H$8,$G651=$G$9,H$9,$G651=$G$10,H$10,$G651=$G$11,H$11,$G651=$G$12,H$12,$G651=$G$13,H$13,$G651=$G$15,H$15,$G651=$G$16,H$16,$G651=$G$17,H$17,$G651=$G$18,H$18,$G651=$G$19,H$19,$G651=$G$20,H$20,$G651=$G$21,H$21,$G651=$G$22,H$22,$G651=$G$25,H$25,$G651=$G$26,H$26,$G651=$G$27,H$27,$G651=$G$29,H$29,$G651=$G$31,H$31,$G651=$G$32,H$150,$G651=$G$248,H$248,$G651=$G$250,H$250)</f>
        <v>41.424387000000003</v>
      </c>
      <c r="I651" s="67" cm="1">
        <f t="array" ref="I651">_xlfn.IFS($G651=$G$5,I$5,$G651=$G$6,I$6,$G651=$G$7,I$7,$G651=$G$8,I$8,$G651=$G$9,I$9,$G651=$G$10,I$10,$G651=$G$11,I$11,$G651=$G$12,I$12,$G651=$G$13,I$13,$G651=$G$15,I$15,$G651=$G$16,I$16,$G651=$G$17,I$17,$G651=$G$18,I$18,$G651=$G$19,I$19,$G651=$G$20,I$20,$G651=$G$21,I$21,$G651=$G$22,I$22,$G651=$G$25,I$25,$G651=$G$26,I$26,$G651=$G$27,I$27,$G651=$G$29,I$29,$G651=$G$31,I$31,$G651=$G$32,I$150,$G651=$G$248,I$248,$G651=$G$250,I$250)</f>
        <v>2.1431439999999999</v>
      </c>
      <c r="J651" s="48" cm="1">
        <f t="array" ref="J651">_xlfn.IFS($G651=$G$5,J$5,$G651=$G$6,J$6,$G651=$G$7,J$7,$G651=$G$8,J$8,$G651=$G$9,J$9,$G651=$G$10,J$10,$G651=$G$11,J$11,$G651=$G$12,J$12,$G651=$G$13,J$13,$G651=$G$15,J$15,$G651=$G$16,J$16,$G651=$G$17,J$17,$G651=$G$18,J$18,$G651=$G$19,J$19,$G651=$G$20,J$20,$G651=$G$21,J$21,$G651=$G$22,J$22,$G651=$G$25,J$25,$G651=$G$26,J$26,$G651=$G$27,J$27,$G651=$G$29,J$29,$G651=$G$31,J$31,$G651=$G$32,J$150,$G651=$G$248,J$248,$G651=$G$250,J$250)</f>
        <v>160</v>
      </c>
      <c r="K651" s="48" t="str" cm="1">
        <f t="array" ref="K651">_xlfn.IFS($G651=$G$5,K$5,$G651=$G$6,K$6,$G651=$G$7,K$7,$G651=$G$8,K$8,$G651=$G$9,K$9,$G651=$G$10,K$10,$G651=$G$11,K$11,$G651=$G$12,K$12,$G651=$G$13,K$13,$G651=$G$15,K$15,$G651=$G$16,K$16,$G651=$G$17,K$17,$G651=$G$18,K$18,$G651=$G$19,K$19,$G651=$G$20,K$20,$G651=$G$21,K$21,$G651=$G$22,K$22,$G651=$G$25,K$25,$G651=$G$26,K$26,$G651=$G$27,K$27,$G651=$G$29,K$29,$G651=$G$31,K$31,$G651=$G$32,K$150,$G651=$G$248,K$248,$G651=$G$250,K$250)</f>
        <v>BG sentinel + BG lure7</v>
      </c>
      <c r="L651" s="48"/>
      <c r="M651" s="48"/>
      <c r="O651" s="45" t="str">
        <f t="shared" si="45"/>
        <v>A_SP_BCN_2_210901</v>
      </c>
      <c r="P651" s="64">
        <v>44440</v>
      </c>
      <c r="R651" s="72"/>
      <c r="S651" s="64">
        <v>44447</v>
      </c>
      <c r="U651" s="72"/>
      <c r="V651" s="54" t="s">
        <v>66</v>
      </c>
      <c r="X651" s="45">
        <f t="shared" si="53"/>
        <v>7</v>
      </c>
      <c r="Z651" s="69" t="s">
        <v>69</v>
      </c>
      <c r="AA651" s="45">
        <f t="shared" si="50"/>
        <v>8</v>
      </c>
      <c r="AB651" t="str">
        <f t="shared" si="51"/>
        <v>Adult</v>
      </c>
      <c r="AC651" s="69">
        <v>8</v>
      </c>
      <c r="AD651" s="69">
        <v>0</v>
      </c>
      <c r="AE651" s="45" t="str">
        <f t="shared" si="52"/>
        <v>Morphological</v>
      </c>
      <c r="AF651" s="56">
        <v>4</v>
      </c>
    </row>
    <row r="652" spans="1:32" ht="18" customHeight="1" x14ac:dyDescent="0.25">
      <c r="A652" s="45">
        <v>648</v>
      </c>
      <c r="B652" s="45" t="s">
        <v>60</v>
      </c>
      <c r="C652" s="45" t="s">
        <v>61</v>
      </c>
      <c r="D652" s="45" t="s">
        <v>62</v>
      </c>
      <c r="E652" s="45" t="s">
        <v>62</v>
      </c>
      <c r="F652" s="46" cm="1">
        <f t="array" ref="F652">_xlfn.IFS($G652=$G$5,F$5,$G652=$G$6,F$6,$G652=$G$7,F$7,$G652=$G$8,F$8,$G652=$G$9,F$9,$G652=$G$10,F$10,$G652=$G$11,F$11,$G652=$G$12,F$12,$G652=$G$13,F$13,$G652=$G$15,F$15,$G652=$G$16,F$16,$G652=$G$17,F$17,$G652=$G$18,F$18,$G652=$G$19,F$19,$G652=$G$20,F$20,$G652=$G$21,F$21,$G652=$G$22,F$22,$G652=$G$25,F$25,$G652=$G$26,F$26,$G652=$G$27,F$27,$G652=$G$29,F$29,$G652=$G$31,F$31,$G652=$G$32,F$32,$G652=$G$248,F$248,$G652=$G$250,F$250)</f>
        <v>8016</v>
      </c>
      <c r="G652" t="s">
        <v>68</v>
      </c>
      <c r="H652" s="67" cm="1">
        <f t="array" ref="H652">_xlfn.IFS($G652=$G$5,H$5,$G652=$G$6,H$6,$G652=$G$7,H$7,$G652=$G$8,H$8,$G652=$G$9,H$9,$G652=$G$10,H$10,$G652=$G$11,H$11,$G652=$G$12,H$12,$G652=$G$13,H$13,$G652=$G$15,H$15,$G652=$G$16,H$16,$G652=$G$17,H$17,$G652=$G$18,H$18,$G652=$G$19,H$19,$G652=$G$20,H$20,$G652=$G$21,H$21,$G652=$G$22,H$22,$G652=$G$25,H$25,$G652=$G$26,H$26,$G652=$G$27,H$27,$G652=$G$29,H$29,$G652=$G$31,H$31,$G652=$G$32,H$150,$G652=$G$248,H$248,$G652=$G$250,H$250)</f>
        <v>41.437435000000001</v>
      </c>
      <c r="I652" s="67" cm="1">
        <f t="array" ref="I652">_xlfn.IFS($G652=$G$5,I$5,$G652=$G$6,I$6,$G652=$G$7,I$7,$G652=$G$8,I$8,$G652=$G$9,I$9,$G652=$G$10,I$10,$G652=$G$11,I$11,$G652=$G$12,I$12,$G652=$G$13,I$13,$G652=$G$15,I$15,$G652=$G$16,I$16,$G652=$G$17,I$17,$G652=$G$18,I$18,$G652=$G$19,I$19,$G652=$G$20,I$20,$G652=$G$21,I$21,$G652=$G$22,I$22,$G652=$G$25,I$25,$G652=$G$26,I$26,$G652=$G$27,I$27,$G652=$G$29,I$29,$G652=$G$31,I$31,$G652=$G$32,I$150,$G652=$G$248,I$248,$G652=$G$250,I$250)</f>
        <v>2.1812779999999998</v>
      </c>
      <c r="J652" s="48" cm="1">
        <f t="array" ref="J652">_xlfn.IFS($G652=$G$5,J$5,$G652=$G$6,J$6,$G652=$G$7,J$7,$G652=$G$8,J$8,$G652=$G$9,J$9,$G652=$G$10,J$10,$G652=$G$11,J$11,$G652=$G$12,J$12,$G652=$G$13,J$13,$G652=$G$15,J$15,$G652=$G$16,J$16,$G652=$G$17,J$17,$G652=$G$18,J$18,$G652=$G$19,J$19,$G652=$G$20,J$20,$G652=$G$21,J$21,$G652=$G$22,J$22,$G652=$G$25,J$25,$G652=$G$26,J$26,$G652=$G$27,J$27,$G652=$G$29,J$29,$G652=$G$31,J$31,$G652=$G$32,J$150,$G652=$G$248,J$248,$G652=$G$250,J$250)</f>
        <v>47</v>
      </c>
      <c r="K652" s="48" t="str" cm="1">
        <f t="array" ref="K652">_xlfn.IFS($G652=$G$5,K$5,$G652=$G$6,K$6,$G652=$G$7,K$7,$G652=$G$8,K$8,$G652=$G$9,K$9,$G652=$G$10,K$10,$G652=$G$11,K$11,$G652=$G$12,K$12,$G652=$G$13,K$13,$G652=$G$15,K$15,$G652=$G$16,K$16,$G652=$G$17,K$17,$G652=$G$18,K$18,$G652=$G$19,K$19,$G652=$G$20,K$20,$G652=$G$21,K$21,$G652=$G$22,K$22,$G652=$G$25,K$25,$G652=$G$26,K$26,$G652=$G$27,K$27,$G652=$G$29,K$29,$G652=$G$31,K$31,$G652=$G$32,K$150,$G652=$G$248,K$248,$G652=$G$250,K$250)</f>
        <v>BG sentinel + BG lure7</v>
      </c>
      <c r="L652" s="48"/>
      <c r="M652" s="48"/>
      <c r="O652" s="45" t="str">
        <f t="shared" si="45"/>
        <v>A_SP_BCN_3_210901</v>
      </c>
      <c r="P652" s="64">
        <v>44440</v>
      </c>
      <c r="R652" s="72"/>
      <c r="S652" s="64">
        <v>44447</v>
      </c>
      <c r="U652" s="72"/>
      <c r="V652" s="54" t="s">
        <v>66</v>
      </c>
      <c r="X652" s="45">
        <f t="shared" si="53"/>
        <v>7</v>
      </c>
      <c r="Z652" s="45" t="s">
        <v>70</v>
      </c>
      <c r="AA652" s="45">
        <f t="shared" si="50"/>
        <v>5</v>
      </c>
      <c r="AB652" t="str">
        <f t="shared" si="51"/>
        <v>Adult</v>
      </c>
      <c r="AC652" s="69">
        <v>5</v>
      </c>
      <c r="AD652" s="69">
        <v>0</v>
      </c>
      <c r="AE652" s="45" t="str">
        <f t="shared" si="52"/>
        <v>Morphological</v>
      </c>
      <c r="AF652" s="56">
        <v>4</v>
      </c>
    </row>
    <row r="653" spans="1:32" ht="18" customHeight="1" x14ac:dyDescent="0.25">
      <c r="A653" s="45">
        <v>649</v>
      </c>
      <c r="B653" s="45" t="s">
        <v>60</v>
      </c>
      <c r="C653" s="45" t="s">
        <v>61</v>
      </c>
      <c r="D653" s="45" t="s">
        <v>62</v>
      </c>
      <c r="E653" s="45" t="s">
        <v>62</v>
      </c>
      <c r="F653" s="46" cm="1">
        <f t="array" ref="F653">_xlfn.IFS($G653=$G$5,F$5,$G653=$G$6,F$6,$G653=$G$7,F$7,$G653=$G$8,F$8,$G653=$G$9,F$9,$G653=$G$10,F$10,$G653=$G$11,F$11,$G653=$G$12,F$12,$G653=$G$13,F$13,$G653=$G$15,F$15,$G653=$G$16,F$16,$G653=$G$17,F$17,$G653=$G$18,F$18,$G653=$G$19,F$19,$G653=$G$20,F$20,$G653=$G$21,F$21,$G653=$G$22,F$22,$G653=$G$25,F$25,$G653=$G$26,F$26,$G653=$G$27,F$27,$G653=$G$29,F$29,$G653=$G$31,F$31,$G653=$G$32,F$32,$G653=$G$248,F$248,$G653=$G$250,F$250)</f>
        <v>8018</v>
      </c>
      <c r="G653" t="s">
        <v>71</v>
      </c>
      <c r="H653" s="67" cm="1">
        <f t="array" ref="H653">_xlfn.IFS($G653=$G$5,H$5,$G653=$G$6,H$6,$G653=$G$7,H$7,$G653=$G$8,H$8,$G653=$G$9,H$9,$G653=$G$10,H$10,$G653=$G$11,H$11,$G653=$G$12,H$12,$G653=$G$13,H$13,$G653=$G$15,H$15,$G653=$G$16,H$16,$G653=$G$17,H$17,$G653=$G$18,H$18,$G653=$G$19,H$19,$G653=$G$20,H$20,$G653=$G$21,H$21,$G653=$G$22,H$22,$G653=$G$25,H$25,$G653=$G$26,H$26,$G653=$G$27,H$27,$G653=$G$29,H$29,$G653=$G$31,H$31,$G653=$G$32,H$150,$G653=$G$248,H$248,$G653=$G$250,H$250)</f>
        <v>41.410684000000003</v>
      </c>
      <c r="I653" s="67" cm="1">
        <f t="array" ref="I653">_xlfn.IFS($G653=$G$5,I$5,$G653=$G$6,I$6,$G653=$G$7,I$7,$G653=$G$8,I$8,$G653=$G$9,I$9,$G653=$G$10,I$10,$G653=$G$11,I$11,$G653=$G$12,I$12,$G653=$G$13,I$13,$G653=$G$15,I$15,$G653=$G$16,I$16,$G653=$G$17,I$17,$G653=$G$18,I$18,$G653=$G$19,I$19,$G653=$G$20,I$20,$G653=$G$21,I$21,$G653=$G$22,I$22,$G653=$G$25,I$25,$G653=$G$26,I$26,$G653=$G$27,I$27,$G653=$G$29,I$29,$G653=$G$31,I$31,$G653=$G$32,I$150,$G653=$G$248,I$248,$G653=$G$250,I$250)</f>
        <v>2.2208019999999999</v>
      </c>
      <c r="J653" s="48" cm="1">
        <f t="array" ref="J653">_xlfn.IFS($G653=$G$5,J$5,$G653=$G$6,J$6,$G653=$G$7,J$7,$G653=$G$8,J$8,$G653=$G$9,J$9,$G653=$G$10,J$10,$G653=$G$11,J$11,$G653=$G$12,J$12,$G653=$G$13,J$13,$G653=$G$15,J$15,$G653=$G$16,J$16,$G653=$G$17,J$17,$G653=$G$18,J$18,$G653=$G$19,J$19,$G653=$G$20,J$20,$G653=$G$21,J$21,$G653=$G$22,J$22,$G653=$G$25,J$25,$G653=$G$26,J$26,$G653=$G$27,J$27,$G653=$G$29,J$29,$G653=$G$31,J$31,$G653=$G$32,J$150,$G653=$G$248,J$248,$G653=$G$250,J$250)</f>
        <v>4</v>
      </c>
      <c r="K653" s="48" t="str" cm="1">
        <f t="array" ref="K653">_xlfn.IFS($G653=$G$5,K$5,$G653=$G$6,K$6,$G653=$G$7,K$7,$G653=$G$8,K$8,$G653=$G$9,K$9,$G653=$G$10,K$10,$G653=$G$11,K$11,$G653=$G$12,K$12,$G653=$G$13,K$13,$G653=$G$15,K$15,$G653=$G$16,K$16,$G653=$G$17,K$17,$G653=$G$18,K$18,$G653=$G$19,K$19,$G653=$G$20,K$20,$G653=$G$21,K$21,$G653=$G$22,K$22,$G653=$G$25,K$25,$G653=$G$26,K$26,$G653=$G$27,K$27,$G653=$G$29,K$29,$G653=$G$31,K$31,$G653=$G$32,K$150,$G653=$G$248,K$248,$G653=$G$250,K$250)</f>
        <v>BG sentinel + BG lure7</v>
      </c>
      <c r="L653" s="48"/>
      <c r="M653" s="48"/>
      <c r="O653" s="45" t="str">
        <f t="shared" si="45"/>
        <v>A_SP_BCN_4_210902</v>
      </c>
      <c r="P653" s="64">
        <v>44441</v>
      </c>
      <c r="R653" s="72"/>
      <c r="S653" s="64">
        <v>44448</v>
      </c>
      <c r="U653" s="72"/>
      <c r="V653" s="54" t="s">
        <v>66</v>
      </c>
      <c r="X653" s="45">
        <f t="shared" si="53"/>
        <v>7</v>
      </c>
      <c r="Z653" s="69" t="s">
        <v>69</v>
      </c>
      <c r="AA653" s="45">
        <f t="shared" si="50"/>
        <v>16</v>
      </c>
      <c r="AB653" t="str">
        <f t="shared" si="51"/>
        <v>Adult</v>
      </c>
      <c r="AC653" s="69">
        <v>9</v>
      </c>
      <c r="AD653" s="69">
        <v>7</v>
      </c>
      <c r="AE653" s="45" t="str">
        <f t="shared" si="52"/>
        <v>Morphological</v>
      </c>
      <c r="AF653" s="56">
        <v>4</v>
      </c>
    </row>
    <row r="654" spans="1:32" ht="18" customHeight="1" x14ac:dyDescent="0.25">
      <c r="A654" s="45">
        <v>650</v>
      </c>
      <c r="B654" s="45" t="s">
        <v>60</v>
      </c>
      <c r="C654" s="45" t="s">
        <v>61</v>
      </c>
      <c r="D654" s="45" t="s">
        <v>62</v>
      </c>
      <c r="E654" s="45" t="s">
        <v>62</v>
      </c>
      <c r="F654" s="46" cm="1">
        <f t="array" ref="F654">_xlfn.IFS($G654=$G$5,F$5,$G654=$G$6,F$6,$G654=$G$7,F$7,$G654=$G$8,F$8,$G654=$G$9,F$9,$G654=$G$10,F$10,$G654=$G$11,F$11,$G654=$G$12,F$12,$G654=$G$13,F$13,$G654=$G$15,F$15,$G654=$G$16,F$16,$G654=$G$17,F$17,$G654=$G$18,F$18,$G654=$G$19,F$19,$G654=$G$20,F$20,$G654=$G$21,F$21,$G654=$G$22,F$22,$G654=$G$25,F$25,$G654=$G$26,F$26,$G654=$G$27,F$27,$G654=$G$29,F$29,$G654=$G$31,F$31,$G654=$G$32,F$32,$G654=$G$248,F$248,$G654=$G$250,F$250)</f>
        <v>8018</v>
      </c>
      <c r="G654" t="s">
        <v>71</v>
      </c>
      <c r="H654" s="67" cm="1">
        <f t="array" ref="H654">_xlfn.IFS($G654=$G$5,H$5,$G654=$G$6,H$6,$G654=$G$7,H$7,$G654=$G$8,H$8,$G654=$G$9,H$9,$G654=$G$10,H$10,$G654=$G$11,H$11,$G654=$G$12,H$12,$G654=$G$13,H$13,$G654=$G$15,H$15,$G654=$G$16,H$16,$G654=$G$17,H$17,$G654=$G$18,H$18,$G654=$G$19,H$19,$G654=$G$20,H$20,$G654=$G$21,H$21,$G654=$G$22,H$22,$G654=$G$25,H$25,$G654=$G$26,H$26,$G654=$G$27,H$27,$G654=$G$29,H$29,$G654=$G$31,H$31,$G654=$G$32,H$150,$G654=$G$248,H$248,$G654=$G$250,H$250)</f>
        <v>41.410684000000003</v>
      </c>
      <c r="I654" s="67" cm="1">
        <f t="array" ref="I654">_xlfn.IFS($G654=$G$5,I$5,$G654=$G$6,I$6,$G654=$G$7,I$7,$G654=$G$8,I$8,$G654=$G$9,I$9,$G654=$G$10,I$10,$G654=$G$11,I$11,$G654=$G$12,I$12,$G654=$G$13,I$13,$G654=$G$15,I$15,$G654=$G$16,I$16,$G654=$G$17,I$17,$G654=$G$18,I$18,$G654=$G$19,I$19,$G654=$G$20,I$20,$G654=$G$21,I$21,$G654=$G$22,I$22,$G654=$G$25,I$25,$G654=$G$26,I$26,$G654=$G$27,I$27,$G654=$G$29,I$29,$G654=$G$31,I$31,$G654=$G$32,I$150,$G654=$G$248,I$248,$G654=$G$250,I$250)</f>
        <v>2.2208019999999999</v>
      </c>
      <c r="J654" s="48" cm="1">
        <f t="array" ref="J654">_xlfn.IFS($G654=$G$5,J$5,$G654=$G$6,J$6,$G654=$G$7,J$7,$G654=$G$8,J$8,$G654=$G$9,J$9,$G654=$G$10,J$10,$G654=$G$11,J$11,$G654=$G$12,J$12,$G654=$G$13,J$13,$G654=$G$15,J$15,$G654=$G$16,J$16,$G654=$G$17,J$17,$G654=$G$18,J$18,$G654=$G$19,J$19,$G654=$G$20,J$20,$G654=$G$21,J$21,$G654=$G$22,J$22,$G654=$G$25,J$25,$G654=$G$26,J$26,$G654=$G$27,J$27,$G654=$G$29,J$29,$G654=$G$31,J$31,$G654=$G$32,J$150,$G654=$G$248,J$248,$G654=$G$250,J$250)</f>
        <v>4</v>
      </c>
      <c r="K654" s="48" t="str" cm="1">
        <f t="array" ref="K654">_xlfn.IFS($G654=$G$5,K$5,$G654=$G$6,K$6,$G654=$G$7,K$7,$G654=$G$8,K$8,$G654=$G$9,K$9,$G654=$G$10,K$10,$G654=$G$11,K$11,$G654=$G$12,K$12,$G654=$G$13,K$13,$G654=$G$15,K$15,$G654=$G$16,K$16,$G654=$G$17,K$17,$G654=$G$18,K$18,$G654=$G$19,K$19,$G654=$G$20,K$20,$G654=$G$21,K$21,$G654=$G$22,K$22,$G654=$G$25,K$25,$G654=$G$26,K$26,$G654=$G$27,K$27,$G654=$G$29,K$29,$G654=$G$31,K$31,$G654=$G$32,K$150,$G654=$G$248,K$248,$G654=$G$250,K$250)</f>
        <v>BG sentinel + BG lure7</v>
      </c>
      <c r="L654" s="48" t="str" cm="1">
        <f t="array" ref="L654">_xlfn.IFS($G654=$G$5,L$5,$G654=$G$6,L$6,$G654=$G$7,L$7,$G654=$G$8,L$8,$G654=$G$9,L$9,$G654=$G$10,L$10,$G654=$G$11,L$11,$G654=$G$12,L$12,$G654=$G$13,L$13,$G654=$G$15,L$15,$G654=$G$16,L$16,$G654=$G$17,L$17,$G654=$G$18,L$18,$G654=$G$19,L$19,$G654=$G$20,L$20,$G654=$G$21,L$21,$G654=$G$22,L$22,$G654=$G$25,L$25,$G654=$G$26,L$26,$G654=$G$27,L$27,$G654=$G$29,L$29,$G654=$G$31,L$31,$G654=$G$32,L$32,$G654=$G$248,L$248,$G654=$G$250,L$250)</f>
        <v>Urban habitat</v>
      </c>
      <c r="M654" s="48"/>
      <c r="O654" s="45" t="str">
        <f t="shared" si="45"/>
        <v>A_SP_BCN_4_210902</v>
      </c>
      <c r="P654" s="64">
        <v>44441</v>
      </c>
      <c r="R654" s="72"/>
      <c r="S654" s="64">
        <v>44448</v>
      </c>
      <c r="U654" s="72"/>
      <c r="V654" s="54" t="s">
        <v>66</v>
      </c>
      <c r="X654" s="45">
        <f t="shared" si="53"/>
        <v>7</v>
      </c>
      <c r="Z654" s="45" t="s">
        <v>70</v>
      </c>
      <c r="AA654" s="45">
        <f t="shared" si="50"/>
        <v>6</v>
      </c>
      <c r="AB654" t="str">
        <f t="shared" si="51"/>
        <v>Adult</v>
      </c>
      <c r="AC654" s="69">
        <v>6</v>
      </c>
      <c r="AD654" s="69">
        <v>0</v>
      </c>
      <c r="AE654" s="45" t="str">
        <f t="shared" si="52"/>
        <v>Morphological</v>
      </c>
      <c r="AF654" s="56">
        <v>4</v>
      </c>
    </row>
    <row r="655" spans="1:32" ht="18" customHeight="1" x14ac:dyDescent="0.25">
      <c r="A655" s="45">
        <v>651</v>
      </c>
      <c r="B655" s="45" t="s">
        <v>60</v>
      </c>
      <c r="C655" s="45" t="s">
        <v>61</v>
      </c>
      <c r="D655" s="45" t="s">
        <v>62</v>
      </c>
      <c r="E655" s="45" t="s">
        <v>62</v>
      </c>
      <c r="F655" s="46" cm="1">
        <f t="array" ref="F655">_xlfn.IFS($G655=$G$5,F$5,$G655=$G$6,F$6,$G655=$G$7,F$7,$G655=$G$8,F$8,$G655=$G$9,F$9,$G655=$G$10,F$10,$G655=$G$11,F$11,$G655=$G$12,F$12,$G655=$G$13,F$13,$G655=$G$15,F$15,$G655=$G$16,F$16,$G655=$G$17,F$17,$G655=$G$18,F$18,$G655=$G$19,F$19,$G655=$G$20,F$20,$G655=$G$21,F$21,$G655=$G$22,F$22,$G655=$G$25,F$25,$G655=$G$26,F$26,$G655=$G$27,F$27,$G655=$G$29,F$29,$G655=$G$31,F$31,$G655=$G$32,F$32,$G655=$G$248,F$248,$G655=$G$250,F$250)</f>
        <v>8018</v>
      </c>
      <c r="G655" t="s">
        <v>71</v>
      </c>
      <c r="H655" s="67" cm="1">
        <f t="array" ref="H655">_xlfn.IFS($G655=$G$5,H$5,$G655=$G$6,H$6,$G655=$G$7,H$7,$G655=$G$8,H$8,$G655=$G$9,H$9,$G655=$G$10,H$10,$G655=$G$11,H$11,$G655=$G$12,H$12,$G655=$G$13,H$13,$G655=$G$15,H$15,$G655=$G$16,H$16,$G655=$G$17,H$17,$G655=$G$18,H$18,$G655=$G$19,H$19,$G655=$G$20,H$20,$G655=$G$21,H$21,$G655=$G$22,H$22,$G655=$G$25,H$25,$G655=$G$26,H$26,$G655=$G$27,H$27,$G655=$G$29,H$29,$G655=$G$31,H$31,$G655=$G$32,H$150,$G655=$G$248,H$248,$G655=$G$250,H$250)</f>
        <v>41.410684000000003</v>
      </c>
      <c r="I655" s="67" cm="1">
        <f t="array" ref="I655">_xlfn.IFS($G655=$G$5,I$5,$G655=$G$6,I$6,$G655=$G$7,I$7,$G655=$G$8,I$8,$G655=$G$9,I$9,$G655=$G$10,I$10,$G655=$G$11,I$11,$G655=$G$12,I$12,$G655=$G$13,I$13,$G655=$G$15,I$15,$G655=$G$16,I$16,$G655=$G$17,I$17,$G655=$G$18,I$18,$G655=$G$19,I$19,$G655=$G$20,I$20,$G655=$G$21,I$21,$G655=$G$22,I$22,$G655=$G$25,I$25,$G655=$G$26,I$26,$G655=$G$27,I$27,$G655=$G$29,I$29,$G655=$G$31,I$31,$G655=$G$32,I$150,$G655=$G$248,I$248,$G655=$G$250,I$250)</f>
        <v>2.2208019999999999</v>
      </c>
      <c r="J655" s="48" cm="1">
        <f t="array" ref="J655">_xlfn.IFS($G655=$G$5,J$5,$G655=$G$6,J$6,$G655=$G$7,J$7,$G655=$G$8,J$8,$G655=$G$9,J$9,$G655=$G$10,J$10,$G655=$G$11,J$11,$G655=$G$12,J$12,$G655=$G$13,J$13,$G655=$G$15,J$15,$G655=$G$16,J$16,$G655=$G$17,J$17,$G655=$G$18,J$18,$G655=$G$19,J$19,$G655=$G$20,J$20,$G655=$G$21,J$21,$G655=$G$22,J$22,$G655=$G$25,J$25,$G655=$G$26,J$26,$G655=$G$27,J$27,$G655=$G$29,J$29,$G655=$G$31,J$31,$G655=$G$32,J$150,$G655=$G$248,J$248,$G655=$G$250,J$250)</f>
        <v>4</v>
      </c>
      <c r="K655" s="48" t="str" cm="1">
        <f t="array" ref="K655">_xlfn.IFS($G655=$G$5,K$5,$G655=$G$6,K$6,$G655=$G$7,K$7,$G655=$G$8,K$8,$G655=$G$9,K$9,$G655=$G$10,K$10,$G655=$G$11,K$11,$G655=$G$12,K$12,$G655=$G$13,K$13,$G655=$G$15,K$15,$G655=$G$16,K$16,$G655=$G$17,K$17,$G655=$G$18,K$18,$G655=$G$19,K$19,$G655=$G$20,K$20,$G655=$G$21,K$21,$G655=$G$22,K$22,$G655=$G$25,K$25,$G655=$G$26,K$26,$G655=$G$27,K$27,$G655=$G$29,K$29,$G655=$G$31,K$31,$G655=$G$32,K$150,$G655=$G$248,K$248,$G655=$G$250,K$250)</f>
        <v>BG sentinel + BG lure7</v>
      </c>
      <c r="L655" s="48" t="str" cm="1">
        <f t="array" ref="L655">_xlfn.IFS($G655=$G$5,L$5,$G655=$G$6,L$6,$G655=$G$7,L$7,$G655=$G$8,L$8,$G655=$G$9,L$9,$G655=$G$10,L$10,$G655=$G$11,L$11,$G655=$G$12,L$12,$G655=$G$13,L$13,$G655=$G$15,L$15,$G655=$G$16,L$16,$G655=$G$17,L$17,$G655=$G$18,L$18,$G655=$G$19,L$19,$G655=$G$20,L$20,$G655=$G$21,L$21,$G655=$G$22,L$22,$G655=$G$25,L$25,$G655=$G$26,L$26,$G655=$G$27,L$27,$G655=$G$29,L$29,$G655=$G$31,L$31,$G655=$G$32,L$32,$G655=$G$248,L$248,$G655=$G$250,L$250)</f>
        <v>Urban habitat</v>
      </c>
      <c r="M655" s="48"/>
      <c r="O655" s="45" t="str">
        <f t="shared" si="45"/>
        <v>A_SP_BCN_4_210902</v>
      </c>
      <c r="P655" s="64">
        <v>44441</v>
      </c>
      <c r="R655" s="72"/>
      <c r="S655" s="64">
        <v>44448</v>
      </c>
      <c r="U655" s="72"/>
      <c r="V655" s="54" t="s">
        <v>66</v>
      </c>
      <c r="X655" s="45">
        <f t="shared" si="53"/>
        <v>7</v>
      </c>
      <c r="Z655" s="45" t="s">
        <v>80</v>
      </c>
      <c r="AA655" s="45">
        <f t="shared" si="50"/>
        <v>1</v>
      </c>
      <c r="AB655" t="str">
        <f t="shared" si="51"/>
        <v>Adult</v>
      </c>
      <c r="AC655" s="69">
        <v>1</v>
      </c>
      <c r="AD655" s="69">
        <v>0</v>
      </c>
      <c r="AE655" s="45" t="str">
        <f t="shared" si="52"/>
        <v>Morphological</v>
      </c>
      <c r="AF655" s="56">
        <v>4</v>
      </c>
    </row>
    <row r="656" spans="1:32" ht="18" customHeight="1" x14ac:dyDescent="0.25">
      <c r="A656" s="45">
        <v>652</v>
      </c>
      <c r="B656" s="45" t="s">
        <v>60</v>
      </c>
      <c r="C656" s="45" t="s">
        <v>61</v>
      </c>
      <c r="D656" s="45" t="s">
        <v>62</v>
      </c>
      <c r="E656" s="45" t="s">
        <v>62</v>
      </c>
      <c r="F656" s="46" cm="1">
        <f t="array" ref="F656">_xlfn.IFS($G656=$G$5,F$5,$G656=$G$6,F$6,$G656=$G$7,F$7,$G656=$G$8,F$8,$G656=$G$9,F$9,$G656=$G$10,F$10,$G656=$G$11,F$11,$G656=$G$12,F$12,$G656=$G$13,F$13,$G656=$G$15,F$15,$G656=$G$16,F$16,$G656=$G$17,F$17,$G656=$G$18,F$18,$G656=$G$19,F$19,$G656=$G$20,F$20,$G656=$G$21,F$21,$G656=$G$22,F$22,$G656=$G$25,F$25,$G656=$G$26,F$26,$G656=$G$27,F$27,$G656=$G$29,F$29,$G656=$G$31,F$31,$G656=$G$32,F$32,$G656=$G$248,F$248,$G656=$G$250,F$250)</f>
        <v>8019</v>
      </c>
      <c r="G656" t="s">
        <v>72</v>
      </c>
      <c r="H656" s="67" cm="1">
        <f t="array" ref="H656">_xlfn.IFS($G656=$G$5,H$5,$G656=$G$6,H$6,$G656=$G$7,H$7,$G656=$G$8,H$8,$G656=$G$9,H$9,$G656=$G$10,H$10,$G656=$G$11,H$11,$G656=$G$12,H$12,$G656=$G$13,H$13,$G656=$G$15,H$15,$G656=$G$16,H$16,$G656=$G$17,H$17,$G656=$G$18,H$18,$G656=$G$19,H$19,$G656=$G$20,H$20,$G656=$G$21,H$21,$G656=$G$22,H$22,$G656=$G$25,H$25,$G656=$G$26,H$26,$G656=$G$27,H$27,$G656=$G$29,H$29,$G656=$G$31,H$31,$G656=$G$32,H$150,$G656=$G$248,H$248,$G656=$G$250,H$250)</f>
        <v>41.382339999999999</v>
      </c>
      <c r="I656" s="67" cm="1">
        <f t="array" ref="I656">_xlfn.IFS($G656=$G$5,I$5,$G656=$G$6,I$6,$G656=$G$7,I$7,$G656=$G$8,I$8,$G656=$G$9,I$9,$G656=$G$10,I$10,$G656=$G$11,I$11,$G656=$G$12,I$12,$G656=$G$13,I$13,$G656=$G$15,I$15,$G656=$G$16,I$16,$G656=$G$17,I$17,$G656=$G$18,I$18,$G656=$G$19,I$19,$G656=$G$20,I$20,$G656=$G$21,I$21,$G656=$G$22,I$22,$G656=$G$25,I$25,$G656=$G$26,I$26,$G656=$G$27,I$27,$G656=$G$29,I$29,$G656=$G$31,I$31,$G656=$G$32,I$150,$G656=$G$248,I$248,$G656=$G$250,I$250)</f>
        <v>2.1714790000000002</v>
      </c>
      <c r="J656" s="48" cm="1">
        <f t="array" ref="J656">_xlfn.IFS($G656=$G$5,J$5,$G656=$G$6,J$6,$G656=$G$7,J$7,$G656=$G$8,J$8,$G656=$G$9,J$9,$G656=$G$10,J$10,$G656=$G$11,J$11,$G656=$G$12,J$12,$G656=$G$13,J$13,$G656=$G$15,J$15,$G656=$G$16,J$16,$G656=$G$17,J$17,$G656=$G$18,J$18,$G656=$G$19,J$19,$G656=$G$20,J$20,$G656=$G$21,J$21,$G656=$G$22,J$22,$G656=$G$25,J$25,$G656=$G$26,J$26,$G656=$G$27,J$27,$G656=$G$29,J$29,$G656=$G$31,J$31,$G656=$G$32,J$150,$G656=$G$248,J$248,$G656=$G$250,J$250)</f>
        <v>18</v>
      </c>
      <c r="K656" s="48" t="str" cm="1">
        <f t="array" ref="K656">_xlfn.IFS($G656=$G$5,K$5,$G656=$G$6,K$6,$G656=$G$7,K$7,$G656=$G$8,K$8,$G656=$G$9,K$9,$G656=$G$10,K$10,$G656=$G$11,K$11,$G656=$G$12,K$12,$G656=$G$13,K$13,$G656=$G$15,K$15,$G656=$G$16,K$16,$G656=$G$17,K$17,$G656=$G$18,K$18,$G656=$G$19,K$19,$G656=$G$20,K$20,$G656=$G$21,K$21,$G656=$G$22,K$22,$G656=$G$25,K$25,$G656=$G$26,K$26,$G656=$G$27,K$27,$G656=$G$29,K$29,$G656=$G$31,K$31,$G656=$G$32,K$150,$G656=$G$248,K$248,$G656=$G$250,K$250)</f>
        <v>BG sentinel + BG lure7</v>
      </c>
      <c r="L656" s="48" t="str" cm="1">
        <f t="array" ref="L656">_xlfn.IFS($G656=$G$5,L$5,$G656=$G$6,L$6,$G656=$G$7,L$7,$G656=$G$8,L$8,$G656=$G$9,L$9,$G656=$G$10,L$10,$G656=$G$11,L$11,$G656=$G$12,L$12,$G656=$G$13,L$13,$G656=$G$15,L$15,$G656=$G$16,L$16,$G656=$G$17,L$17,$G656=$G$18,L$18,$G656=$G$19,L$19,$G656=$G$20,L$20,$G656=$G$21,L$21,$G656=$G$22,L$22,$G656=$G$25,L$25,$G656=$G$26,L$26,$G656=$G$27,L$27,$G656=$G$29,L$29,$G656=$G$31,L$31,$G656=$G$32,L$32,$G656=$G$248,L$248,$G656=$G$250,L$250)</f>
        <v>Urban habitat</v>
      </c>
      <c r="M656" s="48"/>
      <c r="O656" s="45" t="str">
        <f t="shared" si="45"/>
        <v>A_SP_BCN_5_210902</v>
      </c>
      <c r="P656" s="64">
        <v>44441</v>
      </c>
      <c r="R656" s="72"/>
      <c r="S656" s="64">
        <v>44448</v>
      </c>
      <c r="U656" s="72"/>
      <c r="V656" s="54" t="s">
        <v>66</v>
      </c>
      <c r="X656" s="45">
        <f t="shared" si="53"/>
        <v>7</v>
      </c>
      <c r="Z656" s="45" t="s">
        <v>70</v>
      </c>
      <c r="AA656" s="45">
        <f t="shared" si="50"/>
        <v>2</v>
      </c>
      <c r="AB656" t="str">
        <f t="shared" si="51"/>
        <v>Adult</v>
      </c>
      <c r="AC656" s="69">
        <v>2</v>
      </c>
      <c r="AD656" s="69">
        <v>0</v>
      </c>
      <c r="AE656" s="45" t="str">
        <f t="shared" si="52"/>
        <v>Morphological</v>
      </c>
      <c r="AF656" s="56">
        <v>4</v>
      </c>
    </row>
    <row r="657" spans="1:32" ht="18" customHeight="1" x14ac:dyDescent="0.25">
      <c r="A657" s="45">
        <v>653</v>
      </c>
      <c r="B657" s="45" t="s">
        <v>60</v>
      </c>
      <c r="C657" s="45" t="s">
        <v>61</v>
      </c>
      <c r="D657" s="45" t="s">
        <v>62</v>
      </c>
      <c r="E657" s="45" t="s">
        <v>62</v>
      </c>
      <c r="F657" s="46" cm="1">
        <f t="array" ref="F657">_xlfn.IFS($G657=$G$5,F$5,$G657=$G$6,F$6,$G657=$G$7,F$7,$G657=$G$8,F$8,$G657=$G$9,F$9,$G657=$G$10,F$10,$G657=$G$11,F$11,$G657=$G$12,F$12,$G657=$G$13,F$13,$G657=$G$15,F$15,$G657=$G$16,F$16,$G657=$G$17,F$17,$G657=$G$18,F$18,$G657=$G$19,F$19,$G657=$G$20,F$20,$G657=$G$21,F$21,$G657=$G$22,F$22,$G657=$G$25,F$25,$G657=$G$26,F$26,$G657=$G$27,F$27,$G657=$G$29,F$29,$G657=$G$31,F$31,$G657=$G$32,F$32,$G657=$G$248,F$248,$G657=$G$250,F$250)</f>
        <v>8019</v>
      </c>
      <c r="G657" t="s">
        <v>72</v>
      </c>
      <c r="H657" s="67" cm="1">
        <f t="array" ref="H657">_xlfn.IFS($G657=$G$5,H$5,$G657=$G$6,H$6,$G657=$G$7,H$7,$G657=$G$8,H$8,$G657=$G$9,H$9,$G657=$G$10,H$10,$G657=$G$11,H$11,$G657=$G$12,H$12,$G657=$G$13,H$13,$G657=$G$15,H$15,$G657=$G$16,H$16,$G657=$G$17,H$17,$G657=$G$18,H$18,$G657=$G$19,H$19,$G657=$G$20,H$20,$G657=$G$21,H$21,$G657=$G$22,H$22,$G657=$G$25,H$25,$G657=$G$26,H$26,$G657=$G$27,H$27,$G657=$G$29,H$29,$G657=$G$31,H$31,$G657=$G$32,H$150,$G657=$G$248,H$248,$G657=$G$250,H$250)</f>
        <v>41.382339999999999</v>
      </c>
      <c r="I657" s="67" cm="1">
        <f t="array" ref="I657">_xlfn.IFS($G657=$G$5,I$5,$G657=$G$6,I$6,$G657=$G$7,I$7,$G657=$G$8,I$8,$G657=$G$9,I$9,$G657=$G$10,I$10,$G657=$G$11,I$11,$G657=$G$12,I$12,$G657=$G$13,I$13,$G657=$G$15,I$15,$G657=$G$16,I$16,$G657=$G$17,I$17,$G657=$G$18,I$18,$G657=$G$19,I$19,$G657=$G$20,I$20,$G657=$G$21,I$21,$G657=$G$22,I$22,$G657=$G$25,I$25,$G657=$G$26,I$26,$G657=$G$27,I$27,$G657=$G$29,I$29,$G657=$G$31,I$31,$G657=$G$32,I$150,$G657=$G$248,I$248,$G657=$G$250,I$250)</f>
        <v>2.1714790000000002</v>
      </c>
      <c r="J657" s="48" cm="1">
        <f t="array" ref="J657">_xlfn.IFS($G657=$G$5,J$5,$G657=$G$6,J$6,$G657=$G$7,J$7,$G657=$G$8,J$8,$G657=$G$9,J$9,$G657=$G$10,J$10,$G657=$G$11,J$11,$G657=$G$12,J$12,$G657=$G$13,J$13,$G657=$G$15,J$15,$G657=$G$16,J$16,$G657=$G$17,J$17,$G657=$G$18,J$18,$G657=$G$19,J$19,$G657=$G$20,J$20,$G657=$G$21,J$21,$G657=$G$22,J$22,$G657=$G$25,J$25,$G657=$G$26,J$26,$G657=$G$27,J$27,$G657=$G$29,J$29,$G657=$G$31,J$31,$G657=$G$32,J$150,$G657=$G$248,J$248,$G657=$G$250,J$250)</f>
        <v>18</v>
      </c>
      <c r="K657" s="48" t="str" cm="1">
        <f t="array" ref="K657">_xlfn.IFS($G657=$G$5,K$5,$G657=$G$6,K$6,$G657=$G$7,K$7,$G657=$G$8,K$8,$G657=$G$9,K$9,$G657=$G$10,K$10,$G657=$G$11,K$11,$G657=$G$12,K$12,$G657=$G$13,K$13,$G657=$G$15,K$15,$G657=$G$16,K$16,$G657=$G$17,K$17,$G657=$G$18,K$18,$G657=$G$19,K$19,$G657=$G$20,K$20,$G657=$G$21,K$21,$G657=$G$22,K$22,$G657=$G$25,K$25,$G657=$G$26,K$26,$G657=$G$27,K$27,$G657=$G$29,K$29,$G657=$G$31,K$31,$G657=$G$32,K$150,$G657=$G$248,K$248,$G657=$G$250,K$250)</f>
        <v>BG sentinel + BG lure7</v>
      </c>
      <c r="L657" s="48" t="str" cm="1">
        <f t="array" ref="L657">_xlfn.IFS($G657=$G$5,L$5,$G657=$G$6,L$6,$G657=$G$7,L$7,$G657=$G$8,L$8,$G657=$G$9,L$9,$G657=$G$10,L$10,$G657=$G$11,L$11,$G657=$G$12,L$12,$G657=$G$13,L$13,$G657=$G$15,L$15,$G657=$G$16,L$16,$G657=$G$17,L$17,$G657=$G$18,L$18,$G657=$G$19,L$19,$G657=$G$20,L$20,$G657=$G$21,L$21,$G657=$G$22,L$22,$G657=$G$25,L$25,$G657=$G$26,L$26,$G657=$G$27,L$27,$G657=$G$29,L$29,$G657=$G$31,L$31,$G657=$G$32,L$32,$G657=$G$248,L$248,$G657=$G$250,L$250)</f>
        <v>Urban habitat</v>
      </c>
      <c r="M657" s="48"/>
      <c r="O657" s="45" t="str">
        <f t="shared" si="45"/>
        <v>A_SP_BCN_5_210902</v>
      </c>
      <c r="P657" s="64">
        <v>44441</v>
      </c>
      <c r="R657" s="72"/>
      <c r="S657" s="64">
        <v>44448</v>
      </c>
      <c r="U657" s="72"/>
      <c r="V657" s="54" t="s">
        <v>66</v>
      </c>
      <c r="X657" s="45">
        <f t="shared" si="53"/>
        <v>7</v>
      </c>
      <c r="Z657" s="45" t="s">
        <v>80</v>
      </c>
      <c r="AA657" s="45">
        <f t="shared" si="50"/>
        <v>1</v>
      </c>
      <c r="AB657" t="str">
        <f t="shared" si="51"/>
        <v>Adult</v>
      </c>
      <c r="AC657" s="69">
        <v>1</v>
      </c>
      <c r="AD657" s="69">
        <v>0</v>
      </c>
      <c r="AE657" s="45" t="str">
        <f t="shared" si="52"/>
        <v>Morphological</v>
      </c>
      <c r="AF657" s="56">
        <v>4</v>
      </c>
    </row>
    <row r="658" spans="1:32" ht="18" customHeight="1" x14ac:dyDescent="0.25">
      <c r="A658" s="45">
        <v>654</v>
      </c>
      <c r="B658" s="45" t="s">
        <v>60</v>
      </c>
      <c r="C658" s="45" t="s">
        <v>61</v>
      </c>
      <c r="D658" s="45" t="s">
        <v>62</v>
      </c>
      <c r="E658" s="45" t="s">
        <v>62</v>
      </c>
      <c r="F658" s="46" cm="1">
        <f t="array" ref="F658">_xlfn.IFS($G658=$G$5,F$5,$G658=$G$6,F$6,$G658=$G$7,F$7,$G658=$G$8,F$8,$G658=$G$9,F$9,$G658=$G$10,F$10,$G658=$G$11,F$11,$G658=$G$12,F$12,$G658=$G$13,F$13,$G658=$G$15,F$15,$G658=$G$16,F$16,$G658=$G$17,F$17,$G658=$G$18,F$18,$G658=$G$19,F$19,$G658=$G$20,F$20,$G658=$G$21,F$21,$G658=$G$22,F$22,$G658=$G$25,F$25,$G658=$G$26,F$26,$G658=$G$27,F$27,$G658=$G$29,F$29,$G658=$G$31,F$31,$G658=$G$32,F$32,$G658=$G$248,F$248,$G658=$G$250,F$250)</f>
        <v>8002</v>
      </c>
      <c r="G658" t="s">
        <v>73</v>
      </c>
      <c r="H658" s="67" cm="1">
        <f t="array" ref="H658">_xlfn.IFS($G658=$G$5,H$5,$G658=$G$6,H$6,$G658=$G$7,H$7,$G658=$G$8,H$8,$G658=$G$9,H$9,$G658=$G$10,H$10,$G658=$G$11,H$11,$G658=$G$12,H$12,$G658=$G$13,H$13,$G658=$G$15,H$15,$G658=$G$16,H$16,$G658=$G$17,H$17,$G658=$G$18,H$18,$G658=$G$19,H$19,$G658=$G$20,H$20,$G658=$G$21,H$21,$G658=$G$22,H$22,$G658=$G$25,H$25,$G658=$G$26,H$26,$G658=$G$27,H$27,$G658=$G$29,H$29,$G658=$G$31,H$31,$G658=$G$32,H$150,$G658=$G$248,H$248,$G658=$G$250,H$250)</f>
        <v>41.371864000000002</v>
      </c>
      <c r="I658" s="67" cm="1">
        <f t="array" ref="I658">_xlfn.IFS($G658=$G$5,I$5,$G658=$G$6,I$6,$G658=$G$7,I$7,$G658=$G$8,I$8,$G658=$G$9,I$9,$G658=$G$10,I$10,$G658=$G$11,I$11,$G658=$G$12,I$12,$G658=$G$13,I$13,$G658=$G$15,I$15,$G658=$G$16,I$16,$G658=$G$17,I$17,$G658=$G$18,I$18,$G658=$G$19,I$19,$G658=$G$20,I$20,$G658=$G$21,I$21,$G658=$G$22,I$22,$G658=$G$25,I$25,$G658=$G$26,I$26,$G658=$G$27,I$27,$G658=$G$29,I$29,$G658=$G$31,I$31,$G658=$G$32,I$150,$G658=$G$248,I$248,$G658=$G$250,I$250)</f>
        <v>2.173899</v>
      </c>
      <c r="J658" s="48" cm="1">
        <f t="array" ref="J658">_xlfn.IFS($G658=$G$5,J$5,$G658=$G$6,J$6,$G658=$G$7,J$7,$G658=$G$8,J$8,$G658=$G$9,J$9,$G658=$G$10,J$10,$G658=$G$11,J$11,$G658=$G$12,J$12,$G658=$G$13,J$13,$G658=$G$15,J$15,$G658=$G$16,J$16,$G658=$G$17,J$17,$G658=$G$18,J$18,$G658=$G$19,J$19,$G658=$G$20,J$20,$G658=$G$21,J$21,$G658=$G$22,J$22,$G658=$G$25,J$25,$G658=$G$26,J$26,$G658=$G$27,J$27,$G658=$G$29,J$29,$G658=$G$31,J$31,$G658=$G$32,J$150,$G658=$G$248,J$248,$G658=$G$250,J$250)</f>
        <v>19</v>
      </c>
      <c r="K658" s="48" t="str" cm="1">
        <f t="array" ref="K658">_xlfn.IFS($G658=$G$5,K$5,$G658=$G$6,K$6,$G658=$G$7,K$7,$G658=$G$8,K$8,$G658=$G$9,K$9,$G658=$G$10,K$10,$G658=$G$11,K$11,$G658=$G$12,K$12,$G658=$G$13,K$13,$G658=$G$15,K$15,$G658=$G$16,K$16,$G658=$G$17,K$17,$G658=$G$18,K$18,$G658=$G$19,K$19,$G658=$G$20,K$20,$G658=$G$21,K$21,$G658=$G$22,K$22,$G658=$G$25,K$25,$G658=$G$26,K$26,$G658=$G$27,K$27,$G658=$G$29,K$29,$G658=$G$31,K$31,$G658=$G$32,K$150,$G658=$G$248,K$248,$G658=$G$250,K$250)</f>
        <v>BG sentinel + BG lure7</v>
      </c>
      <c r="L658" s="48"/>
      <c r="M658" s="48"/>
      <c r="O658" s="45" t="str">
        <f t="shared" si="45"/>
        <v>A_SP_BCN_6_210902</v>
      </c>
      <c r="P658" s="64">
        <v>44441</v>
      </c>
      <c r="R658" s="72"/>
      <c r="S658" s="64">
        <v>44448</v>
      </c>
      <c r="U658" s="72"/>
      <c r="V658" s="54" t="s">
        <v>66</v>
      </c>
      <c r="X658" s="45">
        <f t="shared" si="53"/>
        <v>7</v>
      </c>
      <c r="Z658" s="69" t="s">
        <v>69</v>
      </c>
      <c r="AA658" s="45">
        <f t="shared" si="50"/>
        <v>1</v>
      </c>
      <c r="AB658" t="str">
        <f t="shared" si="51"/>
        <v>Adult</v>
      </c>
      <c r="AC658" s="69">
        <v>1</v>
      </c>
      <c r="AD658" s="69">
        <v>0</v>
      </c>
      <c r="AE658" s="45" t="str">
        <f t="shared" si="52"/>
        <v>Morphological</v>
      </c>
      <c r="AF658" s="56">
        <v>4</v>
      </c>
    </row>
    <row r="659" spans="1:32" ht="18" customHeight="1" x14ac:dyDescent="0.25">
      <c r="A659" s="45">
        <v>655</v>
      </c>
      <c r="B659" s="45" t="s">
        <v>60</v>
      </c>
      <c r="C659" s="45" t="s">
        <v>61</v>
      </c>
      <c r="D659" s="45" t="s">
        <v>62</v>
      </c>
      <c r="E659" s="45" t="s">
        <v>62</v>
      </c>
      <c r="F659" s="46" cm="1">
        <f t="array" ref="F659">_xlfn.IFS($G659=$G$5,F$5,$G659=$G$6,F$6,$G659=$G$7,F$7,$G659=$G$8,F$8,$G659=$G$9,F$9,$G659=$G$10,F$10,$G659=$G$11,F$11,$G659=$G$12,F$12,$G659=$G$13,F$13,$G659=$G$15,F$15,$G659=$G$16,F$16,$G659=$G$17,F$17,$G659=$G$18,F$18,$G659=$G$19,F$19,$G659=$G$20,F$20,$G659=$G$21,F$21,$G659=$G$22,F$22,$G659=$G$25,F$25,$G659=$G$26,F$26,$G659=$G$27,F$27,$G659=$G$29,F$29,$G659=$G$31,F$31,$G659=$G$32,F$32,$G659=$G$248,F$248,$G659=$G$250,F$250)</f>
        <v>8038</v>
      </c>
      <c r="G659" t="s">
        <v>74</v>
      </c>
      <c r="H659" s="67" cm="1">
        <f t="array" ref="H659">_xlfn.IFS($G659=$G$5,H$5,$G659=$G$6,H$6,$G659=$G$7,H$7,$G659=$G$8,H$8,$G659=$G$9,H$9,$G659=$G$10,H$10,$G659=$G$11,H$11,$G659=$G$12,H$12,$G659=$G$13,H$13,$G659=$G$15,H$15,$G659=$G$16,H$16,$G659=$G$17,H$17,$G659=$G$18,H$18,$G659=$G$19,H$19,$G659=$G$20,H$20,$G659=$G$21,H$21,$G659=$G$22,H$22,$G659=$G$25,H$25,$G659=$G$26,H$26,$G659=$G$27,H$27,$G659=$G$29,H$29,$G659=$G$31,H$31,$G659=$G$32,H$150,$G659=$G$248,H$248,$G659=$G$250,H$250)</f>
        <v>41.371864000000002</v>
      </c>
      <c r="I659" s="67" cm="1">
        <f t="array" ref="I659">_xlfn.IFS($G659=$G$5,I$5,$G659=$G$6,I$6,$G659=$G$7,I$7,$G659=$G$8,I$8,$G659=$G$9,I$9,$G659=$G$10,I$10,$G659=$G$11,I$11,$G659=$G$12,I$12,$G659=$G$13,I$13,$G659=$G$15,I$15,$G659=$G$16,I$16,$G659=$G$17,I$17,$G659=$G$18,I$18,$G659=$G$19,I$19,$G659=$G$20,I$20,$G659=$G$21,I$21,$G659=$G$22,I$22,$G659=$G$25,I$25,$G659=$G$26,I$26,$G659=$G$27,I$27,$G659=$G$29,I$29,$G659=$G$31,I$31,$G659=$G$32,I$150,$G659=$G$248,I$248,$G659=$G$250,I$250)</f>
        <v>2.173899</v>
      </c>
      <c r="J659" s="48" cm="1">
        <f t="array" ref="J659">_xlfn.IFS($G659=$G$5,J$5,$G659=$G$6,J$6,$G659=$G$7,J$7,$G659=$G$8,J$8,$G659=$G$9,J$9,$G659=$G$10,J$10,$G659=$G$11,J$11,$G659=$G$12,J$12,$G659=$G$13,J$13,$G659=$G$15,J$15,$G659=$G$16,J$16,$G659=$G$17,J$17,$G659=$G$18,J$18,$G659=$G$19,J$19,$G659=$G$20,J$20,$G659=$G$21,J$21,$G659=$G$22,J$22,$G659=$G$25,J$25,$G659=$G$26,J$26,$G659=$G$27,J$27,$G659=$G$29,J$29,$G659=$G$31,J$31,$G659=$G$32,J$150,$G659=$G$248,J$248,$G659=$G$250,J$250)</f>
        <v>5</v>
      </c>
      <c r="K659" s="48" t="str" cm="1">
        <f t="array" ref="K659">_xlfn.IFS($G659=$G$5,K$5,$G659=$G$6,K$6,$G659=$G$7,K$7,$G659=$G$8,K$8,$G659=$G$9,K$9,$G659=$G$10,K$10,$G659=$G$11,K$11,$G659=$G$12,K$12,$G659=$G$13,K$13,$G659=$G$15,K$15,$G659=$G$16,K$16,$G659=$G$17,K$17,$G659=$G$18,K$18,$G659=$G$19,K$19,$G659=$G$20,K$20,$G659=$G$21,K$21,$G659=$G$22,K$22,$G659=$G$25,K$25,$G659=$G$26,K$26,$G659=$G$27,K$27,$G659=$G$29,K$29,$G659=$G$31,K$31,$G659=$G$32,K$150,$G659=$G$248,K$248,$G659=$G$250,K$250)</f>
        <v>BG sentinel + BG lure7</v>
      </c>
      <c r="L659" s="48"/>
      <c r="M659" s="48"/>
      <c r="O659" s="45" t="str">
        <f t="shared" si="45"/>
        <v>A_SP_BCN_7_210902</v>
      </c>
      <c r="P659" s="64">
        <v>44441</v>
      </c>
      <c r="R659" s="72"/>
      <c r="S659" s="64">
        <v>44448</v>
      </c>
      <c r="U659" s="72"/>
      <c r="V659" s="54" t="s">
        <v>66</v>
      </c>
      <c r="X659" s="45">
        <f t="shared" si="53"/>
        <v>7</v>
      </c>
      <c r="Z659" s="69" t="s">
        <v>69</v>
      </c>
      <c r="AA659" s="45">
        <f t="shared" si="50"/>
        <v>8</v>
      </c>
      <c r="AB659" t="str">
        <f t="shared" si="51"/>
        <v>Adult</v>
      </c>
      <c r="AC659" s="69">
        <v>6</v>
      </c>
      <c r="AD659" s="69">
        <v>2</v>
      </c>
      <c r="AE659" s="45" t="str">
        <f t="shared" si="52"/>
        <v>Morphological</v>
      </c>
      <c r="AF659" s="56">
        <v>4</v>
      </c>
    </row>
    <row r="660" spans="1:32" ht="18" customHeight="1" x14ac:dyDescent="0.25">
      <c r="A660" s="45">
        <v>656</v>
      </c>
      <c r="B660" s="45" t="s">
        <v>60</v>
      </c>
      <c r="C660" s="45" t="s">
        <v>61</v>
      </c>
      <c r="D660" s="45" t="s">
        <v>62</v>
      </c>
      <c r="E660" s="45" t="s">
        <v>62</v>
      </c>
      <c r="F660" s="46" cm="1">
        <f t="array" ref="F660">_xlfn.IFS($G660=$G$5,F$5,$G660=$G$6,F$6,$G660=$G$7,F$7,$G660=$G$8,F$8,$G660=$G$9,F$9,$G660=$G$10,F$10,$G660=$G$11,F$11,$G660=$G$12,F$12,$G660=$G$13,F$13,$G660=$G$15,F$15,$G660=$G$16,F$16,$G660=$G$17,F$17,$G660=$G$18,F$18,$G660=$G$19,F$19,$G660=$G$20,F$20,$G660=$G$21,F$21,$G660=$G$22,F$22,$G660=$G$25,F$25,$G660=$G$26,F$26,$G660=$G$27,F$27,$G660=$G$29,F$29,$G660=$G$31,F$31,$G660=$G$32,F$32,$G660=$G$248,F$248,$G660=$G$250,F$250)</f>
        <v>8038</v>
      </c>
      <c r="G660" t="s">
        <v>74</v>
      </c>
      <c r="H660" s="67" cm="1">
        <f t="array" ref="H660">_xlfn.IFS($G660=$G$5,H$5,$G660=$G$6,H$6,$G660=$G$7,H$7,$G660=$G$8,H$8,$G660=$G$9,H$9,$G660=$G$10,H$10,$G660=$G$11,H$11,$G660=$G$12,H$12,$G660=$G$13,H$13,$G660=$G$15,H$15,$G660=$G$16,H$16,$G660=$G$17,H$17,$G660=$G$18,H$18,$G660=$G$19,H$19,$G660=$G$20,H$20,$G660=$G$21,H$21,$G660=$G$22,H$22,$G660=$G$25,H$25,$G660=$G$26,H$26,$G660=$G$27,H$27,$G660=$G$29,H$29,$G660=$G$31,H$31,$G660=$G$32,H$150,$G660=$G$248,H$248,$G660=$G$250,H$250)</f>
        <v>41.371864000000002</v>
      </c>
      <c r="I660" s="67" cm="1">
        <f t="array" ref="I660">_xlfn.IFS($G660=$G$5,I$5,$G660=$G$6,I$6,$G660=$G$7,I$7,$G660=$G$8,I$8,$G660=$G$9,I$9,$G660=$G$10,I$10,$G660=$G$11,I$11,$G660=$G$12,I$12,$G660=$G$13,I$13,$G660=$G$15,I$15,$G660=$G$16,I$16,$G660=$G$17,I$17,$G660=$G$18,I$18,$G660=$G$19,I$19,$G660=$G$20,I$20,$G660=$G$21,I$21,$G660=$G$22,I$22,$G660=$G$25,I$25,$G660=$G$26,I$26,$G660=$G$27,I$27,$G660=$G$29,I$29,$G660=$G$31,I$31,$G660=$G$32,I$150,$G660=$G$248,I$248,$G660=$G$250,I$250)</f>
        <v>2.173899</v>
      </c>
      <c r="J660" s="48" cm="1">
        <f t="array" ref="J660">_xlfn.IFS($G660=$G$5,J$5,$G660=$G$6,J$6,$G660=$G$7,J$7,$G660=$G$8,J$8,$G660=$G$9,J$9,$G660=$G$10,J$10,$G660=$G$11,J$11,$G660=$G$12,J$12,$G660=$G$13,J$13,$G660=$G$15,J$15,$G660=$G$16,J$16,$G660=$G$17,J$17,$G660=$G$18,J$18,$G660=$G$19,J$19,$G660=$G$20,J$20,$G660=$G$21,J$21,$G660=$G$22,J$22,$G660=$G$25,J$25,$G660=$G$26,J$26,$G660=$G$27,J$27,$G660=$G$29,J$29,$G660=$G$31,J$31,$G660=$G$32,J$150,$G660=$G$248,J$248,$G660=$G$250,J$250)</f>
        <v>5</v>
      </c>
      <c r="K660" s="48" t="str" cm="1">
        <f t="array" ref="K660">_xlfn.IFS($G660=$G$5,K$5,$G660=$G$6,K$6,$G660=$G$7,K$7,$G660=$G$8,K$8,$G660=$G$9,K$9,$G660=$G$10,K$10,$G660=$G$11,K$11,$G660=$G$12,K$12,$G660=$G$13,K$13,$G660=$G$15,K$15,$G660=$G$16,K$16,$G660=$G$17,K$17,$G660=$G$18,K$18,$G660=$G$19,K$19,$G660=$G$20,K$20,$G660=$G$21,K$21,$G660=$G$22,K$22,$G660=$G$25,K$25,$G660=$G$26,K$26,$G660=$G$27,K$27,$G660=$G$29,K$29,$G660=$G$31,K$31,$G660=$G$32,K$150,$G660=$G$248,K$248,$G660=$G$250,K$250)</f>
        <v>BG sentinel + BG lure7</v>
      </c>
      <c r="L660" s="48"/>
      <c r="M660" s="48"/>
      <c r="O660" s="45" t="str">
        <f t="shared" si="45"/>
        <v>A_SP_BCN_7_210902</v>
      </c>
      <c r="P660" s="64">
        <v>44441</v>
      </c>
      <c r="R660" s="72"/>
      <c r="S660" s="64">
        <v>44448</v>
      </c>
      <c r="U660" s="72"/>
      <c r="V660" s="54" t="s">
        <v>66</v>
      </c>
      <c r="X660" s="45">
        <f t="shared" si="53"/>
        <v>7</v>
      </c>
      <c r="Z660" s="45" t="s">
        <v>70</v>
      </c>
      <c r="AA660" s="45">
        <f t="shared" si="50"/>
        <v>1</v>
      </c>
      <c r="AB660" t="str">
        <f t="shared" si="51"/>
        <v>Adult</v>
      </c>
      <c r="AC660" s="69">
        <v>1</v>
      </c>
      <c r="AD660" s="69">
        <v>0</v>
      </c>
      <c r="AE660" s="45" t="str">
        <f t="shared" si="52"/>
        <v>Morphological</v>
      </c>
      <c r="AF660" s="56">
        <v>4</v>
      </c>
    </row>
    <row r="661" spans="1:32" ht="18" customHeight="1" x14ac:dyDescent="0.25">
      <c r="A661" s="45">
        <v>657</v>
      </c>
      <c r="B661" s="45" t="s">
        <v>60</v>
      </c>
      <c r="C661" s="45" t="s">
        <v>61</v>
      </c>
      <c r="D661" s="45" t="s">
        <v>62</v>
      </c>
      <c r="E661" s="45" t="s">
        <v>62</v>
      </c>
      <c r="F661" s="46" cm="1">
        <f t="array" ref="F661">_xlfn.IFS($G661=$G$5,F$5,$G661=$G$6,F$6,$G661=$G$7,F$7,$G661=$G$8,F$8,$G661=$G$9,F$9,$G661=$G$10,F$10,$G661=$G$11,F$11,$G661=$G$12,F$12,$G661=$G$13,F$13,$G661=$G$15,F$15,$G661=$G$16,F$16,$G661=$G$17,F$17,$G661=$G$18,F$18,$G661=$G$19,F$19,$G661=$G$20,F$20,$G661=$G$21,F$21,$G661=$G$22,F$22,$G661=$G$25,F$25,$G661=$G$26,F$26,$G661=$G$27,F$27,$G661=$G$29,F$29,$G661=$G$31,F$31,$G661=$G$32,F$32,$G661=$G$248,F$248,$G661=$G$250,F$250)</f>
        <v>8038</v>
      </c>
      <c r="G661" t="s">
        <v>74</v>
      </c>
      <c r="H661" s="67" cm="1">
        <f t="array" ref="H661">_xlfn.IFS($G661=$G$5,H$5,$G661=$G$6,H$6,$G661=$G$7,H$7,$G661=$G$8,H$8,$G661=$G$9,H$9,$G661=$G$10,H$10,$G661=$G$11,H$11,$G661=$G$12,H$12,$G661=$G$13,H$13,$G661=$G$15,H$15,$G661=$G$16,H$16,$G661=$G$17,H$17,$G661=$G$18,H$18,$G661=$G$19,H$19,$G661=$G$20,H$20,$G661=$G$21,H$21,$G661=$G$22,H$22,$G661=$G$25,H$25,$G661=$G$26,H$26,$G661=$G$27,H$27,$G661=$G$29,H$29,$G661=$G$31,H$31,$G661=$G$32,H$150,$G661=$G$248,H$248,$G661=$G$250,H$250)</f>
        <v>41.371864000000002</v>
      </c>
      <c r="I661" s="67" cm="1">
        <f t="array" ref="I661">_xlfn.IFS($G661=$G$5,I$5,$G661=$G$6,I$6,$G661=$G$7,I$7,$G661=$G$8,I$8,$G661=$G$9,I$9,$G661=$G$10,I$10,$G661=$G$11,I$11,$G661=$G$12,I$12,$G661=$G$13,I$13,$G661=$G$15,I$15,$G661=$G$16,I$16,$G661=$G$17,I$17,$G661=$G$18,I$18,$G661=$G$19,I$19,$G661=$G$20,I$20,$G661=$G$21,I$21,$G661=$G$22,I$22,$G661=$G$25,I$25,$G661=$G$26,I$26,$G661=$G$27,I$27,$G661=$G$29,I$29,$G661=$G$31,I$31,$G661=$G$32,I$150,$G661=$G$248,I$248,$G661=$G$250,I$250)</f>
        <v>2.173899</v>
      </c>
      <c r="J661" s="48" cm="1">
        <f t="array" ref="J661">_xlfn.IFS($G661=$G$5,J$5,$G661=$G$6,J$6,$G661=$G$7,J$7,$G661=$G$8,J$8,$G661=$G$9,J$9,$G661=$G$10,J$10,$G661=$G$11,J$11,$G661=$G$12,J$12,$G661=$G$13,J$13,$G661=$G$15,J$15,$G661=$G$16,J$16,$G661=$G$17,J$17,$G661=$G$18,J$18,$G661=$G$19,J$19,$G661=$G$20,J$20,$G661=$G$21,J$21,$G661=$G$22,J$22,$G661=$G$25,J$25,$G661=$G$26,J$26,$G661=$G$27,J$27,$G661=$G$29,J$29,$G661=$G$31,J$31,$G661=$G$32,J$150,$G661=$G$248,J$248,$G661=$G$250,J$250)</f>
        <v>5</v>
      </c>
      <c r="K661" s="48" t="str" cm="1">
        <f t="array" ref="K661">_xlfn.IFS($G661=$G$5,K$5,$G661=$G$6,K$6,$G661=$G$7,K$7,$G661=$G$8,K$8,$G661=$G$9,K$9,$G661=$G$10,K$10,$G661=$G$11,K$11,$G661=$G$12,K$12,$G661=$G$13,K$13,$G661=$G$15,K$15,$G661=$G$16,K$16,$G661=$G$17,K$17,$G661=$G$18,K$18,$G661=$G$19,K$19,$G661=$G$20,K$20,$G661=$G$21,K$21,$G661=$G$22,K$22,$G661=$G$25,K$25,$G661=$G$26,K$26,$G661=$G$27,K$27,$G661=$G$29,K$29,$G661=$G$31,K$31,$G661=$G$32,K$150,$G661=$G$248,K$248,$G661=$G$250,K$250)</f>
        <v>BG sentinel + BG lure7</v>
      </c>
      <c r="L661" s="48"/>
      <c r="M661" s="48"/>
      <c r="O661" s="45" t="str">
        <f t="shared" si="45"/>
        <v>A_SP_BCN_7_210902</v>
      </c>
      <c r="P661" s="64">
        <v>44441</v>
      </c>
      <c r="R661" s="72"/>
      <c r="S661" s="64">
        <v>44448</v>
      </c>
      <c r="U661" s="72"/>
      <c r="V661" s="54" t="s">
        <v>66</v>
      </c>
      <c r="X661" s="45">
        <f t="shared" si="53"/>
        <v>7</v>
      </c>
      <c r="Z661" s="45" t="s">
        <v>80</v>
      </c>
      <c r="AA661" s="45">
        <f t="shared" si="50"/>
        <v>1</v>
      </c>
      <c r="AB661" t="str">
        <f t="shared" si="51"/>
        <v>Adult</v>
      </c>
      <c r="AC661" s="69">
        <v>0</v>
      </c>
      <c r="AD661" s="69">
        <v>1</v>
      </c>
      <c r="AE661" s="45" t="str">
        <f t="shared" si="52"/>
        <v>Morphological</v>
      </c>
      <c r="AF661" s="56">
        <v>4</v>
      </c>
    </row>
    <row r="662" spans="1:32" ht="18" customHeight="1" x14ac:dyDescent="0.25">
      <c r="A662" s="45">
        <v>658</v>
      </c>
      <c r="B662" s="45" t="s">
        <v>60</v>
      </c>
      <c r="C662" s="45" t="s">
        <v>61</v>
      </c>
      <c r="D662" s="45" t="s">
        <v>62</v>
      </c>
      <c r="E662" s="45" t="s">
        <v>62</v>
      </c>
      <c r="F662" s="46" cm="1">
        <f t="array" ref="F662">_xlfn.IFS($G662=$G$5,F$5,$G662=$G$6,F$6,$G662=$G$7,F$7,$G662=$G$8,F$8,$G662=$G$9,F$9,$G662=$G$10,F$10,$G662=$G$11,F$11,$G662=$G$12,F$12,$G662=$G$13,F$13,$G662=$G$15,F$15,$G662=$G$16,F$16,$G662=$G$17,F$17,$G662=$G$18,F$18,$G662=$G$19,F$19,$G662=$G$20,F$20,$G662=$G$21,F$21,$G662=$G$22,F$22,$G662=$G$25,F$25,$G662=$G$26,F$26,$G662=$G$27,F$27,$G662=$G$29,F$29,$G662=$G$31,F$31,$G662=$G$32,F$32,$G662=$G$248,F$248,$G662=$G$250,F$250)</f>
        <v>8038</v>
      </c>
      <c r="G662" t="s">
        <v>75</v>
      </c>
      <c r="H662" s="67" cm="1">
        <f t="array" ref="H662">_xlfn.IFS($G662=$G$5,H$5,$G662=$G$6,H$6,$G662=$G$7,H$7,$G662=$G$8,H$8,$G662=$G$9,H$9,$G662=$G$10,H$10,$G662=$G$11,H$11,$G662=$G$12,H$12,$G662=$G$13,H$13,$G662=$G$15,H$15,$G662=$G$16,H$16,$G662=$G$17,H$17,$G662=$G$18,H$18,$G662=$G$19,H$19,$G662=$G$20,H$20,$G662=$G$21,H$21,$G662=$G$22,H$22,$G662=$G$25,H$25,$G662=$G$26,H$26,$G662=$G$27,H$27,$G662=$G$29,H$29,$G662=$G$31,H$31,$G662=$G$32,H$150,$G662=$G$248,H$248,$G662=$G$250,H$250)</f>
        <v>41.368589</v>
      </c>
      <c r="I662" s="67" cm="1">
        <f t="array" ref="I662">_xlfn.IFS($G662=$G$5,I$5,$G662=$G$6,I$6,$G662=$G$7,I$7,$G662=$G$8,I$8,$G662=$G$9,I$9,$G662=$G$10,I$10,$G662=$G$11,I$11,$G662=$G$12,I$12,$G662=$G$13,I$13,$G662=$G$15,I$15,$G662=$G$16,I$16,$G662=$G$17,I$17,$G662=$G$18,I$18,$G662=$G$19,I$19,$G662=$G$20,I$20,$G662=$G$21,I$21,$G662=$G$22,I$22,$G662=$G$25,I$25,$G662=$G$26,I$26,$G662=$G$27,I$27,$G662=$G$29,I$29,$G662=$G$31,I$31,$G662=$G$32,I$150,$G662=$G$248,I$248,$G662=$G$250,I$250)</f>
        <v>2.1620900000000001</v>
      </c>
      <c r="J662" s="48" cm="1">
        <f t="array" ref="J662">_xlfn.IFS($G662=$G$5,J$5,$G662=$G$6,J$6,$G662=$G$7,J$7,$G662=$G$8,J$8,$G662=$G$9,J$9,$G662=$G$10,J$10,$G662=$G$11,J$11,$G662=$G$12,J$12,$G662=$G$13,J$13,$G662=$G$15,J$15,$G662=$G$16,J$16,$G662=$G$17,J$17,$G662=$G$18,J$18,$G662=$G$19,J$19,$G662=$G$20,J$20,$G662=$G$21,J$21,$G662=$G$22,J$22,$G662=$G$25,J$25,$G662=$G$26,J$26,$G662=$G$27,J$27,$G662=$G$29,J$29,$G662=$G$31,J$31,$G662=$G$32,J$150,$G662=$G$248,J$248,$G662=$G$250,J$250)</f>
        <v>95</v>
      </c>
      <c r="K662" s="48" t="str" cm="1">
        <f t="array" ref="K662">_xlfn.IFS($G662=$G$5,K$5,$G662=$G$6,K$6,$G662=$G$7,K$7,$G662=$G$8,K$8,$G662=$G$9,K$9,$G662=$G$10,K$10,$G662=$G$11,K$11,$G662=$G$12,K$12,$G662=$G$13,K$13,$G662=$G$15,K$15,$G662=$G$16,K$16,$G662=$G$17,K$17,$G662=$G$18,K$18,$G662=$G$19,K$19,$G662=$G$20,K$20,$G662=$G$21,K$21,$G662=$G$22,K$22,$G662=$G$25,K$25,$G662=$G$26,K$26,$G662=$G$27,K$27,$G662=$G$29,K$29,$G662=$G$31,K$31,$G662=$G$32,K$150,$G662=$G$248,K$248,$G662=$G$250,K$250)</f>
        <v>BG sentinel + BG lure7</v>
      </c>
      <c r="L662" s="48"/>
      <c r="M662" s="48"/>
      <c r="O662" s="45" t="str">
        <f t="shared" si="45"/>
        <v>A_SP_BCN_8_210902</v>
      </c>
      <c r="P662" s="64">
        <v>44441</v>
      </c>
      <c r="R662" s="72"/>
      <c r="S662" s="64">
        <v>44448</v>
      </c>
      <c r="U662" s="72"/>
      <c r="V662" s="54" t="s">
        <v>66</v>
      </c>
      <c r="X662" s="45">
        <f t="shared" si="53"/>
        <v>7</v>
      </c>
      <c r="Z662" s="69" t="s">
        <v>69</v>
      </c>
      <c r="AA662" s="45">
        <f t="shared" si="50"/>
        <v>61</v>
      </c>
      <c r="AB662" t="str">
        <f t="shared" si="51"/>
        <v>Adult</v>
      </c>
      <c r="AC662" s="69">
        <v>51</v>
      </c>
      <c r="AD662" s="69">
        <v>10</v>
      </c>
      <c r="AE662" s="45" t="str">
        <f t="shared" si="52"/>
        <v>Morphological</v>
      </c>
      <c r="AF662" s="56">
        <v>4</v>
      </c>
    </row>
    <row r="663" spans="1:32" ht="18" customHeight="1" x14ac:dyDescent="0.25">
      <c r="A663" s="45">
        <v>659</v>
      </c>
      <c r="B663" s="45" t="s">
        <v>60</v>
      </c>
      <c r="C663" s="45" t="s">
        <v>61</v>
      </c>
      <c r="D663" s="45" t="s">
        <v>62</v>
      </c>
      <c r="E663" s="45" t="s">
        <v>62</v>
      </c>
      <c r="F663" s="46" cm="1">
        <f t="array" ref="F663">_xlfn.IFS($G663=$G$5,F$5,$G663=$G$6,F$6,$G663=$G$7,F$7,$G663=$G$8,F$8,$G663=$G$9,F$9,$G663=$G$10,F$10,$G663=$G$11,F$11,$G663=$G$12,F$12,$G663=$G$13,F$13,$G663=$G$15,F$15,$G663=$G$16,F$16,$G663=$G$17,F$17,$G663=$G$18,F$18,$G663=$G$19,F$19,$G663=$G$20,F$20,$G663=$G$21,F$21,$G663=$G$22,F$22,$G663=$G$25,F$25,$G663=$G$26,F$26,$G663=$G$27,F$27,$G663=$G$29,F$29,$G663=$G$31,F$31,$G663=$G$32,F$32,$G663=$G$248,F$248,$G663=$G$250,F$250)</f>
        <v>8038</v>
      </c>
      <c r="G663" t="s">
        <v>75</v>
      </c>
      <c r="H663" s="67" cm="1">
        <f t="array" ref="H663">_xlfn.IFS($G663=$G$5,H$5,$G663=$G$6,H$6,$G663=$G$7,H$7,$G663=$G$8,H$8,$G663=$G$9,H$9,$G663=$G$10,H$10,$G663=$G$11,H$11,$G663=$G$12,H$12,$G663=$G$13,H$13,$G663=$G$15,H$15,$G663=$G$16,H$16,$G663=$G$17,H$17,$G663=$G$18,H$18,$G663=$G$19,H$19,$G663=$G$20,H$20,$G663=$G$21,H$21,$G663=$G$22,H$22,$G663=$G$25,H$25,$G663=$G$26,H$26,$G663=$G$27,H$27,$G663=$G$29,H$29,$G663=$G$31,H$31,$G663=$G$32,H$150,$G663=$G$248,H$248,$G663=$G$250,H$250)</f>
        <v>41.368589</v>
      </c>
      <c r="I663" s="67" cm="1">
        <f t="array" ref="I663">_xlfn.IFS($G663=$G$5,I$5,$G663=$G$6,I$6,$G663=$G$7,I$7,$G663=$G$8,I$8,$G663=$G$9,I$9,$G663=$G$10,I$10,$G663=$G$11,I$11,$G663=$G$12,I$12,$G663=$G$13,I$13,$G663=$G$15,I$15,$G663=$G$16,I$16,$G663=$G$17,I$17,$G663=$G$18,I$18,$G663=$G$19,I$19,$G663=$G$20,I$20,$G663=$G$21,I$21,$G663=$G$22,I$22,$G663=$G$25,I$25,$G663=$G$26,I$26,$G663=$G$27,I$27,$G663=$G$29,I$29,$G663=$G$31,I$31,$G663=$G$32,I$150,$G663=$G$248,I$248,$G663=$G$250,I$250)</f>
        <v>2.1620900000000001</v>
      </c>
      <c r="J663" s="48" cm="1">
        <f t="array" ref="J663">_xlfn.IFS($G663=$G$5,J$5,$G663=$G$6,J$6,$G663=$G$7,J$7,$G663=$G$8,J$8,$G663=$G$9,J$9,$G663=$G$10,J$10,$G663=$G$11,J$11,$G663=$G$12,J$12,$G663=$G$13,J$13,$G663=$G$15,J$15,$G663=$G$16,J$16,$G663=$G$17,J$17,$G663=$G$18,J$18,$G663=$G$19,J$19,$G663=$G$20,J$20,$G663=$G$21,J$21,$G663=$G$22,J$22,$G663=$G$25,J$25,$G663=$G$26,J$26,$G663=$G$27,J$27,$G663=$G$29,J$29,$G663=$G$31,J$31,$G663=$G$32,J$150,$G663=$G$248,J$248,$G663=$G$250,J$250)</f>
        <v>95</v>
      </c>
      <c r="K663" s="48" t="str" cm="1">
        <f t="array" ref="K663">_xlfn.IFS($G663=$G$5,K$5,$G663=$G$6,K$6,$G663=$G$7,K$7,$G663=$G$8,K$8,$G663=$G$9,K$9,$G663=$G$10,K$10,$G663=$G$11,K$11,$G663=$G$12,K$12,$G663=$G$13,K$13,$G663=$G$15,K$15,$G663=$G$16,K$16,$G663=$G$17,K$17,$G663=$G$18,K$18,$G663=$G$19,K$19,$G663=$G$20,K$20,$G663=$G$21,K$21,$G663=$G$22,K$22,$G663=$G$25,K$25,$G663=$G$26,K$26,$G663=$G$27,K$27,$G663=$G$29,K$29,$G663=$G$31,K$31,$G663=$G$32,K$150,$G663=$G$248,K$248,$G663=$G$250,K$250)</f>
        <v>BG sentinel + BG lure7</v>
      </c>
      <c r="L663" s="48"/>
      <c r="M663" s="48"/>
      <c r="O663" s="45" t="str">
        <f t="shared" si="45"/>
        <v>A_SP_BCN_8_210902</v>
      </c>
      <c r="P663" s="64">
        <v>44441</v>
      </c>
      <c r="R663" s="72"/>
      <c r="S663" s="64">
        <v>44448</v>
      </c>
      <c r="U663" s="72"/>
      <c r="V663" s="54" t="s">
        <v>66</v>
      </c>
      <c r="X663" s="45">
        <f t="shared" si="53"/>
        <v>7</v>
      </c>
      <c r="Z663" s="45" t="s">
        <v>70</v>
      </c>
      <c r="AA663" s="45">
        <f t="shared" si="50"/>
        <v>2</v>
      </c>
      <c r="AB663" t="str">
        <f t="shared" si="51"/>
        <v>Adult</v>
      </c>
      <c r="AC663" s="69">
        <v>2</v>
      </c>
      <c r="AD663" s="69">
        <v>0</v>
      </c>
      <c r="AE663" s="45" t="str">
        <f t="shared" si="52"/>
        <v>Morphological</v>
      </c>
      <c r="AF663" s="56">
        <v>4</v>
      </c>
    </row>
    <row r="664" spans="1:32" ht="18" customHeight="1" x14ac:dyDescent="0.25">
      <c r="A664" s="45">
        <v>660</v>
      </c>
      <c r="B664" s="45" t="s">
        <v>60</v>
      </c>
      <c r="C664" s="45" t="s">
        <v>61</v>
      </c>
      <c r="D664" s="45" t="s">
        <v>62</v>
      </c>
      <c r="E664" s="45" t="s">
        <v>62</v>
      </c>
      <c r="F664" s="46" cm="1">
        <f t="array" ref="F664">_xlfn.IFS($G664=$G$5,F$5,$G664=$G$6,F$6,$G664=$G$7,F$7,$G664=$G$8,F$8,$G664=$G$9,F$9,$G664=$G$10,F$10,$G664=$G$11,F$11,$G664=$G$12,F$12,$G664=$G$13,F$13,$G664=$G$15,F$15,$G664=$G$16,F$16,$G664=$G$17,F$17,$G664=$G$18,F$18,$G664=$G$19,F$19,$G664=$G$20,F$20,$G664=$G$21,F$21,$G664=$G$22,F$22,$G664=$G$25,F$25,$G664=$G$26,F$26,$G664=$G$27,F$27,$G664=$G$29,F$29,$G664=$G$31,F$31,$G664=$G$32,F$32,$G664=$G$248,F$248,$G664=$G$250,F$250)</f>
        <v>8038</v>
      </c>
      <c r="G664" t="s">
        <v>75</v>
      </c>
      <c r="H664" s="67" cm="1">
        <f t="array" ref="H664">_xlfn.IFS($G664=$G$5,H$5,$G664=$G$6,H$6,$G664=$G$7,H$7,$G664=$G$8,H$8,$G664=$G$9,H$9,$G664=$G$10,H$10,$G664=$G$11,H$11,$G664=$G$12,H$12,$G664=$G$13,H$13,$G664=$G$15,H$15,$G664=$G$16,H$16,$G664=$G$17,H$17,$G664=$G$18,H$18,$G664=$G$19,H$19,$G664=$G$20,H$20,$G664=$G$21,H$21,$G664=$G$22,H$22,$G664=$G$25,H$25,$G664=$G$26,H$26,$G664=$G$27,H$27,$G664=$G$29,H$29,$G664=$G$31,H$31,$G664=$G$32,H$150,$G664=$G$248,H$248,$G664=$G$250,H$250)</f>
        <v>41.368589</v>
      </c>
      <c r="I664" s="67" cm="1">
        <f t="array" ref="I664">_xlfn.IFS($G664=$G$5,I$5,$G664=$G$6,I$6,$G664=$G$7,I$7,$G664=$G$8,I$8,$G664=$G$9,I$9,$G664=$G$10,I$10,$G664=$G$11,I$11,$G664=$G$12,I$12,$G664=$G$13,I$13,$G664=$G$15,I$15,$G664=$G$16,I$16,$G664=$G$17,I$17,$G664=$G$18,I$18,$G664=$G$19,I$19,$G664=$G$20,I$20,$G664=$G$21,I$21,$G664=$G$22,I$22,$G664=$G$25,I$25,$G664=$G$26,I$26,$G664=$G$27,I$27,$G664=$G$29,I$29,$G664=$G$31,I$31,$G664=$G$32,I$150,$G664=$G$248,I$248,$G664=$G$250,I$250)</f>
        <v>2.1620900000000001</v>
      </c>
      <c r="J664" s="48" cm="1">
        <f t="array" ref="J664">_xlfn.IFS($G664=$G$5,J$5,$G664=$G$6,J$6,$G664=$G$7,J$7,$G664=$G$8,J$8,$G664=$G$9,J$9,$G664=$G$10,J$10,$G664=$G$11,J$11,$G664=$G$12,J$12,$G664=$G$13,J$13,$G664=$G$15,J$15,$G664=$G$16,J$16,$G664=$G$17,J$17,$G664=$G$18,J$18,$G664=$G$19,J$19,$G664=$G$20,J$20,$G664=$G$21,J$21,$G664=$G$22,J$22,$G664=$G$25,J$25,$G664=$G$26,J$26,$G664=$G$27,J$27,$G664=$G$29,J$29,$G664=$G$31,J$31,$G664=$G$32,J$150,$G664=$G$248,J$248,$G664=$G$250,J$250)</f>
        <v>95</v>
      </c>
      <c r="K664" s="48" t="str" cm="1">
        <f t="array" ref="K664">_xlfn.IFS($G664=$G$5,K$5,$G664=$G$6,K$6,$G664=$G$7,K$7,$G664=$G$8,K$8,$G664=$G$9,K$9,$G664=$G$10,K$10,$G664=$G$11,K$11,$G664=$G$12,K$12,$G664=$G$13,K$13,$G664=$G$15,K$15,$G664=$G$16,K$16,$G664=$G$17,K$17,$G664=$G$18,K$18,$G664=$G$19,K$19,$G664=$G$20,K$20,$G664=$G$21,K$21,$G664=$G$22,K$22,$G664=$G$25,K$25,$G664=$G$26,K$26,$G664=$G$27,K$27,$G664=$G$29,K$29,$G664=$G$31,K$31,$G664=$G$32,K$150,$G664=$G$248,K$248,$G664=$G$250,K$250)</f>
        <v>BG sentinel + BG lure7</v>
      </c>
      <c r="L664" s="48"/>
      <c r="M664" s="48"/>
      <c r="O664" s="45" t="str">
        <f t="shared" si="45"/>
        <v>A_SP_BCN_8_210902</v>
      </c>
      <c r="P664" s="64">
        <v>44441</v>
      </c>
      <c r="R664" s="72"/>
      <c r="S664" s="64">
        <v>44448</v>
      </c>
      <c r="U664" s="72"/>
      <c r="V664" s="54" t="s">
        <v>66</v>
      </c>
      <c r="X664" s="45">
        <f t="shared" si="53"/>
        <v>7</v>
      </c>
      <c r="Z664" s="45" t="s">
        <v>80</v>
      </c>
      <c r="AA664" s="45">
        <f t="shared" si="50"/>
        <v>1</v>
      </c>
      <c r="AB664" t="str">
        <f t="shared" si="51"/>
        <v>Adult</v>
      </c>
      <c r="AC664" s="69">
        <v>0</v>
      </c>
      <c r="AD664" s="69">
        <v>1</v>
      </c>
      <c r="AE664" s="45" t="str">
        <f t="shared" si="52"/>
        <v>Morphological</v>
      </c>
      <c r="AF664" s="56">
        <v>4</v>
      </c>
    </row>
    <row r="665" spans="1:32" ht="18" customHeight="1" x14ac:dyDescent="0.25">
      <c r="A665" s="45">
        <v>661</v>
      </c>
      <c r="B665" s="45" t="s">
        <v>60</v>
      </c>
      <c r="C665" s="45" t="s">
        <v>61</v>
      </c>
      <c r="D665" s="45" t="s">
        <v>62</v>
      </c>
      <c r="E665" s="45" t="s">
        <v>62</v>
      </c>
      <c r="F665" s="46" cm="1">
        <f t="array" ref="F665">_xlfn.IFS($G665=$G$5,F$5,$G665=$G$6,F$6,$G665=$G$7,F$7,$G665=$G$8,F$8,$G665=$G$9,F$9,$G665=$G$10,F$10,$G665=$G$11,F$11,$G665=$G$12,F$12,$G665=$G$13,F$13,$G665=$G$15,F$15,$G665=$G$16,F$16,$G665=$G$17,F$17,$G665=$G$18,F$18,$G665=$G$19,F$19,$G665=$G$20,F$20,$G665=$G$21,F$21,$G665=$G$22,F$22,$G665=$G$25,F$25,$G665=$G$26,F$26,$G665=$G$27,F$27,$G665=$G$29,F$29,$G665=$G$31,F$31,$G665=$G$32,F$32,$G665=$G$248,F$248,$G665=$G$250,F$250)</f>
        <v>8040</v>
      </c>
      <c r="G665" t="s">
        <v>81</v>
      </c>
      <c r="H665" s="67" cm="1">
        <f t="array" ref="H665">_xlfn.IFS($G665=$G$5,H$5,$G665=$G$6,H$6,$G665=$G$7,H$7,$G665=$G$8,H$8,$G665=$G$9,H$9,$G665=$G$10,H$10,$G665=$G$11,H$11,$G665=$G$12,H$12,$G665=$G$13,H$13,$G665=$G$15,H$15,$G665=$G$16,H$16,$G665=$G$17,H$17,$G665=$G$18,H$18,$G665=$G$19,H$19,$G665=$G$20,H$20,$G665=$G$21,H$21,$G665=$G$22,H$22,$G665=$G$25,H$25,$G665=$G$26,H$26,$G665=$G$27,H$27,$G665=$G$29,H$29,$G665=$G$31,H$31,$G665=$G$32,H$150,$G665=$G$248,H$248,$G665=$G$250,H$250)</f>
        <v>41.343685000000001</v>
      </c>
      <c r="I665" s="67" cm="1">
        <f t="array" ref="I665">_xlfn.IFS($G665=$G$5,I$5,$G665=$G$6,I$6,$G665=$G$7,I$7,$G665=$G$8,I$8,$G665=$G$9,I$9,$G665=$G$10,I$10,$G665=$G$11,I$11,$G665=$G$12,I$12,$G665=$G$13,I$13,$G665=$G$15,I$15,$G665=$G$16,I$16,$G665=$G$17,I$17,$G665=$G$18,I$18,$G665=$G$19,I$19,$G665=$G$20,I$20,$G665=$G$21,I$21,$G665=$G$22,I$22,$G665=$G$25,I$25,$G665=$G$26,I$26,$G665=$G$27,I$27,$G665=$G$29,I$29,$G665=$G$31,I$31,$G665=$G$32,I$150,$G665=$G$248,I$248,$G665=$G$250,I$250)</f>
        <v>2.1441490000000001</v>
      </c>
      <c r="J665" s="48" cm="1">
        <f t="array" ref="J665">_xlfn.IFS($G665=$G$5,J$5,$G665=$G$6,J$6,$G665=$G$7,J$7,$G665=$G$8,J$8,$G665=$G$9,J$9,$G665=$G$10,J$10,$G665=$G$11,J$11,$G665=$G$12,J$12,$G665=$G$13,J$13,$G665=$G$15,J$15,$G665=$G$16,J$16,$G665=$G$17,J$17,$G665=$G$18,J$18,$G665=$G$19,J$19,$G665=$G$20,J$20,$G665=$G$21,J$21,$G665=$G$22,J$22,$G665=$G$25,J$25,$G665=$G$26,J$26,$G665=$G$27,J$27,$G665=$G$29,J$29,$G665=$G$31,J$31,$G665=$G$32,J$150,$G665=$G$248,J$248,$G665=$G$250,J$250)</f>
        <v>4</v>
      </c>
      <c r="K665" s="48" t="str" cm="1">
        <f t="array" ref="K665">_xlfn.IFS($G665=$G$5,K$5,$G665=$G$6,K$6,$G665=$G$7,K$7,$G665=$G$8,K$8,$G665=$G$9,K$9,$G665=$G$10,K$10,$G665=$G$11,K$11,$G665=$G$12,K$12,$G665=$G$13,K$13,$G665=$G$15,K$15,$G665=$G$16,K$16,$G665=$G$17,K$17,$G665=$G$18,K$18,$G665=$G$19,K$19,$G665=$G$20,K$20,$G665=$G$21,K$21,$G665=$G$22,K$22,$G665=$G$25,K$25,$G665=$G$26,K$26,$G665=$G$27,K$27,$G665=$G$29,K$29,$G665=$G$31,K$31,$G665=$G$32,K$150,$G665=$G$248,K$248,$G665=$G$250,K$250)</f>
        <v>BG sentinel + BG lure7</v>
      </c>
      <c r="L665" s="48" t="str" cm="1">
        <f t="array" ref="L665">_xlfn.IFS($G665=$G$5,L$5,$G665=$G$6,L$6,$G665=$G$7,L$7,$G665=$G$8,L$8,$G665=$G$9,L$9,$G665=$G$10,L$10,$G665=$G$11,L$11,$G665=$G$12,L$12,$G665=$G$13,L$13,$G665=$G$15,L$15,$G665=$G$16,L$16,$G665=$G$17,L$17,$G665=$G$18,L$18,$G665=$G$19,L$19,$G665=$G$20,L$20,$G665=$G$21,L$21,$G665=$G$22,L$22,$G665=$G$25,L$25,$G665=$G$26,L$26,$G665=$G$27,L$27,$G665=$G$29,L$29,$G665=$G$31,L$31,$G665=$G$32,L$32,$G665=$G$248,L$248,$G665=$G$250,L$250)</f>
        <v>Urban habitat</v>
      </c>
      <c r="M665" s="48"/>
      <c r="O665" s="45" t="str">
        <f t="shared" ref="O665:O970" si="54">G665&amp;"_"&amp;TEXT(P665, "AAMMDD")</f>
        <v>A_SP_BCN_10_210902</v>
      </c>
      <c r="P665" s="64">
        <v>44441</v>
      </c>
      <c r="R665" s="72"/>
      <c r="S665" s="64">
        <v>44448</v>
      </c>
      <c r="U665" s="72"/>
      <c r="V665" s="54" t="s">
        <v>66</v>
      </c>
      <c r="X665" s="45">
        <f t="shared" ref="X665:X885" si="55">S665-P665</f>
        <v>7</v>
      </c>
      <c r="Z665" s="69" t="s">
        <v>69</v>
      </c>
      <c r="AA665" s="45">
        <f t="shared" ref="AA665:AA1000" si="56">SUM(AC665:AD665)</f>
        <v>55</v>
      </c>
      <c r="AB665" t="str">
        <f t="shared" ref="AB665:AB737" si="57">IF(AA665=0,"",IF(AA665="","",IF(AA665&gt;0,"Adult")))</f>
        <v>Adult</v>
      </c>
      <c r="AC665" s="69">
        <v>31</v>
      </c>
      <c r="AD665" s="69">
        <v>24</v>
      </c>
      <c r="AE665" s="45" t="str">
        <f t="shared" ref="AE665:AE737" si="58">IF(AA665=0,"",IF(AA665="","",IF(AA665&gt;0,"Morphological")))</f>
        <v>Morphological</v>
      </c>
      <c r="AF665" s="56">
        <v>4</v>
      </c>
    </row>
    <row r="666" spans="1:32" ht="18" customHeight="1" x14ac:dyDescent="0.25">
      <c r="A666" s="45">
        <v>662</v>
      </c>
      <c r="B666" s="45" t="s">
        <v>60</v>
      </c>
      <c r="C666" s="45" t="s">
        <v>61</v>
      </c>
      <c r="D666" s="45" t="s">
        <v>62</v>
      </c>
      <c r="E666" s="45" t="s">
        <v>62</v>
      </c>
      <c r="F666" s="46" cm="1">
        <f t="array" ref="F666">_xlfn.IFS($G666=$G$5,F$5,$G666=$G$6,F$6,$G666=$G$7,F$7,$G666=$G$8,F$8,$G666=$G$9,F$9,$G666=$G$10,F$10,$G666=$G$11,F$11,$G666=$G$12,F$12,$G666=$G$13,F$13,$G666=$G$15,F$15,$G666=$G$16,F$16,$G666=$G$17,F$17,$G666=$G$18,F$18,$G666=$G$19,F$19,$G666=$G$20,F$20,$G666=$G$21,F$21,$G666=$G$22,F$22,$G666=$G$25,F$25,$G666=$G$26,F$26,$G666=$G$27,F$27,$G666=$G$29,F$29,$G666=$G$31,F$31,$G666=$G$32,F$32,$G666=$G$248,F$248,$G666=$G$250,F$250)</f>
        <v>8040</v>
      </c>
      <c r="G666" t="s">
        <v>81</v>
      </c>
      <c r="H666" s="67" cm="1">
        <f t="array" ref="H666">_xlfn.IFS($G666=$G$5,H$5,$G666=$G$6,H$6,$G666=$G$7,H$7,$G666=$G$8,H$8,$G666=$G$9,H$9,$G666=$G$10,H$10,$G666=$G$11,H$11,$G666=$G$12,H$12,$G666=$G$13,H$13,$G666=$G$15,H$15,$G666=$G$16,H$16,$G666=$G$17,H$17,$G666=$G$18,H$18,$G666=$G$19,H$19,$G666=$G$20,H$20,$G666=$G$21,H$21,$G666=$G$22,H$22,$G666=$G$25,H$25,$G666=$G$26,H$26,$G666=$G$27,H$27,$G666=$G$29,H$29,$G666=$G$31,H$31,$G666=$G$32,H$150,$G666=$G$248,H$248,$G666=$G$250,H$250)</f>
        <v>41.343685000000001</v>
      </c>
      <c r="I666" s="67" cm="1">
        <f t="array" ref="I666">_xlfn.IFS($G666=$G$5,I$5,$G666=$G$6,I$6,$G666=$G$7,I$7,$G666=$G$8,I$8,$G666=$G$9,I$9,$G666=$G$10,I$10,$G666=$G$11,I$11,$G666=$G$12,I$12,$G666=$G$13,I$13,$G666=$G$15,I$15,$G666=$G$16,I$16,$G666=$G$17,I$17,$G666=$G$18,I$18,$G666=$G$19,I$19,$G666=$G$20,I$20,$G666=$G$21,I$21,$G666=$G$22,I$22,$G666=$G$25,I$25,$G666=$G$26,I$26,$G666=$G$27,I$27,$G666=$G$29,I$29,$G666=$G$31,I$31,$G666=$G$32,I$150,$G666=$G$248,I$248,$G666=$G$250,I$250)</f>
        <v>2.1441490000000001</v>
      </c>
      <c r="J666" s="48" cm="1">
        <f t="array" ref="J666">_xlfn.IFS($G666=$G$5,J$5,$G666=$G$6,J$6,$G666=$G$7,J$7,$G666=$G$8,J$8,$G666=$G$9,J$9,$G666=$G$10,J$10,$G666=$G$11,J$11,$G666=$G$12,J$12,$G666=$G$13,J$13,$G666=$G$15,J$15,$G666=$G$16,J$16,$G666=$G$17,J$17,$G666=$G$18,J$18,$G666=$G$19,J$19,$G666=$G$20,J$20,$G666=$G$21,J$21,$G666=$G$22,J$22,$G666=$G$25,J$25,$G666=$G$26,J$26,$G666=$G$27,J$27,$G666=$G$29,J$29,$G666=$G$31,J$31,$G666=$G$32,J$150,$G666=$G$248,J$248,$G666=$G$250,J$250)</f>
        <v>4</v>
      </c>
      <c r="K666" s="48" t="str" cm="1">
        <f t="array" ref="K666">_xlfn.IFS($G666=$G$5,K$5,$G666=$G$6,K$6,$G666=$G$7,K$7,$G666=$G$8,K$8,$G666=$G$9,K$9,$G666=$G$10,K$10,$G666=$G$11,K$11,$G666=$G$12,K$12,$G666=$G$13,K$13,$G666=$G$15,K$15,$G666=$G$16,K$16,$G666=$G$17,K$17,$G666=$G$18,K$18,$G666=$G$19,K$19,$G666=$G$20,K$20,$G666=$G$21,K$21,$G666=$G$22,K$22,$G666=$G$25,K$25,$G666=$G$26,K$26,$G666=$G$27,K$27,$G666=$G$29,K$29,$G666=$G$31,K$31,$G666=$G$32,K$150,$G666=$G$248,K$248,$G666=$G$250,K$250)</f>
        <v>BG sentinel + BG lure7</v>
      </c>
      <c r="L666" s="48" t="str" cm="1">
        <f t="array" ref="L666">_xlfn.IFS($G666=$G$5,L$5,$G666=$G$6,L$6,$G666=$G$7,L$7,$G666=$G$8,L$8,$G666=$G$9,L$9,$G666=$G$10,L$10,$G666=$G$11,L$11,$G666=$G$12,L$12,$G666=$G$13,L$13,$G666=$G$15,L$15,$G666=$G$16,L$16,$G666=$G$17,L$17,$G666=$G$18,L$18,$G666=$G$19,L$19,$G666=$G$20,L$20,$G666=$G$21,L$21,$G666=$G$22,L$22,$G666=$G$25,L$25,$G666=$G$26,L$26,$G666=$G$27,L$27,$G666=$G$29,L$29,$G666=$G$31,L$31,$G666=$G$32,L$32,$G666=$G$248,L$248,$G666=$G$250,L$250)</f>
        <v>Urban habitat</v>
      </c>
      <c r="M666" s="48"/>
      <c r="O666" s="45" t="str">
        <f t="shared" si="54"/>
        <v>A_SP_BCN_10_210902</v>
      </c>
      <c r="P666" s="64">
        <v>44441</v>
      </c>
      <c r="R666" s="72"/>
      <c r="S666" s="64">
        <v>44448</v>
      </c>
      <c r="U666" s="72"/>
      <c r="V666" s="54" t="s">
        <v>66</v>
      </c>
      <c r="X666" s="45">
        <f t="shared" si="55"/>
        <v>7</v>
      </c>
      <c r="Z666" s="45" t="s">
        <v>70</v>
      </c>
      <c r="AA666" s="45">
        <f t="shared" si="56"/>
        <v>5</v>
      </c>
      <c r="AB666" t="str">
        <f t="shared" si="57"/>
        <v>Adult</v>
      </c>
      <c r="AC666" s="69">
        <v>5</v>
      </c>
      <c r="AD666" s="69">
        <v>0</v>
      </c>
      <c r="AE666" s="45" t="str">
        <f t="shared" si="58"/>
        <v>Morphological</v>
      </c>
      <c r="AF666" s="56">
        <v>4</v>
      </c>
    </row>
    <row r="667" spans="1:32" ht="18" customHeight="1" x14ac:dyDescent="0.25">
      <c r="A667" s="45">
        <v>663</v>
      </c>
      <c r="B667" s="45" t="s">
        <v>60</v>
      </c>
      <c r="C667" s="45" t="s">
        <v>61</v>
      </c>
      <c r="D667" s="45" t="s">
        <v>62</v>
      </c>
      <c r="E667" s="45" t="s">
        <v>62</v>
      </c>
      <c r="F667" s="46" cm="1">
        <f t="array" ref="F667">_xlfn.IFS($G667=$G$5,F$5,$G667=$G$6,F$6,$G667=$G$7,F$7,$G667=$G$8,F$8,$G667=$G$9,F$9,$G667=$G$10,F$10,$G667=$G$11,F$11,$G667=$G$12,F$12,$G667=$G$13,F$13,$G667=$G$15,F$15,$G667=$G$16,F$16,$G667=$G$17,F$17,$G667=$G$18,F$18,$G667=$G$19,F$19,$G667=$G$20,F$20,$G667=$G$21,F$21,$G667=$G$22,F$22,$G667=$G$25,F$25,$G667=$G$26,F$26,$G667=$G$27,F$27,$G667=$G$29,F$29,$G667=$G$31,F$31,$G667=$G$32,F$32,$G667=$G$248,F$248,$G667=$G$250,F$250)</f>
        <v>8038</v>
      </c>
      <c r="G667" t="s">
        <v>82</v>
      </c>
      <c r="H667" s="67" cm="1">
        <f t="array" ref="H667">_xlfn.IFS($G667=$G$5,H$5,$G667=$G$6,H$6,$G667=$G$7,H$7,$G667=$G$8,H$8,$G667=$G$9,H$9,$G667=$G$10,H$10,$G667=$G$11,H$11,$G667=$G$12,H$12,$G667=$G$13,H$13,$G667=$G$15,H$15,$G667=$G$16,H$16,$G667=$G$17,H$17,$G667=$G$18,H$18,$G667=$G$19,H$19,$G667=$G$20,H$20,$G667=$G$21,H$21,$G667=$G$22,H$22,$G667=$G$25,H$25,$G667=$G$26,H$26,$G667=$G$27,H$27,$G667=$G$29,H$29,$G667=$G$31,H$31,$G667=$G$32,H$150,$G667=$G$248,H$248,$G667=$G$250,H$250)</f>
        <v>41.367429999999999</v>
      </c>
      <c r="I667" s="67" cm="1">
        <f t="array" ref="I667">_xlfn.IFS($G667=$G$5,I$5,$G667=$G$6,I$6,$G667=$G$7,I$7,$G667=$G$8,I$8,$G667=$G$9,I$9,$G667=$G$10,I$10,$G667=$G$11,I$11,$G667=$G$12,I$12,$G667=$G$13,I$13,$G667=$G$15,I$15,$G667=$G$16,I$16,$G667=$G$17,I$17,$G667=$G$18,I$18,$G667=$G$19,I$19,$G667=$G$20,I$20,$G667=$G$21,I$21,$G667=$G$22,I$22,$G667=$G$25,I$25,$G667=$G$26,I$26,$G667=$G$27,I$27,$G667=$G$29,I$29,$G667=$G$31,I$31,$G667=$G$32,I$150,$G667=$G$248,I$248,$G667=$G$250,I$250)</f>
        <v>2.1569609999999999</v>
      </c>
      <c r="J667" s="48" cm="1">
        <f t="array" ref="J667">_xlfn.IFS($G667=$G$5,J$5,$G667=$G$6,J$6,$G667=$G$7,J$7,$G667=$G$8,J$8,$G667=$G$9,J$9,$G667=$G$10,J$10,$G667=$G$11,J$11,$G667=$G$12,J$12,$G667=$G$13,J$13,$G667=$G$15,J$15,$G667=$G$16,J$16,$G667=$G$17,J$17,$G667=$G$18,J$18,$G667=$G$19,J$19,$G667=$G$20,J$20,$G667=$G$21,J$21,$G667=$G$22,J$22,$G667=$G$25,J$25,$G667=$G$26,J$26,$G667=$G$27,J$27,$G667=$G$29,J$29,$G667=$G$31,J$31,$G667=$G$32,J$150,$G667=$G$248,J$248,$G667=$G$250,J$250)</f>
        <v>91</v>
      </c>
      <c r="K667" s="48" t="str" cm="1">
        <f t="array" ref="K667">_xlfn.IFS($G667=$G$5,K$5,$G667=$G$6,K$6,$G667=$G$7,K$7,$G667=$G$8,K$8,$G667=$G$9,K$9,$G667=$G$10,K$10,$G667=$G$11,K$11,$G667=$G$12,K$12,$G667=$G$13,K$13,$G667=$G$15,K$15,$G667=$G$16,K$16,$G667=$G$17,K$17,$G667=$G$18,K$18,$G667=$G$19,K$19,$G667=$G$20,K$20,$G667=$G$21,K$21,$G667=$G$22,K$22,$G667=$G$25,K$25,$G667=$G$26,K$26,$G667=$G$27,K$27,$G667=$G$29,K$29,$G667=$G$31,K$31,$G667=$G$32,K$150,$G667=$G$248,K$248,$G667=$G$250,K$250)</f>
        <v>BG sentinel + BG lure7</v>
      </c>
      <c r="L667" s="48" t="str" cm="1">
        <f t="array" ref="L667">_xlfn.IFS($G667=$G$5,L$5,$G667=$G$6,L$6,$G667=$G$7,L$7,$G667=$G$8,L$8,$G667=$G$9,L$9,$G667=$G$10,L$10,$G667=$G$11,L$11,$G667=$G$12,L$12,$G667=$G$13,L$13,$G667=$G$15,L$15,$G667=$G$16,L$16,$G667=$G$17,L$17,$G667=$G$18,L$18,$G667=$G$19,L$19,$G667=$G$20,L$20,$G667=$G$21,L$21,$G667=$G$22,L$22,$G667=$G$25,L$25,$G667=$G$26,L$26,$G667=$G$27,L$27,$G667=$G$29,L$29,$G667=$G$31,L$31,$G667=$G$32,L$32,$G667=$G$248,L$248,$G667=$G$250,L$250)</f>
        <v>Other</v>
      </c>
      <c r="M667" s="48"/>
      <c r="O667" s="45" t="str">
        <f t="shared" si="54"/>
        <v>A_SP_BCN_11_210902</v>
      </c>
      <c r="P667" s="64">
        <v>44441</v>
      </c>
      <c r="R667" s="72"/>
      <c r="S667" s="64">
        <v>44448</v>
      </c>
      <c r="U667" s="72"/>
      <c r="V667" s="54" t="s">
        <v>66</v>
      </c>
      <c r="X667" s="45">
        <f t="shared" si="55"/>
        <v>7</v>
      </c>
      <c r="Z667" s="69" t="s">
        <v>69</v>
      </c>
      <c r="AA667" s="45">
        <f t="shared" si="56"/>
        <v>30</v>
      </c>
      <c r="AB667" t="str">
        <f t="shared" si="57"/>
        <v>Adult</v>
      </c>
      <c r="AC667" s="69">
        <v>22</v>
      </c>
      <c r="AD667" s="69">
        <v>8</v>
      </c>
      <c r="AE667" s="45" t="str">
        <f t="shared" si="58"/>
        <v>Morphological</v>
      </c>
      <c r="AF667" s="56">
        <v>4</v>
      </c>
    </row>
    <row r="668" spans="1:32" ht="18" customHeight="1" x14ac:dyDescent="0.25">
      <c r="A668" s="45">
        <v>664</v>
      </c>
      <c r="B668" s="45" t="s">
        <v>60</v>
      </c>
      <c r="C668" s="45" t="s">
        <v>61</v>
      </c>
      <c r="D668" s="45" t="s">
        <v>62</v>
      </c>
      <c r="E668" s="45" t="s">
        <v>62</v>
      </c>
      <c r="F668" s="46" cm="1">
        <f t="array" ref="F668">_xlfn.IFS($G668=$G$5,F$5,$G668=$G$6,F$6,$G668=$G$7,F$7,$G668=$G$8,F$8,$G668=$G$9,F$9,$G668=$G$10,F$10,$G668=$G$11,F$11,$G668=$G$12,F$12,$G668=$G$13,F$13,$G668=$G$15,F$15,$G668=$G$16,F$16,$G668=$G$17,F$17,$G668=$G$18,F$18,$G668=$G$19,F$19,$G668=$G$20,F$20,$G668=$G$21,F$21,$G668=$G$22,F$22,$G668=$G$25,F$25,$G668=$G$26,F$26,$G668=$G$27,F$27,$G668=$G$29,F$29,$G668=$G$31,F$31,$G668=$G$32,F$32,$G668=$G$248,F$248,$G668=$G$250,F$250)</f>
        <v>8038</v>
      </c>
      <c r="G668" t="s">
        <v>84</v>
      </c>
      <c r="H668" s="67" cm="1">
        <f t="array" ref="H668">_xlfn.IFS($G668=$G$5,H$5,$G668=$G$6,H$6,$G668=$G$7,H$7,$G668=$G$8,H$8,$G668=$G$9,H$9,$G668=$G$10,H$10,$G668=$G$11,H$11,$G668=$G$12,H$12,$G668=$G$13,H$13,$G668=$G$15,H$15,$G668=$G$16,H$16,$G668=$G$17,H$17,$G668=$G$18,H$18,$G668=$G$19,H$19,$G668=$G$20,H$20,$G668=$G$21,H$21,$G668=$G$22,H$22,$G668=$G$25,H$25,$G668=$G$26,H$26,$G668=$G$27,H$27,$G668=$G$29,H$29,$G668=$G$31,H$31,$G668=$G$32,H$150,$G668=$G$248,H$248,$G668=$G$250,H$250)</f>
        <v>41.363377999999997</v>
      </c>
      <c r="I668" s="67" cm="1">
        <f t="array" ref="I668">_xlfn.IFS($G668=$G$5,I$5,$G668=$G$6,I$6,$G668=$G$7,I$7,$G668=$G$8,I$8,$G668=$G$9,I$9,$G668=$G$10,I$10,$G668=$G$11,I$11,$G668=$G$12,I$12,$G668=$G$13,I$13,$G668=$G$15,I$15,$G668=$G$16,I$16,$G668=$G$17,I$17,$G668=$G$18,I$18,$G668=$G$19,I$19,$G668=$G$20,I$20,$G668=$G$21,I$21,$G668=$G$22,I$22,$G668=$G$25,I$25,$G668=$G$26,I$26,$G668=$G$27,I$27,$G668=$G$29,I$29,$G668=$G$31,I$31,$G668=$G$32,I$150,$G668=$G$248,I$248,$G668=$G$250,I$250)</f>
        <v>2.164879</v>
      </c>
      <c r="J668" s="48" cm="1">
        <f t="array" ref="J668">_xlfn.IFS($G668=$G$5,J$5,$G668=$G$6,J$6,$G668=$G$7,J$7,$G668=$G$8,J$8,$G668=$G$9,J$9,$G668=$G$10,J$10,$G668=$G$11,J$11,$G668=$G$12,J$12,$G668=$G$13,J$13,$G668=$G$15,J$15,$G668=$G$16,J$16,$G668=$G$17,J$17,$G668=$G$18,J$18,$G668=$G$19,J$19,$G668=$G$20,J$20,$G668=$G$21,J$21,$G668=$G$22,J$22,$G668=$G$25,J$25,$G668=$G$26,J$26,$G668=$G$27,J$27,$G668=$G$29,J$29,$G668=$G$31,J$31,$G668=$G$32,J$150,$G668=$G$248,J$248,$G668=$G$250,J$250)</f>
        <v>185</v>
      </c>
      <c r="K668" s="48" t="str" cm="1">
        <f t="array" ref="K668">_xlfn.IFS($G668=$G$5,K$5,$G668=$G$6,K$6,$G668=$G$7,K$7,$G668=$G$8,K$8,$G668=$G$9,K$9,$G668=$G$10,K$10,$G668=$G$11,K$11,$G668=$G$12,K$12,$G668=$G$13,K$13,$G668=$G$15,K$15,$G668=$G$16,K$16,$G668=$G$17,K$17,$G668=$G$18,K$18,$G668=$G$19,K$19,$G668=$G$20,K$20,$G668=$G$21,K$21,$G668=$G$22,K$22,$G668=$G$25,K$25,$G668=$G$26,K$26,$G668=$G$27,K$27,$G668=$G$29,K$29,$G668=$G$31,K$31,$G668=$G$32,K$150,$G668=$G$248,K$248,$G668=$G$250,K$250)</f>
        <v>BG sentinel + BG lure7</v>
      </c>
      <c r="L668" s="48"/>
      <c r="M668" s="48"/>
      <c r="O668" s="45" t="str">
        <f t="shared" si="54"/>
        <v>A_SP_BCN_12_210902</v>
      </c>
      <c r="P668" s="64">
        <v>44441</v>
      </c>
      <c r="R668" s="72"/>
      <c r="S668" s="64">
        <v>44448</v>
      </c>
      <c r="U668" s="72"/>
      <c r="V668" s="54" t="s">
        <v>66</v>
      </c>
      <c r="X668" s="45">
        <f t="shared" si="55"/>
        <v>7</v>
      </c>
      <c r="Z668" s="69" t="s">
        <v>69</v>
      </c>
      <c r="AA668" s="45">
        <f t="shared" si="56"/>
        <v>17</v>
      </c>
      <c r="AB668" t="str">
        <f t="shared" si="57"/>
        <v>Adult</v>
      </c>
      <c r="AC668" s="69">
        <v>16</v>
      </c>
      <c r="AD668" s="69">
        <v>1</v>
      </c>
      <c r="AE668" s="45" t="str">
        <f t="shared" si="58"/>
        <v>Morphological</v>
      </c>
      <c r="AF668" s="56">
        <v>4</v>
      </c>
    </row>
    <row r="669" spans="1:32" ht="18" customHeight="1" x14ac:dyDescent="0.25">
      <c r="A669" s="45">
        <v>665</v>
      </c>
      <c r="B669" s="45" t="s">
        <v>60</v>
      </c>
      <c r="C669" s="45" t="s">
        <v>61</v>
      </c>
      <c r="D669" s="45" t="s">
        <v>62</v>
      </c>
      <c r="E669" s="45" t="s">
        <v>62</v>
      </c>
      <c r="F669" s="46" cm="1">
        <f t="array" ref="F669">_xlfn.IFS($G669=$G$5,F$5,$G669=$G$6,F$6,$G669=$G$7,F$7,$G669=$G$8,F$8,$G669=$G$9,F$9,$G669=$G$10,F$10,$G669=$G$11,F$11,$G669=$G$12,F$12,$G669=$G$13,F$13,$G669=$G$15,F$15,$G669=$G$16,F$16,$G669=$G$17,F$17,$G669=$G$18,F$18,$G669=$G$19,F$19,$G669=$G$20,F$20,$G669=$G$21,F$21,$G669=$G$22,F$22,$G669=$G$25,F$25,$G669=$G$26,F$26,$G669=$G$27,F$27,$G669=$G$29,F$29,$G669=$G$31,F$31,$G669=$G$32,F$32,$G669=$G$248,F$248,$G669=$G$250,F$250)</f>
        <v>8038</v>
      </c>
      <c r="G669" t="s">
        <v>84</v>
      </c>
      <c r="H669" s="67" cm="1">
        <f t="array" ref="H669">_xlfn.IFS($G669=$G$5,H$5,$G669=$G$6,H$6,$G669=$G$7,H$7,$G669=$G$8,H$8,$G669=$G$9,H$9,$G669=$G$10,H$10,$G669=$G$11,H$11,$G669=$G$12,H$12,$G669=$G$13,H$13,$G669=$G$15,H$15,$G669=$G$16,H$16,$G669=$G$17,H$17,$G669=$G$18,H$18,$G669=$G$19,H$19,$G669=$G$20,H$20,$G669=$G$21,H$21,$G669=$G$22,H$22,$G669=$G$25,H$25,$G669=$G$26,H$26,$G669=$G$27,H$27,$G669=$G$29,H$29,$G669=$G$31,H$31,$G669=$G$32,H$150,$G669=$G$248,H$248,$G669=$G$250,H$250)</f>
        <v>41.363377999999997</v>
      </c>
      <c r="I669" s="67" cm="1">
        <f t="array" ref="I669">_xlfn.IFS($G669=$G$5,I$5,$G669=$G$6,I$6,$G669=$G$7,I$7,$G669=$G$8,I$8,$G669=$G$9,I$9,$G669=$G$10,I$10,$G669=$G$11,I$11,$G669=$G$12,I$12,$G669=$G$13,I$13,$G669=$G$15,I$15,$G669=$G$16,I$16,$G669=$G$17,I$17,$G669=$G$18,I$18,$G669=$G$19,I$19,$G669=$G$20,I$20,$G669=$G$21,I$21,$G669=$G$22,I$22,$G669=$G$25,I$25,$G669=$G$26,I$26,$G669=$G$27,I$27,$G669=$G$29,I$29,$G669=$G$31,I$31,$G669=$G$32,I$150,$G669=$G$248,I$248,$G669=$G$250,I$250)</f>
        <v>2.164879</v>
      </c>
      <c r="J669" s="48" cm="1">
        <f t="array" ref="J669">_xlfn.IFS($G669=$G$5,J$5,$G669=$G$6,J$6,$G669=$G$7,J$7,$G669=$G$8,J$8,$G669=$G$9,J$9,$G669=$G$10,J$10,$G669=$G$11,J$11,$G669=$G$12,J$12,$G669=$G$13,J$13,$G669=$G$15,J$15,$G669=$G$16,J$16,$G669=$G$17,J$17,$G669=$G$18,J$18,$G669=$G$19,J$19,$G669=$G$20,J$20,$G669=$G$21,J$21,$G669=$G$22,J$22,$G669=$G$25,J$25,$G669=$G$26,J$26,$G669=$G$27,J$27,$G669=$G$29,J$29,$G669=$G$31,J$31,$G669=$G$32,J$150,$G669=$G$248,J$248,$G669=$G$250,J$250)</f>
        <v>185</v>
      </c>
      <c r="K669" s="48" t="str" cm="1">
        <f t="array" ref="K669">_xlfn.IFS($G669=$G$5,K$5,$G669=$G$6,K$6,$G669=$G$7,K$7,$G669=$G$8,K$8,$G669=$G$9,K$9,$G669=$G$10,K$10,$G669=$G$11,K$11,$G669=$G$12,K$12,$G669=$G$13,K$13,$G669=$G$15,K$15,$G669=$G$16,K$16,$G669=$G$17,K$17,$G669=$G$18,K$18,$G669=$G$19,K$19,$G669=$G$20,K$20,$G669=$G$21,K$21,$G669=$G$22,K$22,$G669=$G$25,K$25,$G669=$G$26,K$26,$G669=$G$27,K$27,$G669=$G$29,K$29,$G669=$G$31,K$31,$G669=$G$32,K$150,$G669=$G$248,K$248,$G669=$G$250,K$250)</f>
        <v>BG sentinel + BG lure7</v>
      </c>
      <c r="L669" s="48"/>
      <c r="M669" s="48"/>
      <c r="O669" s="45" t="str">
        <f t="shared" si="54"/>
        <v>A_SP_BCN_12_210902</v>
      </c>
      <c r="P669" s="64">
        <v>44441</v>
      </c>
      <c r="R669" s="72"/>
      <c r="S669" s="64">
        <v>44448</v>
      </c>
      <c r="U669" s="72"/>
      <c r="V669" s="54" t="s">
        <v>66</v>
      </c>
      <c r="X669" s="45">
        <f t="shared" si="55"/>
        <v>7</v>
      </c>
      <c r="Z669" s="45" t="s">
        <v>70</v>
      </c>
      <c r="AA669" s="45">
        <f t="shared" si="56"/>
        <v>59</v>
      </c>
      <c r="AB669" t="str">
        <f t="shared" si="57"/>
        <v>Adult</v>
      </c>
      <c r="AC669" s="69">
        <v>55</v>
      </c>
      <c r="AD669" s="69">
        <v>4</v>
      </c>
      <c r="AE669" s="45" t="str">
        <f t="shared" si="58"/>
        <v>Morphological</v>
      </c>
      <c r="AF669" s="56">
        <v>4</v>
      </c>
    </row>
    <row r="670" spans="1:32" ht="18" customHeight="1" x14ac:dyDescent="0.25">
      <c r="A670" s="45">
        <v>666</v>
      </c>
      <c r="B670" s="45" t="s">
        <v>60</v>
      </c>
      <c r="C670" s="45" t="s">
        <v>61</v>
      </c>
      <c r="D670" s="45" t="s">
        <v>62</v>
      </c>
      <c r="E670" s="45" t="s">
        <v>62</v>
      </c>
      <c r="F670" s="46" cm="1">
        <f t="array" ref="F670">_xlfn.IFS($G670=$G$5,F$5,$G670=$G$6,F$6,$G670=$G$7,F$7,$G670=$G$8,F$8,$G670=$G$9,F$9,$G670=$G$10,F$10,$G670=$G$11,F$11,$G670=$G$12,F$12,$G670=$G$13,F$13,$G670=$G$15,F$15,$G670=$G$16,F$16,$G670=$G$17,F$17,$G670=$G$18,F$18,$G670=$G$19,F$19,$G670=$G$20,F$20,$G670=$G$21,F$21,$G670=$G$22,F$22,$G670=$G$25,F$25,$G670=$G$26,F$26,$G670=$G$27,F$27,$G670=$G$29,F$29,$G670=$G$31,F$31,$G670=$G$32,F$32,$G670=$G$248,F$248,$G670=$G$250,F$250)</f>
        <v>8038</v>
      </c>
      <c r="G670" t="s">
        <v>84</v>
      </c>
      <c r="H670" s="67" cm="1">
        <f t="array" ref="H670">_xlfn.IFS($G670=$G$5,H$5,$G670=$G$6,H$6,$G670=$G$7,H$7,$G670=$G$8,H$8,$G670=$G$9,H$9,$G670=$G$10,H$10,$G670=$G$11,H$11,$G670=$G$12,H$12,$G670=$G$13,H$13,$G670=$G$15,H$15,$G670=$G$16,H$16,$G670=$G$17,H$17,$G670=$G$18,H$18,$G670=$G$19,H$19,$G670=$G$20,H$20,$G670=$G$21,H$21,$G670=$G$22,H$22,$G670=$G$25,H$25,$G670=$G$26,H$26,$G670=$G$27,H$27,$G670=$G$29,H$29,$G670=$G$31,H$31,$G670=$G$32,H$150,$G670=$G$248,H$248,$G670=$G$250,H$250)</f>
        <v>41.363377999999997</v>
      </c>
      <c r="I670" s="67" cm="1">
        <f t="array" ref="I670">_xlfn.IFS($G670=$G$5,I$5,$G670=$G$6,I$6,$G670=$G$7,I$7,$G670=$G$8,I$8,$G670=$G$9,I$9,$G670=$G$10,I$10,$G670=$G$11,I$11,$G670=$G$12,I$12,$G670=$G$13,I$13,$G670=$G$15,I$15,$G670=$G$16,I$16,$G670=$G$17,I$17,$G670=$G$18,I$18,$G670=$G$19,I$19,$G670=$G$20,I$20,$G670=$G$21,I$21,$G670=$G$22,I$22,$G670=$G$25,I$25,$G670=$G$26,I$26,$G670=$G$27,I$27,$G670=$G$29,I$29,$G670=$G$31,I$31,$G670=$G$32,I$150,$G670=$G$248,I$248,$G670=$G$250,I$250)</f>
        <v>2.164879</v>
      </c>
      <c r="J670" s="48" cm="1">
        <f t="array" ref="J670">_xlfn.IFS($G670=$G$5,J$5,$G670=$G$6,J$6,$G670=$G$7,J$7,$G670=$G$8,J$8,$G670=$G$9,J$9,$G670=$G$10,J$10,$G670=$G$11,J$11,$G670=$G$12,J$12,$G670=$G$13,J$13,$G670=$G$15,J$15,$G670=$G$16,J$16,$G670=$G$17,J$17,$G670=$G$18,J$18,$G670=$G$19,J$19,$G670=$G$20,J$20,$G670=$G$21,J$21,$G670=$G$22,J$22,$G670=$G$25,J$25,$G670=$G$26,J$26,$G670=$G$27,J$27,$G670=$G$29,J$29,$G670=$G$31,J$31,$G670=$G$32,J$150,$G670=$G$248,J$248,$G670=$G$250,J$250)</f>
        <v>185</v>
      </c>
      <c r="K670" s="48" t="str" cm="1">
        <f t="array" ref="K670">_xlfn.IFS($G670=$G$5,K$5,$G670=$G$6,K$6,$G670=$G$7,K$7,$G670=$G$8,K$8,$G670=$G$9,K$9,$G670=$G$10,K$10,$G670=$G$11,K$11,$G670=$G$12,K$12,$G670=$G$13,K$13,$G670=$G$15,K$15,$G670=$G$16,K$16,$G670=$G$17,K$17,$G670=$G$18,K$18,$G670=$G$19,K$19,$G670=$G$20,K$20,$G670=$G$21,K$21,$G670=$G$22,K$22,$G670=$G$25,K$25,$G670=$G$26,K$26,$G670=$G$27,K$27,$G670=$G$29,K$29,$G670=$G$31,K$31,$G670=$G$32,K$150,$G670=$G$248,K$248,$G670=$G$250,K$250)</f>
        <v>BG sentinel + BG lure7</v>
      </c>
      <c r="L670" s="48"/>
      <c r="M670" s="48"/>
      <c r="O670" s="45" t="str">
        <f t="shared" si="54"/>
        <v>A_SP_BCN_12_210902</v>
      </c>
      <c r="P670" s="64">
        <v>44441</v>
      </c>
      <c r="R670" s="72"/>
      <c r="S670" s="64">
        <v>44448</v>
      </c>
      <c r="U670" s="72"/>
      <c r="V670" s="54" t="s">
        <v>66</v>
      </c>
      <c r="X670" s="45">
        <f t="shared" si="55"/>
        <v>7</v>
      </c>
      <c r="Z670" s="45" t="s">
        <v>80</v>
      </c>
      <c r="AA670" s="45">
        <f t="shared" si="56"/>
        <v>1</v>
      </c>
      <c r="AB670" t="str">
        <f t="shared" si="57"/>
        <v>Adult</v>
      </c>
      <c r="AC670" s="69">
        <v>0</v>
      </c>
      <c r="AD670" s="69">
        <v>1</v>
      </c>
      <c r="AE670" s="45" t="str">
        <f t="shared" si="58"/>
        <v>Morphological</v>
      </c>
      <c r="AF670" s="56">
        <v>4</v>
      </c>
    </row>
    <row r="671" spans="1:32" ht="18" customHeight="1" x14ac:dyDescent="0.25">
      <c r="A671" s="45">
        <v>667</v>
      </c>
      <c r="B671" s="45" t="s">
        <v>60</v>
      </c>
      <c r="C671" s="45" t="s">
        <v>61</v>
      </c>
      <c r="D671" s="45" t="s">
        <v>62</v>
      </c>
      <c r="E671" s="45" t="s">
        <v>62</v>
      </c>
      <c r="F671" s="46" cm="1">
        <f t="array" ref="F671">_xlfn.IFS($G671=$G$5,F$5,$G671=$G$6,F$6,$G671=$G$7,F$7,$G671=$G$8,F$8,$G671=$G$9,F$9,$G671=$G$10,F$10,$G671=$G$11,F$11,$G671=$G$12,F$12,$G671=$G$13,F$13,$G671=$G$15,F$15,$G671=$G$16,F$16,$G671=$G$17,F$17,$G671=$G$18,F$18,$G671=$G$19,F$19,$G671=$G$20,F$20,$G671=$G$21,F$21,$G671=$G$22,F$22,$G671=$G$25,F$25,$G671=$G$26,F$26,$G671=$G$27,F$27,$G671=$G$29,F$29,$G671=$G$31,F$31,$G671=$G$32,F$32,$G671=$G$248,F$248,$G671=$G$250,F$250)</f>
        <v>8035</v>
      </c>
      <c r="G671" t="s">
        <v>85</v>
      </c>
      <c r="H671" s="67" cm="1">
        <f t="array" ref="H671">_xlfn.IFS($G671=$G$5,H$5,$G671=$G$6,H$6,$G671=$G$7,H$7,$G671=$G$8,H$8,$G671=$G$9,H$9,$G671=$G$10,H$10,$G671=$G$11,H$11,$G671=$G$12,H$12,$G671=$G$13,H$13,$G671=$G$15,H$15,$G671=$G$16,H$16,$G671=$G$17,H$17,$G671=$G$18,H$18,$G671=$G$19,H$19,$G671=$G$20,H$20,$G671=$G$21,H$21,$G671=$G$22,H$22,$G671=$G$25,H$25,$G671=$G$26,H$26,$G671=$G$27,H$27,$G671=$G$29,H$29,$G671=$G$31,H$31,$G671=$G$32,H$150,$G671=$G$248,H$248,$G671=$G$250,H$250)</f>
        <v>41.434472</v>
      </c>
      <c r="I671" s="67" cm="1">
        <f t="array" ref="I671">_xlfn.IFS($G671=$G$5,I$5,$G671=$G$6,I$6,$G671=$G$7,I$7,$G671=$G$8,I$8,$G671=$G$9,I$9,$G671=$G$10,I$10,$G671=$G$11,I$11,$G671=$G$12,I$12,$G671=$G$13,I$13,$G671=$G$15,I$15,$G671=$G$16,I$16,$G671=$G$17,I$17,$G671=$G$18,I$18,$G671=$G$19,I$19,$G671=$G$20,I$20,$G671=$G$21,I$21,$G671=$G$22,I$22,$G671=$G$25,I$25,$G671=$G$26,I$26,$G671=$G$27,I$27,$G671=$G$29,I$29,$G671=$G$31,I$31,$G671=$G$32,I$150,$G671=$G$248,I$248,$G671=$G$250,I$250)</f>
        <v>2.1315789999999999</v>
      </c>
      <c r="J671" s="48" cm="1">
        <f t="array" ref="J671">_xlfn.IFS($G671=$G$5,J$5,$G671=$G$6,J$6,$G671=$G$7,J$7,$G671=$G$8,J$8,$G671=$G$9,J$9,$G671=$G$10,J$10,$G671=$G$11,J$11,$G671=$G$12,J$12,$G671=$G$13,J$13,$G671=$G$15,J$15,$G671=$G$16,J$16,$G671=$G$17,J$17,$G671=$G$18,J$18,$G671=$G$19,J$19,$G671=$G$20,J$20,$G671=$G$21,J$21,$G671=$G$22,J$22,$G671=$G$25,J$25,$G671=$G$26,J$26,$G671=$G$27,J$27,$G671=$G$29,J$29,$G671=$G$31,J$31,$G671=$G$32,J$150,$G671=$G$248,J$248,$G671=$G$250,J$250)</f>
        <v>365</v>
      </c>
      <c r="K671" s="48" t="str" cm="1">
        <f t="array" ref="K671">_xlfn.IFS($G671=$G$5,K$5,$G671=$G$6,K$6,$G671=$G$7,K$7,$G671=$G$8,K$8,$G671=$G$9,K$9,$G671=$G$10,K$10,$G671=$G$11,K$11,$G671=$G$12,K$12,$G671=$G$13,K$13,$G671=$G$15,K$15,$G671=$G$16,K$16,$G671=$G$17,K$17,$G671=$G$18,K$18,$G671=$G$19,K$19,$G671=$G$20,K$20,$G671=$G$21,K$21,$G671=$G$22,K$22,$G671=$G$25,K$25,$G671=$G$26,K$26,$G671=$G$27,K$27,$G671=$G$29,K$29,$G671=$G$31,K$31,$G671=$G$32,K$150,$G671=$G$248,K$248,$G671=$G$250,K$250)</f>
        <v>BG sentinel + BG lure7</v>
      </c>
      <c r="L671" s="48"/>
      <c r="M671" s="48"/>
      <c r="O671" s="45" t="str">
        <f t="shared" si="54"/>
        <v>A_SP_BCN_13_210901</v>
      </c>
      <c r="P671" s="64">
        <v>44440</v>
      </c>
      <c r="R671" s="72"/>
      <c r="S671" s="64">
        <v>44447</v>
      </c>
      <c r="U671" s="72"/>
      <c r="V671" s="54" t="s">
        <v>66</v>
      </c>
      <c r="X671" s="45">
        <f t="shared" si="55"/>
        <v>7</v>
      </c>
      <c r="AA671" s="45">
        <f t="shared" si="56"/>
        <v>0</v>
      </c>
      <c r="AB671" t="str">
        <f t="shared" si="57"/>
        <v/>
      </c>
      <c r="AE671" s="45" t="str">
        <f t="shared" si="58"/>
        <v/>
      </c>
      <c r="AF671" s="56">
        <v>4</v>
      </c>
    </row>
    <row r="672" spans="1:32" ht="18" customHeight="1" x14ac:dyDescent="0.25">
      <c r="A672" s="45">
        <v>668</v>
      </c>
      <c r="B672" s="45" t="s">
        <v>60</v>
      </c>
      <c r="C672" s="45" t="s">
        <v>61</v>
      </c>
      <c r="D672" s="45" t="s">
        <v>62</v>
      </c>
      <c r="E672" s="45" t="s">
        <v>62</v>
      </c>
      <c r="F672" s="46" cm="1">
        <f t="array" ref="F672">_xlfn.IFS($G672=$G$5,F$5,$G672=$G$6,F$6,$G672=$G$7,F$7,$G672=$G$8,F$8,$G672=$G$9,F$9,$G672=$G$10,F$10,$G672=$G$11,F$11,$G672=$G$12,F$12,$G672=$G$13,F$13,$G672=$G$15,F$15,$G672=$G$16,F$16,$G672=$G$17,F$17,$G672=$G$18,F$18,$G672=$G$19,F$19,$G672=$G$20,F$20,$G672=$G$21,F$21,$G672=$G$22,F$22,$G672=$G$25,F$25,$G672=$G$26,F$26,$G672=$G$27,F$27,$G672=$G$29,F$29,$G672=$G$31,F$31,$G672=$G$32,F$32,$G672=$G$248,F$248,$G672=$G$250,F$250)</f>
        <v>8017</v>
      </c>
      <c r="G672" t="s">
        <v>86</v>
      </c>
      <c r="H672" s="67" cm="1">
        <f t="array" ref="H672">_xlfn.IFS($G672=$G$5,H$5,$G672=$G$6,H$6,$G672=$G$7,H$7,$G672=$G$8,H$8,$G672=$G$9,H$9,$G672=$G$10,H$10,$G672=$G$11,H$11,$G672=$G$12,H$12,$G672=$G$13,H$13,$G672=$G$15,H$15,$G672=$G$16,H$16,$G672=$G$17,H$17,$G672=$G$18,H$18,$G672=$G$19,H$19,$G672=$G$20,H$20,$G672=$G$21,H$21,$G672=$G$22,H$22,$G672=$G$25,H$25,$G672=$G$26,H$26,$G672=$G$27,H$27,$G672=$G$29,H$29,$G672=$G$31,H$31,$G672=$G$32,H$150,$G672=$G$248,H$248,$G672=$G$250,H$250)</f>
        <v>41.428533999999999</v>
      </c>
      <c r="I672" s="67" cm="1">
        <f t="array" ref="I672">_xlfn.IFS($G672=$G$5,I$5,$G672=$G$6,I$6,$G672=$G$7,I$7,$G672=$G$8,I$8,$G672=$G$9,I$9,$G672=$G$10,I$10,$G672=$G$11,I$11,$G672=$G$12,I$12,$G672=$G$13,I$13,$G672=$G$15,I$15,$G672=$G$16,I$16,$G672=$G$17,I$17,$G672=$G$18,I$18,$G672=$G$19,I$19,$G672=$G$20,I$20,$G672=$G$21,I$21,$G672=$G$22,I$22,$G672=$G$25,I$25,$G672=$G$26,I$26,$G672=$G$27,I$27,$G672=$G$29,I$29,$G672=$G$31,I$31,$G672=$G$32,I$150,$G672=$G$248,I$248,$G672=$G$250,I$250)</f>
        <v>2.090954</v>
      </c>
      <c r="J672" s="48" cm="1">
        <f t="array" ref="J672">_xlfn.IFS($G672=$G$5,J$5,$G672=$G$6,J$6,$G672=$G$7,J$7,$G672=$G$8,J$8,$G672=$G$9,J$9,$G672=$G$10,J$10,$G672=$G$11,J$11,$G672=$G$12,J$12,$G672=$G$13,J$13,$G672=$G$15,J$15,$G672=$G$16,J$16,$G672=$G$17,J$17,$G672=$G$18,J$18,$G672=$G$19,J$19,$G672=$G$20,J$20,$G672=$G$21,J$21,$G672=$G$22,J$22,$G672=$G$25,J$25,$G672=$G$26,J$26,$G672=$G$27,J$27,$G672=$G$29,J$29,$G672=$G$31,J$31,$G672=$G$32,J$150,$G672=$G$248,J$248,$G672=$G$250,J$250)</f>
        <v>215</v>
      </c>
      <c r="K672" s="48" t="str" cm="1">
        <f t="array" ref="K672">_xlfn.IFS($G672=$G$5,K$5,$G672=$G$6,K$6,$G672=$G$7,K$7,$G672=$G$8,K$8,$G672=$G$9,K$9,$G672=$G$10,K$10,$G672=$G$11,K$11,$G672=$G$12,K$12,$G672=$G$13,K$13,$G672=$G$15,K$15,$G672=$G$16,K$16,$G672=$G$17,K$17,$G672=$G$18,K$18,$G672=$G$19,K$19,$G672=$G$20,K$20,$G672=$G$21,K$21,$G672=$G$22,K$22,$G672=$G$25,K$25,$G672=$G$26,K$26,$G672=$G$27,K$27,$G672=$G$29,K$29,$G672=$G$31,K$31,$G672=$G$32,K$150,$G672=$G$248,K$248,$G672=$G$250,K$250)</f>
        <v>BG sentinel + BG lure7</v>
      </c>
      <c r="L672" s="48"/>
      <c r="M672" s="48"/>
      <c r="O672" s="45" t="str">
        <f t="shared" si="54"/>
        <v>A_SP_BCN_14_210901</v>
      </c>
      <c r="P672" s="64">
        <v>44440</v>
      </c>
      <c r="R672" s="72"/>
      <c r="S672" s="64">
        <v>44447</v>
      </c>
      <c r="U672" s="72"/>
      <c r="V672" s="54" t="s">
        <v>66</v>
      </c>
      <c r="X672" s="45">
        <f t="shared" si="55"/>
        <v>7</v>
      </c>
      <c r="Z672" s="69" t="s">
        <v>69</v>
      </c>
      <c r="AA672" s="45">
        <f t="shared" si="56"/>
        <v>8</v>
      </c>
      <c r="AB672" t="str">
        <f t="shared" si="57"/>
        <v>Adult</v>
      </c>
      <c r="AC672" s="69">
        <v>8</v>
      </c>
      <c r="AD672" s="69">
        <v>0</v>
      </c>
      <c r="AE672" s="45" t="str">
        <f t="shared" si="58"/>
        <v>Morphological</v>
      </c>
      <c r="AF672" s="56">
        <v>4</v>
      </c>
    </row>
    <row r="673" spans="1:32" ht="18" customHeight="1" x14ac:dyDescent="0.25">
      <c r="A673" s="45">
        <v>669</v>
      </c>
      <c r="B673" s="45" t="s">
        <v>60</v>
      </c>
      <c r="C673" s="45" t="s">
        <v>61</v>
      </c>
      <c r="D673" s="45" t="s">
        <v>62</v>
      </c>
      <c r="E673" s="45" t="s">
        <v>62</v>
      </c>
      <c r="F673" s="46" cm="1">
        <f t="array" ref="F673">_xlfn.IFS($G673=$G$5,F$5,$G673=$G$6,F$6,$G673=$G$7,F$7,$G673=$G$8,F$8,$G673=$G$9,F$9,$G673=$G$10,F$10,$G673=$G$11,F$11,$G673=$G$12,F$12,$G673=$G$13,F$13,$G673=$G$15,F$15,$G673=$G$16,F$16,$G673=$G$17,F$17,$G673=$G$18,F$18,$G673=$G$19,F$19,$G673=$G$20,F$20,$G673=$G$21,F$21,$G673=$G$22,F$22,$G673=$G$25,F$25,$G673=$G$26,F$26,$G673=$G$27,F$27,$G673=$G$29,F$29,$G673=$G$31,F$31,$G673=$G$32,F$32,$G673=$G$248,F$248,$G673=$G$250,F$250)</f>
        <v>8017</v>
      </c>
      <c r="G673" t="s">
        <v>87</v>
      </c>
      <c r="H673" s="67" cm="1">
        <f t="array" ref="H673">_xlfn.IFS($G673=$G$5,H$5,$G673=$G$6,H$6,$G673=$G$7,H$7,$G673=$G$8,H$8,$G673=$G$9,H$9,$G673=$G$10,H$10,$G673=$G$11,H$11,$G673=$G$12,H$12,$G673=$G$13,H$13,$G673=$G$15,H$15,$G673=$G$16,H$16,$G673=$G$17,H$17,$G673=$G$18,H$18,$G673=$G$19,H$19,$G673=$G$20,H$20,$G673=$G$21,H$21,$G673=$G$22,H$22,$G673=$G$25,H$25,$G673=$G$26,H$26,$G673=$G$27,H$27,$G673=$G$29,H$29,$G673=$G$31,H$31,$G673=$G$32,H$150,$G673=$G$248,H$248,$G673=$G$250,H$250)</f>
        <v>41.419471000000001</v>
      </c>
      <c r="I673" s="67" cm="1">
        <f t="array" ref="I673">_xlfn.IFS($G673=$G$5,I$5,$G673=$G$6,I$6,$G673=$G$7,I$7,$G673=$G$8,I$8,$G673=$G$9,I$9,$G673=$G$10,I$10,$G673=$G$11,I$11,$G673=$G$12,I$12,$G673=$G$13,I$13,$G673=$G$15,I$15,$G673=$G$16,I$16,$G673=$G$17,I$17,$G673=$G$18,I$18,$G673=$G$19,I$19,$G673=$G$20,I$20,$G673=$G$21,I$21,$G673=$G$22,I$22,$G673=$G$25,I$25,$G673=$G$26,I$26,$G673=$G$27,I$27,$G673=$G$29,I$29,$G673=$G$31,I$31,$G673=$G$32,I$150,$G673=$G$248,I$248,$G673=$G$250,I$250)</f>
        <v>2.1010149999999999</v>
      </c>
      <c r="J673" s="48" cm="1">
        <f t="array" ref="J673">_xlfn.IFS($G673=$G$5,J$5,$G673=$G$6,J$6,$G673=$G$7,J$7,$G673=$G$8,J$8,$G673=$G$9,J$9,$G673=$G$10,J$10,$G673=$G$11,J$11,$G673=$G$12,J$12,$G673=$G$13,J$13,$G673=$G$15,J$15,$G673=$G$16,J$16,$G673=$G$17,J$17,$G673=$G$18,J$18,$G673=$G$19,J$19,$G673=$G$20,J$20,$G673=$G$21,J$21,$G673=$G$22,J$22,$G673=$G$25,J$25,$G673=$G$26,J$26,$G673=$G$27,J$27,$G673=$G$29,J$29,$G673=$G$31,J$31,$G673=$G$32,J$150,$G673=$G$248,J$248,$G673=$G$250,J$250)</f>
        <v>284</v>
      </c>
      <c r="K673" s="48" t="str" cm="1">
        <f t="array" ref="K673">_xlfn.IFS($G673=$G$5,K$5,$G673=$G$6,K$6,$G673=$G$7,K$7,$G673=$G$8,K$8,$G673=$G$9,K$9,$G673=$G$10,K$10,$G673=$G$11,K$11,$G673=$G$12,K$12,$G673=$G$13,K$13,$G673=$G$15,K$15,$G673=$G$16,K$16,$G673=$G$17,K$17,$G673=$G$18,K$18,$G673=$G$19,K$19,$G673=$G$20,K$20,$G673=$G$21,K$21,$G673=$G$22,K$22,$G673=$G$25,K$25,$G673=$G$26,K$26,$G673=$G$27,K$27,$G673=$G$29,K$29,$G673=$G$31,K$31,$G673=$G$32,K$150,$G673=$G$248,K$248,$G673=$G$250,K$250)</f>
        <v>BG sentinel + BG lure7</v>
      </c>
      <c r="L673" s="48"/>
      <c r="M673" s="48"/>
      <c r="O673" s="45" t="str">
        <f t="shared" si="54"/>
        <v>A_SP_BCN_15_210901</v>
      </c>
      <c r="P673" s="64">
        <v>44440</v>
      </c>
      <c r="R673" s="72"/>
      <c r="S673" s="64">
        <v>44447</v>
      </c>
      <c r="U673" s="72"/>
      <c r="V673" s="54" t="s">
        <v>66</v>
      </c>
      <c r="X673" s="45">
        <f t="shared" si="55"/>
        <v>7</v>
      </c>
      <c r="Z673" s="69" t="s">
        <v>69</v>
      </c>
      <c r="AA673" s="45">
        <f t="shared" si="56"/>
        <v>6</v>
      </c>
      <c r="AB673" t="str">
        <f t="shared" si="57"/>
        <v>Adult</v>
      </c>
      <c r="AC673" s="69">
        <v>6</v>
      </c>
      <c r="AD673" s="69">
        <v>0</v>
      </c>
      <c r="AE673" s="45" t="str">
        <f t="shared" si="58"/>
        <v>Morphological</v>
      </c>
      <c r="AF673" s="56">
        <v>4</v>
      </c>
    </row>
    <row r="674" spans="1:32" ht="18" customHeight="1" x14ac:dyDescent="0.25">
      <c r="A674" s="45">
        <v>670</v>
      </c>
      <c r="B674" s="45" t="s">
        <v>60</v>
      </c>
      <c r="C674" s="45" t="s">
        <v>61</v>
      </c>
      <c r="D674" s="45" t="s">
        <v>62</v>
      </c>
      <c r="E674" s="45" t="s">
        <v>62</v>
      </c>
      <c r="F674" s="46" cm="1">
        <f t="array" ref="F674">_xlfn.IFS($G674=$G$5,F$5,$G674=$G$6,F$6,$G674=$G$7,F$7,$G674=$G$8,F$8,$G674=$G$9,F$9,$G674=$G$10,F$10,$G674=$G$11,F$11,$G674=$G$12,F$12,$G674=$G$13,F$13,$G674=$G$15,F$15,$G674=$G$16,F$16,$G674=$G$17,F$17,$G674=$G$18,F$18,$G674=$G$19,F$19,$G674=$G$20,F$20,$G674=$G$21,F$21,$G674=$G$22,F$22,$G674=$G$25,F$25,$G674=$G$26,F$26,$G674=$G$27,F$27,$G674=$G$29,F$29,$G674=$G$31,F$31,$G674=$G$32,F$32,$G674=$G$248,F$248,$G674=$G$250,F$250)</f>
        <v>8017</v>
      </c>
      <c r="G674" t="s">
        <v>88</v>
      </c>
      <c r="H674" s="67" cm="1">
        <f t="array" ref="H674">_xlfn.IFS($G674=$G$5,H$5,$G674=$G$6,H$6,$G674=$G$7,H$7,$G674=$G$8,H$8,$G674=$G$9,H$9,$G674=$G$10,H$10,$G674=$G$11,H$11,$G674=$G$12,H$12,$G674=$G$13,H$13,$G674=$G$15,H$15,$G674=$G$16,H$16,$G674=$G$17,H$17,$G674=$G$18,H$18,$G674=$G$19,H$19,$G674=$G$20,H$20,$G674=$G$21,H$21,$G674=$G$22,H$22,$G674=$G$25,H$25,$G674=$G$26,H$26,$G674=$G$27,H$27,$G674=$G$29,H$29,$G674=$G$31,H$31,$G674=$G$32,H$150,$G674=$G$248,H$248,$G674=$G$250,H$250)</f>
        <v>41.398387</v>
      </c>
      <c r="I674" s="67" cm="1">
        <f t="array" ref="I674">_xlfn.IFS($G674=$G$5,I$5,$G674=$G$6,I$6,$G674=$G$7,I$7,$G674=$G$8,I$8,$G674=$G$9,I$9,$G674=$G$10,I$10,$G674=$G$11,I$11,$G674=$G$12,I$12,$G674=$G$13,I$13,$G674=$G$15,I$15,$G674=$G$16,I$16,$G674=$G$17,I$17,$G674=$G$18,I$18,$G674=$G$19,I$19,$G674=$G$20,I$20,$G674=$G$21,I$21,$G674=$G$22,I$22,$G674=$G$25,I$25,$G674=$G$26,I$26,$G674=$G$27,I$27,$G674=$G$29,I$29,$G674=$G$31,I$31,$G674=$G$32,I$150,$G674=$G$248,I$248,$G674=$G$250,I$250)</f>
        <v>2.1244429999999999</v>
      </c>
      <c r="J674" s="48" cm="1">
        <f t="array" ref="J674">_xlfn.IFS($G674=$G$5,J$5,$G674=$G$6,J$6,$G674=$G$7,J$7,$G674=$G$8,J$8,$G674=$G$9,J$9,$G674=$G$10,J$10,$G674=$G$11,J$11,$G674=$G$12,J$12,$G674=$G$13,J$13,$G674=$G$15,J$15,$G674=$G$16,J$16,$G674=$G$17,J$17,$G674=$G$18,J$18,$G674=$G$19,J$19,$G674=$G$20,J$20,$G674=$G$21,J$21,$G674=$G$22,J$22,$G674=$G$25,J$25,$G674=$G$26,J$26,$G674=$G$27,J$27,$G674=$G$29,J$29,$G674=$G$31,J$31,$G674=$G$32,J$150,$G674=$G$248,J$248,$G674=$G$250,J$250)</f>
        <v>106</v>
      </c>
      <c r="K674" s="48" t="str" cm="1">
        <f t="array" ref="K674">_xlfn.IFS($G674=$G$5,K$5,$G674=$G$6,K$6,$G674=$G$7,K$7,$G674=$G$8,K$8,$G674=$G$9,K$9,$G674=$G$10,K$10,$G674=$G$11,K$11,$G674=$G$12,K$12,$G674=$G$13,K$13,$G674=$G$15,K$15,$G674=$G$16,K$16,$G674=$G$17,K$17,$G674=$G$18,K$18,$G674=$G$19,K$19,$G674=$G$20,K$20,$G674=$G$21,K$21,$G674=$G$22,K$22,$G674=$G$25,K$25,$G674=$G$26,K$26,$G674=$G$27,K$27,$G674=$G$29,K$29,$G674=$G$31,K$31,$G674=$G$32,K$150,$G674=$G$248,K$248,$G674=$G$250,K$250)</f>
        <v>BG sentinel + BG lure7</v>
      </c>
      <c r="L674" s="48"/>
      <c r="M674" s="48"/>
      <c r="O674" s="45" t="str">
        <f t="shared" si="54"/>
        <v>A_SP_BCN_16_210901</v>
      </c>
      <c r="P674" s="64">
        <v>44440</v>
      </c>
      <c r="R674" s="72"/>
      <c r="S674" s="64">
        <v>44447</v>
      </c>
      <c r="U674" s="72"/>
      <c r="V674" s="54" t="s">
        <v>66</v>
      </c>
      <c r="W674" t="s">
        <v>150</v>
      </c>
      <c r="X674" s="45">
        <f t="shared" si="55"/>
        <v>7</v>
      </c>
      <c r="Z674" s="69" t="s">
        <v>69</v>
      </c>
      <c r="AA674" s="45">
        <f t="shared" si="56"/>
        <v>231</v>
      </c>
      <c r="AB674" t="str">
        <f t="shared" si="57"/>
        <v>Adult</v>
      </c>
      <c r="AC674" s="69">
        <v>96</v>
      </c>
      <c r="AD674" s="69">
        <v>135</v>
      </c>
      <c r="AE674" s="45" t="str">
        <f t="shared" si="58"/>
        <v>Morphological</v>
      </c>
      <c r="AF674" s="56">
        <v>4</v>
      </c>
    </row>
    <row r="675" spans="1:32" ht="18" customHeight="1" x14ac:dyDescent="0.25">
      <c r="A675" s="45">
        <v>671</v>
      </c>
      <c r="B675" s="45" t="s">
        <v>60</v>
      </c>
      <c r="C675" s="45" t="s">
        <v>61</v>
      </c>
      <c r="D675" s="45" t="s">
        <v>62</v>
      </c>
      <c r="E675" s="45" t="s">
        <v>62</v>
      </c>
      <c r="F675" s="46" cm="1">
        <f t="array" ref="F675">_xlfn.IFS($G675=$G$5,F$5,$G675=$G$6,F$6,$G675=$G$7,F$7,$G675=$G$8,F$8,$G675=$G$9,F$9,$G675=$G$10,F$10,$G675=$G$11,F$11,$G675=$G$12,F$12,$G675=$G$13,F$13,$G675=$G$15,F$15,$G675=$G$16,F$16,$G675=$G$17,F$17,$G675=$G$18,F$18,$G675=$G$19,F$19,$G675=$G$20,F$20,$G675=$G$21,F$21,$G675=$G$22,F$22,$G675=$G$25,F$25,$G675=$G$26,F$26,$G675=$G$27,F$27,$G675=$G$29,F$29,$G675=$G$31,F$31,$G675=$G$32,F$32,$G675=$G$248,F$248,$G675=$G$250,F$250)</f>
        <v>8017</v>
      </c>
      <c r="G675" t="s">
        <v>88</v>
      </c>
      <c r="H675" s="67" cm="1">
        <f t="array" ref="H675">_xlfn.IFS($G675=$G$5,H$5,$G675=$G$6,H$6,$G675=$G$7,H$7,$G675=$G$8,H$8,$G675=$G$9,H$9,$G675=$G$10,H$10,$G675=$G$11,H$11,$G675=$G$12,H$12,$G675=$G$13,H$13,$G675=$G$15,H$15,$G675=$G$16,H$16,$G675=$G$17,H$17,$G675=$G$18,H$18,$G675=$G$19,H$19,$G675=$G$20,H$20,$G675=$G$21,H$21,$G675=$G$22,H$22,$G675=$G$25,H$25,$G675=$G$26,H$26,$G675=$G$27,H$27,$G675=$G$29,H$29,$G675=$G$31,H$31,$G675=$G$32,H$150,$G675=$G$248,H$248,$G675=$G$250,H$250)</f>
        <v>41.398387</v>
      </c>
      <c r="I675" s="67" cm="1">
        <f t="array" ref="I675">_xlfn.IFS($G675=$G$5,I$5,$G675=$G$6,I$6,$G675=$G$7,I$7,$G675=$G$8,I$8,$G675=$G$9,I$9,$G675=$G$10,I$10,$G675=$G$11,I$11,$G675=$G$12,I$12,$G675=$G$13,I$13,$G675=$G$15,I$15,$G675=$G$16,I$16,$G675=$G$17,I$17,$G675=$G$18,I$18,$G675=$G$19,I$19,$G675=$G$20,I$20,$G675=$G$21,I$21,$G675=$G$22,I$22,$G675=$G$25,I$25,$G675=$G$26,I$26,$G675=$G$27,I$27,$G675=$G$29,I$29,$G675=$G$31,I$31,$G675=$G$32,I$150,$G675=$G$248,I$248,$G675=$G$250,I$250)</f>
        <v>2.1244429999999999</v>
      </c>
      <c r="J675" s="48" cm="1">
        <f t="array" ref="J675">_xlfn.IFS($G675=$G$5,J$5,$G675=$G$6,J$6,$G675=$G$7,J$7,$G675=$G$8,J$8,$G675=$G$9,J$9,$G675=$G$10,J$10,$G675=$G$11,J$11,$G675=$G$12,J$12,$G675=$G$13,J$13,$G675=$G$15,J$15,$G675=$G$16,J$16,$G675=$G$17,J$17,$G675=$G$18,J$18,$G675=$G$19,J$19,$G675=$G$20,J$20,$G675=$G$21,J$21,$G675=$G$22,J$22,$G675=$G$25,J$25,$G675=$G$26,J$26,$G675=$G$27,J$27,$G675=$G$29,J$29,$G675=$G$31,J$31,$G675=$G$32,J$150,$G675=$G$248,J$248,$G675=$G$250,J$250)</f>
        <v>106</v>
      </c>
      <c r="K675" s="48" t="str" cm="1">
        <f t="array" ref="K675">_xlfn.IFS($G675=$G$5,K$5,$G675=$G$6,K$6,$G675=$G$7,K$7,$G675=$G$8,K$8,$G675=$G$9,K$9,$G675=$G$10,K$10,$G675=$G$11,K$11,$G675=$G$12,K$12,$G675=$G$13,K$13,$G675=$G$15,K$15,$G675=$G$16,K$16,$G675=$G$17,K$17,$G675=$G$18,K$18,$G675=$G$19,K$19,$G675=$G$20,K$20,$G675=$G$21,K$21,$G675=$G$22,K$22,$G675=$G$25,K$25,$G675=$G$26,K$26,$G675=$G$27,K$27,$G675=$G$29,K$29,$G675=$G$31,K$31,$G675=$G$32,K$150,$G675=$G$248,K$248,$G675=$G$250,K$250)</f>
        <v>BG sentinel + BG lure7</v>
      </c>
      <c r="L675" s="48"/>
      <c r="M675" s="48"/>
      <c r="O675" s="45" t="str">
        <f t="shared" si="54"/>
        <v>A_SP_BCN_16_210901</v>
      </c>
      <c r="P675" s="64">
        <v>44440</v>
      </c>
      <c r="R675" s="72"/>
      <c r="S675" s="64">
        <v>44447</v>
      </c>
      <c r="U675" s="72"/>
      <c r="V675" s="54" t="s">
        <v>66</v>
      </c>
      <c r="W675" t="s">
        <v>150</v>
      </c>
      <c r="X675" s="45">
        <f t="shared" si="55"/>
        <v>7</v>
      </c>
      <c r="Z675" s="45" t="s">
        <v>70</v>
      </c>
      <c r="AA675" s="45">
        <f t="shared" si="56"/>
        <v>13</v>
      </c>
      <c r="AB675" t="str">
        <f t="shared" si="57"/>
        <v>Adult</v>
      </c>
      <c r="AC675" s="69">
        <v>5</v>
      </c>
      <c r="AD675" s="69">
        <v>8</v>
      </c>
      <c r="AE675" s="45" t="str">
        <f t="shared" si="58"/>
        <v>Morphological</v>
      </c>
      <c r="AF675" s="56">
        <v>4</v>
      </c>
    </row>
    <row r="676" spans="1:32" ht="18" customHeight="1" x14ac:dyDescent="0.25">
      <c r="A676" s="45">
        <v>672</v>
      </c>
      <c r="B676" s="45" t="s">
        <v>60</v>
      </c>
      <c r="C676" s="45" t="s">
        <v>61</v>
      </c>
      <c r="D676" s="45" t="s">
        <v>62</v>
      </c>
      <c r="E676" s="45" t="s">
        <v>62</v>
      </c>
      <c r="F676" s="46" cm="1">
        <f t="array" ref="F676">_xlfn.IFS($G676=$G$5,F$5,$G676=$G$6,F$6,$G676=$G$7,F$7,$G676=$G$8,F$8,$G676=$G$9,F$9,$G676=$G$10,F$10,$G676=$G$11,F$11,$G676=$G$12,F$12,$G676=$G$13,F$13,$G676=$G$15,F$15,$G676=$G$16,F$16,$G676=$G$17,F$17,$G676=$G$18,F$18,$G676=$G$19,F$19,$G676=$G$20,F$20,$G676=$G$21,F$21,$G676=$G$22,F$22,$G676=$G$25,F$25,$G676=$G$26,F$26,$G676=$G$27,F$27,$G676=$G$29,F$29,$G676=$G$31,F$31,$G676=$G$32,F$32,$G676=$G$248,F$248,$G676=$G$250,F$250)</f>
        <v>8017</v>
      </c>
      <c r="G676" t="s">
        <v>88</v>
      </c>
      <c r="H676" s="67" cm="1">
        <f t="array" ref="H676">_xlfn.IFS($G676=$G$5,H$5,$G676=$G$6,H$6,$G676=$G$7,H$7,$G676=$G$8,H$8,$G676=$G$9,H$9,$G676=$G$10,H$10,$G676=$G$11,H$11,$G676=$G$12,H$12,$G676=$G$13,H$13,$G676=$G$15,H$15,$G676=$G$16,H$16,$G676=$G$17,H$17,$G676=$G$18,H$18,$G676=$G$19,H$19,$G676=$G$20,H$20,$G676=$G$21,H$21,$G676=$G$22,H$22,$G676=$G$25,H$25,$G676=$G$26,H$26,$G676=$G$27,H$27,$G676=$G$29,H$29,$G676=$G$31,H$31,$G676=$G$32,H$150,$G676=$G$248,H$248,$G676=$G$250,H$250)</f>
        <v>41.398387</v>
      </c>
      <c r="I676" s="67" cm="1">
        <f t="array" ref="I676">_xlfn.IFS($G676=$G$5,I$5,$G676=$G$6,I$6,$G676=$G$7,I$7,$G676=$G$8,I$8,$G676=$G$9,I$9,$G676=$G$10,I$10,$G676=$G$11,I$11,$G676=$G$12,I$12,$G676=$G$13,I$13,$G676=$G$15,I$15,$G676=$G$16,I$16,$G676=$G$17,I$17,$G676=$G$18,I$18,$G676=$G$19,I$19,$G676=$G$20,I$20,$G676=$G$21,I$21,$G676=$G$22,I$22,$G676=$G$25,I$25,$G676=$G$26,I$26,$G676=$G$27,I$27,$G676=$G$29,I$29,$G676=$G$31,I$31,$G676=$G$32,I$150,$G676=$G$248,I$248,$G676=$G$250,I$250)</f>
        <v>2.1244429999999999</v>
      </c>
      <c r="J676" s="48" cm="1">
        <f t="array" ref="J676">_xlfn.IFS($G676=$G$5,J$5,$G676=$G$6,J$6,$G676=$G$7,J$7,$G676=$G$8,J$8,$G676=$G$9,J$9,$G676=$G$10,J$10,$G676=$G$11,J$11,$G676=$G$12,J$12,$G676=$G$13,J$13,$G676=$G$15,J$15,$G676=$G$16,J$16,$G676=$G$17,J$17,$G676=$G$18,J$18,$G676=$G$19,J$19,$G676=$G$20,J$20,$G676=$G$21,J$21,$G676=$G$22,J$22,$G676=$G$25,J$25,$G676=$G$26,J$26,$G676=$G$27,J$27,$G676=$G$29,J$29,$G676=$G$31,J$31,$G676=$G$32,J$150,$G676=$G$248,J$248,$G676=$G$250,J$250)</f>
        <v>106</v>
      </c>
      <c r="K676" s="48" t="str" cm="1">
        <f t="array" ref="K676">_xlfn.IFS($G676=$G$5,K$5,$G676=$G$6,K$6,$G676=$G$7,K$7,$G676=$G$8,K$8,$G676=$G$9,K$9,$G676=$G$10,K$10,$G676=$G$11,K$11,$G676=$G$12,K$12,$G676=$G$13,K$13,$G676=$G$15,K$15,$G676=$G$16,K$16,$G676=$G$17,K$17,$G676=$G$18,K$18,$G676=$G$19,K$19,$G676=$G$20,K$20,$G676=$G$21,K$21,$G676=$G$22,K$22,$G676=$G$25,K$25,$G676=$G$26,K$26,$G676=$G$27,K$27,$G676=$G$29,K$29,$G676=$G$31,K$31,$G676=$G$32,K$150,$G676=$G$248,K$248,$G676=$G$250,K$250)</f>
        <v>BG sentinel + BG lure7</v>
      </c>
      <c r="L676" s="48"/>
      <c r="M676" s="48"/>
      <c r="O676" s="45" t="str">
        <f t="shared" si="54"/>
        <v>A_SP_BCN_16_210901</v>
      </c>
      <c r="P676" s="64">
        <v>44440</v>
      </c>
      <c r="R676" s="72"/>
      <c r="S676" s="64">
        <v>44447</v>
      </c>
      <c r="U676" s="72"/>
      <c r="V676" s="54" t="s">
        <v>66</v>
      </c>
      <c r="W676" t="s">
        <v>150</v>
      </c>
      <c r="X676" s="45">
        <f t="shared" si="55"/>
        <v>7</v>
      </c>
      <c r="Z676" s="45" t="s">
        <v>80</v>
      </c>
      <c r="AA676" s="45">
        <f t="shared" si="56"/>
        <v>2</v>
      </c>
      <c r="AB676" t="str">
        <f t="shared" si="57"/>
        <v>Adult</v>
      </c>
      <c r="AC676" s="69">
        <v>2</v>
      </c>
      <c r="AD676" s="69">
        <v>0</v>
      </c>
      <c r="AE676" s="45" t="str">
        <f t="shared" si="58"/>
        <v>Morphological</v>
      </c>
      <c r="AF676" s="56">
        <v>4</v>
      </c>
    </row>
    <row r="677" spans="1:32" ht="18" customHeight="1" x14ac:dyDescent="0.25">
      <c r="A677" s="45">
        <v>673</v>
      </c>
      <c r="B677" s="45" t="s">
        <v>60</v>
      </c>
      <c r="C677" s="45" t="s">
        <v>61</v>
      </c>
      <c r="D677" s="45" t="s">
        <v>62</v>
      </c>
      <c r="E677" s="45" t="s">
        <v>62</v>
      </c>
      <c r="F677" s="46" cm="1">
        <f t="array" ref="F677">_xlfn.IFS($G677=$G$5,F$5,$G677=$G$6,F$6,$G677=$G$7,F$7,$G677=$G$8,F$8,$G677=$G$9,F$9,$G677=$G$10,F$10,$G677=$G$11,F$11,$G677=$G$12,F$12,$G677=$G$13,F$13,$G677=$G$15,F$15,$G677=$G$16,F$16,$G677=$G$17,F$17,$G677=$G$18,F$18,$G677=$G$19,F$19,$G677=$G$20,F$20,$G677=$G$21,F$21,$G677=$G$22,F$22,$G677=$G$25,F$25,$G677=$G$26,F$26,$G677=$G$27,F$27,$G677=$G$29,F$29,$G677=$G$31,F$31,$G677=$G$32,F$32,$G677=$G$248,F$248,$G677=$G$250,F$250)</f>
        <v>8023</v>
      </c>
      <c r="G677" t="s">
        <v>89</v>
      </c>
      <c r="H677" s="67" cm="1">
        <f t="array" ref="H677">_xlfn.IFS($G677=$G$5,H$5,$G677=$G$6,H$6,$G677=$G$7,H$7,$G677=$G$8,H$8,$G677=$G$9,H$9,$G677=$G$10,H$10,$G677=$G$11,H$11,$G677=$G$12,H$12,$G677=$G$13,H$13,$G677=$G$15,H$15,$G677=$G$16,H$16,$G677=$G$17,H$17,$G677=$G$18,H$18,$G677=$G$19,H$19,$G677=$G$20,H$20,$G677=$G$21,H$21,$G677=$G$22,H$22,$G677=$G$25,H$25,$G677=$G$26,H$26,$G677=$G$27,H$27,$G677=$G$29,H$29,$G677=$G$31,H$31,$G677=$G$32,H$150,$G677=$G$248,H$248,$G677=$G$250,H$250)</f>
        <v>41.417256000000002</v>
      </c>
      <c r="I677" s="67" cm="1">
        <f t="array" ref="I677">_xlfn.IFS($G677=$G$5,I$5,$G677=$G$6,I$6,$G677=$G$7,I$7,$G677=$G$8,I$8,$G677=$G$9,I$9,$G677=$G$10,I$10,$G677=$G$11,I$11,$G677=$G$12,I$12,$G677=$G$13,I$13,$G677=$G$15,I$15,$G677=$G$16,I$16,$G677=$G$17,I$17,$G677=$G$18,I$18,$G677=$G$19,I$19,$G677=$G$20,I$20,$G677=$G$21,I$21,$G677=$G$22,I$22,$G677=$G$25,I$25,$G677=$G$26,I$26,$G677=$G$27,I$27,$G677=$G$29,I$29,$G677=$G$31,I$31,$G677=$G$32,I$150,$G677=$G$248,I$248,$G677=$G$250,I$250)</f>
        <v>2.1455709999999999</v>
      </c>
      <c r="J677" s="48" cm="1">
        <f t="array" ref="J677">_xlfn.IFS($G677=$G$5,J$5,$G677=$G$6,J$6,$G677=$G$7,J$7,$G677=$G$8,J$8,$G677=$G$9,J$9,$G677=$G$10,J$10,$G677=$G$11,J$11,$G677=$G$12,J$12,$G677=$G$13,J$13,$G677=$G$15,J$15,$G677=$G$16,J$16,$G677=$G$17,J$17,$G677=$G$18,J$18,$G677=$G$19,J$19,$G677=$G$20,J$20,$G677=$G$21,J$21,$G677=$G$22,J$22,$G677=$G$25,J$25,$G677=$G$26,J$26,$G677=$G$27,J$27,$G677=$G$29,J$29,$G677=$G$31,J$31,$G677=$G$32,J$150,$G677=$G$248,J$248,$G677=$G$250,J$250)</f>
        <v>186</v>
      </c>
      <c r="K677" s="48" t="str" cm="1">
        <f t="array" ref="K677">_xlfn.IFS($G677=$G$5,K$5,$G677=$G$6,K$6,$G677=$G$7,K$7,$G677=$G$8,K$8,$G677=$G$9,K$9,$G677=$G$10,K$10,$G677=$G$11,K$11,$G677=$G$12,K$12,$G677=$G$13,K$13,$G677=$G$15,K$15,$G677=$G$16,K$16,$G677=$G$17,K$17,$G677=$G$18,K$18,$G677=$G$19,K$19,$G677=$G$20,K$20,$G677=$G$21,K$21,$G677=$G$22,K$22,$G677=$G$25,K$25,$G677=$G$26,K$26,$G677=$G$27,K$27,$G677=$G$29,K$29,$G677=$G$31,K$31,$G677=$G$32,K$150,$G677=$G$248,K$248,$G677=$G$250,K$250)</f>
        <v>BG sentinel + BG lure7</v>
      </c>
      <c r="L677" s="48"/>
      <c r="M677" s="48"/>
      <c r="O677" s="45" t="str">
        <f t="shared" si="54"/>
        <v>A_SP_BCN_17_210901</v>
      </c>
      <c r="P677" s="64">
        <v>44440</v>
      </c>
      <c r="R677" s="72"/>
      <c r="S677" s="64">
        <v>44447</v>
      </c>
      <c r="U677" s="72"/>
      <c r="V677" s="54" t="s">
        <v>66</v>
      </c>
      <c r="X677" s="45">
        <f t="shared" si="55"/>
        <v>7</v>
      </c>
      <c r="Z677" s="69" t="s">
        <v>69</v>
      </c>
      <c r="AA677" s="45">
        <f t="shared" si="56"/>
        <v>2</v>
      </c>
      <c r="AB677" t="str">
        <f t="shared" si="57"/>
        <v>Adult</v>
      </c>
      <c r="AC677" s="69">
        <v>1</v>
      </c>
      <c r="AD677" s="69">
        <v>1</v>
      </c>
      <c r="AE677" s="45" t="str">
        <f t="shared" si="58"/>
        <v>Morphological</v>
      </c>
      <c r="AF677" s="56">
        <v>4</v>
      </c>
    </row>
    <row r="678" spans="1:32" ht="18" customHeight="1" x14ac:dyDescent="0.25">
      <c r="A678" s="45">
        <v>674</v>
      </c>
      <c r="B678" s="45" t="s">
        <v>60</v>
      </c>
      <c r="C678" s="45" t="s">
        <v>61</v>
      </c>
      <c r="D678" s="45" t="s">
        <v>62</v>
      </c>
      <c r="E678" s="45" t="s">
        <v>62</v>
      </c>
      <c r="F678" s="46" cm="1">
        <f t="array" ref="F678">_xlfn.IFS($G678=$G$5,F$5,$G678=$G$6,F$6,$G678=$G$7,F$7,$G678=$G$8,F$8,$G678=$G$9,F$9,$G678=$G$10,F$10,$G678=$G$11,F$11,$G678=$G$12,F$12,$G678=$G$13,F$13,$G678=$G$15,F$15,$G678=$G$16,F$16,$G678=$G$17,F$17,$G678=$G$18,F$18,$G678=$G$19,F$19,$G678=$G$20,F$20,$G678=$G$21,F$21,$G678=$G$22,F$22,$G678=$G$25,F$25,$G678=$G$26,F$26,$G678=$G$27,F$27,$G678=$G$29,F$29,$G678=$G$31,F$31,$G678=$G$32,F$32,$G678=$G$248,F$248,$G678=$G$250,F$250)</f>
        <v>8031</v>
      </c>
      <c r="G678" t="s">
        <v>92</v>
      </c>
      <c r="H678" s="67" cm="1">
        <f t="array" ref="H678">_xlfn.IFS($G678=$G$5,H$5,$G678=$G$6,H$6,$G678=$G$7,H$7,$G678=$G$8,H$8,$G678=$G$9,H$9,$G678=$G$10,H$10,$G678=$G$11,H$11,$G678=$G$12,H$12,$G678=$G$13,H$13,$G678=$G$15,H$15,$G678=$G$16,H$16,$G678=$G$17,H$17,$G678=$G$18,H$18,$G678=$G$19,H$19,$G678=$G$20,H$20,$G678=$G$21,H$21,$G678=$G$22,H$22,$G678=$G$25,H$25,$G678=$G$26,H$26,$G678=$G$27,H$27,$G678=$G$29,H$29,$G678=$G$31,H$31,$G678=$G$32,H$150,$G678=$G$248,H$248,$G678=$G$250,H$250)</f>
        <v>41.433618000000003</v>
      </c>
      <c r="I678" s="67" cm="1">
        <f t="array" ref="I678">_xlfn.IFS($G678=$G$5,I$5,$G678=$G$6,I$6,$G678=$G$7,I$7,$G678=$G$8,I$8,$G678=$G$9,I$9,$G678=$G$10,I$10,$G678=$G$11,I$11,$G678=$G$12,I$12,$G678=$G$13,I$13,$G678=$G$15,I$15,$G678=$G$16,I$16,$G678=$G$17,I$17,$G678=$G$18,I$18,$G678=$G$19,I$19,$G678=$G$20,I$20,$G678=$G$21,I$21,$G678=$G$22,I$22,$G678=$G$25,I$25,$G678=$G$26,I$26,$G678=$G$27,I$27,$G678=$G$29,I$29,$G678=$G$31,I$31,$G678=$G$32,I$150,$G678=$G$248,I$248,$G678=$G$250,I$250)</f>
        <v>2.1677469999999999</v>
      </c>
      <c r="J678" s="48" cm="1">
        <f t="array" ref="J678">_xlfn.IFS($G678=$G$5,J$5,$G678=$G$6,J$6,$G678=$G$7,J$7,$G678=$G$8,J$8,$G678=$G$9,J$9,$G678=$G$10,J$10,$G678=$G$11,J$11,$G678=$G$12,J$12,$G678=$G$13,J$13,$G678=$G$15,J$15,$G678=$G$16,J$16,$G678=$G$17,J$17,$G678=$G$18,J$18,$G678=$G$19,J$19,$G678=$G$20,J$20,$G678=$G$21,J$21,$G678=$G$22,J$22,$G678=$G$25,J$25,$G678=$G$26,J$26,$G678=$G$27,J$27,$G678=$G$29,J$29,$G678=$G$31,J$31,$G678=$G$32,J$150,$G678=$G$248,J$248,$G678=$G$250,J$250)</f>
        <v>96.85</v>
      </c>
      <c r="K678" s="48" t="str" cm="1">
        <f t="array" ref="K678">_xlfn.IFS($G678=$G$5,K$5,$G678=$G$6,K$6,$G678=$G$7,K$7,$G678=$G$8,K$8,$G678=$G$9,K$9,$G678=$G$10,K$10,$G678=$G$11,K$11,$G678=$G$12,K$12,$G678=$G$13,K$13,$G678=$G$15,K$15,$G678=$G$16,K$16,$G678=$G$17,K$17,$G678=$G$18,K$18,$G678=$G$19,K$19,$G678=$G$20,K$20,$G678=$G$21,K$21,$G678=$G$22,K$22,$G678=$G$25,K$25,$G678=$G$26,K$26,$G678=$G$27,K$27,$G678=$G$29,K$29,$G678=$G$31,K$31,$G678=$G$32,K$150,$G678=$G$248,K$248,$G678=$G$250,K$250)</f>
        <v>BG sentinel + BG lure7</v>
      </c>
      <c r="L678" s="48"/>
      <c r="M678" s="48"/>
      <c r="O678" s="45" t="str">
        <f t="shared" si="54"/>
        <v>A_SP_BCN_18_210901</v>
      </c>
      <c r="P678" s="64">
        <v>44440</v>
      </c>
      <c r="R678" s="72"/>
      <c r="S678" s="64">
        <v>44447</v>
      </c>
      <c r="U678" s="72"/>
      <c r="V678" s="54" t="s">
        <v>151</v>
      </c>
      <c r="X678" s="45">
        <f t="shared" si="55"/>
        <v>7</v>
      </c>
      <c r="Z678" s="69" t="s">
        <v>69</v>
      </c>
      <c r="AA678" s="45">
        <f t="shared" si="56"/>
        <v>6</v>
      </c>
      <c r="AB678" t="str">
        <f t="shared" si="57"/>
        <v>Adult</v>
      </c>
      <c r="AC678" s="69">
        <v>4</v>
      </c>
      <c r="AD678" s="69">
        <v>2</v>
      </c>
      <c r="AE678" s="45" t="str">
        <f t="shared" si="58"/>
        <v>Morphological</v>
      </c>
      <c r="AF678" s="56">
        <v>3</v>
      </c>
    </row>
    <row r="679" spans="1:32" ht="18" customHeight="1" x14ac:dyDescent="0.25">
      <c r="A679" s="45">
        <v>675</v>
      </c>
      <c r="B679" s="45" t="s">
        <v>60</v>
      </c>
      <c r="C679" s="45" t="s">
        <v>61</v>
      </c>
      <c r="D679" s="45" t="s">
        <v>62</v>
      </c>
      <c r="E679" s="45" t="s">
        <v>62</v>
      </c>
      <c r="F679" s="46" cm="1">
        <f t="array" ref="F679">_xlfn.IFS($G679=$G$5,F$5,$G679=$G$6,F$6,$G679=$G$7,F$7,$G679=$G$8,F$8,$G679=$G$9,F$9,$G679=$G$10,F$10,$G679=$G$11,F$11,$G679=$G$12,F$12,$G679=$G$13,F$13,$G679=$G$15,F$15,$G679=$G$16,F$16,$G679=$G$17,F$17,$G679=$G$18,F$18,$G679=$G$19,F$19,$G679=$G$20,F$20,$G679=$G$21,F$21,$G679=$G$22,F$22,$G679=$G$25,F$25,$G679=$G$26,F$26,$G679=$G$27,F$27,$G679=$G$29,F$29,$G679=$G$31,F$31,$G679=$G$32,F$32,$G679=$G$248,F$248,$G679=$G$250,F$250)</f>
        <v>8038</v>
      </c>
      <c r="G679" t="s">
        <v>93</v>
      </c>
      <c r="H679" s="67" cm="1">
        <f t="array" ref="H679">_xlfn.IFS($G679=$G$5,H$5,$G679=$G$6,H$6,$G679=$G$7,H$7,$G679=$G$8,H$8,$G679=$G$9,H$9,$G679=$G$10,H$10,$G679=$G$11,H$11,$G679=$G$12,H$12,$G679=$G$13,H$13,$G679=$G$15,H$15,$G679=$G$16,H$16,$G679=$G$17,H$17,$G679=$G$18,H$18,$G679=$G$19,H$19,$G679=$G$20,H$20,$G679=$G$21,H$21,$G679=$G$22,H$22,$G679=$G$25,H$25,$G679=$G$26,H$26,$G679=$G$27,H$27,$G679=$G$29,H$29,$G679=$G$31,H$31,$G679=$G$32,H$150,$G679=$G$248,H$248,$G679=$G$250,H$250)</f>
        <v>41.359864999999999</v>
      </c>
      <c r="I679" s="67" cm="1">
        <f t="array" ref="I679">_xlfn.IFS($G679=$G$5,I$5,$G679=$G$6,I$6,$G679=$G$7,I$7,$G679=$G$8,I$8,$G679=$G$9,I$9,$G679=$G$10,I$10,$G679=$G$11,I$11,$G679=$G$12,I$12,$G679=$G$13,I$13,$G679=$G$15,I$15,$G679=$G$16,I$16,$G679=$G$17,I$17,$G679=$G$18,I$18,$G679=$G$19,I$19,$G679=$G$20,I$20,$G679=$G$21,I$21,$G679=$G$22,I$22,$G679=$G$25,I$25,$G679=$G$26,I$26,$G679=$G$27,I$27,$G679=$G$29,I$29,$G679=$G$31,I$31,$G679=$G$32,I$150,$G679=$G$248,I$248,$G679=$G$250,I$250)</f>
        <v>2.1445430000000001</v>
      </c>
      <c r="J679" s="48" cm="1">
        <f t="array" ref="J679">_xlfn.IFS($G679=$G$5,J$5,$G679=$G$6,J$6,$G679=$G$7,J$7,$G679=$G$8,J$8,$G679=$G$9,J$9,$G679=$G$10,J$10,$G679=$G$11,J$11,$G679=$G$12,J$12,$G679=$G$13,J$13,$G679=$G$15,J$15,$G679=$G$16,J$16,$G679=$G$17,J$17,$G679=$G$18,J$18,$G679=$G$19,J$19,$G679=$G$20,J$20,$G679=$G$21,J$21,$G679=$G$22,J$22,$G679=$G$25,J$25,$G679=$G$26,J$26,$G679=$G$27,J$27,$G679=$G$29,J$29,$G679=$G$31,J$31,$G679=$G$32,J$150,$G679=$G$248,J$248,$G679=$G$250,J$250)</f>
        <v>11.4</v>
      </c>
      <c r="K679" s="48" t="str" cm="1">
        <f t="array" ref="K679">_xlfn.IFS($G679=$G$5,K$5,$G679=$G$6,K$6,$G679=$G$7,K$7,$G679=$G$8,K$8,$G679=$G$9,K$9,$G679=$G$10,K$10,$G679=$G$11,K$11,$G679=$G$12,K$12,$G679=$G$13,K$13,$G679=$G$15,K$15,$G679=$G$16,K$16,$G679=$G$17,K$17,$G679=$G$18,K$18,$G679=$G$19,K$19,$G679=$G$20,K$20,$G679=$G$21,K$21,$G679=$G$22,K$22,$G679=$G$25,K$25,$G679=$G$26,K$26,$G679=$G$27,K$27,$G679=$G$29,K$29,$G679=$G$31,K$31,$G679=$G$32,K$150,$G679=$G$248,K$248,$G679=$G$250,K$250)</f>
        <v>BG sentinel + BG lure7</v>
      </c>
      <c r="L679" s="48"/>
      <c r="M679" s="48"/>
      <c r="O679" s="45" t="str">
        <f t="shared" si="54"/>
        <v>A_SP_BCN_19_210902</v>
      </c>
      <c r="P679" s="64">
        <v>44441</v>
      </c>
      <c r="R679" s="72"/>
      <c r="S679" s="64">
        <v>44448</v>
      </c>
      <c r="U679" s="72"/>
      <c r="V679" s="54" t="s">
        <v>66</v>
      </c>
      <c r="X679" s="45">
        <f t="shared" si="55"/>
        <v>7</v>
      </c>
      <c r="Z679" s="69" t="s">
        <v>69</v>
      </c>
      <c r="AA679" s="45">
        <f t="shared" si="56"/>
        <v>4</v>
      </c>
      <c r="AB679" t="str">
        <f t="shared" si="57"/>
        <v>Adult</v>
      </c>
      <c r="AC679" s="69">
        <v>4</v>
      </c>
      <c r="AD679" s="69">
        <v>0</v>
      </c>
      <c r="AE679" s="45" t="str">
        <f t="shared" si="58"/>
        <v>Morphological</v>
      </c>
      <c r="AF679" s="56">
        <v>4</v>
      </c>
    </row>
    <row r="680" spans="1:32" ht="18" customHeight="1" x14ac:dyDescent="0.25">
      <c r="A680" s="45">
        <v>676</v>
      </c>
      <c r="B680" s="45" t="s">
        <v>60</v>
      </c>
      <c r="C680" s="45" t="s">
        <v>61</v>
      </c>
      <c r="D680" s="45" t="s">
        <v>62</v>
      </c>
      <c r="E680" s="45" t="s">
        <v>62</v>
      </c>
      <c r="F680" s="46" cm="1">
        <f t="array" ref="F680">_xlfn.IFS($G680=$G$5,F$5,$G680=$G$6,F$6,$G680=$G$7,F$7,$G680=$G$8,F$8,$G680=$G$9,F$9,$G680=$G$10,F$10,$G680=$G$11,F$11,$G680=$G$12,F$12,$G680=$G$13,F$13,$G680=$G$15,F$15,$G680=$G$16,F$16,$G680=$G$17,F$17,$G680=$G$18,F$18,$G680=$G$19,F$19,$G680=$G$20,F$20,$G680=$G$21,F$21,$G680=$G$22,F$22,$G680=$G$25,F$25,$G680=$G$26,F$26,$G680=$G$27,F$27,$G680=$G$29,F$29,$G680=$G$31,F$31,$G680=$G$32,F$32,$G680=$G$248,F$248,$G680=$G$250,F$250)</f>
        <v>8002</v>
      </c>
      <c r="G680" t="s">
        <v>94</v>
      </c>
      <c r="H680" s="67" cm="1">
        <f t="array" ref="H680">_xlfn.IFS($G680=$G$5,H$5,$G680=$G$6,H$6,$G680=$G$7,H$7,$G680=$G$8,H$8,$G680=$G$9,H$9,$G680=$G$10,H$10,$G680=$G$11,H$11,$G680=$G$12,H$12,$G680=$G$13,H$13,$G680=$G$15,H$15,$G680=$G$16,H$16,$G680=$G$17,H$17,$G680=$G$18,H$18,$G680=$G$19,H$19,$G680=$G$20,H$20,$G680=$G$21,H$21,$G680=$G$22,H$22,$G680=$G$25,H$25,$G680=$G$26,H$26,$G680=$G$27,H$27,$G680=$G$29,H$29,$G680=$G$31,H$31,$G680=$G$32,H$150,$G680=$G$248,H$248,$G680=$G$250,H$250)</f>
        <v>41.385213</v>
      </c>
      <c r="I680" s="67" cm="1">
        <f t="array" ref="I680">_xlfn.IFS($G680=$G$5,I$5,$G680=$G$6,I$6,$G680=$G$7,I$7,$G680=$G$8,I$8,$G680=$G$9,I$9,$G680=$G$10,I$10,$G680=$G$11,I$11,$G680=$G$12,I$12,$G680=$G$13,I$13,$G680=$G$15,I$15,$G680=$G$16,I$16,$G680=$G$17,I$17,$G680=$G$18,I$18,$G680=$G$19,I$19,$G680=$G$20,I$20,$G680=$G$21,I$21,$G680=$G$22,I$22,$G680=$G$25,I$25,$G680=$G$26,I$26,$G680=$G$27,I$27,$G680=$G$29,I$29,$G680=$G$31,I$31,$G680=$G$32,I$150,$G680=$G$248,I$248,$G680=$G$250,I$250)</f>
        <v>2.174852</v>
      </c>
      <c r="J680" s="48" cm="1">
        <f t="array" ref="J680">_xlfn.IFS($G680=$G$5,J$5,$G680=$G$6,J$6,$G680=$G$7,J$7,$G680=$G$8,J$8,$G680=$G$9,J$9,$G680=$G$10,J$10,$G680=$G$11,J$11,$G680=$G$12,J$12,$G680=$G$13,J$13,$G680=$G$15,J$15,$G680=$G$16,J$16,$G680=$G$17,J$17,$G680=$G$18,J$18,$G680=$G$19,J$19,$G680=$G$20,J$20,$G680=$G$21,J$21,$G680=$G$22,J$22,$G680=$G$25,J$25,$G680=$G$26,J$26,$G680=$G$27,J$27,$G680=$G$29,J$29,$G680=$G$31,J$31,$G680=$G$32,J$150,$G680=$G$248,J$248,$G680=$G$250,J$250)</f>
        <v>14</v>
      </c>
      <c r="K680" s="48" t="str" cm="1">
        <f t="array" ref="K680">_xlfn.IFS($G680=$G$5,K$5,$G680=$G$6,K$6,$G680=$G$7,K$7,$G680=$G$8,K$8,$G680=$G$9,K$9,$G680=$G$10,K$10,$G680=$G$11,K$11,$G680=$G$12,K$12,$G680=$G$13,K$13,$G680=$G$15,K$15,$G680=$G$16,K$16,$G680=$G$17,K$17,$G680=$G$18,K$18,$G680=$G$19,K$19,$G680=$G$20,K$20,$G680=$G$21,K$21,$G680=$G$22,K$22,$G680=$G$25,K$25,$G680=$G$26,K$26,$G680=$G$27,K$27,$G680=$G$29,K$29,$G680=$G$31,K$31,$G680=$G$32,K$150,$G680=$G$248,K$248,$G680=$G$250,K$250)</f>
        <v>BG sentinel + BG lure7</v>
      </c>
      <c r="L680" s="48"/>
      <c r="M680" s="48"/>
      <c r="O680" s="45" t="str">
        <f t="shared" si="54"/>
        <v>A_SP_BCN_20_210902</v>
      </c>
      <c r="P680" s="64">
        <v>44441</v>
      </c>
      <c r="R680" s="72"/>
      <c r="S680" s="64">
        <v>44448</v>
      </c>
      <c r="U680" s="72"/>
      <c r="V680" s="54" t="s">
        <v>66</v>
      </c>
      <c r="X680" s="45">
        <f t="shared" si="55"/>
        <v>7</v>
      </c>
      <c r="Z680" s="69" t="s">
        <v>69</v>
      </c>
      <c r="AA680" s="45">
        <f t="shared" si="56"/>
        <v>22</v>
      </c>
      <c r="AB680" t="str">
        <f t="shared" si="57"/>
        <v>Adult</v>
      </c>
      <c r="AC680" s="69">
        <v>15</v>
      </c>
      <c r="AD680" s="69">
        <v>7</v>
      </c>
      <c r="AE680" s="45" t="str">
        <f t="shared" si="58"/>
        <v>Morphological</v>
      </c>
      <c r="AF680" s="56">
        <v>4</v>
      </c>
    </row>
    <row r="681" spans="1:32" ht="18" customHeight="1" x14ac:dyDescent="0.25">
      <c r="A681" s="45">
        <v>677</v>
      </c>
      <c r="B681" s="45" t="s">
        <v>60</v>
      </c>
      <c r="C681" s="45" t="s">
        <v>61</v>
      </c>
      <c r="D681" s="45" t="s">
        <v>62</v>
      </c>
      <c r="E681" s="45" t="s">
        <v>62</v>
      </c>
      <c r="F681" s="46" cm="1">
        <f t="array" ref="F681">_xlfn.IFS($G681=$G$5,F$5,$G681=$G$6,F$6,$G681=$G$7,F$7,$G681=$G$8,F$8,$G681=$G$9,F$9,$G681=$G$10,F$10,$G681=$G$11,F$11,$G681=$G$12,F$12,$G681=$G$13,F$13,$G681=$G$15,F$15,$G681=$G$16,F$16,$G681=$G$17,F$17,$G681=$G$18,F$18,$G681=$G$19,F$19,$G681=$G$20,F$20,$G681=$G$21,F$21,$G681=$G$22,F$22,$G681=$G$25,F$25,$G681=$G$26,F$26,$G681=$G$27,F$27,$G681=$G$29,F$29,$G681=$G$31,F$31,$G681=$G$32,F$32,$G681=$G$248,F$248,$G681=$G$250,F$250)</f>
        <v>8002</v>
      </c>
      <c r="G681" t="s">
        <v>94</v>
      </c>
      <c r="H681" s="67" cm="1">
        <f t="array" ref="H681">_xlfn.IFS($G681=$G$5,H$5,$G681=$G$6,H$6,$G681=$G$7,H$7,$G681=$G$8,H$8,$G681=$G$9,H$9,$G681=$G$10,H$10,$G681=$G$11,H$11,$G681=$G$12,H$12,$G681=$G$13,H$13,$G681=$G$15,H$15,$G681=$G$16,H$16,$G681=$G$17,H$17,$G681=$G$18,H$18,$G681=$G$19,H$19,$G681=$G$20,H$20,$G681=$G$21,H$21,$G681=$G$22,H$22,$G681=$G$25,H$25,$G681=$G$26,H$26,$G681=$G$27,H$27,$G681=$G$29,H$29,$G681=$G$31,H$31,$G681=$G$32,H$150,$G681=$G$248,H$248,$G681=$G$250,H$250)</f>
        <v>41.385213</v>
      </c>
      <c r="I681" s="67" cm="1">
        <f t="array" ref="I681">_xlfn.IFS($G681=$G$5,I$5,$G681=$G$6,I$6,$G681=$G$7,I$7,$G681=$G$8,I$8,$G681=$G$9,I$9,$G681=$G$10,I$10,$G681=$G$11,I$11,$G681=$G$12,I$12,$G681=$G$13,I$13,$G681=$G$15,I$15,$G681=$G$16,I$16,$G681=$G$17,I$17,$G681=$G$18,I$18,$G681=$G$19,I$19,$G681=$G$20,I$20,$G681=$G$21,I$21,$G681=$G$22,I$22,$G681=$G$25,I$25,$G681=$G$26,I$26,$G681=$G$27,I$27,$G681=$G$29,I$29,$G681=$G$31,I$31,$G681=$G$32,I$150,$G681=$G$248,I$248,$G681=$G$250,I$250)</f>
        <v>2.174852</v>
      </c>
      <c r="J681" s="48" cm="1">
        <f t="array" ref="J681">_xlfn.IFS($G681=$G$5,J$5,$G681=$G$6,J$6,$G681=$G$7,J$7,$G681=$G$8,J$8,$G681=$G$9,J$9,$G681=$G$10,J$10,$G681=$G$11,J$11,$G681=$G$12,J$12,$G681=$G$13,J$13,$G681=$G$15,J$15,$G681=$G$16,J$16,$G681=$G$17,J$17,$G681=$G$18,J$18,$G681=$G$19,J$19,$G681=$G$20,J$20,$G681=$G$21,J$21,$G681=$G$22,J$22,$G681=$G$25,J$25,$G681=$G$26,J$26,$G681=$G$27,J$27,$G681=$G$29,J$29,$G681=$G$31,J$31,$G681=$G$32,J$150,$G681=$G$248,J$248,$G681=$G$250,J$250)</f>
        <v>14</v>
      </c>
      <c r="K681" s="48" t="str" cm="1">
        <f t="array" ref="K681">_xlfn.IFS($G681=$G$5,K$5,$G681=$G$6,K$6,$G681=$G$7,K$7,$G681=$G$8,K$8,$G681=$G$9,K$9,$G681=$G$10,K$10,$G681=$G$11,K$11,$G681=$G$12,K$12,$G681=$G$13,K$13,$G681=$G$15,K$15,$G681=$G$16,K$16,$G681=$G$17,K$17,$G681=$G$18,K$18,$G681=$G$19,K$19,$G681=$G$20,K$20,$G681=$G$21,K$21,$G681=$G$22,K$22,$G681=$G$25,K$25,$G681=$G$26,K$26,$G681=$G$27,K$27,$G681=$G$29,K$29,$G681=$G$31,K$31,$G681=$G$32,K$150,$G681=$G$248,K$248,$G681=$G$250,K$250)</f>
        <v>BG sentinel + BG lure7</v>
      </c>
      <c r="L681" s="48"/>
      <c r="M681" s="48"/>
      <c r="O681" s="45" t="str">
        <f t="shared" si="54"/>
        <v>A_SP_BCN_20_210902</v>
      </c>
      <c r="P681" s="64">
        <v>44441</v>
      </c>
      <c r="R681" s="72"/>
      <c r="S681" s="64">
        <v>44448</v>
      </c>
      <c r="U681" s="72"/>
      <c r="V681" s="54" t="s">
        <v>66</v>
      </c>
      <c r="X681" s="45">
        <f t="shared" si="55"/>
        <v>7</v>
      </c>
      <c r="Z681" s="45" t="s">
        <v>70</v>
      </c>
      <c r="AA681" s="45">
        <f t="shared" si="56"/>
        <v>6</v>
      </c>
      <c r="AB681" t="str">
        <f t="shared" si="57"/>
        <v>Adult</v>
      </c>
      <c r="AC681" s="69">
        <v>4</v>
      </c>
      <c r="AD681" s="69">
        <v>2</v>
      </c>
      <c r="AE681" s="45" t="str">
        <f t="shared" si="58"/>
        <v>Morphological</v>
      </c>
      <c r="AF681" s="56">
        <v>4</v>
      </c>
    </row>
    <row r="682" spans="1:32" ht="18" customHeight="1" x14ac:dyDescent="0.25">
      <c r="A682" s="45">
        <v>678</v>
      </c>
      <c r="B682" s="45" t="s">
        <v>60</v>
      </c>
      <c r="C682" s="45" t="s">
        <v>61</v>
      </c>
      <c r="D682" s="45" t="s">
        <v>62</v>
      </c>
      <c r="E682" s="45" t="s">
        <v>62</v>
      </c>
      <c r="F682" s="46" cm="1">
        <f t="array" ref="F682">_xlfn.IFS($G682=$G$5,F$5,$G682=$G$6,F$6,$G682=$G$7,F$7,$G682=$G$8,F$8,$G682=$G$9,F$9,$G682=$G$10,F$10,$G682=$G$11,F$11,$G682=$G$12,F$12,$G682=$G$13,F$13,$G682=$G$15,F$15,$G682=$G$16,F$16,$G682=$G$17,F$17,$G682=$G$18,F$18,$G682=$G$19,F$19,$G682=$G$20,F$20,$G682=$G$21,F$21,$G682=$G$22,F$22,$G682=$G$25,F$25,$G682=$G$26,F$26,$G682=$G$27,F$27,$G682=$G$29,F$29,$G682=$G$31,F$31,$G682=$G$32,F$32,$G682=$G$248,F$248,$G682=$G$250,F$250)</f>
        <v>8002</v>
      </c>
      <c r="G682" t="s">
        <v>94</v>
      </c>
      <c r="H682" s="67" cm="1">
        <f t="array" ref="H682">_xlfn.IFS($G682=$G$5,H$5,$G682=$G$6,H$6,$G682=$G$7,H$7,$G682=$G$8,H$8,$G682=$G$9,H$9,$G682=$G$10,H$10,$G682=$G$11,H$11,$G682=$G$12,H$12,$G682=$G$13,H$13,$G682=$G$15,H$15,$G682=$G$16,H$16,$G682=$G$17,H$17,$G682=$G$18,H$18,$G682=$G$19,H$19,$G682=$G$20,H$20,$G682=$G$21,H$21,$G682=$G$22,H$22,$G682=$G$25,H$25,$G682=$G$26,H$26,$G682=$G$27,H$27,$G682=$G$29,H$29,$G682=$G$31,H$31,$G682=$G$32,H$150,$G682=$G$248,H$248,$G682=$G$250,H$250)</f>
        <v>41.385213</v>
      </c>
      <c r="I682" s="67" cm="1">
        <f t="array" ref="I682">_xlfn.IFS($G682=$G$5,I$5,$G682=$G$6,I$6,$G682=$G$7,I$7,$G682=$G$8,I$8,$G682=$G$9,I$9,$G682=$G$10,I$10,$G682=$G$11,I$11,$G682=$G$12,I$12,$G682=$G$13,I$13,$G682=$G$15,I$15,$G682=$G$16,I$16,$G682=$G$17,I$17,$G682=$G$18,I$18,$G682=$G$19,I$19,$G682=$G$20,I$20,$G682=$G$21,I$21,$G682=$G$22,I$22,$G682=$G$25,I$25,$G682=$G$26,I$26,$G682=$G$27,I$27,$G682=$G$29,I$29,$G682=$G$31,I$31,$G682=$G$32,I$150,$G682=$G$248,I$248,$G682=$G$250,I$250)</f>
        <v>2.174852</v>
      </c>
      <c r="J682" s="48" cm="1">
        <f t="array" ref="J682">_xlfn.IFS($G682=$G$5,J$5,$G682=$G$6,J$6,$G682=$G$7,J$7,$G682=$G$8,J$8,$G682=$G$9,J$9,$G682=$G$10,J$10,$G682=$G$11,J$11,$G682=$G$12,J$12,$G682=$G$13,J$13,$G682=$G$15,J$15,$G682=$G$16,J$16,$G682=$G$17,J$17,$G682=$G$18,J$18,$G682=$G$19,J$19,$G682=$G$20,J$20,$G682=$G$21,J$21,$G682=$G$22,J$22,$G682=$G$25,J$25,$G682=$G$26,J$26,$G682=$G$27,J$27,$G682=$G$29,J$29,$G682=$G$31,J$31,$G682=$G$32,J$150,$G682=$G$248,J$248,$G682=$G$250,J$250)</f>
        <v>14</v>
      </c>
      <c r="K682" s="48" t="str" cm="1">
        <f t="array" ref="K682">_xlfn.IFS($G682=$G$5,K$5,$G682=$G$6,K$6,$G682=$G$7,K$7,$G682=$G$8,K$8,$G682=$G$9,K$9,$G682=$G$10,K$10,$G682=$G$11,K$11,$G682=$G$12,K$12,$G682=$G$13,K$13,$G682=$G$15,K$15,$G682=$G$16,K$16,$G682=$G$17,K$17,$G682=$G$18,K$18,$G682=$G$19,K$19,$G682=$G$20,K$20,$G682=$G$21,K$21,$G682=$G$22,K$22,$G682=$G$25,K$25,$G682=$G$26,K$26,$G682=$G$27,K$27,$G682=$G$29,K$29,$G682=$G$31,K$31,$G682=$G$32,K$150,$G682=$G$248,K$248,$G682=$G$250,K$250)</f>
        <v>BG sentinel + BG lure7</v>
      </c>
      <c r="L682" s="48"/>
      <c r="M682" s="48"/>
      <c r="O682" s="45" t="str">
        <f t="shared" si="54"/>
        <v>A_SP_BCN_20_210902</v>
      </c>
      <c r="P682" s="64">
        <v>44441</v>
      </c>
      <c r="R682" s="72"/>
      <c r="S682" s="64">
        <v>44448</v>
      </c>
      <c r="U682" s="72"/>
      <c r="V682" s="54" t="s">
        <v>66</v>
      </c>
      <c r="X682" s="45">
        <f t="shared" si="55"/>
        <v>7</v>
      </c>
      <c r="Z682" s="45" t="s">
        <v>80</v>
      </c>
      <c r="AA682" s="45">
        <f t="shared" si="56"/>
        <v>3</v>
      </c>
      <c r="AB682" t="str">
        <f t="shared" si="57"/>
        <v>Adult</v>
      </c>
      <c r="AC682" s="69">
        <v>2</v>
      </c>
      <c r="AD682" s="69">
        <v>1</v>
      </c>
      <c r="AE682" s="45" t="str">
        <f t="shared" si="58"/>
        <v>Morphological</v>
      </c>
      <c r="AF682" s="56">
        <v>4</v>
      </c>
    </row>
    <row r="683" spans="1:32" ht="18" customHeight="1" x14ac:dyDescent="0.25">
      <c r="A683" s="45">
        <v>679</v>
      </c>
      <c r="B683" s="45" t="s">
        <v>60</v>
      </c>
      <c r="C683" s="45" t="s">
        <v>61</v>
      </c>
      <c r="D683" s="45" t="s">
        <v>62</v>
      </c>
      <c r="E683" s="45" t="s">
        <v>62</v>
      </c>
      <c r="F683" s="46" cm="1">
        <f t="array" ref="F683">_xlfn.IFS($G683=$G$5,F$5,$G683=$G$6,F$6,$G683=$G$7,F$7,$G683=$G$8,F$8,$G683=$G$9,F$9,$G683=$G$10,F$10,$G683=$G$11,F$11,$G683=$G$12,F$12,$G683=$G$13,F$13,$G683=$G$15,F$15,$G683=$G$16,F$16,$G683=$G$17,F$17,$G683=$G$18,F$18,$G683=$G$19,F$19,$G683=$G$20,F$20,$G683=$G$21,F$21,$G683=$G$22,F$22,$G683=$G$25,F$25,$G683=$G$26,F$26,$G683=$G$27,F$27,$G683=$G$29,F$29,$G683=$G$31,F$31,$G683=$G$32,F$32,$G683=$G$248,F$248,$G683=$G$250,F$250)</f>
        <v>8017</v>
      </c>
      <c r="G683" t="s">
        <v>98</v>
      </c>
      <c r="H683" s="67" cm="1">
        <f t="array" ref="H683">_xlfn.IFS($G683=$G$5,H$5,$G683=$G$6,H$6,$G683=$G$7,H$7,$G683=$G$8,H$8,$G683=$G$9,H$9,$G683=$G$10,H$10,$G683=$G$11,H$11,$G683=$G$12,H$12,$G683=$G$13,H$13,$G683=$G$15,H$15,$G683=$G$16,H$16,$G683=$G$17,H$17,$G683=$G$18,H$18,$G683=$G$19,H$19,$G683=$G$20,H$20,$G683=$G$21,H$21,$G683=$G$22,H$22,$G683=$G$25,H$25,$G683=$G$26,H$26,$G683=$G$27,H$27,$G683=$G$29,H$29,$G683=$G$31,H$31,$G683=$G$32,H$150,$G683=$G$248,H$248,$G683=$G$250,H$250)</f>
        <v>41.430315999999998</v>
      </c>
      <c r="I683" s="67" cm="1">
        <f t="array" ref="I683">_xlfn.IFS($G683=$G$5,I$5,$G683=$G$6,I$6,$G683=$G$7,I$7,$G683=$G$8,I$8,$G683=$G$9,I$9,$G683=$G$10,I$10,$G683=$G$11,I$11,$G683=$G$12,I$12,$G683=$G$13,I$13,$G683=$G$15,I$15,$G683=$G$16,I$16,$G683=$G$17,I$17,$G683=$G$18,I$18,$G683=$G$19,I$19,$G683=$G$20,I$20,$G683=$G$21,I$21,$G683=$G$22,I$22,$G683=$G$25,I$25,$G683=$G$26,I$26,$G683=$G$27,I$27,$G683=$G$29,I$29,$G683=$G$31,I$31,$G683=$G$32,I$150,$G683=$G$248,I$248,$G683=$G$250,I$250)</f>
        <v>2.077556</v>
      </c>
      <c r="J683" s="48" cm="1">
        <f t="array" ref="J683">_xlfn.IFS($G683=$G$5,J$5,$G683=$G$6,J$6,$G683=$G$7,J$7,$G683=$G$8,J$8,$G683=$G$9,J$9,$G683=$G$10,J$10,$G683=$G$11,J$11,$G683=$G$12,J$12,$G683=$G$13,J$13,$G683=$G$15,J$15,$G683=$G$16,J$16,$G683=$G$17,J$17,$G683=$G$18,J$18,$G683=$G$19,J$19,$G683=$G$20,J$20,$G683=$G$21,J$21,$G683=$G$22,J$22,$G683=$G$25,J$25,$G683=$G$26,J$26,$G683=$G$27,J$27,$G683=$G$29,J$29,$G683=$G$31,J$31,$G683=$G$32,J$150,$G683=$G$248,J$248,$G683=$G$250,J$250)</f>
        <v>243.3</v>
      </c>
      <c r="K683" s="48" t="str" cm="1">
        <f t="array" ref="K683">_xlfn.IFS($G683=$G$5,K$5,$G683=$G$6,K$6,$G683=$G$7,K$7,$G683=$G$8,K$8,$G683=$G$9,K$9,$G683=$G$10,K$10,$G683=$G$11,K$11,$G683=$G$12,K$12,$G683=$G$13,K$13,$G683=$G$15,K$15,$G683=$G$16,K$16,$G683=$G$17,K$17,$G683=$G$18,K$18,$G683=$G$19,K$19,$G683=$G$20,K$20,$G683=$G$21,K$21,$G683=$G$22,K$22,$G683=$G$25,K$25,$G683=$G$26,K$26,$G683=$G$27,K$27,$G683=$G$29,K$29,$G683=$G$31,K$31,$G683=$G$32,K$150,$G683=$G$248,K$248,$G683=$G$250,K$250)</f>
        <v>BG sentinel + BG lure7</v>
      </c>
      <c r="L683" s="48"/>
      <c r="M683" s="48"/>
      <c r="O683" s="45" t="str">
        <f t="shared" si="54"/>
        <v>A_SP_BCN_22_210901</v>
      </c>
      <c r="P683" s="64">
        <v>44440</v>
      </c>
      <c r="R683" s="72"/>
      <c r="S683" s="64">
        <v>44456</v>
      </c>
      <c r="U683" s="72"/>
      <c r="V683" s="54" t="s">
        <v>66</v>
      </c>
      <c r="W683" s="79" t="s">
        <v>152</v>
      </c>
      <c r="X683" s="45">
        <f t="shared" si="55"/>
        <v>16</v>
      </c>
      <c r="Z683" s="69" t="s">
        <v>69</v>
      </c>
      <c r="AA683" s="45">
        <f t="shared" si="56"/>
        <v>26</v>
      </c>
      <c r="AB683" t="str">
        <f t="shared" si="57"/>
        <v>Adult</v>
      </c>
      <c r="AC683" s="69">
        <v>24</v>
      </c>
      <c r="AD683" s="69">
        <v>2</v>
      </c>
      <c r="AE683" s="45" t="str">
        <f t="shared" si="58"/>
        <v>Morphological</v>
      </c>
      <c r="AF683" s="56">
        <v>3</v>
      </c>
    </row>
    <row r="684" spans="1:32" ht="18" customHeight="1" x14ac:dyDescent="0.25">
      <c r="A684" s="45">
        <v>680</v>
      </c>
      <c r="B684" s="45" t="s">
        <v>60</v>
      </c>
      <c r="C684" s="45" t="s">
        <v>61</v>
      </c>
      <c r="D684" s="45" t="s">
        <v>62</v>
      </c>
      <c r="E684" s="45" t="s">
        <v>62</v>
      </c>
      <c r="F684" s="46" cm="1">
        <f t="array" ref="F684">_xlfn.IFS($G684=$G$5,F$5,$G684=$G$6,F$6,$G684=$G$7,F$7,$G684=$G$8,F$8,$G684=$G$9,F$9,$G684=$G$10,F$10,$G684=$G$11,F$11,$G684=$G$12,F$12,$G684=$G$13,F$13,$G684=$G$15,F$15,$G684=$G$16,F$16,$G684=$G$17,F$17,$G684=$G$18,F$18,$G684=$G$19,F$19,$G684=$G$20,F$20,$G684=$G$21,F$21,$G684=$G$22,F$22,$G684=$G$25,F$25,$G684=$G$26,F$26,$G684=$G$27,F$27,$G684=$G$29,F$29,$G684=$G$31,F$31,$G684=$G$32,F$32,$G684=$G$248,F$248,$G684=$G$250,F$250)</f>
        <v>8017</v>
      </c>
      <c r="G684" t="s">
        <v>98</v>
      </c>
      <c r="H684" s="67" cm="1">
        <f t="array" ref="H684">_xlfn.IFS($G684=$G$5,H$5,$G684=$G$6,H$6,$G684=$G$7,H$7,$G684=$G$8,H$8,$G684=$G$9,H$9,$G684=$G$10,H$10,$G684=$G$11,H$11,$G684=$G$12,H$12,$G684=$G$13,H$13,$G684=$G$15,H$15,$G684=$G$16,H$16,$G684=$G$17,H$17,$G684=$G$18,H$18,$G684=$G$19,H$19,$G684=$G$20,H$20,$G684=$G$21,H$21,$G684=$G$22,H$22,$G684=$G$25,H$25,$G684=$G$26,H$26,$G684=$G$27,H$27,$G684=$G$29,H$29,$G684=$G$31,H$31,$G684=$G$32,H$150,$G684=$G$248,H$248,$G684=$G$250,H$250)</f>
        <v>41.430315999999998</v>
      </c>
      <c r="I684" s="67" cm="1">
        <f t="array" ref="I684">_xlfn.IFS($G684=$G$5,I$5,$G684=$G$6,I$6,$G684=$G$7,I$7,$G684=$G$8,I$8,$G684=$G$9,I$9,$G684=$G$10,I$10,$G684=$G$11,I$11,$G684=$G$12,I$12,$G684=$G$13,I$13,$G684=$G$15,I$15,$G684=$G$16,I$16,$G684=$G$17,I$17,$G684=$G$18,I$18,$G684=$G$19,I$19,$G684=$G$20,I$20,$G684=$G$21,I$21,$G684=$G$22,I$22,$G684=$G$25,I$25,$G684=$G$26,I$26,$G684=$G$27,I$27,$G684=$G$29,I$29,$G684=$G$31,I$31,$G684=$G$32,I$150,$G684=$G$248,I$248,$G684=$G$250,I$250)</f>
        <v>2.077556</v>
      </c>
      <c r="J684" s="48" cm="1">
        <f t="array" ref="J684">_xlfn.IFS($G684=$G$5,J$5,$G684=$G$6,J$6,$G684=$G$7,J$7,$G684=$G$8,J$8,$G684=$G$9,J$9,$G684=$G$10,J$10,$G684=$G$11,J$11,$G684=$G$12,J$12,$G684=$G$13,J$13,$G684=$G$15,J$15,$G684=$G$16,J$16,$G684=$G$17,J$17,$G684=$G$18,J$18,$G684=$G$19,J$19,$G684=$G$20,J$20,$G684=$G$21,J$21,$G684=$G$22,J$22,$G684=$G$25,J$25,$G684=$G$26,J$26,$G684=$G$27,J$27,$G684=$G$29,J$29,$G684=$G$31,J$31,$G684=$G$32,J$150,$G684=$G$248,J$248,$G684=$G$250,J$250)</f>
        <v>243.3</v>
      </c>
      <c r="K684" s="48" t="str" cm="1">
        <f t="array" ref="K684">_xlfn.IFS($G684=$G$5,K$5,$G684=$G$6,K$6,$G684=$G$7,K$7,$G684=$G$8,K$8,$G684=$G$9,K$9,$G684=$G$10,K$10,$G684=$G$11,K$11,$G684=$G$12,K$12,$G684=$G$13,K$13,$G684=$G$15,K$15,$G684=$G$16,K$16,$G684=$G$17,K$17,$G684=$G$18,K$18,$G684=$G$19,K$19,$G684=$G$20,K$20,$G684=$G$21,K$21,$G684=$G$22,K$22,$G684=$G$25,K$25,$G684=$G$26,K$26,$G684=$G$27,K$27,$G684=$G$29,K$29,$G684=$G$31,K$31,$G684=$G$32,K$150,$G684=$G$248,K$248,$G684=$G$250,K$250)</f>
        <v>BG sentinel + BG lure7</v>
      </c>
      <c r="L684" s="48"/>
      <c r="M684" s="48"/>
      <c r="O684" s="45" t="str">
        <f t="shared" si="54"/>
        <v>A_SP_BCN_22_210901</v>
      </c>
      <c r="P684" s="64">
        <v>44440</v>
      </c>
      <c r="R684" s="72"/>
      <c r="S684" s="64">
        <v>44456</v>
      </c>
      <c r="U684" s="72"/>
      <c r="V684" s="54" t="s">
        <v>66</v>
      </c>
      <c r="W684" s="79" t="s">
        <v>152</v>
      </c>
      <c r="X684" s="45">
        <f t="shared" si="55"/>
        <v>16</v>
      </c>
      <c r="Z684" s="45" t="s">
        <v>70</v>
      </c>
      <c r="AA684" s="45">
        <f t="shared" si="56"/>
        <v>4</v>
      </c>
      <c r="AB684" t="str">
        <f t="shared" si="57"/>
        <v>Adult</v>
      </c>
      <c r="AC684" s="69">
        <v>1</v>
      </c>
      <c r="AD684" s="69">
        <v>3</v>
      </c>
      <c r="AE684" s="45" t="str">
        <f t="shared" si="58"/>
        <v>Morphological</v>
      </c>
      <c r="AF684" s="56">
        <v>3</v>
      </c>
    </row>
    <row r="685" spans="1:32" ht="18" customHeight="1" x14ac:dyDescent="0.25">
      <c r="A685" s="45">
        <v>681</v>
      </c>
      <c r="B685" s="45" t="s">
        <v>60</v>
      </c>
      <c r="C685" s="45" t="s">
        <v>61</v>
      </c>
      <c r="D685" s="45" t="s">
        <v>62</v>
      </c>
      <c r="E685" s="45" t="s">
        <v>62</v>
      </c>
      <c r="F685" s="46" cm="1">
        <f t="array" ref="F685">_xlfn.IFS($G685=$G$5,F$5,$G685=$G$6,F$6,$G685=$G$7,F$7,$G685=$G$8,F$8,$G685=$G$9,F$9,$G685=$G$10,F$10,$G685=$G$11,F$11,$G685=$G$12,F$12,$G685=$G$13,F$13,$G685=$G$15,F$15,$G685=$G$16,F$16,$G685=$G$17,F$17,$G685=$G$18,F$18,$G685=$G$19,F$19,$G685=$G$20,F$20,$G685=$G$21,F$21,$G685=$G$22,F$22,$G685=$G$25,F$25,$G685=$G$26,F$26,$G685=$G$27,F$27,$G685=$G$29,F$29,$G685=$G$31,F$31,$G685=$G$32,F$32,$G685=$G$248,F$248,$G685=$G$250,F$250)</f>
        <v>8038</v>
      </c>
      <c r="G685" t="s">
        <v>103</v>
      </c>
      <c r="H685" s="67" cm="1">
        <f t="array" ref="H685">_xlfn.IFS($G685=$G$5,H$5,$G685=$G$6,H$6,$G685=$G$7,H$7,$G685=$G$8,H$8,$G685=$G$9,H$9,$G685=$G$10,H$10,$G685=$G$11,H$11,$G685=$G$12,H$12,$G685=$G$13,H$13,$G685=$G$15,H$15,$G685=$G$16,H$16,$G685=$G$17,H$17,$G685=$G$18,H$18,$G685=$G$19,H$19,$G685=$G$20,H$20,$G685=$G$21,H$21,$G685=$G$22,H$22,$G685=$G$25,H$25,$G685=$G$26,H$26,$G685=$G$27,H$27,$G685=$G$29,H$29,$G685=$G$31,H$31,$G685=$G$32,H$150,$G685=$G$248,H$248,$G685=$G$250,H$250)</f>
        <v>41.367100000000001</v>
      </c>
      <c r="I685" s="67" cm="1">
        <f t="array" ref="I685">_xlfn.IFS($G685=$G$5,I$5,$G685=$G$6,I$6,$G685=$G$7,I$7,$G685=$G$8,I$8,$G685=$G$9,I$9,$G685=$G$10,I$10,$G685=$G$11,I$11,$G685=$G$12,I$12,$G685=$G$13,I$13,$G685=$G$15,I$15,$G685=$G$16,I$16,$G685=$G$17,I$17,$G685=$G$18,I$18,$G685=$G$19,I$19,$G685=$G$20,I$20,$G685=$G$21,I$21,$G685=$G$22,I$22,$G685=$G$25,I$25,$G685=$G$26,I$26,$G685=$G$27,I$27,$G685=$G$29,I$29,$G685=$G$31,I$31,$G685=$G$32,I$150,$G685=$G$248,I$248,$G685=$G$250,I$250)</f>
        <v>2.1539079999999999</v>
      </c>
      <c r="J685" s="48" cm="1">
        <f t="array" ref="J685">_xlfn.IFS($G685=$G$5,J$5,$G685=$G$6,J$6,$G685=$G$7,J$7,$G685=$G$8,J$8,$G685=$G$9,J$9,$G685=$G$10,J$10,$G685=$G$11,J$11,$G685=$G$12,J$12,$G685=$G$13,J$13,$G685=$G$15,J$15,$G685=$G$16,J$16,$G685=$G$17,J$17,$G685=$G$18,J$18,$G685=$G$19,J$19,$G685=$G$20,J$20,$G685=$G$21,J$21,$G685=$G$22,J$22,$G685=$G$25,J$25,$G685=$G$26,J$26,$G685=$G$27,J$27,$G685=$G$29,J$29,$G685=$G$31,J$31,$G685=$G$32,J$150,$G685=$G$248,J$248,$G685=$G$250,J$250)</f>
        <v>68</v>
      </c>
      <c r="K685" s="48" t="str" cm="1">
        <f t="array" ref="K685">_xlfn.IFS($G685=$G$5,K$5,$G685=$G$6,K$6,$G685=$G$7,K$7,$G685=$G$8,K$8,$G685=$G$9,K$9,$G685=$G$10,K$10,$G685=$G$11,K$11,$G685=$G$12,K$12,$G685=$G$13,K$13,$G685=$G$15,K$15,$G685=$G$16,K$16,$G685=$G$17,K$17,$G685=$G$18,K$18,$G685=$G$19,K$19,$G685=$G$20,K$20,$G685=$G$21,K$21,$G685=$G$22,K$22,$G685=$G$25,K$25,$G685=$G$26,K$26,$G685=$G$27,K$27,$G685=$G$29,K$29,$G685=$G$31,K$31,$G685=$G$32,K$150,$G685=$G$248,K$248,$G685=$G$250,K$250)</f>
        <v>BG sentinel + BG lure7</v>
      </c>
      <c r="L685" s="48"/>
      <c r="M685" s="48"/>
      <c r="O685" s="45" t="str">
        <f t="shared" si="54"/>
        <v>A_SP_BCN_23_210902</v>
      </c>
      <c r="P685" s="64">
        <v>44441</v>
      </c>
      <c r="R685" s="72"/>
      <c r="S685" s="64">
        <v>44448</v>
      </c>
      <c r="U685" s="72"/>
      <c r="V685" s="54" t="s">
        <v>66</v>
      </c>
      <c r="W685" t="s">
        <v>135</v>
      </c>
      <c r="X685" s="45">
        <f t="shared" si="55"/>
        <v>7</v>
      </c>
      <c r="Z685" s="69" t="s">
        <v>69</v>
      </c>
      <c r="AA685" s="45">
        <f t="shared" si="56"/>
        <v>4</v>
      </c>
      <c r="AB685" t="str">
        <f t="shared" si="57"/>
        <v>Adult</v>
      </c>
      <c r="AC685" s="69">
        <v>4</v>
      </c>
      <c r="AD685" s="69">
        <v>0</v>
      </c>
      <c r="AE685" s="45" t="str">
        <f t="shared" si="58"/>
        <v>Morphological</v>
      </c>
      <c r="AF685" s="56">
        <v>4</v>
      </c>
    </row>
    <row r="686" spans="1:32" ht="18" customHeight="1" x14ac:dyDescent="0.25">
      <c r="A686" s="45">
        <v>682</v>
      </c>
      <c r="B686" s="45" t="s">
        <v>60</v>
      </c>
      <c r="C686" s="45" t="s">
        <v>61</v>
      </c>
      <c r="D686" s="45" t="s">
        <v>62</v>
      </c>
      <c r="E686" s="45" t="s">
        <v>62</v>
      </c>
      <c r="F686" s="46" cm="1">
        <f t="array" ref="F686">_xlfn.IFS($G686=$G$5,F$5,$G686=$G$6,F$6,$G686=$G$7,F$7,$G686=$G$8,F$8,$G686=$G$9,F$9,$G686=$G$10,F$10,$G686=$G$11,F$11,$G686=$G$12,F$12,$G686=$G$13,F$13,$G686=$G$15,F$15,$G686=$G$16,F$16,$G686=$G$17,F$17,$G686=$G$18,F$18,$G686=$G$19,F$19,$G686=$G$20,F$20,$G686=$G$21,F$21,$G686=$G$22,F$22,$G686=$G$25,F$25,$G686=$G$26,F$26,$G686=$G$27,F$27,$G686=$G$29,F$29,$G686=$G$31,F$31,$G686=$G$32,F$32,$G686=$G$248,F$248,$G686=$G$250,F$250)</f>
        <v>8038</v>
      </c>
      <c r="G686" t="s">
        <v>103</v>
      </c>
      <c r="H686" s="67" cm="1">
        <f t="array" ref="H686">_xlfn.IFS($G686=$G$5,H$5,$G686=$G$6,H$6,$G686=$G$7,H$7,$G686=$G$8,H$8,$G686=$G$9,H$9,$G686=$G$10,H$10,$G686=$G$11,H$11,$G686=$G$12,H$12,$G686=$G$13,H$13,$G686=$G$15,H$15,$G686=$G$16,H$16,$G686=$G$17,H$17,$G686=$G$18,H$18,$G686=$G$19,H$19,$G686=$G$20,H$20,$G686=$G$21,H$21,$G686=$G$22,H$22,$G686=$G$25,H$25,$G686=$G$26,H$26,$G686=$G$27,H$27,$G686=$G$29,H$29,$G686=$G$31,H$31,$G686=$G$32,H$150,$G686=$G$248,H$248,$G686=$G$250,H$250)</f>
        <v>41.367100000000001</v>
      </c>
      <c r="I686" s="67" cm="1">
        <f t="array" ref="I686">_xlfn.IFS($G686=$G$5,I$5,$G686=$G$6,I$6,$G686=$G$7,I$7,$G686=$G$8,I$8,$G686=$G$9,I$9,$G686=$G$10,I$10,$G686=$G$11,I$11,$G686=$G$12,I$12,$G686=$G$13,I$13,$G686=$G$15,I$15,$G686=$G$16,I$16,$G686=$G$17,I$17,$G686=$G$18,I$18,$G686=$G$19,I$19,$G686=$G$20,I$20,$G686=$G$21,I$21,$G686=$G$22,I$22,$G686=$G$25,I$25,$G686=$G$26,I$26,$G686=$G$27,I$27,$G686=$G$29,I$29,$G686=$G$31,I$31,$G686=$G$32,I$150,$G686=$G$248,I$248,$G686=$G$250,I$250)</f>
        <v>2.1539079999999999</v>
      </c>
      <c r="J686" s="48" cm="1">
        <f t="array" ref="J686">_xlfn.IFS($G686=$G$5,J$5,$G686=$G$6,J$6,$G686=$G$7,J$7,$G686=$G$8,J$8,$G686=$G$9,J$9,$G686=$G$10,J$10,$G686=$G$11,J$11,$G686=$G$12,J$12,$G686=$G$13,J$13,$G686=$G$15,J$15,$G686=$G$16,J$16,$G686=$G$17,J$17,$G686=$G$18,J$18,$G686=$G$19,J$19,$G686=$G$20,J$20,$G686=$G$21,J$21,$G686=$G$22,J$22,$G686=$G$25,J$25,$G686=$G$26,J$26,$G686=$G$27,J$27,$G686=$G$29,J$29,$G686=$G$31,J$31,$G686=$G$32,J$150,$G686=$G$248,J$248,$G686=$G$250,J$250)</f>
        <v>68</v>
      </c>
      <c r="K686" s="48" t="str" cm="1">
        <f t="array" ref="K686">_xlfn.IFS($G686=$G$5,K$5,$G686=$G$6,K$6,$G686=$G$7,K$7,$G686=$G$8,K$8,$G686=$G$9,K$9,$G686=$G$10,K$10,$G686=$G$11,K$11,$G686=$G$12,K$12,$G686=$G$13,K$13,$G686=$G$15,K$15,$G686=$G$16,K$16,$G686=$G$17,K$17,$G686=$G$18,K$18,$G686=$G$19,K$19,$G686=$G$20,K$20,$G686=$G$21,K$21,$G686=$G$22,K$22,$G686=$G$25,K$25,$G686=$G$26,K$26,$G686=$G$27,K$27,$G686=$G$29,K$29,$G686=$G$31,K$31,$G686=$G$32,K$150,$G686=$G$248,K$248,$G686=$G$250,K$250)</f>
        <v>BG sentinel + BG lure7</v>
      </c>
      <c r="L686" s="48"/>
      <c r="M686" s="48"/>
      <c r="O686" s="45" t="str">
        <f t="shared" si="54"/>
        <v>A_SP_BCN_23_210902</v>
      </c>
      <c r="P686" s="64">
        <v>44441</v>
      </c>
      <c r="R686" s="72"/>
      <c r="S686" s="64">
        <v>44448</v>
      </c>
      <c r="U686" s="72"/>
      <c r="V686" s="54" t="s">
        <v>66</v>
      </c>
      <c r="W686" t="s">
        <v>135</v>
      </c>
      <c r="X686" s="45">
        <f t="shared" si="55"/>
        <v>7</v>
      </c>
      <c r="Z686" s="45" t="s">
        <v>70</v>
      </c>
      <c r="AA686" s="45">
        <f t="shared" si="56"/>
        <v>2</v>
      </c>
      <c r="AB686" t="str">
        <f t="shared" si="57"/>
        <v>Adult</v>
      </c>
      <c r="AC686" s="69">
        <v>2</v>
      </c>
      <c r="AD686" s="69">
        <v>0</v>
      </c>
      <c r="AE686" s="45" t="str">
        <f t="shared" si="58"/>
        <v>Morphological</v>
      </c>
      <c r="AF686" s="56">
        <v>4</v>
      </c>
    </row>
    <row r="687" spans="1:32" ht="18" customHeight="1" x14ac:dyDescent="0.25">
      <c r="A687" s="45">
        <v>683</v>
      </c>
      <c r="B687" s="45" t="s">
        <v>60</v>
      </c>
      <c r="C687" s="45" t="s">
        <v>61</v>
      </c>
      <c r="D687" s="45" t="s">
        <v>62</v>
      </c>
      <c r="E687" s="45" t="s">
        <v>62</v>
      </c>
      <c r="F687" s="46" cm="1">
        <f t="array" ref="F687">_xlfn.IFS($G687=$G$5,F$5,$G687=$G$6,F$6,$G687=$G$7,F$7,$G687=$G$8,F$8,$G687=$G$9,F$9,$G687=$G$10,F$10,$G687=$G$11,F$11,$G687=$G$12,F$12,$G687=$G$13,F$13,$G687=$G$15,F$15,$G687=$G$16,F$16,$G687=$G$17,F$17,$G687=$G$18,F$18,$G687=$G$19,F$19,$G687=$G$20,F$20,$G687=$G$21,F$21,$G687=$G$22,F$22,$G687=$G$25,F$25,$G687=$G$26,F$26,$G687=$G$27,F$27,$G687=$G$29,F$29,$G687=$G$31,F$31,$G687=$G$32,F$32,$G687=$G$248,F$248,$G687=$G$250,F$250)</f>
        <v>8015</v>
      </c>
      <c r="G687" t="s">
        <v>109</v>
      </c>
      <c r="H687" s="67" cm="1">
        <f t="array" ref="H687">_xlfn.IFS($G687=$G$5,H$5,$G687=$G$6,H$6,$G687=$G$7,H$7,$G687=$G$8,H$8,$G687=$G$9,H$9,$G687=$G$10,H$10,$G687=$G$11,H$11,$G687=$G$12,H$12,$G687=$G$13,H$13,$G687=$G$15,H$15,$G687=$G$16,H$16,$G687=$G$17,H$17,$G687=$G$18,H$18,$G687=$G$19,H$19,$G687=$G$20,H$20,$G687=$G$21,H$21,$G687=$G$22,H$22,$G687=$G$25,H$25,$G687=$G$26,H$26,$G687=$G$27,H$27,$G687=$G$29,H$29,$G687=$G$31,H$31,$G687=$G$32,H$150,$G687=$G$248,H$248,$G687=$G$250,H$250)</f>
        <v>41.381725000000003</v>
      </c>
      <c r="I687" s="67" cm="1">
        <f t="array" ref="I687">_xlfn.IFS($G687=$G$5,I$5,$G687=$G$6,I$6,$G687=$G$7,I$7,$G687=$G$8,I$8,$G687=$G$9,I$9,$G687=$G$10,I$10,$G687=$G$11,I$11,$G687=$G$12,I$12,$G687=$G$13,I$13,$G687=$G$15,I$15,$G687=$G$16,I$16,$G687=$G$17,I$17,$G687=$G$18,I$18,$G687=$G$19,I$19,$G687=$G$20,I$20,$G687=$G$21,I$21,$G687=$G$22,I$22,$G687=$G$25,I$25,$G687=$G$26,I$26,$G687=$G$27,I$27,$G687=$G$29,I$29,$G687=$G$31,I$31,$G687=$G$32,I$150,$G687=$G$248,I$248,$G687=$G$250,I$250)</f>
        <v>2.1543679999999998</v>
      </c>
      <c r="J687" s="48" cm="1">
        <f t="array" ref="J687">_xlfn.IFS($G687=$G$5,J$5,$G687=$G$6,J$6,$G687=$G$7,J$7,$G687=$G$8,J$8,$G687=$G$9,J$9,$G687=$G$10,J$10,$G687=$G$11,J$11,$G687=$G$12,J$12,$G687=$G$13,J$13,$G687=$G$15,J$15,$G687=$G$16,J$16,$G687=$G$17,J$17,$G687=$G$18,J$18,$G687=$G$19,J$19,$G687=$G$20,J$20,$G687=$G$21,J$21,$G687=$G$22,J$22,$G687=$G$25,J$25,$G687=$G$26,J$26,$G687=$G$27,J$27,$G687=$G$29,J$29,$G687=$G$31,J$31,$G687=$G$32,J$150,$G687=$G$248,J$248,$G687=$G$250,J$250)</f>
        <v>20.7</v>
      </c>
      <c r="K687" s="48" t="str" cm="1">
        <f t="array" ref="K687">_xlfn.IFS($G687=$G$5,K$5,$G687=$G$6,K$6,$G687=$G$7,K$7,$G687=$G$8,K$8,$G687=$G$9,K$9,$G687=$G$10,K$10,$G687=$G$11,K$11,$G687=$G$12,K$12,$G687=$G$13,K$13,$G687=$G$15,K$15,$G687=$G$16,K$16,$G687=$G$17,K$17,$G687=$G$18,K$18,$G687=$G$19,K$19,$G687=$G$20,K$20,$G687=$G$21,K$21,$G687=$G$22,K$22,$G687=$G$25,K$25,$G687=$G$26,K$26,$G687=$G$27,K$27,$G687=$G$29,K$29,$G687=$G$31,K$31,$G687=$G$32,K$150,$G687=$G$248,K$248,$G687=$G$250,K$250)</f>
        <v>BG sentinel + BG lure7</v>
      </c>
      <c r="L687" s="48"/>
      <c r="M687" s="48"/>
      <c r="O687" s="45" t="str">
        <f t="shared" si="54"/>
        <v>A_SP_BCN_24_210901</v>
      </c>
      <c r="P687" s="64">
        <v>44440</v>
      </c>
      <c r="R687" s="72"/>
      <c r="S687" s="64">
        <v>44448</v>
      </c>
      <c r="U687" s="72"/>
      <c r="V687" s="54" t="s">
        <v>66</v>
      </c>
      <c r="X687" s="45">
        <f t="shared" si="55"/>
        <v>8</v>
      </c>
      <c r="Z687" s="69" t="s">
        <v>69</v>
      </c>
      <c r="AA687" s="45">
        <f t="shared" si="56"/>
        <v>28</v>
      </c>
      <c r="AB687" t="str">
        <f t="shared" si="57"/>
        <v>Adult</v>
      </c>
      <c r="AC687" s="69">
        <v>14</v>
      </c>
      <c r="AD687" s="69">
        <v>14</v>
      </c>
      <c r="AE687" s="45" t="str">
        <f t="shared" si="58"/>
        <v>Morphological</v>
      </c>
      <c r="AF687" s="56">
        <v>4</v>
      </c>
    </row>
    <row r="688" spans="1:32" ht="18" customHeight="1" x14ac:dyDescent="0.25">
      <c r="A688" s="45">
        <v>684</v>
      </c>
      <c r="B688" s="45" t="s">
        <v>60</v>
      </c>
      <c r="C688" s="45" t="s">
        <v>61</v>
      </c>
      <c r="D688" s="45" t="s">
        <v>62</v>
      </c>
      <c r="E688" s="45" t="s">
        <v>62</v>
      </c>
      <c r="F688" s="46" cm="1">
        <f t="array" ref="F688">_xlfn.IFS($G688=$G$5,F$5,$G688=$G$6,F$6,$G688=$G$7,F$7,$G688=$G$8,F$8,$G688=$G$9,F$9,$G688=$G$10,F$10,$G688=$G$11,F$11,$G688=$G$12,F$12,$G688=$G$13,F$13,$G688=$G$15,F$15,$G688=$G$16,F$16,$G688=$G$17,F$17,$G688=$G$18,F$18,$G688=$G$19,F$19,$G688=$G$20,F$20,$G688=$G$21,F$21,$G688=$G$22,F$22,$G688=$G$25,F$25,$G688=$G$26,F$26,$G688=$G$27,F$27,$G688=$G$29,F$29,$G688=$G$31,F$31,$G688=$G$32,F$32,$G688=$G$248,F$248,$G688=$G$250,F$250)</f>
        <v>8015</v>
      </c>
      <c r="G688" t="s">
        <v>109</v>
      </c>
      <c r="H688" s="67" cm="1">
        <f t="array" ref="H688">_xlfn.IFS($G688=$G$5,H$5,$G688=$G$6,H$6,$G688=$G$7,H$7,$G688=$G$8,H$8,$G688=$G$9,H$9,$G688=$G$10,H$10,$G688=$G$11,H$11,$G688=$G$12,H$12,$G688=$G$13,H$13,$G688=$G$15,H$15,$G688=$G$16,H$16,$G688=$G$17,H$17,$G688=$G$18,H$18,$G688=$G$19,H$19,$G688=$G$20,H$20,$G688=$G$21,H$21,$G688=$G$22,H$22,$G688=$G$25,H$25,$G688=$G$26,H$26,$G688=$G$27,H$27,$G688=$G$29,H$29,$G688=$G$31,H$31,$G688=$G$32,H$150,$G688=$G$248,H$248,$G688=$G$250,H$250)</f>
        <v>41.381725000000003</v>
      </c>
      <c r="I688" s="67" cm="1">
        <f t="array" ref="I688">_xlfn.IFS($G688=$G$5,I$5,$G688=$G$6,I$6,$G688=$G$7,I$7,$G688=$G$8,I$8,$G688=$G$9,I$9,$G688=$G$10,I$10,$G688=$G$11,I$11,$G688=$G$12,I$12,$G688=$G$13,I$13,$G688=$G$15,I$15,$G688=$G$16,I$16,$G688=$G$17,I$17,$G688=$G$18,I$18,$G688=$G$19,I$19,$G688=$G$20,I$20,$G688=$G$21,I$21,$G688=$G$22,I$22,$G688=$G$25,I$25,$G688=$G$26,I$26,$G688=$G$27,I$27,$G688=$G$29,I$29,$G688=$G$31,I$31,$G688=$G$32,I$150,$G688=$G$248,I$248,$G688=$G$250,I$250)</f>
        <v>2.1543679999999998</v>
      </c>
      <c r="J688" s="48" cm="1">
        <f t="array" ref="J688">_xlfn.IFS($G688=$G$5,J$5,$G688=$G$6,J$6,$G688=$G$7,J$7,$G688=$G$8,J$8,$G688=$G$9,J$9,$G688=$G$10,J$10,$G688=$G$11,J$11,$G688=$G$12,J$12,$G688=$G$13,J$13,$G688=$G$15,J$15,$G688=$G$16,J$16,$G688=$G$17,J$17,$G688=$G$18,J$18,$G688=$G$19,J$19,$G688=$G$20,J$20,$G688=$G$21,J$21,$G688=$G$22,J$22,$G688=$G$25,J$25,$G688=$G$26,J$26,$G688=$G$27,J$27,$G688=$G$29,J$29,$G688=$G$31,J$31,$G688=$G$32,J$150,$G688=$G$248,J$248,$G688=$G$250,J$250)</f>
        <v>20.7</v>
      </c>
      <c r="K688" s="48" t="str" cm="1">
        <f t="array" ref="K688">_xlfn.IFS($G688=$G$5,K$5,$G688=$G$6,K$6,$G688=$G$7,K$7,$G688=$G$8,K$8,$G688=$G$9,K$9,$G688=$G$10,K$10,$G688=$G$11,K$11,$G688=$G$12,K$12,$G688=$G$13,K$13,$G688=$G$15,K$15,$G688=$G$16,K$16,$G688=$G$17,K$17,$G688=$G$18,K$18,$G688=$G$19,K$19,$G688=$G$20,K$20,$G688=$G$21,K$21,$G688=$G$22,K$22,$G688=$G$25,K$25,$G688=$G$26,K$26,$G688=$G$27,K$27,$G688=$G$29,K$29,$G688=$G$31,K$31,$G688=$G$32,K$150,$G688=$G$248,K$248,$G688=$G$250,K$250)</f>
        <v>BG sentinel + BG lure7</v>
      </c>
      <c r="L688" s="48"/>
      <c r="M688" s="48"/>
      <c r="O688" s="45" t="str">
        <f t="shared" si="54"/>
        <v>A_SP_BCN_24_210901</v>
      </c>
      <c r="P688" s="64">
        <v>44440</v>
      </c>
      <c r="R688" s="72"/>
      <c r="S688" s="64">
        <v>44448</v>
      </c>
      <c r="U688" s="72"/>
      <c r="V688" s="54" t="s">
        <v>66</v>
      </c>
      <c r="X688" s="45">
        <f t="shared" si="55"/>
        <v>8</v>
      </c>
      <c r="Z688" s="45" t="s">
        <v>70</v>
      </c>
      <c r="AA688" s="45">
        <f t="shared" si="56"/>
        <v>5</v>
      </c>
      <c r="AB688" t="str">
        <f t="shared" si="57"/>
        <v>Adult</v>
      </c>
      <c r="AC688" s="69">
        <v>1</v>
      </c>
      <c r="AD688" s="69">
        <v>4</v>
      </c>
      <c r="AE688" s="45" t="str">
        <f t="shared" si="58"/>
        <v>Morphological</v>
      </c>
      <c r="AF688" s="56">
        <v>4</v>
      </c>
    </row>
    <row r="689" spans="1:32" ht="18" customHeight="1" x14ac:dyDescent="0.25">
      <c r="A689" s="45">
        <v>685</v>
      </c>
      <c r="B689" s="45" t="s">
        <v>60</v>
      </c>
      <c r="C689" s="45" t="s">
        <v>61</v>
      </c>
      <c r="D689" s="45" t="s">
        <v>62</v>
      </c>
      <c r="E689" s="45" t="s">
        <v>62</v>
      </c>
      <c r="F689" s="46" cm="1">
        <f t="array" ref="F689">_xlfn.IFS($G689=$G$5,F$5,$G689=$G$6,F$6,$G689=$G$7,F$7,$G689=$G$8,F$8,$G689=$G$9,F$9,$G689=$G$10,F$10,$G689=$G$11,F$11,$G689=$G$12,F$12,$G689=$G$13,F$13,$G689=$G$15,F$15,$G689=$G$16,F$16,$G689=$G$17,F$17,$G689=$G$18,F$18,$G689=$G$19,F$19,$G689=$G$20,F$20,$G689=$G$21,F$21,$G689=$G$22,F$22,$G689=$G$25,F$25,$G689=$G$26,F$26,$G689=$G$27,F$27,$G689=$G$29,F$29,$G689=$G$31,F$31,$G689=$G$32,F$32,$G689=$G$248,F$248,$G689=$G$250,F$250)</f>
        <v>8024</v>
      </c>
      <c r="G689" t="s">
        <v>63</v>
      </c>
      <c r="H689" s="67" cm="1">
        <f t="array" ref="H689">_xlfn.IFS($G689=$G$5,H$5,$G689=$G$6,H$6,$G689=$G$7,H$7,$G689=$G$8,H$8,$G689=$G$9,H$9,$G689=$G$10,H$10,$G689=$G$11,H$11,$G689=$G$12,H$12,$G689=$G$13,H$13,$G689=$G$15,H$15,$G689=$G$16,H$16,$G689=$G$17,H$17,$G689=$G$18,H$18,$G689=$G$19,H$19,$G689=$G$20,H$20,$G689=$G$21,H$21,$G689=$G$22,H$22,$G689=$G$25,H$25,$G689=$G$26,H$26,$G689=$G$27,H$27,$G689=$G$29,H$29,$G689=$G$31,H$31,$G689=$G$32,H$150,$G689=$G$248,H$248,$G689=$G$250,H$250)</f>
        <v>41.413573999999997</v>
      </c>
      <c r="I689" s="67" cm="1">
        <f t="array" ref="I689">_xlfn.IFS($G689=$G$5,I$5,$G689=$G$6,I$6,$G689=$G$7,I$7,$G689=$G$8,I$8,$G689=$G$9,I$9,$G689=$G$10,I$10,$G689=$G$11,I$11,$G689=$G$12,I$12,$G689=$G$13,I$13,$G689=$G$15,I$15,$G689=$G$16,I$16,$G689=$G$17,I$17,$G689=$G$18,I$18,$G689=$G$19,I$19,$G689=$G$20,I$20,$G689=$G$21,I$21,$G689=$G$22,I$22,$G689=$G$25,I$25,$G689=$G$26,I$26,$G689=$G$27,I$27,$G689=$G$29,I$29,$G689=$G$31,I$31,$G689=$G$32,I$150,$G689=$G$248,I$248,$G689=$G$250,I$250)</f>
        <v>2.1520730000000001</v>
      </c>
      <c r="J689" s="48" cm="1">
        <f t="array" ref="J689">_xlfn.IFS($G689=$G$5,J$5,$G689=$G$6,J$6,$G689=$G$7,J$7,$G689=$G$8,J$8,$G689=$G$9,J$9,$G689=$G$10,J$10,$G689=$G$11,J$11,$G689=$G$12,J$12,$G689=$G$13,J$13,$G689=$G$15,J$15,$G689=$G$16,J$16,$G689=$G$17,J$17,$G689=$G$18,J$18,$G689=$G$19,J$19,$G689=$G$20,J$20,$G689=$G$21,J$21,$G689=$G$22,J$22,$G689=$G$25,J$25,$G689=$G$26,J$26,$G689=$G$27,J$27,$G689=$G$29,J$29,$G689=$G$31,J$31,$G689=$G$32,J$150,$G689=$G$248,J$248,$G689=$G$250,J$250)</f>
        <v>141</v>
      </c>
      <c r="K689" s="48" t="str" cm="1">
        <f t="array" ref="K689">_xlfn.IFS($G689=$G$5,K$5,$G689=$G$6,K$6,$G689=$G$7,K$7,$G689=$G$8,K$8,$G689=$G$9,K$9,$G689=$G$10,K$10,$G689=$G$11,K$11,$G689=$G$12,K$12,$G689=$G$13,K$13,$G689=$G$15,K$15,$G689=$G$16,K$16,$G689=$G$17,K$17,$G689=$G$18,K$18,$G689=$G$19,K$19,$G689=$G$20,K$20,$G689=$G$21,K$21,$G689=$G$22,K$22,$G689=$G$25,K$25,$G689=$G$26,K$26,$G689=$G$27,K$27,$G689=$G$29,K$29,$G689=$G$31,K$31,$G689=$G$32,K$150,$G689=$G$248,K$248,$G689=$G$250,K$250)</f>
        <v>BG sentinel + BG lure7</v>
      </c>
      <c r="L689" s="48"/>
      <c r="M689" s="48"/>
      <c r="O689" s="45" t="str">
        <f t="shared" si="54"/>
        <v>A_SP_BCN_1_210908</v>
      </c>
      <c r="P689" s="64">
        <v>44447</v>
      </c>
      <c r="R689" s="72"/>
      <c r="S689" s="64">
        <v>44456</v>
      </c>
      <c r="U689" s="72"/>
      <c r="V689" s="54" t="s">
        <v>66</v>
      </c>
      <c r="W689" t="s">
        <v>153</v>
      </c>
      <c r="X689" s="45">
        <f t="shared" si="55"/>
        <v>9</v>
      </c>
      <c r="Z689" s="69" t="s">
        <v>69</v>
      </c>
      <c r="AA689" s="45">
        <f t="shared" si="56"/>
        <v>1</v>
      </c>
      <c r="AB689" t="str">
        <f t="shared" si="57"/>
        <v>Adult</v>
      </c>
      <c r="AC689" s="69">
        <v>0</v>
      </c>
      <c r="AD689" s="69">
        <v>1</v>
      </c>
      <c r="AE689" s="45" t="str">
        <f t="shared" si="58"/>
        <v>Morphological</v>
      </c>
      <c r="AF689" s="56">
        <v>3</v>
      </c>
    </row>
    <row r="690" spans="1:32" ht="18" customHeight="1" x14ac:dyDescent="0.25">
      <c r="A690" s="45">
        <v>686</v>
      </c>
      <c r="B690" s="45" t="s">
        <v>60</v>
      </c>
      <c r="C690" s="45" t="s">
        <v>61</v>
      </c>
      <c r="D690" s="45" t="s">
        <v>62</v>
      </c>
      <c r="E690" s="45" t="s">
        <v>62</v>
      </c>
      <c r="F690" s="46" cm="1">
        <f t="array" ref="F690">_xlfn.IFS($G690=$G$5,F$5,$G690=$G$6,F$6,$G690=$G$7,F$7,$G690=$G$8,F$8,$G690=$G$9,F$9,$G690=$G$10,F$10,$G690=$G$11,F$11,$G690=$G$12,F$12,$G690=$G$13,F$13,$G690=$G$15,F$15,$G690=$G$16,F$16,$G690=$G$17,F$17,$G690=$G$18,F$18,$G690=$G$19,F$19,$G690=$G$20,F$20,$G690=$G$21,F$21,$G690=$G$22,F$22,$G690=$G$25,F$25,$G690=$G$26,F$26,$G690=$G$27,F$27,$G690=$G$29,F$29,$G690=$G$31,F$31,$G690=$G$32,F$32,$G690=$G$248,F$248,$G690=$G$250,F$250)</f>
        <v>8035</v>
      </c>
      <c r="G690" t="s">
        <v>67</v>
      </c>
      <c r="H690" s="67" cm="1">
        <f t="array" ref="H690">_xlfn.IFS($G690=$G$5,H$5,$G690=$G$6,H$6,$G690=$G$7,H$7,$G690=$G$8,H$8,$G690=$G$9,H$9,$G690=$G$10,H$10,$G690=$G$11,H$11,$G690=$G$12,H$12,$G690=$G$13,H$13,$G690=$G$15,H$15,$G690=$G$16,H$16,$G690=$G$17,H$17,$G690=$G$18,H$18,$G690=$G$19,H$19,$G690=$G$20,H$20,$G690=$G$21,H$21,$G690=$G$22,H$22,$G690=$G$25,H$25,$G690=$G$26,H$26,$G690=$G$27,H$27,$G690=$G$29,H$29,$G690=$G$31,H$31,$G690=$G$32,H$150,$G690=$G$248,H$248,$G690=$G$250,H$250)</f>
        <v>41.424387000000003</v>
      </c>
      <c r="I690" s="67" cm="1">
        <f t="array" ref="I690">_xlfn.IFS($G690=$G$5,I$5,$G690=$G$6,I$6,$G690=$G$7,I$7,$G690=$G$8,I$8,$G690=$G$9,I$9,$G690=$G$10,I$10,$G690=$G$11,I$11,$G690=$G$12,I$12,$G690=$G$13,I$13,$G690=$G$15,I$15,$G690=$G$16,I$16,$G690=$G$17,I$17,$G690=$G$18,I$18,$G690=$G$19,I$19,$G690=$G$20,I$20,$G690=$G$21,I$21,$G690=$G$22,I$22,$G690=$G$25,I$25,$G690=$G$26,I$26,$G690=$G$27,I$27,$G690=$G$29,I$29,$G690=$G$31,I$31,$G690=$G$32,I$150,$G690=$G$248,I$248,$G690=$G$250,I$250)</f>
        <v>2.1431439999999999</v>
      </c>
      <c r="J690" s="48" cm="1">
        <f t="array" ref="J690">_xlfn.IFS($G690=$G$5,J$5,$G690=$G$6,J$6,$G690=$G$7,J$7,$G690=$G$8,J$8,$G690=$G$9,J$9,$G690=$G$10,J$10,$G690=$G$11,J$11,$G690=$G$12,J$12,$G690=$G$13,J$13,$G690=$G$15,J$15,$G690=$G$16,J$16,$G690=$G$17,J$17,$G690=$G$18,J$18,$G690=$G$19,J$19,$G690=$G$20,J$20,$G690=$G$21,J$21,$G690=$G$22,J$22,$G690=$G$25,J$25,$G690=$G$26,J$26,$G690=$G$27,J$27,$G690=$G$29,J$29,$G690=$G$31,J$31,$G690=$G$32,J$150,$G690=$G$248,J$248,$G690=$G$250,J$250)</f>
        <v>160</v>
      </c>
      <c r="K690" s="48" t="str" cm="1">
        <f t="array" ref="K690">_xlfn.IFS($G690=$G$5,K$5,$G690=$G$6,K$6,$G690=$G$7,K$7,$G690=$G$8,K$8,$G690=$G$9,K$9,$G690=$G$10,K$10,$G690=$G$11,K$11,$G690=$G$12,K$12,$G690=$G$13,K$13,$G690=$G$15,K$15,$G690=$G$16,K$16,$G690=$G$17,K$17,$G690=$G$18,K$18,$G690=$G$19,K$19,$G690=$G$20,K$20,$G690=$G$21,K$21,$G690=$G$22,K$22,$G690=$G$25,K$25,$G690=$G$26,K$26,$G690=$G$27,K$27,$G690=$G$29,K$29,$G690=$G$31,K$31,$G690=$G$32,K$150,$G690=$G$248,K$248,$G690=$G$250,K$250)</f>
        <v>BG sentinel + BG lure7</v>
      </c>
      <c r="L690" s="48"/>
      <c r="M690" s="48"/>
      <c r="O690" s="45" t="str">
        <f t="shared" si="54"/>
        <v>A_SP_BCN_2_210908</v>
      </c>
      <c r="P690" s="64">
        <v>44447</v>
      </c>
      <c r="R690" s="72"/>
      <c r="S690" s="64">
        <v>44456</v>
      </c>
      <c r="U690" s="72"/>
      <c r="V690" s="54" t="s">
        <v>66</v>
      </c>
      <c r="X690" s="45">
        <f t="shared" si="55"/>
        <v>9</v>
      </c>
      <c r="Z690" s="69" t="s">
        <v>69</v>
      </c>
      <c r="AA690" s="45">
        <f t="shared" si="56"/>
        <v>6</v>
      </c>
      <c r="AB690" t="str">
        <f t="shared" si="57"/>
        <v>Adult</v>
      </c>
      <c r="AC690" s="69">
        <v>6</v>
      </c>
      <c r="AD690" s="69">
        <v>0</v>
      </c>
      <c r="AE690" s="45" t="str">
        <f t="shared" si="58"/>
        <v>Morphological</v>
      </c>
      <c r="AF690" s="56">
        <v>4</v>
      </c>
    </row>
    <row r="691" spans="1:32" ht="18" customHeight="1" x14ac:dyDescent="0.25">
      <c r="A691" s="45">
        <v>687</v>
      </c>
      <c r="B691" s="45" t="s">
        <v>60</v>
      </c>
      <c r="C691" s="45" t="s">
        <v>61</v>
      </c>
      <c r="D691" s="45" t="s">
        <v>62</v>
      </c>
      <c r="E691" s="45" t="s">
        <v>62</v>
      </c>
      <c r="F691" s="46" cm="1">
        <f t="array" ref="F691">_xlfn.IFS($G691=$G$5,F$5,$G691=$G$6,F$6,$G691=$G$7,F$7,$G691=$G$8,F$8,$G691=$G$9,F$9,$G691=$G$10,F$10,$G691=$G$11,F$11,$G691=$G$12,F$12,$G691=$G$13,F$13,$G691=$G$15,F$15,$G691=$G$16,F$16,$G691=$G$17,F$17,$G691=$G$18,F$18,$G691=$G$19,F$19,$G691=$G$20,F$20,$G691=$G$21,F$21,$G691=$G$22,F$22,$G691=$G$25,F$25,$G691=$G$26,F$26,$G691=$G$27,F$27,$G691=$G$29,F$29,$G691=$G$31,F$31,$G691=$G$32,F$32,$G691=$G$248,F$248,$G691=$G$250,F$250)</f>
        <v>8016</v>
      </c>
      <c r="G691" t="s">
        <v>68</v>
      </c>
      <c r="H691" s="67" cm="1">
        <f t="array" ref="H691">_xlfn.IFS($G691=$G$5,H$5,$G691=$G$6,H$6,$G691=$G$7,H$7,$G691=$G$8,H$8,$G691=$G$9,H$9,$G691=$G$10,H$10,$G691=$G$11,H$11,$G691=$G$12,H$12,$G691=$G$13,H$13,$G691=$G$15,H$15,$G691=$G$16,H$16,$G691=$G$17,H$17,$G691=$G$18,H$18,$G691=$G$19,H$19,$G691=$G$20,H$20,$G691=$G$21,H$21,$G691=$G$22,H$22,$G691=$G$25,H$25,$G691=$G$26,H$26,$G691=$G$27,H$27,$G691=$G$29,H$29,$G691=$G$31,H$31,$G691=$G$32,H$150,$G691=$G$248,H$248,$G691=$G$250,H$250)</f>
        <v>41.437435000000001</v>
      </c>
      <c r="I691" s="67" cm="1">
        <f t="array" ref="I691">_xlfn.IFS($G691=$G$5,I$5,$G691=$G$6,I$6,$G691=$G$7,I$7,$G691=$G$8,I$8,$G691=$G$9,I$9,$G691=$G$10,I$10,$G691=$G$11,I$11,$G691=$G$12,I$12,$G691=$G$13,I$13,$G691=$G$15,I$15,$G691=$G$16,I$16,$G691=$G$17,I$17,$G691=$G$18,I$18,$G691=$G$19,I$19,$G691=$G$20,I$20,$G691=$G$21,I$21,$G691=$G$22,I$22,$G691=$G$25,I$25,$G691=$G$26,I$26,$G691=$G$27,I$27,$G691=$G$29,I$29,$G691=$G$31,I$31,$G691=$G$32,I$150,$G691=$G$248,I$248,$G691=$G$250,I$250)</f>
        <v>2.1812779999999998</v>
      </c>
      <c r="J691" s="48" cm="1">
        <f t="array" ref="J691">_xlfn.IFS($G691=$G$5,J$5,$G691=$G$6,J$6,$G691=$G$7,J$7,$G691=$G$8,J$8,$G691=$G$9,J$9,$G691=$G$10,J$10,$G691=$G$11,J$11,$G691=$G$12,J$12,$G691=$G$13,J$13,$G691=$G$15,J$15,$G691=$G$16,J$16,$G691=$G$17,J$17,$G691=$G$18,J$18,$G691=$G$19,J$19,$G691=$G$20,J$20,$G691=$G$21,J$21,$G691=$G$22,J$22,$G691=$G$25,J$25,$G691=$G$26,J$26,$G691=$G$27,J$27,$G691=$G$29,J$29,$G691=$G$31,J$31,$G691=$G$32,J$150,$G691=$G$248,J$248,$G691=$G$250,J$250)</f>
        <v>47</v>
      </c>
      <c r="K691" s="48" t="str" cm="1">
        <f t="array" ref="K691">_xlfn.IFS($G691=$G$5,K$5,$G691=$G$6,K$6,$G691=$G$7,K$7,$G691=$G$8,K$8,$G691=$G$9,K$9,$G691=$G$10,K$10,$G691=$G$11,K$11,$G691=$G$12,K$12,$G691=$G$13,K$13,$G691=$G$15,K$15,$G691=$G$16,K$16,$G691=$G$17,K$17,$G691=$G$18,K$18,$G691=$G$19,K$19,$G691=$G$20,K$20,$G691=$G$21,K$21,$G691=$G$22,K$22,$G691=$G$25,K$25,$G691=$G$26,K$26,$G691=$G$27,K$27,$G691=$G$29,K$29,$G691=$G$31,K$31,$G691=$G$32,K$150,$G691=$G$248,K$248,$G691=$G$250,K$250)</f>
        <v>BG sentinel + BG lure7</v>
      </c>
      <c r="L691" s="48"/>
      <c r="M691" s="48"/>
      <c r="O691" s="45" t="str">
        <f t="shared" si="54"/>
        <v>A_SP_BCN_3_210908</v>
      </c>
      <c r="P691" s="64">
        <v>44447</v>
      </c>
      <c r="R691" s="72"/>
      <c r="S691" s="64">
        <v>44454</v>
      </c>
      <c r="U691" s="72"/>
      <c r="V691" s="54" t="s">
        <v>66</v>
      </c>
      <c r="X691" s="45">
        <f t="shared" si="55"/>
        <v>7</v>
      </c>
      <c r="Z691" s="69" t="s">
        <v>69</v>
      </c>
      <c r="AA691" s="45">
        <f t="shared" si="56"/>
        <v>3</v>
      </c>
      <c r="AB691" t="str">
        <f t="shared" si="57"/>
        <v>Adult</v>
      </c>
      <c r="AC691" s="69">
        <v>1</v>
      </c>
      <c r="AD691" s="69">
        <v>2</v>
      </c>
      <c r="AE691" s="45" t="str">
        <f t="shared" si="58"/>
        <v>Morphological</v>
      </c>
      <c r="AF691" s="56">
        <v>4</v>
      </c>
    </row>
    <row r="692" spans="1:32" ht="18" customHeight="1" x14ac:dyDescent="0.25">
      <c r="A692" s="45">
        <v>688</v>
      </c>
      <c r="B692" s="45" t="s">
        <v>60</v>
      </c>
      <c r="C692" s="45" t="s">
        <v>61</v>
      </c>
      <c r="D692" s="45" t="s">
        <v>62</v>
      </c>
      <c r="E692" s="45" t="s">
        <v>62</v>
      </c>
      <c r="F692" s="46" cm="1">
        <f t="array" ref="F692">_xlfn.IFS($G692=$G$5,F$5,$G692=$G$6,F$6,$G692=$G$7,F$7,$G692=$G$8,F$8,$G692=$G$9,F$9,$G692=$G$10,F$10,$G692=$G$11,F$11,$G692=$G$12,F$12,$G692=$G$13,F$13,$G692=$G$15,F$15,$G692=$G$16,F$16,$G692=$G$17,F$17,$G692=$G$18,F$18,$G692=$G$19,F$19,$G692=$G$20,F$20,$G692=$G$21,F$21,$G692=$G$22,F$22,$G692=$G$25,F$25,$G692=$G$26,F$26,$G692=$G$27,F$27,$G692=$G$29,F$29,$G692=$G$31,F$31,$G692=$G$32,F$32,$G692=$G$248,F$248,$G692=$G$250,F$250)</f>
        <v>8018</v>
      </c>
      <c r="G692" t="s">
        <v>71</v>
      </c>
      <c r="H692" s="67" cm="1">
        <f t="array" ref="H692">_xlfn.IFS($G692=$G$5,H$5,$G692=$G$6,H$6,$G692=$G$7,H$7,$G692=$G$8,H$8,$G692=$G$9,H$9,$G692=$G$10,H$10,$G692=$G$11,H$11,$G692=$G$12,H$12,$G692=$G$13,H$13,$G692=$G$15,H$15,$G692=$G$16,H$16,$G692=$G$17,H$17,$G692=$G$18,H$18,$G692=$G$19,H$19,$G692=$G$20,H$20,$G692=$G$21,H$21,$G692=$G$22,H$22,$G692=$G$25,H$25,$G692=$G$26,H$26,$G692=$G$27,H$27,$G692=$G$29,H$29,$G692=$G$31,H$31,$G692=$G$32,H$150,$G692=$G$248,H$248,$G692=$G$250,H$250)</f>
        <v>41.410684000000003</v>
      </c>
      <c r="I692" s="67" cm="1">
        <f t="array" ref="I692">_xlfn.IFS($G692=$G$5,I$5,$G692=$G$6,I$6,$G692=$G$7,I$7,$G692=$G$8,I$8,$G692=$G$9,I$9,$G692=$G$10,I$10,$G692=$G$11,I$11,$G692=$G$12,I$12,$G692=$G$13,I$13,$G692=$G$15,I$15,$G692=$G$16,I$16,$G692=$G$17,I$17,$G692=$G$18,I$18,$G692=$G$19,I$19,$G692=$G$20,I$20,$G692=$G$21,I$21,$G692=$G$22,I$22,$G692=$G$25,I$25,$G692=$G$26,I$26,$G692=$G$27,I$27,$G692=$G$29,I$29,$G692=$G$31,I$31,$G692=$G$32,I$150,$G692=$G$248,I$248,$G692=$G$250,I$250)</f>
        <v>2.2208019999999999</v>
      </c>
      <c r="J692" s="48" cm="1">
        <f t="array" ref="J692">_xlfn.IFS($G692=$G$5,J$5,$G692=$G$6,J$6,$G692=$G$7,J$7,$G692=$G$8,J$8,$G692=$G$9,J$9,$G692=$G$10,J$10,$G692=$G$11,J$11,$G692=$G$12,J$12,$G692=$G$13,J$13,$G692=$G$15,J$15,$G692=$G$16,J$16,$G692=$G$17,J$17,$G692=$G$18,J$18,$G692=$G$19,J$19,$G692=$G$20,J$20,$G692=$G$21,J$21,$G692=$G$22,J$22,$G692=$G$25,J$25,$G692=$G$26,J$26,$G692=$G$27,J$27,$G692=$G$29,J$29,$G692=$G$31,J$31,$G692=$G$32,J$150,$G692=$G$248,J$248,$G692=$G$250,J$250)</f>
        <v>4</v>
      </c>
      <c r="K692" s="48" t="str" cm="1">
        <f t="array" ref="K692">_xlfn.IFS($G692=$G$5,K$5,$G692=$G$6,K$6,$G692=$G$7,K$7,$G692=$G$8,K$8,$G692=$G$9,K$9,$G692=$G$10,K$10,$G692=$G$11,K$11,$G692=$G$12,K$12,$G692=$G$13,K$13,$G692=$G$15,K$15,$G692=$G$16,K$16,$G692=$G$17,K$17,$G692=$G$18,K$18,$G692=$G$19,K$19,$G692=$G$20,K$20,$G692=$G$21,K$21,$G692=$G$22,K$22,$G692=$G$25,K$25,$G692=$G$26,K$26,$G692=$G$27,K$27,$G692=$G$29,K$29,$G692=$G$31,K$31,$G692=$G$32,K$150,$G692=$G$248,K$248,$G692=$G$250,K$250)</f>
        <v>BG sentinel + BG lure7</v>
      </c>
      <c r="L692" s="48"/>
      <c r="M692" s="48"/>
      <c r="O692" s="45" t="str">
        <f t="shared" si="54"/>
        <v>A_SP_BCN_4_210909</v>
      </c>
      <c r="P692" s="64">
        <v>44448</v>
      </c>
      <c r="R692" s="72"/>
      <c r="S692" s="64">
        <v>44456</v>
      </c>
      <c r="U692" s="72"/>
      <c r="V692" s="54" t="s">
        <v>66</v>
      </c>
      <c r="X692" s="45">
        <f t="shared" si="55"/>
        <v>8</v>
      </c>
      <c r="Z692" s="69" t="s">
        <v>69</v>
      </c>
      <c r="AA692" s="45">
        <f t="shared" si="56"/>
        <v>15</v>
      </c>
      <c r="AB692" t="str">
        <f t="shared" si="57"/>
        <v>Adult</v>
      </c>
      <c r="AC692" s="69">
        <v>9</v>
      </c>
      <c r="AD692" s="69">
        <v>6</v>
      </c>
      <c r="AE692" s="45" t="str">
        <f t="shared" si="58"/>
        <v>Morphological</v>
      </c>
      <c r="AF692" s="56">
        <v>4</v>
      </c>
    </row>
    <row r="693" spans="1:32" ht="18" customHeight="1" x14ac:dyDescent="0.25">
      <c r="A693" s="45">
        <v>689</v>
      </c>
      <c r="B693" s="45" t="s">
        <v>60</v>
      </c>
      <c r="C693" s="45" t="s">
        <v>61</v>
      </c>
      <c r="D693" s="45" t="s">
        <v>62</v>
      </c>
      <c r="E693" s="45" t="s">
        <v>62</v>
      </c>
      <c r="F693" s="46" cm="1">
        <f t="array" ref="F693">_xlfn.IFS($G693=$G$5,F$5,$G693=$G$6,F$6,$G693=$G$7,F$7,$G693=$G$8,F$8,$G693=$G$9,F$9,$G693=$G$10,F$10,$G693=$G$11,F$11,$G693=$G$12,F$12,$G693=$G$13,F$13,$G693=$G$15,F$15,$G693=$G$16,F$16,$G693=$G$17,F$17,$G693=$G$18,F$18,$G693=$G$19,F$19,$G693=$G$20,F$20,$G693=$G$21,F$21,$G693=$G$22,F$22,$G693=$G$25,F$25,$G693=$G$26,F$26,$G693=$G$27,F$27,$G693=$G$29,F$29,$G693=$G$31,F$31,$G693=$G$32,F$32,$G693=$G$248,F$248,$G693=$G$250,F$250)</f>
        <v>8018</v>
      </c>
      <c r="G693" t="s">
        <v>71</v>
      </c>
      <c r="H693" s="67" cm="1">
        <f t="array" ref="H693">_xlfn.IFS($G693=$G$5,H$5,$G693=$G$6,H$6,$G693=$G$7,H$7,$G693=$G$8,H$8,$G693=$G$9,H$9,$G693=$G$10,H$10,$G693=$G$11,H$11,$G693=$G$12,H$12,$G693=$G$13,H$13,$G693=$G$15,H$15,$G693=$G$16,H$16,$G693=$G$17,H$17,$G693=$G$18,H$18,$G693=$G$19,H$19,$G693=$G$20,H$20,$G693=$G$21,H$21,$G693=$G$22,H$22,$G693=$G$25,H$25,$G693=$G$26,H$26,$G693=$G$27,H$27,$G693=$G$29,H$29,$G693=$G$31,H$31,$G693=$G$32,H$150,$G693=$G$248,H$248,$G693=$G$250,H$250)</f>
        <v>41.410684000000003</v>
      </c>
      <c r="I693" s="67" cm="1">
        <f t="array" ref="I693">_xlfn.IFS($G693=$G$5,I$5,$G693=$G$6,I$6,$G693=$G$7,I$7,$G693=$G$8,I$8,$G693=$G$9,I$9,$G693=$G$10,I$10,$G693=$G$11,I$11,$G693=$G$12,I$12,$G693=$G$13,I$13,$G693=$G$15,I$15,$G693=$G$16,I$16,$G693=$G$17,I$17,$G693=$G$18,I$18,$G693=$G$19,I$19,$G693=$G$20,I$20,$G693=$G$21,I$21,$G693=$G$22,I$22,$G693=$G$25,I$25,$G693=$G$26,I$26,$G693=$G$27,I$27,$G693=$G$29,I$29,$G693=$G$31,I$31,$G693=$G$32,I$150,$G693=$G$248,I$248,$G693=$G$250,I$250)</f>
        <v>2.2208019999999999</v>
      </c>
      <c r="J693" s="48" cm="1">
        <f t="array" ref="J693">_xlfn.IFS($G693=$G$5,J$5,$G693=$G$6,J$6,$G693=$G$7,J$7,$G693=$G$8,J$8,$G693=$G$9,J$9,$G693=$G$10,J$10,$G693=$G$11,J$11,$G693=$G$12,J$12,$G693=$G$13,J$13,$G693=$G$15,J$15,$G693=$G$16,J$16,$G693=$G$17,J$17,$G693=$G$18,J$18,$G693=$G$19,J$19,$G693=$G$20,J$20,$G693=$G$21,J$21,$G693=$G$22,J$22,$G693=$G$25,J$25,$G693=$G$26,J$26,$G693=$G$27,J$27,$G693=$G$29,J$29,$G693=$G$31,J$31,$G693=$G$32,J$150,$G693=$G$248,J$248,$G693=$G$250,J$250)</f>
        <v>4</v>
      </c>
      <c r="K693" s="48" t="str" cm="1">
        <f t="array" ref="K693">_xlfn.IFS($G693=$G$5,K$5,$G693=$G$6,K$6,$G693=$G$7,K$7,$G693=$G$8,K$8,$G693=$G$9,K$9,$G693=$G$10,K$10,$G693=$G$11,K$11,$G693=$G$12,K$12,$G693=$G$13,K$13,$G693=$G$15,K$15,$G693=$G$16,K$16,$G693=$G$17,K$17,$G693=$G$18,K$18,$G693=$G$19,K$19,$G693=$G$20,K$20,$G693=$G$21,K$21,$G693=$G$22,K$22,$G693=$G$25,K$25,$G693=$G$26,K$26,$G693=$G$27,K$27,$G693=$G$29,K$29,$G693=$G$31,K$31,$G693=$G$32,K$150,$G693=$G$248,K$248,$G693=$G$250,K$250)</f>
        <v>BG sentinel + BG lure7</v>
      </c>
      <c r="L693" s="48"/>
      <c r="M693" s="48"/>
      <c r="O693" s="45" t="str">
        <f t="shared" si="54"/>
        <v>A_SP_BCN_4_210909</v>
      </c>
      <c r="P693" s="64">
        <v>44448</v>
      </c>
      <c r="R693" s="72"/>
      <c r="S693" s="64">
        <v>44456</v>
      </c>
      <c r="U693" s="72"/>
      <c r="V693" s="54" t="s">
        <v>66</v>
      </c>
      <c r="X693" s="45">
        <f t="shared" si="55"/>
        <v>8</v>
      </c>
      <c r="Z693" s="45" t="s">
        <v>70</v>
      </c>
      <c r="AA693" s="45">
        <f t="shared" si="56"/>
        <v>4</v>
      </c>
      <c r="AB693" t="str">
        <f t="shared" si="57"/>
        <v>Adult</v>
      </c>
      <c r="AC693" s="69">
        <v>4</v>
      </c>
      <c r="AD693" s="69">
        <v>0</v>
      </c>
      <c r="AE693" s="45" t="str">
        <f t="shared" si="58"/>
        <v>Morphological</v>
      </c>
      <c r="AF693" s="56">
        <v>4</v>
      </c>
    </row>
    <row r="694" spans="1:32" ht="18" customHeight="1" x14ac:dyDescent="0.25">
      <c r="A694" s="45">
        <v>690</v>
      </c>
      <c r="B694" s="45" t="s">
        <v>60</v>
      </c>
      <c r="C694" s="45" t="s">
        <v>61</v>
      </c>
      <c r="D694" s="45" t="s">
        <v>62</v>
      </c>
      <c r="E694" s="45" t="s">
        <v>62</v>
      </c>
      <c r="F694" s="46" cm="1">
        <f t="array" ref="F694">_xlfn.IFS($G694=$G$5,F$5,$G694=$G$6,F$6,$G694=$G$7,F$7,$G694=$G$8,F$8,$G694=$G$9,F$9,$G694=$G$10,F$10,$G694=$G$11,F$11,$G694=$G$12,F$12,$G694=$G$13,F$13,$G694=$G$15,F$15,$G694=$G$16,F$16,$G694=$G$17,F$17,$G694=$G$18,F$18,$G694=$G$19,F$19,$G694=$G$20,F$20,$G694=$G$21,F$21,$G694=$G$22,F$22,$G694=$G$25,F$25,$G694=$G$26,F$26,$G694=$G$27,F$27,$G694=$G$29,F$29,$G694=$G$31,F$31,$G694=$G$32,F$32,$G694=$G$248,F$248,$G694=$G$250,F$250)</f>
        <v>8019</v>
      </c>
      <c r="G694" t="s">
        <v>72</v>
      </c>
      <c r="H694" s="67" cm="1">
        <f t="array" ref="H694">_xlfn.IFS($G694=$G$5,H$5,$G694=$G$6,H$6,$G694=$G$7,H$7,$G694=$G$8,H$8,$G694=$G$9,H$9,$G694=$G$10,H$10,$G694=$G$11,H$11,$G694=$G$12,H$12,$G694=$G$13,H$13,$G694=$G$15,H$15,$G694=$G$16,H$16,$G694=$G$17,H$17,$G694=$G$18,H$18,$G694=$G$19,H$19,$G694=$G$20,H$20,$G694=$G$21,H$21,$G694=$G$22,H$22,$G694=$G$25,H$25,$G694=$G$26,H$26,$G694=$G$27,H$27,$G694=$G$29,H$29,$G694=$G$31,H$31,$G694=$G$32,H$150,$G694=$G$248,H$248,$G694=$G$250,H$250)</f>
        <v>41.382339999999999</v>
      </c>
      <c r="I694" s="67" cm="1">
        <f t="array" ref="I694">_xlfn.IFS($G694=$G$5,I$5,$G694=$G$6,I$6,$G694=$G$7,I$7,$G694=$G$8,I$8,$G694=$G$9,I$9,$G694=$G$10,I$10,$G694=$G$11,I$11,$G694=$G$12,I$12,$G694=$G$13,I$13,$G694=$G$15,I$15,$G694=$G$16,I$16,$G694=$G$17,I$17,$G694=$G$18,I$18,$G694=$G$19,I$19,$G694=$G$20,I$20,$G694=$G$21,I$21,$G694=$G$22,I$22,$G694=$G$25,I$25,$G694=$G$26,I$26,$G694=$G$27,I$27,$G694=$G$29,I$29,$G694=$G$31,I$31,$G694=$G$32,I$150,$G694=$G$248,I$248,$G694=$G$250,I$250)</f>
        <v>2.1714790000000002</v>
      </c>
      <c r="J694" s="48" cm="1">
        <f t="array" ref="J694">_xlfn.IFS($G694=$G$5,J$5,$G694=$G$6,J$6,$G694=$G$7,J$7,$G694=$G$8,J$8,$G694=$G$9,J$9,$G694=$G$10,J$10,$G694=$G$11,J$11,$G694=$G$12,J$12,$G694=$G$13,J$13,$G694=$G$15,J$15,$G694=$G$16,J$16,$G694=$G$17,J$17,$G694=$G$18,J$18,$G694=$G$19,J$19,$G694=$G$20,J$20,$G694=$G$21,J$21,$G694=$G$22,J$22,$G694=$G$25,J$25,$G694=$G$26,J$26,$G694=$G$27,J$27,$G694=$G$29,J$29,$G694=$G$31,J$31,$G694=$G$32,J$150,$G694=$G$248,J$248,$G694=$G$250,J$250)</f>
        <v>18</v>
      </c>
      <c r="K694" s="48" t="str" cm="1">
        <f t="array" ref="K694">_xlfn.IFS($G694=$G$5,K$5,$G694=$G$6,K$6,$G694=$G$7,K$7,$G694=$G$8,K$8,$G694=$G$9,K$9,$G694=$G$10,K$10,$G694=$G$11,K$11,$G694=$G$12,K$12,$G694=$G$13,K$13,$G694=$G$15,K$15,$G694=$G$16,K$16,$G694=$G$17,K$17,$G694=$G$18,K$18,$G694=$G$19,K$19,$G694=$G$20,K$20,$G694=$G$21,K$21,$G694=$G$22,K$22,$G694=$G$25,K$25,$G694=$G$26,K$26,$G694=$G$27,K$27,$G694=$G$29,K$29,$G694=$G$31,K$31,$G694=$G$32,K$150,$G694=$G$248,K$248,$G694=$G$250,K$250)</f>
        <v>BG sentinel + BG lure7</v>
      </c>
      <c r="L694" s="48"/>
      <c r="M694" s="48"/>
      <c r="O694" s="45" t="str">
        <f t="shared" si="54"/>
        <v>A_SP_BCN_5_210909</v>
      </c>
      <c r="P694" s="64">
        <v>44448</v>
      </c>
      <c r="R694" s="72"/>
      <c r="S694" s="64">
        <v>44456</v>
      </c>
      <c r="U694" s="72"/>
      <c r="V694" s="54" t="s">
        <v>66</v>
      </c>
      <c r="X694" s="45">
        <f t="shared" si="55"/>
        <v>8</v>
      </c>
      <c r="Z694" s="69" t="s">
        <v>69</v>
      </c>
      <c r="AA694" s="45">
        <f t="shared" si="56"/>
        <v>2</v>
      </c>
      <c r="AB694" t="str">
        <f t="shared" si="57"/>
        <v>Adult</v>
      </c>
      <c r="AC694" s="69">
        <v>2</v>
      </c>
      <c r="AD694" s="69">
        <v>0</v>
      </c>
      <c r="AE694" s="45" t="str">
        <f t="shared" si="58"/>
        <v>Morphological</v>
      </c>
      <c r="AF694" s="56">
        <v>4</v>
      </c>
    </row>
    <row r="695" spans="1:32" ht="18" customHeight="1" x14ac:dyDescent="0.25">
      <c r="A695" s="45">
        <v>691</v>
      </c>
      <c r="B695" s="45" t="s">
        <v>60</v>
      </c>
      <c r="C695" s="45" t="s">
        <v>61</v>
      </c>
      <c r="D695" s="45" t="s">
        <v>62</v>
      </c>
      <c r="E695" s="45" t="s">
        <v>62</v>
      </c>
      <c r="F695" s="46" cm="1">
        <f t="array" ref="F695">_xlfn.IFS($G695=$G$5,F$5,$G695=$G$6,F$6,$G695=$G$7,F$7,$G695=$G$8,F$8,$G695=$G$9,F$9,$G695=$G$10,F$10,$G695=$G$11,F$11,$G695=$G$12,F$12,$G695=$G$13,F$13,$G695=$G$15,F$15,$G695=$G$16,F$16,$G695=$G$17,F$17,$G695=$G$18,F$18,$G695=$G$19,F$19,$G695=$G$20,F$20,$G695=$G$21,F$21,$G695=$G$22,F$22,$G695=$G$25,F$25,$G695=$G$26,F$26,$G695=$G$27,F$27,$G695=$G$29,F$29,$G695=$G$31,F$31,$G695=$G$32,F$32,$G695=$G$248,F$248,$G695=$G$250,F$250)</f>
        <v>8019</v>
      </c>
      <c r="G695" t="s">
        <v>72</v>
      </c>
      <c r="H695" s="67" cm="1">
        <f t="array" ref="H695">_xlfn.IFS($G695=$G$5,H$5,$G695=$G$6,H$6,$G695=$G$7,H$7,$G695=$G$8,H$8,$G695=$G$9,H$9,$G695=$G$10,H$10,$G695=$G$11,H$11,$G695=$G$12,H$12,$G695=$G$13,H$13,$G695=$G$15,H$15,$G695=$G$16,H$16,$G695=$G$17,H$17,$G695=$G$18,H$18,$G695=$G$19,H$19,$G695=$G$20,H$20,$G695=$G$21,H$21,$G695=$G$22,H$22,$G695=$G$25,H$25,$G695=$G$26,H$26,$G695=$G$27,H$27,$G695=$G$29,H$29,$G695=$G$31,H$31,$G695=$G$32,H$150,$G695=$G$248,H$248,$G695=$G$250,H$250)</f>
        <v>41.382339999999999</v>
      </c>
      <c r="I695" s="67" cm="1">
        <f t="array" ref="I695">_xlfn.IFS($G695=$G$5,I$5,$G695=$G$6,I$6,$G695=$G$7,I$7,$G695=$G$8,I$8,$G695=$G$9,I$9,$G695=$G$10,I$10,$G695=$G$11,I$11,$G695=$G$12,I$12,$G695=$G$13,I$13,$G695=$G$15,I$15,$G695=$G$16,I$16,$G695=$G$17,I$17,$G695=$G$18,I$18,$G695=$G$19,I$19,$G695=$G$20,I$20,$G695=$G$21,I$21,$G695=$G$22,I$22,$G695=$G$25,I$25,$G695=$G$26,I$26,$G695=$G$27,I$27,$G695=$G$29,I$29,$G695=$G$31,I$31,$G695=$G$32,I$150,$G695=$G$248,I$248,$G695=$G$250,I$250)</f>
        <v>2.1714790000000002</v>
      </c>
      <c r="J695" s="48" cm="1">
        <f t="array" ref="J695">_xlfn.IFS($G695=$G$5,J$5,$G695=$G$6,J$6,$G695=$G$7,J$7,$G695=$G$8,J$8,$G695=$G$9,J$9,$G695=$G$10,J$10,$G695=$G$11,J$11,$G695=$G$12,J$12,$G695=$G$13,J$13,$G695=$G$15,J$15,$G695=$G$16,J$16,$G695=$G$17,J$17,$G695=$G$18,J$18,$G695=$G$19,J$19,$G695=$G$20,J$20,$G695=$G$21,J$21,$G695=$G$22,J$22,$G695=$G$25,J$25,$G695=$G$26,J$26,$G695=$G$27,J$27,$G695=$G$29,J$29,$G695=$G$31,J$31,$G695=$G$32,J$150,$G695=$G$248,J$248,$G695=$G$250,J$250)</f>
        <v>18</v>
      </c>
      <c r="K695" s="48" t="str" cm="1">
        <f t="array" ref="K695">_xlfn.IFS($G695=$G$5,K$5,$G695=$G$6,K$6,$G695=$G$7,K$7,$G695=$G$8,K$8,$G695=$G$9,K$9,$G695=$G$10,K$10,$G695=$G$11,K$11,$G695=$G$12,K$12,$G695=$G$13,K$13,$G695=$G$15,K$15,$G695=$G$16,K$16,$G695=$G$17,K$17,$G695=$G$18,K$18,$G695=$G$19,K$19,$G695=$G$20,K$20,$G695=$G$21,K$21,$G695=$G$22,K$22,$G695=$G$25,K$25,$G695=$G$26,K$26,$G695=$G$27,K$27,$G695=$G$29,K$29,$G695=$G$31,K$31,$G695=$G$32,K$150,$G695=$G$248,K$248,$G695=$G$250,K$250)</f>
        <v>BG sentinel + BG lure7</v>
      </c>
      <c r="L695" s="48"/>
      <c r="M695" s="48"/>
      <c r="O695" s="45" t="str">
        <f t="shared" si="54"/>
        <v>A_SP_BCN_5_210909</v>
      </c>
      <c r="P695" s="64">
        <v>44448</v>
      </c>
      <c r="R695" s="72"/>
      <c r="S695" s="64">
        <v>44456</v>
      </c>
      <c r="U695" s="72"/>
      <c r="V695" s="54" t="s">
        <v>66</v>
      </c>
      <c r="X695" s="45">
        <f t="shared" si="55"/>
        <v>8</v>
      </c>
      <c r="Z695" s="45" t="s">
        <v>70</v>
      </c>
      <c r="AA695" s="45">
        <f t="shared" si="56"/>
        <v>1</v>
      </c>
      <c r="AB695" t="str">
        <f t="shared" si="57"/>
        <v>Adult</v>
      </c>
      <c r="AC695" s="69">
        <v>1</v>
      </c>
      <c r="AD695" s="69">
        <v>0</v>
      </c>
      <c r="AE695" s="45" t="str">
        <f t="shared" si="58"/>
        <v>Morphological</v>
      </c>
      <c r="AF695" s="56">
        <v>4</v>
      </c>
    </row>
    <row r="696" spans="1:32" ht="18" customHeight="1" x14ac:dyDescent="0.25">
      <c r="A696" s="45">
        <v>692</v>
      </c>
      <c r="B696" s="45" t="s">
        <v>60</v>
      </c>
      <c r="C696" s="45" t="s">
        <v>61</v>
      </c>
      <c r="D696" s="45" t="s">
        <v>62</v>
      </c>
      <c r="E696" s="45" t="s">
        <v>62</v>
      </c>
      <c r="F696" s="46" cm="1">
        <f t="array" ref="F696">_xlfn.IFS($G696=$G$5,F$5,$G696=$G$6,F$6,$G696=$G$7,F$7,$G696=$G$8,F$8,$G696=$G$9,F$9,$G696=$G$10,F$10,$G696=$G$11,F$11,$G696=$G$12,F$12,$G696=$G$13,F$13,$G696=$G$15,F$15,$G696=$G$16,F$16,$G696=$G$17,F$17,$G696=$G$18,F$18,$G696=$G$19,F$19,$G696=$G$20,F$20,$G696=$G$21,F$21,$G696=$G$22,F$22,$G696=$G$25,F$25,$G696=$G$26,F$26,$G696=$G$27,F$27,$G696=$G$29,F$29,$G696=$G$31,F$31,$G696=$G$32,F$32,$G696=$G$248,F$248,$G696=$G$250,F$250)</f>
        <v>8002</v>
      </c>
      <c r="G696" t="s">
        <v>73</v>
      </c>
      <c r="H696" s="67" cm="1">
        <f t="array" ref="H696">_xlfn.IFS($G696=$G$5,H$5,$G696=$G$6,H$6,$G696=$G$7,H$7,$G696=$G$8,H$8,$G696=$G$9,H$9,$G696=$G$10,H$10,$G696=$G$11,H$11,$G696=$G$12,H$12,$G696=$G$13,H$13,$G696=$G$15,H$15,$G696=$G$16,H$16,$G696=$G$17,H$17,$G696=$G$18,H$18,$G696=$G$19,H$19,$G696=$G$20,H$20,$G696=$G$21,H$21,$G696=$G$22,H$22,$G696=$G$25,H$25,$G696=$G$26,H$26,$G696=$G$27,H$27,$G696=$G$29,H$29,$G696=$G$31,H$31,$G696=$G$32,H$150,$G696=$G$248,H$248,$G696=$G$250,H$250)</f>
        <v>41.371864000000002</v>
      </c>
      <c r="I696" s="67" cm="1">
        <f t="array" ref="I696">_xlfn.IFS($G696=$G$5,I$5,$G696=$G$6,I$6,$G696=$G$7,I$7,$G696=$G$8,I$8,$G696=$G$9,I$9,$G696=$G$10,I$10,$G696=$G$11,I$11,$G696=$G$12,I$12,$G696=$G$13,I$13,$G696=$G$15,I$15,$G696=$G$16,I$16,$G696=$G$17,I$17,$G696=$G$18,I$18,$G696=$G$19,I$19,$G696=$G$20,I$20,$G696=$G$21,I$21,$G696=$G$22,I$22,$G696=$G$25,I$25,$G696=$G$26,I$26,$G696=$G$27,I$27,$G696=$G$29,I$29,$G696=$G$31,I$31,$G696=$G$32,I$150,$G696=$G$248,I$248,$G696=$G$250,I$250)</f>
        <v>2.173899</v>
      </c>
      <c r="J696" s="48" cm="1">
        <f t="array" ref="J696">_xlfn.IFS($G696=$G$5,J$5,$G696=$G$6,J$6,$G696=$G$7,J$7,$G696=$G$8,J$8,$G696=$G$9,J$9,$G696=$G$10,J$10,$G696=$G$11,J$11,$G696=$G$12,J$12,$G696=$G$13,J$13,$G696=$G$15,J$15,$G696=$G$16,J$16,$G696=$G$17,J$17,$G696=$G$18,J$18,$G696=$G$19,J$19,$G696=$G$20,J$20,$G696=$G$21,J$21,$G696=$G$22,J$22,$G696=$G$25,J$25,$G696=$G$26,J$26,$G696=$G$27,J$27,$G696=$G$29,J$29,$G696=$G$31,J$31,$G696=$G$32,J$150,$G696=$G$248,J$248,$G696=$G$250,J$250)</f>
        <v>19</v>
      </c>
      <c r="K696" s="48" t="str" cm="1">
        <f t="array" ref="K696">_xlfn.IFS($G696=$G$5,K$5,$G696=$G$6,K$6,$G696=$G$7,K$7,$G696=$G$8,K$8,$G696=$G$9,K$9,$G696=$G$10,K$10,$G696=$G$11,K$11,$G696=$G$12,K$12,$G696=$G$13,K$13,$G696=$G$15,K$15,$G696=$G$16,K$16,$G696=$G$17,K$17,$G696=$G$18,K$18,$G696=$G$19,K$19,$G696=$G$20,K$20,$G696=$G$21,K$21,$G696=$G$22,K$22,$G696=$G$25,K$25,$G696=$G$26,K$26,$G696=$G$27,K$27,$G696=$G$29,K$29,$G696=$G$31,K$31,$G696=$G$32,K$150,$G696=$G$248,K$248,$G696=$G$250,K$250)</f>
        <v>BG sentinel + BG lure7</v>
      </c>
      <c r="L696" s="48"/>
      <c r="M696" s="48"/>
      <c r="O696" s="45" t="str">
        <f t="shared" si="54"/>
        <v>A_SP_BCN_6_210909</v>
      </c>
      <c r="P696" s="64">
        <v>44448</v>
      </c>
      <c r="R696" s="72"/>
      <c r="S696" s="64">
        <v>44455</v>
      </c>
      <c r="U696" s="72"/>
      <c r="V696" s="54" t="s">
        <v>66</v>
      </c>
      <c r="X696" s="45">
        <f t="shared" si="55"/>
        <v>7</v>
      </c>
      <c r="Z696" s="69" t="s">
        <v>69</v>
      </c>
      <c r="AA696" s="45">
        <f t="shared" si="56"/>
        <v>1</v>
      </c>
      <c r="AB696" t="str">
        <f t="shared" si="57"/>
        <v>Adult</v>
      </c>
      <c r="AC696" s="69">
        <v>1</v>
      </c>
      <c r="AD696" s="69">
        <v>0</v>
      </c>
      <c r="AE696" s="45" t="str">
        <f t="shared" si="58"/>
        <v>Morphological</v>
      </c>
      <c r="AF696" s="56">
        <v>4</v>
      </c>
    </row>
    <row r="697" spans="1:32" ht="18" customHeight="1" x14ac:dyDescent="0.25">
      <c r="A697" s="45">
        <v>693</v>
      </c>
      <c r="B697" s="45" t="s">
        <v>60</v>
      </c>
      <c r="C697" s="45" t="s">
        <v>61</v>
      </c>
      <c r="D697" s="45" t="s">
        <v>62</v>
      </c>
      <c r="E697" s="45" t="s">
        <v>62</v>
      </c>
      <c r="F697" s="46" cm="1">
        <f t="array" ref="F697">_xlfn.IFS($G697=$G$5,F$5,$G697=$G$6,F$6,$G697=$G$7,F$7,$G697=$G$8,F$8,$G697=$G$9,F$9,$G697=$G$10,F$10,$G697=$G$11,F$11,$G697=$G$12,F$12,$G697=$G$13,F$13,$G697=$G$15,F$15,$G697=$G$16,F$16,$G697=$G$17,F$17,$G697=$G$18,F$18,$G697=$G$19,F$19,$G697=$G$20,F$20,$G697=$G$21,F$21,$G697=$G$22,F$22,$G697=$G$25,F$25,$G697=$G$26,F$26,$G697=$G$27,F$27,$G697=$G$29,F$29,$G697=$G$31,F$31,$G697=$G$32,F$32,$G697=$G$248,F$248,$G697=$G$250,F$250)</f>
        <v>8038</v>
      </c>
      <c r="G697" t="s">
        <v>74</v>
      </c>
      <c r="H697" s="67" cm="1">
        <f t="array" ref="H697">_xlfn.IFS($G697=$G$5,H$5,$G697=$G$6,H$6,$G697=$G$7,H$7,$G697=$G$8,H$8,$G697=$G$9,H$9,$G697=$G$10,H$10,$G697=$G$11,H$11,$G697=$G$12,H$12,$G697=$G$13,H$13,$G697=$G$15,H$15,$G697=$G$16,H$16,$G697=$G$17,H$17,$G697=$G$18,H$18,$G697=$G$19,H$19,$G697=$G$20,H$20,$G697=$G$21,H$21,$G697=$G$22,H$22,$G697=$G$25,H$25,$G697=$G$26,H$26,$G697=$G$27,H$27,$G697=$G$29,H$29,$G697=$G$31,H$31,$G697=$G$32,H$150,$G697=$G$248,H$248,$G697=$G$250,H$250)</f>
        <v>41.371864000000002</v>
      </c>
      <c r="I697" s="67" cm="1">
        <f t="array" ref="I697">_xlfn.IFS($G697=$G$5,I$5,$G697=$G$6,I$6,$G697=$G$7,I$7,$G697=$G$8,I$8,$G697=$G$9,I$9,$G697=$G$10,I$10,$G697=$G$11,I$11,$G697=$G$12,I$12,$G697=$G$13,I$13,$G697=$G$15,I$15,$G697=$G$16,I$16,$G697=$G$17,I$17,$G697=$G$18,I$18,$G697=$G$19,I$19,$G697=$G$20,I$20,$G697=$G$21,I$21,$G697=$G$22,I$22,$G697=$G$25,I$25,$G697=$G$26,I$26,$G697=$G$27,I$27,$G697=$G$29,I$29,$G697=$G$31,I$31,$G697=$G$32,I$150,$G697=$G$248,I$248,$G697=$G$250,I$250)</f>
        <v>2.173899</v>
      </c>
      <c r="J697" s="48" cm="1">
        <f t="array" ref="J697">_xlfn.IFS($G697=$G$5,J$5,$G697=$G$6,J$6,$G697=$G$7,J$7,$G697=$G$8,J$8,$G697=$G$9,J$9,$G697=$G$10,J$10,$G697=$G$11,J$11,$G697=$G$12,J$12,$G697=$G$13,J$13,$G697=$G$15,J$15,$G697=$G$16,J$16,$G697=$G$17,J$17,$G697=$G$18,J$18,$G697=$G$19,J$19,$G697=$G$20,J$20,$G697=$G$21,J$21,$G697=$G$22,J$22,$G697=$G$25,J$25,$G697=$G$26,J$26,$G697=$G$27,J$27,$G697=$G$29,J$29,$G697=$G$31,J$31,$G697=$G$32,J$150,$G697=$G$248,J$248,$G697=$G$250,J$250)</f>
        <v>5</v>
      </c>
      <c r="K697" s="48" t="str" cm="1">
        <f t="array" ref="K697">_xlfn.IFS($G697=$G$5,K$5,$G697=$G$6,K$6,$G697=$G$7,K$7,$G697=$G$8,K$8,$G697=$G$9,K$9,$G697=$G$10,K$10,$G697=$G$11,K$11,$G697=$G$12,K$12,$G697=$G$13,K$13,$G697=$G$15,K$15,$G697=$G$16,K$16,$G697=$G$17,K$17,$G697=$G$18,K$18,$G697=$G$19,K$19,$G697=$G$20,K$20,$G697=$G$21,K$21,$G697=$G$22,K$22,$G697=$G$25,K$25,$G697=$G$26,K$26,$G697=$G$27,K$27,$G697=$G$29,K$29,$G697=$G$31,K$31,$G697=$G$32,K$150,$G697=$G$248,K$248,$G697=$G$250,K$250)</f>
        <v>BG sentinel + BG lure7</v>
      </c>
      <c r="L697" s="48"/>
      <c r="M697" s="48"/>
      <c r="O697" s="45" t="str">
        <f t="shared" si="54"/>
        <v>A_SP_BCN_7_210909</v>
      </c>
      <c r="P697" s="64">
        <v>44448</v>
      </c>
      <c r="R697" s="72"/>
      <c r="S697" s="64">
        <v>44456</v>
      </c>
      <c r="U697" s="72"/>
      <c r="V697" s="54" t="s">
        <v>66</v>
      </c>
      <c r="X697" s="45">
        <f t="shared" si="55"/>
        <v>8</v>
      </c>
      <c r="Z697" s="69" t="s">
        <v>69</v>
      </c>
      <c r="AA697" s="45">
        <f t="shared" si="56"/>
        <v>22</v>
      </c>
      <c r="AB697" t="str">
        <f t="shared" si="57"/>
        <v>Adult</v>
      </c>
      <c r="AC697" s="69">
        <v>18</v>
      </c>
      <c r="AD697" s="69">
        <v>4</v>
      </c>
      <c r="AE697" s="45" t="str">
        <f t="shared" si="58"/>
        <v>Morphological</v>
      </c>
      <c r="AF697" s="56">
        <v>4</v>
      </c>
    </row>
    <row r="698" spans="1:32" ht="18" customHeight="1" x14ac:dyDescent="0.25">
      <c r="A698" s="45">
        <v>694</v>
      </c>
      <c r="B698" s="45" t="s">
        <v>60</v>
      </c>
      <c r="C698" s="45" t="s">
        <v>61</v>
      </c>
      <c r="D698" s="45" t="s">
        <v>62</v>
      </c>
      <c r="E698" s="45" t="s">
        <v>62</v>
      </c>
      <c r="F698" s="46" cm="1">
        <f t="array" ref="F698">_xlfn.IFS($G698=$G$5,F$5,$G698=$G$6,F$6,$G698=$G$7,F$7,$G698=$G$8,F$8,$G698=$G$9,F$9,$G698=$G$10,F$10,$G698=$G$11,F$11,$G698=$G$12,F$12,$G698=$G$13,F$13,$G698=$G$15,F$15,$G698=$G$16,F$16,$G698=$G$17,F$17,$G698=$G$18,F$18,$G698=$G$19,F$19,$G698=$G$20,F$20,$G698=$G$21,F$21,$G698=$G$22,F$22,$G698=$G$25,F$25,$G698=$G$26,F$26,$G698=$G$27,F$27,$G698=$G$29,F$29,$G698=$G$31,F$31,$G698=$G$32,F$32,$G698=$G$248,F$248,$G698=$G$250,F$250)</f>
        <v>8038</v>
      </c>
      <c r="G698" t="s">
        <v>75</v>
      </c>
      <c r="H698" s="67" cm="1">
        <f t="array" ref="H698">_xlfn.IFS($G698=$G$5,H$5,$G698=$G$6,H$6,$G698=$G$7,H$7,$G698=$G$8,H$8,$G698=$G$9,H$9,$G698=$G$10,H$10,$G698=$G$11,H$11,$G698=$G$12,H$12,$G698=$G$13,H$13,$G698=$G$15,H$15,$G698=$G$16,H$16,$G698=$G$17,H$17,$G698=$G$18,H$18,$G698=$G$19,H$19,$G698=$G$20,H$20,$G698=$G$21,H$21,$G698=$G$22,H$22,$G698=$G$25,H$25,$G698=$G$26,H$26,$G698=$G$27,H$27,$G698=$G$29,H$29,$G698=$G$31,H$31,$G698=$G$32,H$150,$G698=$G$248,H$248,$G698=$G$250,H$250)</f>
        <v>41.368589</v>
      </c>
      <c r="I698" s="67" cm="1">
        <f t="array" ref="I698">_xlfn.IFS($G698=$G$5,I$5,$G698=$G$6,I$6,$G698=$G$7,I$7,$G698=$G$8,I$8,$G698=$G$9,I$9,$G698=$G$10,I$10,$G698=$G$11,I$11,$G698=$G$12,I$12,$G698=$G$13,I$13,$G698=$G$15,I$15,$G698=$G$16,I$16,$G698=$G$17,I$17,$G698=$G$18,I$18,$G698=$G$19,I$19,$G698=$G$20,I$20,$G698=$G$21,I$21,$G698=$G$22,I$22,$G698=$G$25,I$25,$G698=$G$26,I$26,$G698=$G$27,I$27,$G698=$G$29,I$29,$G698=$G$31,I$31,$G698=$G$32,I$150,$G698=$G$248,I$248,$G698=$G$250,I$250)</f>
        <v>2.1620900000000001</v>
      </c>
      <c r="J698" s="48" cm="1">
        <f t="array" ref="J698">_xlfn.IFS($G698=$G$5,J$5,$G698=$G$6,J$6,$G698=$G$7,J$7,$G698=$G$8,J$8,$G698=$G$9,J$9,$G698=$G$10,J$10,$G698=$G$11,J$11,$G698=$G$12,J$12,$G698=$G$13,J$13,$G698=$G$15,J$15,$G698=$G$16,J$16,$G698=$G$17,J$17,$G698=$G$18,J$18,$G698=$G$19,J$19,$G698=$G$20,J$20,$G698=$G$21,J$21,$G698=$G$22,J$22,$G698=$G$25,J$25,$G698=$G$26,J$26,$G698=$G$27,J$27,$G698=$G$29,J$29,$G698=$G$31,J$31,$G698=$G$32,J$150,$G698=$G$248,J$248,$G698=$G$250,J$250)</f>
        <v>95</v>
      </c>
      <c r="K698" s="48" t="str" cm="1">
        <f t="array" ref="K698">_xlfn.IFS($G698=$G$5,K$5,$G698=$G$6,K$6,$G698=$G$7,K$7,$G698=$G$8,K$8,$G698=$G$9,K$9,$G698=$G$10,K$10,$G698=$G$11,K$11,$G698=$G$12,K$12,$G698=$G$13,K$13,$G698=$G$15,K$15,$G698=$G$16,K$16,$G698=$G$17,K$17,$G698=$G$18,K$18,$G698=$G$19,K$19,$G698=$G$20,K$20,$G698=$G$21,K$21,$G698=$G$22,K$22,$G698=$G$25,K$25,$G698=$G$26,K$26,$G698=$G$27,K$27,$G698=$G$29,K$29,$G698=$G$31,K$31,$G698=$G$32,K$150,$G698=$G$248,K$248,$G698=$G$250,K$250)</f>
        <v>BG sentinel + BG lure7</v>
      </c>
      <c r="L698" s="48"/>
      <c r="M698" s="48"/>
      <c r="O698" s="45" t="str">
        <f t="shared" si="54"/>
        <v>A_SP_BCN_8_210909</v>
      </c>
      <c r="P698" s="64">
        <v>44448</v>
      </c>
      <c r="R698" s="72"/>
      <c r="S698" s="64">
        <v>44456</v>
      </c>
      <c r="U698" s="72"/>
      <c r="V698" s="54" t="s">
        <v>66</v>
      </c>
      <c r="W698" t="s">
        <v>135</v>
      </c>
      <c r="X698" s="45">
        <f t="shared" si="55"/>
        <v>8</v>
      </c>
      <c r="Z698" s="69" t="s">
        <v>69</v>
      </c>
      <c r="AA698" s="45">
        <f t="shared" si="56"/>
        <v>24</v>
      </c>
      <c r="AB698" t="str">
        <f t="shared" si="57"/>
        <v>Adult</v>
      </c>
      <c r="AC698" s="69">
        <v>17</v>
      </c>
      <c r="AD698" s="69">
        <v>7</v>
      </c>
      <c r="AE698" s="45" t="str">
        <f t="shared" si="58"/>
        <v>Morphological</v>
      </c>
      <c r="AF698" s="56">
        <v>3</v>
      </c>
    </row>
    <row r="699" spans="1:32" ht="18" customHeight="1" x14ac:dyDescent="0.25">
      <c r="A699" s="45">
        <v>695</v>
      </c>
      <c r="B699" s="45" t="s">
        <v>60</v>
      </c>
      <c r="C699" s="45" t="s">
        <v>61</v>
      </c>
      <c r="D699" s="45" t="s">
        <v>62</v>
      </c>
      <c r="E699" s="45" t="s">
        <v>62</v>
      </c>
      <c r="F699" s="46" cm="1">
        <f t="array" ref="F699">_xlfn.IFS($G699=$G$5,F$5,$G699=$G$6,F$6,$G699=$G$7,F$7,$G699=$G$8,F$8,$G699=$G$9,F$9,$G699=$G$10,F$10,$G699=$G$11,F$11,$G699=$G$12,F$12,$G699=$G$13,F$13,$G699=$G$15,F$15,$G699=$G$16,F$16,$G699=$G$17,F$17,$G699=$G$18,F$18,$G699=$G$19,F$19,$G699=$G$20,F$20,$G699=$G$21,F$21,$G699=$G$22,F$22,$G699=$G$25,F$25,$G699=$G$26,F$26,$G699=$G$27,F$27,$G699=$G$29,F$29,$G699=$G$31,F$31,$G699=$G$32,F$32,$G699=$G$248,F$248,$G699=$G$250,F$250)</f>
        <v>8038</v>
      </c>
      <c r="G699" t="s">
        <v>75</v>
      </c>
      <c r="H699" s="67" cm="1">
        <f t="array" ref="H699">_xlfn.IFS($G699=$G$5,H$5,$G699=$G$6,H$6,$G699=$G$7,H$7,$G699=$G$8,H$8,$G699=$G$9,H$9,$G699=$G$10,H$10,$G699=$G$11,H$11,$G699=$G$12,H$12,$G699=$G$13,H$13,$G699=$G$15,H$15,$G699=$G$16,H$16,$G699=$G$17,H$17,$G699=$G$18,H$18,$G699=$G$19,H$19,$G699=$G$20,H$20,$G699=$G$21,H$21,$G699=$G$22,H$22,$G699=$G$25,H$25,$G699=$G$26,H$26,$G699=$G$27,H$27,$G699=$G$29,H$29,$G699=$G$31,H$31,$G699=$G$32,H$150,$G699=$G$248,H$248,$G699=$G$250,H$250)</f>
        <v>41.368589</v>
      </c>
      <c r="I699" s="67" cm="1">
        <f t="array" ref="I699">_xlfn.IFS($G699=$G$5,I$5,$G699=$G$6,I$6,$G699=$G$7,I$7,$G699=$G$8,I$8,$G699=$G$9,I$9,$G699=$G$10,I$10,$G699=$G$11,I$11,$G699=$G$12,I$12,$G699=$G$13,I$13,$G699=$G$15,I$15,$G699=$G$16,I$16,$G699=$G$17,I$17,$G699=$G$18,I$18,$G699=$G$19,I$19,$G699=$G$20,I$20,$G699=$G$21,I$21,$G699=$G$22,I$22,$G699=$G$25,I$25,$G699=$G$26,I$26,$G699=$G$27,I$27,$G699=$G$29,I$29,$G699=$G$31,I$31,$G699=$G$32,I$150,$G699=$G$248,I$248,$G699=$G$250,I$250)</f>
        <v>2.1620900000000001</v>
      </c>
      <c r="J699" s="48" cm="1">
        <f t="array" ref="J699">_xlfn.IFS($G699=$G$5,J$5,$G699=$G$6,J$6,$G699=$G$7,J$7,$G699=$G$8,J$8,$G699=$G$9,J$9,$G699=$G$10,J$10,$G699=$G$11,J$11,$G699=$G$12,J$12,$G699=$G$13,J$13,$G699=$G$15,J$15,$G699=$G$16,J$16,$G699=$G$17,J$17,$G699=$G$18,J$18,$G699=$G$19,J$19,$G699=$G$20,J$20,$G699=$G$21,J$21,$G699=$G$22,J$22,$G699=$G$25,J$25,$G699=$G$26,J$26,$G699=$G$27,J$27,$G699=$G$29,J$29,$G699=$G$31,J$31,$G699=$G$32,J$150,$G699=$G$248,J$248,$G699=$G$250,J$250)</f>
        <v>95</v>
      </c>
      <c r="K699" s="48" t="str" cm="1">
        <f t="array" ref="K699">_xlfn.IFS($G699=$G$5,K$5,$G699=$G$6,K$6,$G699=$G$7,K$7,$G699=$G$8,K$8,$G699=$G$9,K$9,$G699=$G$10,K$10,$G699=$G$11,K$11,$G699=$G$12,K$12,$G699=$G$13,K$13,$G699=$G$15,K$15,$G699=$G$16,K$16,$G699=$G$17,K$17,$G699=$G$18,K$18,$G699=$G$19,K$19,$G699=$G$20,K$20,$G699=$G$21,K$21,$G699=$G$22,K$22,$G699=$G$25,K$25,$G699=$G$26,K$26,$G699=$G$27,K$27,$G699=$G$29,K$29,$G699=$G$31,K$31,$G699=$G$32,K$150,$G699=$G$248,K$248,$G699=$G$250,K$250)</f>
        <v>BG sentinel + BG lure7</v>
      </c>
      <c r="L699" s="48"/>
      <c r="M699" s="48"/>
      <c r="O699" s="45" t="str">
        <f t="shared" si="54"/>
        <v>A_SP_BCN_8_210909</v>
      </c>
      <c r="P699" s="64">
        <v>44448</v>
      </c>
      <c r="R699" s="72"/>
      <c r="S699" s="64">
        <v>44456</v>
      </c>
      <c r="U699" s="72"/>
      <c r="V699" s="54" t="s">
        <v>66</v>
      </c>
      <c r="W699" t="s">
        <v>135</v>
      </c>
      <c r="X699" s="45">
        <f t="shared" si="55"/>
        <v>8</v>
      </c>
      <c r="Z699" s="45" t="s">
        <v>70</v>
      </c>
      <c r="AA699" s="45">
        <f t="shared" si="56"/>
        <v>3</v>
      </c>
      <c r="AB699" t="str">
        <f t="shared" si="57"/>
        <v>Adult</v>
      </c>
      <c r="AC699" s="69">
        <v>3</v>
      </c>
      <c r="AD699" s="69">
        <v>0</v>
      </c>
      <c r="AE699" s="45" t="str">
        <f t="shared" si="58"/>
        <v>Morphological</v>
      </c>
      <c r="AF699" s="56">
        <v>3</v>
      </c>
    </row>
    <row r="700" spans="1:32" ht="18" customHeight="1" x14ac:dyDescent="0.25">
      <c r="A700" s="45">
        <v>696</v>
      </c>
      <c r="B700" s="45" t="s">
        <v>60</v>
      </c>
      <c r="C700" s="45" t="s">
        <v>61</v>
      </c>
      <c r="D700" s="45" t="s">
        <v>62</v>
      </c>
      <c r="E700" s="45" t="s">
        <v>62</v>
      </c>
      <c r="F700" s="46" cm="1">
        <f t="array" ref="F700">_xlfn.IFS($G700=$G$5,F$5,$G700=$G$6,F$6,$G700=$G$7,F$7,$G700=$G$8,F$8,$G700=$G$9,F$9,$G700=$G$10,F$10,$G700=$G$11,F$11,$G700=$G$12,F$12,$G700=$G$13,F$13,$G700=$G$15,F$15,$G700=$G$16,F$16,$G700=$G$17,F$17,$G700=$G$18,F$18,$G700=$G$19,F$19,$G700=$G$20,F$20,$G700=$G$21,F$21,$G700=$G$22,F$22,$G700=$G$25,F$25,$G700=$G$26,F$26,$G700=$G$27,F$27,$G700=$G$29,F$29,$G700=$G$31,F$31,$G700=$G$32,F$32,$G700=$G$248,F$248,$G700=$G$250,F$250)</f>
        <v>8038</v>
      </c>
      <c r="G700" t="s">
        <v>75</v>
      </c>
      <c r="H700" s="67" cm="1">
        <f t="array" ref="H700">_xlfn.IFS($G700=$G$5,H$5,$G700=$G$6,H$6,$G700=$G$7,H$7,$G700=$G$8,H$8,$G700=$G$9,H$9,$G700=$G$10,H$10,$G700=$G$11,H$11,$G700=$G$12,H$12,$G700=$G$13,H$13,$G700=$G$15,H$15,$G700=$G$16,H$16,$G700=$G$17,H$17,$G700=$G$18,H$18,$G700=$G$19,H$19,$G700=$G$20,H$20,$G700=$G$21,H$21,$G700=$G$22,H$22,$G700=$G$25,H$25,$G700=$G$26,H$26,$G700=$G$27,H$27,$G700=$G$29,H$29,$G700=$G$31,H$31,$G700=$G$32,H$150,$G700=$G$248,H$248,$G700=$G$250,H$250)</f>
        <v>41.368589</v>
      </c>
      <c r="I700" s="67" cm="1">
        <f t="array" ref="I700">_xlfn.IFS($G700=$G$5,I$5,$G700=$G$6,I$6,$G700=$G$7,I$7,$G700=$G$8,I$8,$G700=$G$9,I$9,$G700=$G$10,I$10,$G700=$G$11,I$11,$G700=$G$12,I$12,$G700=$G$13,I$13,$G700=$G$15,I$15,$G700=$G$16,I$16,$G700=$G$17,I$17,$G700=$G$18,I$18,$G700=$G$19,I$19,$G700=$G$20,I$20,$G700=$G$21,I$21,$G700=$G$22,I$22,$G700=$G$25,I$25,$G700=$G$26,I$26,$G700=$G$27,I$27,$G700=$G$29,I$29,$G700=$G$31,I$31,$G700=$G$32,I$150,$G700=$G$248,I$248,$G700=$G$250,I$250)</f>
        <v>2.1620900000000001</v>
      </c>
      <c r="J700" s="48" cm="1">
        <f t="array" ref="J700">_xlfn.IFS($G700=$G$5,J$5,$G700=$G$6,J$6,$G700=$G$7,J$7,$G700=$G$8,J$8,$G700=$G$9,J$9,$G700=$G$10,J$10,$G700=$G$11,J$11,$G700=$G$12,J$12,$G700=$G$13,J$13,$G700=$G$15,J$15,$G700=$G$16,J$16,$G700=$G$17,J$17,$G700=$G$18,J$18,$G700=$G$19,J$19,$G700=$G$20,J$20,$G700=$G$21,J$21,$G700=$G$22,J$22,$G700=$G$25,J$25,$G700=$G$26,J$26,$G700=$G$27,J$27,$G700=$G$29,J$29,$G700=$G$31,J$31,$G700=$G$32,J$150,$G700=$G$248,J$248,$G700=$G$250,J$250)</f>
        <v>95</v>
      </c>
      <c r="K700" s="48" t="str" cm="1">
        <f t="array" ref="K700">_xlfn.IFS($G700=$G$5,K$5,$G700=$G$6,K$6,$G700=$G$7,K$7,$G700=$G$8,K$8,$G700=$G$9,K$9,$G700=$G$10,K$10,$G700=$G$11,K$11,$G700=$G$12,K$12,$G700=$G$13,K$13,$G700=$G$15,K$15,$G700=$G$16,K$16,$G700=$G$17,K$17,$G700=$G$18,K$18,$G700=$G$19,K$19,$G700=$G$20,K$20,$G700=$G$21,K$21,$G700=$G$22,K$22,$G700=$G$25,K$25,$G700=$G$26,K$26,$G700=$G$27,K$27,$G700=$G$29,K$29,$G700=$G$31,K$31,$G700=$G$32,K$150,$G700=$G$248,K$248,$G700=$G$250,K$250)</f>
        <v>BG sentinel + BG lure7</v>
      </c>
      <c r="L700" s="48"/>
      <c r="M700" s="48"/>
      <c r="O700" s="45" t="str">
        <f t="shared" si="54"/>
        <v>A_SP_BCN_8_210909</v>
      </c>
      <c r="P700" s="64">
        <v>44448</v>
      </c>
      <c r="R700" s="72"/>
      <c r="S700" s="64">
        <v>44456</v>
      </c>
      <c r="U700" s="72"/>
      <c r="V700" s="54" t="s">
        <v>66</v>
      </c>
      <c r="W700" t="s">
        <v>135</v>
      </c>
      <c r="X700" s="45">
        <f t="shared" si="55"/>
        <v>8</v>
      </c>
      <c r="Z700" s="45" t="s">
        <v>80</v>
      </c>
      <c r="AA700" s="45">
        <f t="shared" si="56"/>
        <v>1</v>
      </c>
      <c r="AB700" t="str">
        <f t="shared" si="57"/>
        <v>Adult</v>
      </c>
      <c r="AC700" s="69">
        <v>1</v>
      </c>
      <c r="AD700" s="69">
        <v>0</v>
      </c>
      <c r="AE700" s="45" t="str">
        <f t="shared" si="58"/>
        <v>Morphological</v>
      </c>
      <c r="AF700" s="56">
        <v>3</v>
      </c>
    </row>
    <row r="701" spans="1:32" ht="18" customHeight="1" x14ac:dyDescent="0.25">
      <c r="A701" s="45">
        <v>697</v>
      </c>
      <c r="B701" s="45" t="s">
        <v>60</v>
      </c>
      <c r="C701" s="45" t="s">
        <v>61</v>
      </c>
      <c r="D701" s="45" t="s">
        <v>62</v>
      </c>
      <c r="E701" s="45" t="s">
        <v>62</v>
      </c>
      <c r="F701" s="46" cm="1">
        <f t="array" ref="F701">_xlfn.IFS($G701=$G$5,F$5,$G701=$G$6,F$6,$G701=$G$7,F$7,$G701=$G$8,F$8,$G701=$G$9,F$9,$G701=$G$10,F$10,$G701=$G$11,F$11,$G701=$G$12,F$12,$G701=$G$13,F$13,$G701=$G$15,F$15,$G701=$G$16,F$16,$G701=$G$17,F$17,$G701=$G$18,F$18,$G701=$G$19,F$19,$G701=$G$20,F$20,$G701=$G$21,F$21,$G701=$G$22,F$22,$G701=$G$25,F$25,$G701=$G$26,F$26,$G701=$G$27,F$27,$G701=$G$29,F$29,$G701=$G$31,F$31,$G701=$G$32,F$32,$G701=$G$248,F$248,$G701=$G$250,F$250)</f>
        <v>8034</v>
      </c>
      <c r="G701" t="s">
        <v>78</v>
      </c>
      <c r="H701" s="67" cm="1">
        <f t="array" ref="H701">_xlfn.IFS($G701=$G$5,H$5,$G701=$G$6,H$6,$G701=$G$7,H$7,$G701=$G$8,H$8,$G701=$G$9,H$9,$G701=$G$10,H$10,$G701=$G$11,H$11,$G701=$G$12,H$12,$G701=$G$13,H$13,$G701=$G$15,H$15,$G701=$G$16,H$16,$G701=$G$17,H$17,$G701=$G$18,H$18,$G701=$G$19,H$19,$G701=$G$20,H$20,$G701=$G$21,H$21,$G701=$G$22,H$22,$G701=$G$25,H$25,$G701=$G$26,H$26,$G701=$G$27,H$27,$G701=$G$29,H$29,$G701=$G$31,H$31,$G701=$G$32,H$150,$G701=$G$248,H$248,$G701=$G$250,H$250)</f>
        <v>41.393644999999999</v>
      </c>
      <c r="I701" s="67" cm="1">
        <f t="array" ref="I701">_xlfn.IFS($G701=$G$5,I$5,$G701=$G$6,I$6,$G701=$G$7,I$7,$G701=$G$8,I$8,$G701=$G$9,I$9,$G701=$G$10,I$10,$G701=$G$11,I$11,$G701=$G$12,I$12,$G701=$G$13,I$13,$G701=$G$15,I$15,$G701=$G$16,I$16,$G701=$G$17,I$17,$G701=$G$18,I$18,$G701=$G$19,I$19,$G701=$G$20,I$20,$G701=$G$21,I$21,$G701=$G$22,I$22,$G701=$G$25,I$25,$G701=$G$26,I$26,$G701=$G$27,I$27,$G701=$G$29,I$29,$G701=$G$31,I$31,$G701=$G$32,I$150,$G701=$G$248,I$248,$G701=$G$250,I$250)</f>
        <v>2.1216780000000002</v>
      </c>
      <c r="J701" s="48" cm="1">
        <f t="array" ref="J701">_xlfn.IFS($G701=$G$5,J$5,$G701=$G$6,J$6,$G701=$G$7,J$7,$G701=$G$8,J$8,$G701=$G$9,J$9,$G701=$G$10,J$10,$G701=$G$11,J$11,$G701=$G$12,J$12,$G701=$G$13,J$13,$G701=$G$15,J$15,$G701=$G$16,J$16,$G701=$G$17,J$17,$G701=$G$18,J$18,$G701=$G$19,J$19,$G701=$G$20,J$20,$G701=$G$21,J$21,$G701=$G$22,J$22,$G701=$G$25,J$25,$G701=$G$26,J$26,$G701=$G$27,J$27,$G701=$G$29,J$29,$G701=$G$31,J$31,$G701=$G$32,J$150,$G701=$G$248,J$248,$G701=$G$250,J$250)</f>
        <v>98</v>
      </c>
      <c r="K701" s="48" t="str" cm="1">
        <f t="array" ref="K701">_xlfn.IFS($G701=$G$5,K$5,$G701=$G$6,K$6,$G701=$G$7,K$7,$G701=$G$8,K$8,$G701=$G$9,K$9,$G701=$G$10,K$10,$G701=$G$11,K$11,$G701=$G$12,K$12,$G701=$G$13,K$13,$G701=$G$15,K$15,$G701=$G$16,K$16,$G701=$G$17,K$17,$G701=$G$18,K$18,$G701=$G$19,K$19,$G701=$G$20,K$20,$G701=$G$21,K$21,$G701=$G$22,K$22,$G701=$G$25,K$25,$G701=$G$26,K$26,$G701=$G$27,K$27,$G701=$G$29,K$29,$G701=$G$31,K$31,$G701=$G$32,K$150,$G701=$G$248,K$248,$G701=$G$250,K$250)</f>
        <v>BG sentinel + BG lure7</v>
      </c>
      <c r="L701" s="48"/>
      <c r="M701" s="48"/>
      <c r="O701" s="45" t="str">
        <f t="shared" si="54"/>
        <v>A_SP_BCN_9_210908</v>
      </c>
      <c r="P701" s="64">
        <v>44447</v>
      </c>
      <c r="R701" s="72"/>
      <c r="S701" s="64">
        <v>44456</v>
      </c>
      <c r="U701" s="72"/>
      <c r="V701" s="54" t="s">
        <v>66</v>
      </c>
      <c r="X701" s="45">
        <f t="shared" si="55"/>
        <v>9</v>
      </c>
      <c r="Z701" s="69" t="s">
        <v>69</v>
      </c>
      <c r="AA701" s="45">
        <f t="shared" si="56"/>
        <v>7</v>
      </c>
      <c r="AB701" t="str">
        <f t="shared" si="57"/>
        <v>Adult</v>
      </c>
      <c r="AC701" s="69">
        <v>7</v>
      </c>
      <c r="AD701" s="69">
        <v>0</v>
      </c>
      <c r="AE701" s="45" t="str">
        <f t="shared" si="58"/>
        <v>Morphological</v>
      </c>
      <c r="AF701" s="56">
        <v>4</v>
      </c>
    </row>
    <row r="702" spans="1:32" ht="18" customHeight="1" x14ac:dyDescent="0.25">
      <c r="A702" s="45">
        <v>698</v>
      </c>
      <c r="B702" s="45" t="s">
        <v>60</v>
      </c>
      <c r="C702" s="45" t="s">
        <v>61</v>
      </c>
      <c r="D702" s="45" t="s">
        <v>62</v>
      </c>
      <c r="E702" s="45" t="s">
        <v>62</v>
      </c>
      <c r="F702" s="46" cm="1">
        <f t="array" ref="F702">_xlfn.IFS($G702=$G$5,F$5,$G702=$G$6,F$6,$G702=$G$7,F$7,$G702=$G$8,F$8,$G702=$G$9,F$9,$G702=$G$10,F$10,$G702=$G$11,F$11,$G702=$G$12,F$12,$G702=$G$13,F$13,$G702=$G$15,F$15,$G702=$G$16,F$16,$G702=$G$17,F$17,$G702=$G$18,F$18,$G702=$G$19,F$19,$G702=$G$20,F$20,$G702=$G$21,F$21,$G702=$G$22,F$22,$G702=$G$25,F$25,$G702=$G$26,F$26,$G702=$G$27,F$27,$G702=$G$29,F$29,$G702=$G$31,F$31,$G702=$G$32,F$32,$G702=$G$248,F$248,$G702=$G$250,F$250)</f>
        <v>8034</v>
      </c>
      <c r="G702" t="s">
        <v>78</v>
      </c>
      <c r="H702" s="67" cm="1">
        <f t="array" ref="H702">_xlfn.IFS($G702=$G$5,H$5,$G702=$G$6,H$6,$G702=$G$7,H$7,$G702=$G$8,H$8,$G702=$G$9,H$9,$G702=$G$10,H$10,$G702=$G$11,H$11,$G702=$G$12,H$12,$G702=$G$13,H$13,$G702=$G$15,H$15,$G702=$G$16,H$16,$G702=$G$17,H$17,$G702=$G$18,H$18,$G702=$G$19,H$19,$G702=$G$20,H$20,$G702=$G$21,H$21,$G702=$G$22,H$22,$G702=$G$25,H$25,$G702=$G$26,H$26,$G702=$G$27,H$27,$G702=$G$29,H$29,$G702=$G$31,H$31,$G702=$G$32,H$150,$G702=$G$248,H$248,$G702=$G$250,H$250)</f>
        <v>41.393644999999999</v>
      </c>
      <c r="I702" s="67" cm="1">
        <f t="array" ref="I702">_xlfn.IFS($G702=$G$5,I$5,$G702=$G$6,I$6,$G702=$G$7,I$7,$G702=$G$8,I$8,$G702=$G$9,I$9,$G702=$G$10,I$10,$G702=$G$11,I$11,$G702=$G$12,I$12,$G702=$G$13,I$13,$G702=$G$15,I$15,$G702=$G$16,I$16,$G702=$G$17,I$17,$G702=$G$18,I$18,$G702=$G$19,I$19,$G702=$G$20,I$20,$G702=$G$21,I$21,$G702=$G$22,I$22,$G702=$G$25,I$25,$G702=$G$26,I$26,$G702=$G$27,I$27,$G702=$G$29,I$29,$G702=$G$31,I$31,$G702=$G$32,I$150,$G702=$G$248,I$248,$G702=$G$250,I$250)</f>
        <v>2.1216780000000002</v>
      </c>
      <c r="J702" s="48" cm="1">
        <f t="array" ref="J702">_xlfn.IFS($G702=$G$5,J$5,$G702=$G$6,J$6,$G702=$G$7,J$7,$G702=$G$8,J$8,$G702=$G$9,J$9,$G702=$G$10,J$10,$G702=$G$11,J$11,$G702=$G$12,J$12,$G702=$G$13,J$13,$G702=$G$15,J$15,$G702=$G$16,J$16,$G702=$G$17,J$17,$G702=$G$18,J$18,$G702=$G$19,J$19,$G702=$G$20,J$20,$G702=$G$21,J$21,$G702=$G$22,J$22,$G702=$G$25,J$25,$G702=$G$26,J$26,$G702=$G$27,J$27,$G702=$G$29,J$29,$G702=$G$31,J$31,$G702=$G$32,J$150,$G702=$G$248,J$248,$G702=$G$250,J$250)</f>
        <v>98</v>
      </c>
      <c r="K702" s="48" t="str" cm="1">
        <f t="array" ref="K702">_xlfn.IFS($G702=$G$5,K$5,$G702=$G$6,K$6,$G702=$G$7,K$7,$G702=$G$8,K$8,$G702=$G$9,K$9,$G702=$G$10,K$10,$G702=$G$11,K$11,$G702=$G$12,K$12,$G702=$G$13,K$13,$G702=$G$15,K$15,$G702=$G$16,K$16,$G702=$G$17,K$17,$G702=$G$18,K$18,$G702=$G$19,K$19,$G702=$G$20,K$20,$G702=$G$21,K$21,$G702=$G$22,K$22,$G702=$G$25,K$25,$G702=$G$26,K$26,$G702=$G$27,K$27,$G702=$G$29,K$29,$G702=$G$31,K$31,$G702=$G$32,K$150,$G702=$G$248,K$248,$G702=$G$250,K$250)</f>
        <v>BG sentinel + BG lure7</v>
      </c>
      <c r="L702" s="48"/>
      <c r="M702" s="48"/>
      <c r="O702" s="45" t="str">
        <f t="shared" si="54"/>
        <v>A_SP_BCN_9_210908</v>
      </c>
      <c r="P702" s="64">
        <v>44447</v>
      </c>
      <c r="R702" s="72"/>
      <c r="S702" s="64">
        <v>44456</v>
      </c>
      <c r="U702" s="72"/>
      <c r="V702" s="54" t="s">
        <v>66</v>
      </c>
      <c r="X702" s="45">
        <f t="shared" si="55"/>
        <v>9</v>
      </c>
      <c r="Z702" s="45" t="s">
        <v>70</v>
      </c>
      <c r="AA702" s="45">
        <f t="shared" si="56"/>
        <v>1</v>
      </c>
      <c r="AB702" t="str">
        <f t="shared" si="57"/>
        <v>Adult</v>
      </c>
      <c r="AC702" s="69">
        <v>1</v>
      </c>
      <c r="AD702" s="69">
        <v>0</v>
      </c>
      <c r="AE702" s="45" t="str">
        <f t="shared" si="58"/>
        <v>Morphological</v>
      </c>
      <c r="AF702" s="56">
        <v>4</v>
      </c>
    </row>
    <row r="703" spans="1:32" ht="18" customHeight="1" x14ac:dyDescent="0.25">
      <c r="A703" s="45">
        <v>699</v>
      </c>
      <c r="B703" s="45" t="s">
        <v>60</v>
      </c>
      <c r="C703" s="45" t="s">
        <v>61</v>
      </c>
      <c r="D703" s="45" t="s">
        <v>62</v>
      </c>
      <c r="E703" s="45" t="s">
        <v>62</v>
      </c>
      <c r="F703" s="46" cm="1">
        <f t="array" ref="F703">_xlfn.IFS($G703=$G$5,F$5,$G703=$G$6,F$6,$G703=$G$7,F$7,$G703=$G$8,F$8,$G703=$G$9,F$9,$G703=$G$10,F$10,$G703=$G$11,F$11,$G703=$G$12,F$12,$G703=$G$13,F$13,$G703=$G$15,F$15,$G703=$G$16,F$16,$G703=$G$17,F$17,$G703=$G$18,F$18,$G703=$G$19,F$19,$G703=$G$20,F$20,$G703=$G$21,F$21,$G703=$G$22,F$22,$G703=$G$25,F$25,$G703=$G$26,F$26,$G703=$G$27,F$27,$G703=$G$29,F$29,$G703=$G$31,F$31,$G703=$G$32,F$32,$G703=$G$248,F$248,$G703=$G$250,F$250)</f>
        <v>8034</v>
      </c>
      <c r="G703" t="s">
        <v>78</v>
      </c>
      <c r="H703" s="67" cm="1">
        <f t="array" ref="H703">_xlfn.IFS($G703=$G$5,H$5,$G703=$G$6,H$6,$G703=$G$7,H$7,$G703=$G$8,H$8,$G703=$G$9,H$9,$G703=$G$10,H$10,$G703=$G$11,H$11,$G703=$G$12,H$12,$G703=$G$13,H$13,$G703=$G$15,H$15,$G703=$G$16,H$16,$G703=$G$17,H$17,$G703=$G$18,H$18,$G703=$G$19,H$19,$G703=$G$20,H$20,$G703=$G$21,H$21,$G703=$G$22,H$22,$G703=$G$25,H$25,$G703=$G$26,H$26,$G703=$G$27,H$27,$G703=$G$29,H$29,$G703=$G$31,H$31,$G703=$G$32,H$150,$G703=$G$248,H$248,$G703=$G$250,H$250)</f>
        <v>41.393644999999999</v>
      </c>
      <c r="I703" s="67" cm="1">
        <f t="array" ref="I703">_xlfn.IFS($G703=$G$5,I$5,$G703=$G$6,I$6,$G703=$G$7,I$7,$G703=$G$8,I$8,$G703=$G$9,I$9,$G703=$G$10,I$10,$G703=$G$11,I$11,$G703=$G$12,I$12,$G703=$G$13,I$13,$G703=$G$15,I$15,$G703=$G$16,I$16,$G703=$G$17,I$17,$G703=$G$18,I$18,$G703=$G$19,I$19,$G703=$G$20,I$20,$G703=$G$21,I$21,$G703=$G$22,I$22,$G703=$G$25,I$25,$G703=$G$26,I$26,$G703=$G$27,I$27,$G703=$G$29,I$29,$G703=$G$31,I$31,$G703=$G$32,I$150,$G703=$G$248,I$248,$G703=$G$250,I$250)</f>
        <v>2.1216780000000002</v>
      </c>
      <c r="J703" s="48" cm="1">
        <f t="array" ref="J703">_xlfn.IFS($G703=$G$5,J$5,$G703=$G$6,J$6,$G703=$G$7,J$7,$G703=$G$8,J$8,$G703=$G$9,J$9,$G703=$G$10,J$10,$G703=$G$11,J$11,$G703=$G$12,J$12,$G703=$G$13,J$13,$G703=$G$15,J$15,$G703=$G$16,J$16,$G703=$G$17,J$17,$G703=$G$18,J$18,$G703=$G$19,J$19,$G703=$G$20,J$20,$G703=$G$21,J$21,$G703=$G$22,J$22,$G703=$G$25,J$25,$G703=$G$26,J$26,$G703=$G$27,J$27,$G703=$G$29,J$29,$G703=$G$31,J$31,$G703=$G$32,J$150,$G703=$G$248,J$248,$G703=$G$250,J$250)</f>
        <v>98</v>
      </c>
      <c r="K703" s="48" t="str" cm="1">
        <f t="array" ref="K703">_xlfn.IFS($G703=$G$5,K$5,$G703=$G$6,K$6,$G703=$G$7,K$7,$G703=$G$8,K$8,$G703=$G$9,K$9,$G703=$G$10,K$10,$G703=$G$11,K$11,$G703=$G$12,K$12,$G703=$G$13,K$13,$G703=$G$15,K$15,$G703=$G$16,K$16,$G703=$G$17,K$17,$G703=$G$18,K$18,$G703=$G$19,K$19,$G703=$G$20,K$20,$G703=$G$21,K$21,$G703=$G$22,K$22,$G703=$G$25,K$25,$G703=$G$26,K$26,$G703=$G$27,K$27,$G703=$G$29,K$29,$G703=$G$31,K$31,$G703=$G$32,K$150,$G703=$G$248,K$248,$G703=$G$250,K$250)</f>
        <v>BG sentinel + BG lure7</v>
      </c>
      <c r="L703" s="48"/>
      <c r="M703" s="48"/>
      <c r="O703" s="45" t="str">
        <f t="shared" si="54"/>
        <v>A_SP_BCN_9_210908</v>
      </c>
      <c r="P703" s="64">
        <v>44447</v>
      </c>
      <c r="R703" s="72"/>
      <c r="S703" s="64">
        <v>44456</v>
      </c>
      <c r="U703" s="72"/>
      <c r="V703" s="54" t="s">
        <v>66</v>
      </c>
      <c r="X703" s="45">
        <f t="shared" si="55"/>
        <v>9</v>
      </c>
      <c r="Z703" s="45" t="s">
        <v>80</v>
      </c>
      <c r="AA703" s="45">
        <f t="shared" si="56"/>
        <v>1</v>
      </c>
      <c r="AB703" t="str">
        <f t="shared" si="57"/>
        <v>Adult</v>
      </c>
      <c r="AC703" s="69">
        <v>1</v>
      </c>
      <c r="AD703" s="69">
        <v>0</v>
      </c>
      <c r="AE703" s="45" t="str">
        <f t="shared" si="58"/>
        <v>Morphological</v>
      </c>
      <c r="AF703" s="56">
        <v>4</v>
      </c>
    </row>
    <row r="704" spans="1:32" ht="18" customHeight="1" x14ac:dyDescent="0.25">
      <c r="A704" s="45">
        <v>700</v>
      </c>
      <c r="B704" s="45" t="s">
        <v>60</v>
      </c>
      <c r="C704" s="45" t="s">
        <v>61</v>
      </c>
      <c r="D704" s="45" t="s">
        <v>62</v>
      </c>
      <c r="E704" s="45" t="s">
        <v>62</v>
      </c>
      <c r="F704" s="46" cm="1">
        <f t="array" ref="F704">_xlfn.IFS($G704=$G$5,F$5,$G704=$G$6,F$6,$G704=$G$7,F$7,$G704=$G$8,F$8,$G704=$G$9,F$9,$G704=$G$10,F$10,$G704=$G$11,F$11,$G704=$G$12,F$12,$G704=$G$13,F$13,$G704=$G$15,F$15,$G704=$G$16,F$16,$G704=$G$17,F$17,$G704=$G$18,F$18,$G704=$G$19,F$19,$G704=$G$20,F$20,$G704=$G$21,F$21,$G704=$G$22,F$22,$G704=$G$25,F$25,$G704=$G$26,F$26,$G704=$G$27,F$27,$G704=$G$29,F$29,$G704=$G$31,F$31,$G704=$G$32,F$32,$G704=$G$248,F$248,$G704=$G$250,F$250)</f>
        <v>8040</v>
      </c>
      <c r="G704" t="s">
        <v>81</v>
      </c>
      <c r="H704" s="67" cm="1">
        <f t="array" ref="H704">_xlfn.IFS($G704=$G$5,H$5,$G704=$G$6,H$6,$G704=$G$7,H$7,$G704=$G$8,H$8,$G704=$G$9,H$9,$G704=$G$10,H$10,$G704=$G$11,H$11,$G704=$G$12,H$12,$G704=$G$13,H$13,$G704=$G$15,H$15,$G704=$G$16,H$16,$G704=$G$17,H$17,$G704=$G$18,H$18,$G704=$G$19,H$19,$G704=$G$20,H$20,$G704=$G$21,H$21,$G704=$G$22,H$22,$G704=$G$25,H$25,$G704=$G$26,H$26,$G704=$G$27,H$27,$G704=$G$29,H$29,$G704=$G$31,H$31,$G704=$G$32,H$150,$G704=$G$248,H$248,$G704=$G$250,H$250)</f>
        <v>41.343685000000001</v>
      </c>
      <c r="I704" s="67" cm="1">
        <f t="array" ref="I704">_xlfn.IFS($G704=$G$5,I$5,$G704=$G$6,I$6,$G704=$G$7,I$7,$G704=$G$8,I$8,$G704=$G$9,I$9,$G704=$G$10,I$10,$G704=$G$11,I$11,$G704=$G$12,I$12,$G704=$G$13,I$13,$G704=$G$15,I$15,$G704=$G$16,I$16,$G704=$G$17,I$17,$G704=$G$18,I$18,$G704=$G$19,I$19,$G704=$G$20,I$20,$G704=$G$21,I$21,$G704=$G$22,I$22,$G704=$G$25,I$25,$G704=$G$26,I$26,$G704=$G$27,I$27,$G704=$G$29,I$29,$G704=$G$31,I$31,$G704=$G$32,I$150,$G704=$G$248,I$248,$G704=$G$250,I$250)</f>
        <v>2.1441490000000001</v>
      </c>
      <c r="J704" s="48" cm="1">
        <f t="array" ref="J704">_xlfn.IFS($G704=$G$5,J$5,$G704=$G$6,J$6,$G704=$G$7,J$7,$G704=$G$8,J$8,$G704=$G$9,J$9,$G704=$G$10,J$10,$G704=$G$11,J$11,$G704=$G$12,J$12,$G704=$G$13,J$13,$G704=$G$15,J$15,$G704=$G$16,J$16,$G704=$G$17,J$17,$G704=$G$18,J$18,$G704=$G$19,J$19,$G704=$G$20,J$20,$G704=$G$21,J$21,$G704=$G$22,J$22,$G704=$G$25,J$25,$G704=$G$26,J$26,$G704=$G$27,J$27,$G704=$G$29,J$29,$G704=$G$31,J$31,$G704=$G$32,J$150,$G704=$G$248,J$248,$G704=$G$250,J$250)</f>
        <v>4</v>
      </c>
      <c r="K704" s="48" t="str" cm="1">
        <f t="array" ref="K704">_xlfn.IFS($G704=$G$5,K$5,$G704=$G$6,K$6,$G704=$G$7,K$7,$G704=$G$8,K$8,$G704=$G$9,K$9,$G704=$G$10,K$10,$G704=$G$11,K$11,$G704=$G$12,K$12,$G704=$G$13,K$13,$G704=$G$15,K$15,$G704=$G$16,K$16,$G704=$G$17,K$17,$G704=$G$18,K$18,$G704=$G$19,K$19,$G704=$G$20,K$20,$G704=$G$21,K$21,$G704=$G$22,K$22,$G704=$G$25,K$25,$G704=$G$26,K$26,$G704=$G$27,K$27,$G704=$G$29,K$29,$G704=$G$31,K$31,$G704=$G$32,K$150,$G704=$G$248,K$248,$G704=$G$250,K$250)</f>
        <v>BG sentinel + BG lure7</v>
      </c>
      <c r="L704" s="48"/>
      <c r="M704" s="48"/>
      <c r="O704" s="45" t="str">
        <f t="shared" si="54"/>
        <v>A_SP_BCN_10_210909</v>
      </c>
      <c r="P704" s="64">
        <v>44448</v>
      </c>
      <c r="R704" s="72"/>
      <c r="S704" s="64">
        <v>44456</v>
      </c>
      <c r="U704" s="72"/>
      <c r="V704" s="54" t="s">
        <v>66</v>
      </c>
      <c r="X704" s="45">
        <f t="shared" si="55"/>
        <v>8</v>
      </c>
      <c r="Z704" s="69" t="s">
        <v>69</v>
      </c>
      <c r="AA704" s="45">
        <f t="shared" si="56"/>
        <v>32</v>
      </c>
      <c r="AB704" t="str">
        <f t="shared" si="57"/>
        <v>Adult</v>
      </c>
      <c r="AC704" s="69">
        <v>25</v>
      </c>
      <c r="AD704" s="69">
        <v>7</v>
      </c>
      <c r="AE704" s="45" t="str">
        <f t="shared" si="58"/>
        <v>Morphological</v>
      </c>
      <c r="AF704" s="56">
        <v>4</v>
      </c>
    </row>
    <row r="705" spans="1:32" ht="18" customHeight="1" x14ac:dyDescent="0.25">
      <c r="A705" s="45">
        <v>701</v>
      </c>
      <c r="B705" s="45" t="s">
        <v>60</v>
      </c>
      <c r="C705" s="45" t="s">
        <v>61</v>
      </c>
      <c r="D705" s="45" t="s">
        <v>62</v>
      </c>
      <c r="E705" s="45" t="s">
        <v>62</v>
      </c>
      <c r="F705" s="46" cm="1">
        <f t="array" ref="F705">_xlfn.IFS($G705=$G$5,F$5,$G705=$G$6,F$6,$G705=$G$7,F$7,$G705=$G$8,F$8,$G705=$G$9,F$9,$G705=$G$10,F$10,$G705=$G$11,F$11,$G705=$G$12,F$12,$G705=$G$13,F$13,$G705=$G$15,F$15,$G705=$G$16,F$16,$G705=$G$17,F$17,$G705=$G$18,F$18,$G705=$G$19,F$19,$G705=$G$20,F$20,$G705=$G$21,F$21,$G705=$G$22,F$22,$G705=$G$25,F$25,$G705=$G$26,F$26,$G705=$G$27,F$27,$G705=$G$29,F$29,$G705=$G$31,F$31,$G705=$G$32,F$32,$G705=$G$248,F$248,$G705=$G$250,F$250)</f>
        <v>8040</v>
      </c>
      <c r="G705" t="s">
        <v>81</v>
      </c>
      <c r="H705" s="67" cm="1">
        <f t="array" ref="H705">_xlfn.IFS($G705=$G$5,H$5,$G705=$G$6,H$6,$G705=$G$7,H$7,$G705=$G$8,H$8,$G705=$G$9,H$9,$G705=$G$10,H$10,$G705=$G$11,H$11,$G705=$G$12,H$12,$G705=$G$13,H$13,$G705=$G$15,H$15,$G705=$G$16,H$16,$G705=$G$17,H$17,$G705=$G$18,H$18,$G705=$G$19,H$19,$G705=$G$20,H$20,$G705=$G$21,H$21,$G705=$G$22,H$22,$G705=$G$25,H$25,$G705=$G$26,H$26,$G705=$G$27,H$27,$G705=$G$29,H$29,$G705=$G$31,H$31,$G705=$G$32,H$150,$G705=$G$248,H$248,$G705=$G$250,H$250)</f>
        <v>41.343685000000001</v>
      </c>
      <c r="I705" s="67" cm="1">
        <f t="array" ref="I705">_xlfn.IFS($G705=$G$5,I$5,$G705=$G$6,I$6,$G705=$G$7,I$7,$G705=$G$8,I$8,$G705=$G$9,I$9,$G705=$G$10,I$10,$G705=$G$11,I$11,$G705=$G$12,I$12,$G705=$G$13,I$13,$G705=$G$15,I$15,$G705=$G$16,I$16,$G705=$G$17,I$17,$G705=$G$18,I$18,$G705=$G$19,I$19,$G705=$G$20,I$20,$G705=$G$21,I$21,$G705=$G$22,I$22,$G705=$G$25,I$25,$G705=$G$26,I$26,$G705=$G$27,I$27,$G705=$G$29,I$29,$G705=$G$31,I$31,$G705=$G$32,I$150,$G705=$G$248,I$248,$G705=$G$250,I$250)</f>
        <v>2.1441490000000001</v>
      </c>
      <c r="J705" s="48" cm="1">
        <f t="array" ref="J705">_xlfn.IFS($G705=$G$5,J$5,$G705=$G$6,J$6,$G705=$G$7,J$7,$G705=$G$8,J$8,$G705=$G$9,J$9,$G705=$G$10,J$10,$G705=$G$11,J$11,$G705=$G$12,J$12,$G705=$G$13,J$13,$G705=$G$15,J$15,$G705=$G$16,J$16,$G705=$G$17,J$17,$G705=$G$18,J$18,$G705=$G$19,J$19,$G705=$G$20,J$20,$G705=$G$21,J$21,$G705=$G$22,J$22,$G705=$G$25,J$25,$G705=$G$26,J$26,$G705=$G$27,J$27,$G705=$G$29,J$29,$G705=$G$31,J$31,$G705=$G$32,J$150,$G705=$G$248,J$248,$G705=$G$250,J$250)</f>
        <v>4</v>
      </c>
      <c r="K705" s="48" t="str" cm="1">
        <f t="array" ref="K705">_xlfn.IFS($G705=$G$5,K$5,$G705=$G$6,K$6,$G705=$G$7,K$7,$G705=$G$8,K$8,$G705=$G$9,K$9,$G705=$G$10,K$10,$G705=$G$11,K$11,$G705=$G$12,K$12,$G705=$G$13,K$13,$G705=$G$15,K$15,$G705=$G$16,K$16,$G705=$G$17,K$17,$G705=$G$18,K$18,$G705=$G$19,K$19,$G705=$G$20,K$20,$G705=$G$21,K$21,$G705=$G$22,K$22,$G705=$G$25,K$25,$G705=$G$26,K$26,$G705=$G$27,K$27,$G705=$G$29,K$29,$G705=$G$31,K$31,$G705=$G$32,K$150,$G705=$G$248,K$248,$G705=$G$250,K$250)</f>
        <v>BG sentinel + BG lure7</v>
      </c>
      <c r="L705" s="48"/>
      <c r="M705" s="48"/>
      <c r="O705" s="45" t="str">
        <f t="shared" si="54"/>
        <v>A_SP_BCN_10_210909</v>
      </c>
      <c r="P705" s="64">
        <v>44448</v>
      </c>
      <c r="R705" s="72"/>
      <c r="S705" s="64">
        <v>44456</v>
      </c>
      <c r="U705" s="72"/>
      <c r="V705" s="54" t="s">
        <v>66</v>
      </c>
      <c r="X705" s="45">
        <f t="shared" si="55"/>
        <v>8</v>
      </c>
      <c r="Z705" s="45" t="s">
        <v>70</v>
      </c>
      <c r="AA705" s="45">
        <f t="shared" si="56"/>
        <v>4</v>
      </c>
      <c r="AB705" t="str">
        <f t="shared" si="57"/>
        <v>Adult</v>
      </c>
      <c r="AC705" s="69">
        <v>2</v>
      </c>
      <c r="AD705" s="69">
        <v>2</v>
      </c>
      <c r="AE705" s="45" t="str">
        <f t="shared" si="58"/>
        <v>Morphological</v>
      </c>
      <c r="AF705" s="56">
        <v>4</v>
      </c>
    </row>
    <row r="706" spans="1:32" ht="18" customHeight="1" x14ac:dyDescent="0.25">
      <c r="A706" s="45">
        <v>702</v>
      </c>
      <c r="B706" s="45" t="s">
        <v>60</v>
      </c>
      <c r="C706" s="45" t="s">
        <v>61</v>
      </c>
      <c r="D706" s="45" t="s">
        <v>62</v>
      </c>
      <c r="E706" s="45" t="s">
        <v>62</v>
      </c>
      <c r="F706" s="46" cm="1">
        <f t="array" ref="F706">_xlfn.IFS($G706=$G$5,F$5,$G706=$G$6,F$6,$G706=$G$7,F$7,$G706=$G$8,F$8,$G706=$G$9,F$9,$G706=$G$10,F$10,$G706=$G$11,F$11,$G706=$G$12,F$12,$G706=$G$13,F$13,$G706=$G$15,F$15,$G706=$G$16,F$16,$G706=$G$17,F$17,$G706=$G$18,F$18,$G706=$G$19,F$19,$G706=$G$20,F$20,$G706=$G$21,F$21,$G706=$G$22,F$22,$G706=$G$25,F$25,$G706=$G$26,F$26,$G706=$G$27,F$27,$G706=$G$29,F$29,$G706=$G$31,F$31,$G706=$G$32,F$32,$G706=$G$248,F$248,$G706=$G$250,F$250)</f>
        <v>8038</v>
      </c>
      <c r="G706" t="s">
        <v>82</v>
      </c>
      <c r="H706" s="67" cm="1">
        <f t="array" ref="H706">_xlfn.IFS($G706=$G$5,H$5,$G706=$G$6,H$6,$G706=$G$7,H$7,$G706=$G$8,H$8,$G706=$G$9,H$9,$G706=$G$10,H$10,$G706=$G$11,H$11,$G706=$G$12,H$12,$G706=$G$13,H$13,$G706=$G$15,H$15,$G706=$G$16,H$16,$G706=$G$17,H$17,$G706=$G$18,H$18,$G706=$G$19,H$19,$G706=$G$20,H$20,$G706=$G$21,H$21,$G706=$G$22,H$22,$G706=$G$25,H$25,$G706=$G$26,H$26,$G706=$G$27,H$27,$G706=$G$29,H$29,$G706=$G$31,H$31,$G706=$G$32,H$150,$G706=$G$248,H$248,$G706=$G$250,H$250)</f>
        <v>41.367429999999999</v>
      </c>
      <c r="I706" s="67" cm="1">
        <f t="array" ref="I706">_xlfn.IFS($G706=$G$5,I$5,$G706=$G$6,I$6,$G706=$G$7,I$7,$G706=$G$8,I$8,$G706=$G$9,I$9,$G706=$G$10,I$10,$G706=$G$11,I$11,$G706=$G$12,I$12,$G706=$G$13,I$13,$G706=$G$15,I$15,$G706=$G$16,I$16,$G706=$G$17,I$17,$G706=$G$18,I$18,$G706=$G$19,I$19,$G706=$G$20,I$20,$G706=$G$21,I$21,$G706=$G$22,I$22,$G706=$G$25,I$25,$G706=$G$26,I$26,$G706=$G$27,I$27,$G706=$G$29,I$29,$G706=$G$31,I$31,$G706=$G$32,I$150,$G706=$G$248,I$248,$G706=$G$250,I$250)</f>
        <v>2.1569609999999999</v>
      </c>
      <c r="J706" s="48" cm="1">
        <f t="array" ref="J706">_xlfn.IFS($G706=$G$5,J$5,$G706=$G$6,J$6,$G706=$G$7,J$7,$G706=$G$8,J$8,$G706=$G$9,J$9,$G706=$G$10,J$10,$G706=$G$11,J$11,$G706=$G$12,J$12,$G706=$G$13,J$13,$G706=$G$15,J$15,$G706=$G$16,J$16,$G706=$G$17,J$17,$G706=$G$18,J$18,$G706=$G$19,J$19,$G706=$G$20,J$20,$G706=$G$21,J$21,$G706=$G$22,J$22,$G706=$G$25,J$25,$G706=$G$26,J$26,$G706=$G$27,J$27,$G706=$G$29,J$29,$G706=$G$31,J$31,$G706=$G$32,J$150,$G706=$G$248,J$248,$G706=$G$250,J$250)</f>
        <v>91</v>
      </c>
      <c r="K706" s="48" t="str" cm="1">
        <f t="array" ref="K706">_xlfn.IFS($G706=$G$5,K$5,$G706=$G$6,K$6,$G706=$G$7,K$7,$G706=$G$8,K$8,$G706=$G$9,K$9,$G706=$G$10,K$10,$G706=$G$11,K$11,$G706=$G$12,K$12,$G706=$G$13,K$13,$G706=$G$15,K$15,$G706=$G$16,K$16,$G706=$G$17,K$17,$G706=$G$18,K$18,$G706=$G$19,K$19,$G706=$G$20,K$20,$G706=$G$21,K$21,$G706=$G$22,K$22,$G706=$G$25,K$25,$G706=$G$26,K$26,$G706=$G$27,K$27,$G706=$G$29,K$29,$G706=$G$31,K$31,$G706=$G$32,K$150,$G706=$G$248,K$248,$G706=$G$250,K$250)</f>
        <v>BG sentinel + BG lure7</v>
      </c>
      <c r="L706" s="48"/>
      <c r="M706" s="48"/>
      <c r="O706" s="45" t="str">
        <f t="shared" si="54"/>
        <v>A_SP_BCN_11_210909</v>
      </c>
      <c r="P706" s="64">
        <v>44448</v>
      </c>
      <c r="R706" s="72"/>
      <c r="S706" s="64">
        <v>44456</v>
      </c>
      <c r="U706" s="72"/>
      <c r="V706" s="54" t="s">
        <v>154</v>
      </c>
      <c r="X706" s="45">
        <f t="shared" si="55"/>
        <v>8</v>
      </c>
      <c r="AA706" s="45"/>
      <c r="AB706" t="str">
        <f t="shared" si="57"/>
        <v/>
      </c>
      <c r="AE706" s="45" t="str">
        <f t="shared" si="58"/>
        <v/>
      </c>
      <c r="AF706" s="56">
        <v>1</v>
      </c>
    </row>
    <row r="707" spans="1:32" ht="18" customHeight="1" x14ac:dyDescent="0.25">
      <c r="A707" s="45">
        <v>703</v>
      </c>
      <c r="B707" s="45" t="s">
        <v>60</v>
      </c>
      <c r="C707" s="45" t="s">
        <v>61</v>
      </c>
      <c r="D707" s="45" t="s">
        <v>62</v>
      </c>
      <c r="E707" s="45" t="s">
        <v>62</v>
      </c>
      <c r="F707" s="46" cm="1">
        <f t="array" ref="F707">_xlfn.IFS($G707=$G$5,F$5,$G707=$G$6,F$6,$G707=$G$7,F$7,$G707=$G$8,F$8,$G707=$G$9,F$9,$G707=$G$10,F$10,$G707=$G$11,F$11,$G707=$G$12,F$12,$G707=$G$13,F$13,$G707=$G$15,F$15,$G707=$G$16,F$16,$G707=$G$17,F$17,$G707=$G$18,F$18,$G707=$G$19,F$19,$G707=$G$20,F$20,$G707=$G$21,F$21,$G707=$G$22,F$22,$G707=$G$25,F$25,$G707=$G$26,F$26,$G707=$G$27,F$27,$G707=$G$29,F$29,$G707=$G$31,F$31,$G707=$G$32,F$32,$G707=$G$248,F$248,$G707=$G$250,F$250)</f>
        <v>8038</v>
      </c>
      <c r="G707" t="s">
        <v>84</v>
      </c>
      <c r="H707" s="67" cm="1">
        <f t="array" ref="H707">_xlfn.IFS($G707=$G$5,H$5,$G707=$G$6,H$6,$G707=$G$7,H$7,$G707=$G$8,H$8,$G707=$G$9,H$9,$G707=$G$10,H$10,$G707=$G$11,H$11,$G707=$G$12,H$12,$G707=$G$13,H$13,$G707=$G$15,H$15,$G707=$G$16,H$16,$G707=$G$17,H$17,$G707=$G$18,H$18,$G707=$G$19,H$19,$G707=$G$20,H$20,$G707=$G$21,H$21,$G707=$G$22,H$22,$G707=$G$25,H$25,$G707=$G$26,H$26,$G707=$G$27,H$27,$G707=$G$29,H$29,$G707=$G$31,H$31,$G707=$G$32,H$150,$G707=$G$248,H$248,$G707=$G$250,H$250)</f>
        <v>41.363377999999997</v>
      </c>
      <c r="I707" s="67" cm="1">
        <f t="array" ref="I707">_xlfn.IFS($G707=$G$5,I$5,$G707=$G$6,I$6,$G707=$G$7,I$7,$G707=$G$8,I$8,$G707=$G$9,I$9,$G707=$G$10,I$10,$G707=$G$11,I$11,$G707=$G$12,I$12,$G707=$G$13,I$13,$G707=$G$15,I$15,$G707=$G$16,I$16,$G707=$G$17,I$17,$G707=$G$18,I$18,$G707=$G$19,I$19,$G707=$G$20,I$20,$G707=$G$21,I$21,$G707=$G$22,I$22,$G707=$G$25,I$25,$G707=$G$26,I$26,$G707=$G$27,I$27,$G707=$G$29,I$29,$G707=$G$31,I$31,$G707=$G$32,I$150,$G707=$G$248,I$248,$G707=$G$250,I$250)</f>
        <v>2.164879</v>
      </c>
      <c r="J707" s="48" cm="1">
        <f t="array" ref="J707">_xlfn.IFS($G707=$G$5,J$5,$G707=$G$6,J$6,$G707=$G$7,J$7,$G707=$G$8,J$8,$G707=$G$9,J$9,$G707=$G$10,J$10,$G707=$G$11,J$11,$G707=$G$12,J$12,$G707=$G$13,J$13,$G707=$G$15,J$15,$G707=$G$16,J$16,$G707=$G$17,J$17,$G707=$G$18,J$18,$G707=$G$19,J$19,$G707=$G$20,J$20,$G707=$G$21,J$21,$G707=$G$22,J$22,$G707=$G$25,J$25,$G707=$G$26,J$26,$G707=$G$27,J$27,$G707=$G$29,J$29,$G707=$G$31,J$31,$G707=$G$32,J$150,$G707=$G$248,J$248,$G707=$G$250,J$250)</f>
        <v>185</v>
      </c>
      <c r="K707" s="48" t="str" cm="1">
        <f t="array" ref="K707">_xlfn.IFS($G707=$G$5,K$5,$G707=$G$6,K$6,$G707=$G$7,K$7,$G707=$G$8,K$8,$G707=$G$9,K$9,$G707=$G$10,K$10,$G707=$G$11,K$11,$G707=$G$12,K$12,$G707=$G$13,K$13,$G707=$G$15,K$15,$G707=$G$16,K$16,$G707=$G$17,K$17,$G707=$G$18,K$18,$G707=$G$19,K$19,$G707=$G$20,K$20,$G707=$G$21,K$21,$G707=$G$22,K$22,$G707=$G$25,K$25,$G707=$G$26,K$26,$G707=$G$27,K$27,$G707=$G$29,K$29,$G707=$G$31,K$31,$G707=$G$32,K$150,$G707=$G$248,K$248,$G707=$G$250,K$250)</f>
        <v>BG sentinel + BG lure7</v>
      </c>
      <c r="L707" s="48"/>
      <c r="M707" s="48"/>
      <c r="O707" s="45" t="str">
        <f t="shared" si="54"/>
        <v>A_SP_BCN_12_210909</v>
      </c>
      <c r="P707" s="64">
        <v>44448</v>
      </c>
      <c r="R707" s="72"/>
      <c r="S707" s="64">
        <v>44456</v>
      </c>
      <c r="U707" s="72"/>
      <c r="V707" s="54" t="s">
        <v>66</v>
      </c>
      <c r="W707" t="s">
        <v>135</v>
      </c>
      <c r="X707" s="45">
        <f t="shared" si="55"/>
        <v>8</v>
      </c>
      <c r="Z707" s="69" t="s">
        <v>69</v>
      </c>
      <c r="AA707" s="45">
        <f t="shared" ref="AA707:AA1042" si="59">SUM(AC707:AD707)</f>
        <v>36</v>
      </c>
      <c r="AB707" t="str">
        <f t="shared" si="57"/>
        <v>Adult</v>
      </c>
      <c r="AC707" s="69">
        <v>32</v>
      </c>
      <c r="AD707" s="69">
        <v>4</v>
      </c>
      <c r="AE707" s="45" t="str">
        <f t="shared" si="58"/>
        <v>Morphological</v>
      </c>
      <c r="AF707" s="56">
        <v>3</v>
      </c>
    </row>
    <row r="708" spans="1:32" ht="18" customHeight="1" x14ac:dyDescent="0.25">
      <c r="A708" s="45">
        <v>704</v>
      </c>
      <c r="B708" s="45" t="s">
        <v>60</v>
      </c>
      <c r="C708" s="45" t="s">
        <v>61</v>
      </c>
      <c r="D708" s="45" t="s">
        <v>62</v>
      </c>
      <c r="E708" s="45" t="s">
        <v>62</v>
      </c>
      <c r="F708" s="46" cm="1">
        <f t="array" ref="F708">_xlfn.IFS($G708=$G$5,F$5,$G708=$G$6,F$6,$G708=$G$7,F$7,$G708=$G$8,F$8,$G708=$G$9,F$9,$G708=$G$10,F$10,$G708=$G$11,F$11,$G708=$G$12,F$12,$G708=$G$13,F$13,$G708=$G$15,F$15,$G708=$G$16,F$16,$G708=$G$17,F$17,$G708=$G$18,F$18,$G708=$G$19,F$19,$G708=$G$20,F$20,$G708=$G$21,F$21,$G708=$G$22,F$22,$G708=$G$25,F$25,$G708=$G$26,F$26,$G708=$G$27,F$27,$G708=$G$29,F$29,$G708=$G$31,F$31,$G708=$G$32,F$32,$G708=$G$248,F$248,$G708=$G$250,F$250)</f>
        <v>8038</v>
      </c>
      <c r="G708" t="s">
        <v>84</v>
      </c>
      <c r="H708" s="67" cm="1">
        <f t="array" ref="H708">_xlfn.IFS($G708=$G$5,H$5,$G708=$G$6,H$6,$G708=$G$7,H$7,$G708=$G$8,H$8,$G708=$G$9,H$9,$G708=$G$10,H$10,$G708=$G$11,H$11,$G708=$G$12,H$12,$G708=$G$13,H$13,$G708=$G$15,H$15,$G708=$G$16,H$16,$G708=$G$17,H$17,$G708=$G$18,H$18,$G708=$G$19,H$19,$G708=$G$20,H$20,$G708=$G$21,H$21,$G708=$G$22,H$22,$G708=$G$25,H$25,$G708=$G$26,H$26,$G708=$G$27,H$27,$G708=$G$29,H$29,$G708=$G$31,H$31,$G708=$G$32,H$150,$G708=$G$248,H$248,$G708=$G$250,H$250)</f>
        <v>41.363377999999997</v>
      </c>
      <c r="I708" s="67" cm="1">
        <f t="array" ref="I708">_xlfn.IFS($G708=$G$5,I$5,$G708=$G$6,I$6,$G708=$G$7,I$7,$G708=$G$8,I$8,$G708=$G$9,I$9,$G708=$G$10,I$10,$G708=$G$11,I$11,$G708=$G$12,I$12,$G708=$G$13,I$13,$G708=$G$15,I$15,$G708=$G$16,I$16,$G708=$G$17,I$17,$G708=$G$18,I$18,$G708=$G$19,I$19,$G708=$G$20,I$20,$G708=$G$21,I$21,$G708=$G$22,I$22,$G708=$G$25,I$25,$G708=$G$26,I$26,$G708=$G$27,I$27,$G708=$G$29,I$29,$G708=$G$31,I$31,$G708=$G$32,I$150,$G708=$G$248,I$248,$G708=$G$250,I$250)</f>
        <v>2.164879</v>
      </c>
      <c r="J708" s="48" cm="1">
        <f t="array" ref="J708">_xlfn.IFS($G708=$G$5,J$5,$G708=$G$6,J$6,$G708=$G$7,J$7,$G708=$G$8,J$8,$G708=$G$9,J$9,$G708=$G$10,J$10,$G708=$G$11,J$11,$G708=$G$12,J$12,$G708=$G$13,J$13,$G708=$G$15,J$15,$G708=$G$16,J$16,$G708=$G$17,J$17,$G708=$G$18,J$18,$G708=$G$19,J$19,$G708=$G$20,J$20,$G708=$G$21,J$21,$G708=$G$22,J$22,$G708=$G$25,J$25,$G708=$G$26,J$26,$G708=$G$27,J$27,$G708=$G$29,J$29,$G708=$G$31,J$31,$G708=$G$32,J$150,$G708=$G$248,J$248,$G708=$G$250,J$250)</f>
        <v>185</v>
      </c>
      <c r="K708" s="48" t="str" cm="1">
        <f t="array" ref="K708">_xlfn.IFS($G708=$G$5,K$5,$G708=$G$6,K$6,$G708=$G$7,K$7,$G708=$G$8,K$8,$G708=$G$9,K$9,$G708=$G$10,K$10,$G708=$G$11,K$11,$G708=$G$12,K$12,$G708=$G$13,K$13,$G708=$G$15,K$15,$G708=$G$16,K$16,$G708=$G$17,K$17,$G708=$G$18,K$18,$G708=$G$19,K$19,$G708=$G$20,K$20,$G708=$G$21,K$21,$G708=$G$22,K$22,$G708=$G$25,K$25,$G708=$G$26,K$26,$G708=$G$27,K$27,$G708=$G$29,K$29,$G708=$G$31,K$31,$G708=$G$32,K$150,$G708=$G$248,K$248,$G708=$G$250,K$250)</f>
        <v>BG sentinel + BG lure7</v>
      </c>
      <c r="L708" s="48"/>
      <c r="M708" s="48"/>
      <c r="O708" s="45" t="str">
        <f t="shared" si="54"/>
        <v>A_SP_BCN_12_210909</v>
      </c>
      <c r="P708" s="64">
        <v>44448</v>
      </c>
      <c r="R708" s="72"/>
      <c r="S708" s="64">
        <v>44456</v>
      </c>
      <c r="U708" s="72"/>
      <c r="V708" s="54" t="s">
        <v>66</v>
      </c>
      <c r="W708" t="s">
        <v>135</v>
      </c>
      <c r="X708" s="45">
        <f t="shared" si="55"/>
        <v>8</v>
      </c>
      <c r="Z708" s="45" t="s">
        <v>70</v>
      </c>
      <c r="AA708" s="45">
        <f t="shared" si="59"/>
        <v>64</v>
      </c>
      <c r="AB708" t="str">
        <f t="shared" si="57"/>
        <v>Adult</v>
      </c>
      <c r="AC708" s="69">
        <v>58</v>
      </c>
      <c r="AD708" s="69">
        <v>6</v>
      </c>
      <c r="AE708" s="45" t="str">
        <f t="shared" si="58"/>
        <v>Morphological</v>
      </c>
      <c r="AF708" s="56">
        <v>3</v>
      </c>
    </row>
    <row r="709" spans="1:32" ht="18" customHeight="1" x14ac:dyDescent="0.25">
      <c r="A709" s="45">
        <v>705</v>
      </c>
      <c r="B709" s="45" t="s">
        <v>60</v>
      </c>
      <c r="C709" s="45" t="s">
        <v>61</v>
      </c>
      <c r="D709" s="45" t="s">
        <v>62</v>
      </c>
      <c r="E709" s="45" t="s">
        <v>62</v>
      </c>
      <c r="F709" s="46" cm="1">
        <f t="array" ref="F709">_xlfn.IFS($G709=$G$5,F$5,$G709=$G$6,F$6,$G709=$G$7,F$7,$G709=$G$8,F$8,$G709=$G$9,F$9,$G709=$G$10,F$10,$G709=$G$11,F$11,$G709=$G$12,F$12,$G709=$G$13,F$13,$G709=$G$15,F$15,$G709=$G$16,F$16,$G709=$G$17,F$17,$G709=$G$18,F$18,$G709=$G$19,F$19,$G709=$G$20,F$20,$G709=$G$21,F$21,$G709=$G$22,F$22,$G709=$G$25,F$25,$G709=$G$26,F$26,$G709=$G$27,F$27,$G709=$G$29,F$29,$G709=$G$31,F$31,$G709=$G$32,F$32,$G709=$G$248,F$248,$G709=$G$250,F$250)</f>
        <v>8038</v>
      </c>
      <c r="G709" t="s">
        <v>84</v>
      </c>
      <c r="H709" s="67" cm="1">
        <f t="array" ref="H709">_xlfn.IFS($G709=$G$5,H$5,$G709=$G$6,H$6,$G709=$G$7,H$7,$G709=$G$8,H$8,$G709=$G$9,H$9,$G709=$G$10,H$10,$G709=$G$11,H$11,$G709=$G$12,H$12,$G709=$G$13,H$13,$G709=$G$15,H$15,$G709=$G$16,H$16,$G709=$G$17,H$17,$G709=$G$18,H$18,$G709=$G$19,H$19,$G709=$G$20,H$20,$G709=$G$21,H$21,$G709=$G$22,H$22,$G709=$G$25,H$25,$G709=$G$26,H$26,$G709=$G$27,H$27,$G709=$G$29,H$29,$G709=$G$31,H$31,$G709=$G$32,H$150,$G709=$G$248,H$248,$G709=$G$250,H$250)</f>
        <v>41.363377999999997</v>
      </c>
      <c r="I709" s="67" cm="1">
        <f t="array" ref="I709">_xlfn.IFS($G709=$G$5,I$5,$G709=$G$6,I$6,$G709=$G$7,I$7,$G709=$G$8,I$8,$G709=$G$9,I$9,$G709=$G$10,I$10,$G709=$G$11,I$11,$G709=$G$12,I$12,$G709=$G$13,I$13,$G709=$G$15,I$15,$G709=$G$16,I$16,$G709=$G$17,I$17,$G709=$G$18,I$18,$G709=$G$19,I$19,$G709=$G$20,I$20,$G709=$G$21,I$21,$G709=$G$22,I$22,$G709=$G$25,I$25,$G709=$G$26,I$26,$G709=$G$27,I$27,$G709=$G$29,I$29,$G709=$G$31,I$31,$G709=$G$32,I$150,$G709=$G$248,I$248,$G709=$G$250,I$250)</f>
        <v>2.164879</v>
      </c>
      <c r="J709" s="48" cm="1">
        <f t="array" ref="J709">_xlfn.IFS($G709=$G$5,J$5,$G709=$G$6,J$6,$G709=$G$7,J$7,$G709=$G$8,J$8,$G709=$G$9,J$9,$G709=$G$10,J$10,$G709=$G$11,J$11,$G709=$G$12,J$12,$G709=$G$13,J$13,$G709=$G$15,J$15,$G709=$G$16,J$16,$G709=$G$17,J$17,$G709=$G$18,J$18,$G709=$G$19,J$19,$G709=$G$20,J$20,$G709=$G$21,J$21,$G709=$G$22,J$22,$G709=$G$25,J$25,$G709=$G$26,J$26,$G709=$G$27,J$27,$G709=$G$29,J$29,$G709=$G$31,J$31,$G709=$G$32,J$150,$G709=$G$248,J$248,$G709=$G$250,J$250)</f>
        <v>185</v>
      </c>
      <c r="K709" s="48" t="str" cm="1">
        <f t="array" ref="K709">_xlfn.IFS($G709=$G$5,K$5,$G709=$G$6,K$6,$G709=$G$7,K$7,$G709=$G$8,K$8,$G709=$G$9,K$9,$G709=$G$10,K$10,$G709=$G$11,K$11,$G709=$G$12,K$12,$G709=$G$13,K$13,$G709=$G$15,K$15,$G709=$G$16,K$16,$G709=$G$17,K$17,$G709=$G$18,K$18,$G709=$G$19,K$19,$G709=$G$20,K$20,$G709=$G$21,K$21,$G709=$G$22,K$22,$G709=$G$25,K$25,$G709=$G$26,K$26,$G709=$G$27,K$27,$G709=$G$29,K$29,$G709=$G$31,K$31,$G709=$G$32,K$150,$G709=$G$248,K$248,$G709=$G$250,K$250)</f>
        <v>BG sentinel + BG lure7</v>
      </c>
      <c r="L709" s="48"/>
      <c r="M709" s="48"/>
      <c r="O709" s="45" t="str">
        <f t="shared" si="54"/>
        <v>A_SP_BCN_12_210909</v>
      </c>
      <c r="P709" s="64">
        <v>44448</v>
      </c>
      <c r="R709" s="72"/>
      <c r="S709" s="64">
        <v>44456</v>
      </c>
      <c r="U709" s="72"/>
      <c r="V709" s="54" t="s">
        <v>66</v>
      </c>
      <c r="W709" t="s">
        <v>135</v>
      </c>
      <c r="X709" s="45">
        <f t="shared" si="55"/>
        <v>8</v>
      </c>
      <c r="Z709" s="45" t="s">
        <v>80</v>
      </c>
      <c r="AA709" s="45">
        <f t="shared" si="59"/>
        <v>3</v>
      </c>
      <c r="AB709" t="str">
        <f t="shared" si="57"/>
        <v>Adult</v>
      </c>
      <c r="AC709" s="69">
        <v>0</v>
      </c>
      <c r="AD709" s="69">
        <v>3</v>
      </c>
      <c r="AE709" s="45" t="str">
        <f t="shared" si="58"/>
        <v>Morphological</v>
      </c>
      <c r="AF709" s="56">
        <v>3</v>
      </c>
    </row>
    <row r="710" spans="1:32" ht="18" customHeight="1" x14ac:dyDescent="0.25">
      <c r="A710" s="45">
        <v>706</v>
      </c>
      <c r="B710" s="45" t="s">
        <v>60</v>
      </c>
      <c r="C710" s="45" t="s">
        <v>61</v>
      </c>
      <c r="D710" s="45" t="s">
        <v>62</v>
      </c>
      <c r="E710" s="45" t="s">
        <v>62</v>
      </c>
      <c r="F710" s="46" cm="1">
        <f t="array" ref="F710">_xlfn.IFS($G710=$G$5,F$5,$G710=$G$6,F$6,$G710=$G$7,F$7,$G710=$G$8,F$8,$G710=$G$9,F$9,$G710=$G$10,F$10,$G710=$G$11,F$11,$G710=$G$12,F$12,$G710=$G$13,F$13,$G710=$G$15,F$15,$G710=$G$16,F$16,$G710=$G$17,F$17,$G710=$G$18,F$18,$G710=$G$19,F$19,$G710=$G$20,F$20,$G710=$G$21,F$21,$G710=$G$22,F$22,$G710=$G$25,F$25,$G710=$G$26,F$26,$G710=$G$27,F$27,$G710=$G$29,F$29,$G710=$G$31,F$31,$G710=$G$32,F$32,$G710=$G$248,F$248,$G710=$G$250,F$250)</f>
        <v>8035</v>
      </c>
      <c r="G710" t="s">
        <v>85</v>
      </c>
      <c r="H710" s="67" cm="1">
        <f t="array" ref="H710">_xlfn.IFS($G710=$G$5,H$5,$G710=$G$6,H$6,$G710=$G$7,H$7,$G710=$G$8,H$8,$G710=$G$9,H$9,$G710=$G$10,H$10,$G710=$G$11,H$11,$G710=$G$12,H$12,$G710=$G$13,H$13,$G710=$G$15,H$15,$G710=$G$16,H$16,$G710=$G$17,H$17,$G710=$G$18,H$18,$G710=$G$19,H$19,$G710=$G$20,H$20,$G710=$G$21,H$21,$G710=$G$22,H$22,$G710=$G$25,H$25,$G710=$G$26,H$26,$G710=$G$27,H$27,$G710=$G$29,H$29,$G710=$G$31,H$31,$G710=$G$32,H$150,$G710=$G$248,H$248,$G710=$G$250,H$250)</f>
        <v>41.434472</v>
      </c>
      <c r="I710" s="67" cm="1">
        <f t="array" ref="I710">_xlfn.IFS($G710=$G$5,I$5,$G710=$G$6,I$6,$G710=$G$7,I$7,$G710=$G$8,I$8,$G710=$G$9,I$9,$G710=$G$10,I$10,$G710=$G$11,I$11,$G710=$G$12,I$12,$G710=$G$13,I$13,$G710=$G$15,I$15,$G710=$G$16,I$16,$G710=$G$17,I$17,$G710=$G$18,I$18,$G710=$G$19,I$19,$G710=$G$20,I$20,$G710=$G$21,I$21,$G710=$G$22,I$22,$G710=$G$25,I$25,$G710=$G$26,I$26,$G710=$G$27,I$27,$G710=$G$29,I$29,$G710=$G$31,I$31,$G710=$G$32,I$150,$G710=$G$248,I$248,$G710=$G$250,I$250)</f>
        <v>2.1315789999999999</v>
      </c>
      <c r="J710" s="48" cm="1">
        <f t="array" ref="J710">_xlfn.IFS($G710=$G$5,J$5,$G710=$G$6,J$6,$G710=$G$7,J$7,$G710=$G$8,J$8,$G710=$G$9,J$9,$G710=$G$10,J$10,$G710=$G$11,J$11,$G710=$G$12,J$12,$G710=$G$13,J$13,$G710=$G$15,J$15,$G710=$G$16,J$16,$G710=$G$17,J$17,$G710=$G$18,J$18,$G710=$G$19,J$19,$G710=$G$20,J$20,$G710=$G$21,J$21,$G710=$G$22,J$22,$G710=$G$25,J$25,$G710=$G$26,J$26,$G710=$G$27,J$27,$G710=$G$29,J$29,$G710=$G$31,J$31,$G710=$G$32,J$150,$G710=$G$248,J$248,$G710=$G$250,J$250)</f>
        <v>365</v>
      </c>
      <c r="K710" s="48" t="str" cm="1">
        <f t="array" ref="K710">_xlfn.IFS($G710=$G$5,K$5,$G710=$G$6,K$6,$G710=$G$7,K$7,$G710=$G$8,K$8,$G710=$G$9,K$9,$G710=$G$10,K$10,$G710=$G$11,K$11,$G710=$G$12,K$12,$G710=$G$13,K$13,$G710=$G$15,K$15,$G710=$G$16,K$16,$G710=$G$17,K$17,$G710=$G$18,K$18,$G710=$G$19,K$19,$G710=$G$20,K$20,$G710=$G$21,K$21,$G710=$G$22,K$22,$G710=$G$25,K$25,$G710=$G$26,K$26,$G710=$G$27,K$27,$G710=$G$29,K$29,$G710=$G$31,K$31,$G710=$G$32,K$150,$G710=$G$248,K$248,$G710=$G$250,K$250)</f>
        <v>BG sentinel + BG lure7</v>
      </c>
      <c r="L710" s="48"/>
      <c r="M710" s="48"/>
      <c r="O710" s="45" t="str">
        <f t="shared" si="54"/>
        <v>A_SP_BCN_13_210908</v>
      </c>
      <c r="P710" s="64">
        <v>44447</v>
      </c>
      <c r="R710" s="72"/>
      <c r="S710" s="64">
        <v>44456</v>
      </c>
      <c r="U710" s="72"/>
      <c r="V710" s="54" t="s">
        <v>66</v>
      </c>
      <c r="X710" s="45">
        <f t="shared" si="55"/>
        <v>9</v>
      </c>
      <c r="Z710" s="69" t="s">
        <v>69</v>
      </c>
      <c r="AA710" s="45">
        <f t="shared" si="59"/>
        <v>1</v>
      </c>
      <c r="AB710" t="str">
        <f t="shared" si="57"/>
        <v>Adult</v>
      </c>
      <c r="AC710" s="69">
        <v>1</v>
      </c>
      <c r="AD710" s="69">
        <v>0</v>
      </c>
      <c r="AE710" s="45" t="str">
        <f t="shared" si="58"/>
        <v>Morphological</v>
      </c>
      <c r="AF710" s="56">
        <v>4</v>
      </c>
    </row>
    <row r="711" spans="1:32" ht="18" customHeight="1" x14ac:dyDescent="0.25">
      <c r="A711" s="45">
        <v>707</v>
      </c>
      <c r="B711" s="45" t="s">
        <v>60</v>
      </c>
      <c r="C711" s="45" t="s">
        <v>61</v>
      </c>
      <c r="D711" s="45" t="s">
        <v>62</v>
      </c>
      <c r="E711" s="45" t="s">
        <v>62</v>
      </c>
      <c r="F711" s="46" cm="1">
        <f t="array" ref="F711">_xlfn.IFS($G711=$G$5,F$5,$G711=$G$6,F$6,$G711=$G$7,F$7,$G711=$G$8,F$8,$G711=$G$9,F$9,$G711=$G$10,F$10,$G711=$G$11,F$11,$G711=$G$12,F$12,$G711=$G$13,F$13,$G711=$G$15,F$15,$G711=$G$16,F$16,$G711=$G$17,F$17,$G711=$G$18,F$18,$G711=$G$19,F$19,$G711=$G$20,F$20,$G711=$G$21,F$21,$G711=$G$22,F$22,$G711=$G$25,F$25,$G711=$G$26,F$26,$G711=$G$27,F$27,$G711=$G$29,F$29,$G711=$G$31,F$31,$G711=$G$32,F$32,$G711=$G$248,F$248,$G711=$G$250,F$250)</f>
        <v>8017</v>
      </c>
      <c r="G711" t="s">
        <v>86</v>
      </c>
      <c r="H711" s="67" cm="1">
        <f t="array" ref="H711">_xlfn.IFS($G711=$G$5,H$5,$G711=$G$6,H$6,$G711=$G$7,H$7,$G711=$G$8,H$8,$G711=$G$9,H$9,$G711=$G$10,H$10,$G711=$G$11,H$11,$G711=$G$12,H$12,$G711=$G$13,H$13,$G711=$G$15,H$15,$G711=$G$16,H$16,$G711=$G$17,H$17,$G711=$G$18,H$18,$G711=$G$19,H$19,$G711=$G$20,H$20,$G711=$G$21,H$21,$G711=$G$22,H$22,$G711=$G$25,H$25,$G711=$G$26,H$26,$G711=$G$27,H$27,$G711=$G$29,H$29,$G711=$G$31,H$31,$G711=$G$32,H$150,$G711=$G$248,H$248,$G711=$G$250,H$250)</f>
        <v>41.428533999999999</v>
      </c>
      <c r="I711" s="67" cm="1">
        <f t="array" ref="I711">_xlfn.IFS($G711=$G$5,I$5,$G711=$G$6,I$6,$G711=$G$7,I$7,$G711=$G$8,I$8,$G711=$G$9,I$9,$G711=$G$10,I$10,$G711=$G$11,I$11,$G711=$G$12,I$12,$G711=$G$13,I$13,$G711=$G$15,I$15,$G711=$G$16,I$16,$G711=$G$17,I$17,$G711=$G$18,I$18,$G711=$G$19,I$19,$G711=$G$20,I$20,$G711=$G$21,I$21,$G711=$G$22,I$22,$G711=$G$25,I$25,$G711=$G$26,I$26,$G711=$G$27,I$27,$G711=$G$29,I$29,$G711=$G$31,I$31,$G711=$G$32,I$150,$G711=$G$248,I$248,$G711=$G$250,I$250)</f>
        <v>2.090954</v>
      </c>
      <c r="J711" s="48" cm="1">
        <f t="array" ref="J711">_xlfn.IFS($G711=$G$5,J$5,$G711=$G$6,J$6,$G711=$G$7,J$7,$G711=$G$8,J$8,$G711=$G$9,J$9,$G711=$G$10,J$10,$G711=$G$11,J$11,$G711=$G$12,J$12,$G711=$G$13,J$13,$G711=$G$15,J$15,$G711=$G$16,J$16,$G711=$G$17,J$17,$G711=$G$18,J$18,$G711=$G$19,J$19,$G711=$G$20,J$20,$G711=$G$21,J$21,$G711=$G$22,J$22,$G711=$G$25,J$25,$G711=$G$26,J$26,$G711=$G$27,J$27,$G711=$G$29,J$29,$G711=$G$31,J$31,$G711=$G$32,J$150,$G711=$G$248,J$248,$G711=$G$250,J$250)</f>
        <v>215</v>
      </c>
      <c r="K711" s="48" t="str" cm="1">
        <f t="array" ref="K711">_xlfn.IFS($G711=$G$5,K$5,$G711=$G$6,K$6,$G711=$G$7,K$7,$G711=$G$8,K$8,$G711=$G$9,K$9,$G711=$G$10,K$10,$G711=$G$11,K$11,$G711=$G$12,K$12,$G711=$G$13,K$13,$G711=$G$15,K$15,$G711=$G$16,K$16,$G711=$G$17,K$17,$G711=$G$18,K$18,$G711=$G$19,K$19,$G711=$G$20,K$20,$G711=$G$21,K$21,$G711=$G$22,K$22,$G711=$G$25,K$25,$G711=$G$26,K$26,$G711=$G$27,K$27,$G711=$G$29,K$29,$G711=$G$31,K$31,$G711=$G$32,K$150,$G711=$G$248,K$248,$G711=$G$250,K$250)</f>
        <v>BG sentinel + BG lure7</v>
      </c>
      <c r="L711" s="48"/>
      <c r="M711" s="48"/>
      <c r="O711" s="45" t="str">
        <f t="shared" si="54"/>
        <v>A_SP_BCN_14_210908</v>
      </c>
      <c r="P711" s="64">
        <v>44447</v>
      </c>
      <c r="R711" s="72"/>
      <c r="S711" s="64">
        <v>44456</v>
      </c>
      <c r="U711" s="72"/>
      <c r="V711" s="54" t="s">
        <v>66</v>
      </c>
      <c r="X711" s="45">
        <f t="shared" si="55"/>
        <v>9</v>
      </c>
      <c r="Z711" s="69" t="s">
        <v>69</v>
      </c>
      <c r="AA711" s="45">
        <f t="shared" si="59"/>
        <v>13</v>
      </c>
      <c r="AB711" t="str">
        <f t="shared" si="57"/>
        <v>Adult</v>
      </c>
      <c r="AC711" s="69">
        <v>12</v>
      </c>
      <c r="AD711" s="69">
        <v>1</v>
      </c>
      <c r="AE711" s="45" t="str">
        <f t="shared" si="58"/>
        <v>Morphological</v>
      </c>
      <c r="AF711" s="56">
        <v>4</v>
      </c>
    </row>
    <row r="712" spans="1:32" ht="18" customHeight="1" x14ac:dyDescent="0.25">
      <c r="A712" s="45">
        <v>708</v>
      </c>
      <c r="B712" s="45" t="s">
        <v>60</v>
      </c>
      <c r="C712" s="45" t="s">
        <v>61</v>
      </c>
      <c r="D712" s="45" t="s">
        <v>62</v>
      </c>
      <c r="E712" s="45" t="s">
        <v>62</v>
      </c>
      <c r="F712" s="46" cm="1">
        <f t="array" ref="F712">_xlfn.IFS($G712=$G$5,F$5,$G712=$G$6,F$6,$G712=$G$7,F$7,$G712=$G$8,F$8,$G712=$G$9,F$9,$G712=$G$10,F$10,$G712=$G$11,F$11,$G712=$G$12,F$12,$G712=$G$13,F$13,$G712=$G$15,F$15,$G712=$G$16,F$16,$G712=$G$17,F$17,$G712=$G$18,F$18,$G712=$G$19,F$19,$G712=$G$20,F$20,$G712=$G$21,F$21,$G712=$G$22,F$22,$G712=$G$25,F$25,$G712=$G$26,F$26,$G712=$G$27,F$27,$G712=$G$29,F$29,$G712=$G$31,F$31,$G712=$G$32,F$32,$G712=$G$248,F$248,$G712=$G$250,F$250)</f>
        <v>8017</v>
      </c>
      <c r="G712" t="s">
        <v>87</v>
      </c>
      <c r="H712" s="67" cm="1">
        <f t="array" ref="H712">_xlfn.IFS($G712=$G$5,H$5,$G712=$G$6,H$6,$G712=$G$7,H$7,$G712=$G$8,H$8,$G712=$G$9,H$9,$G712=$G$10,H$10,$G712=$G$11,H$11,$G712=$G$12,H$12,$G712=$G$13,H$13,$G712=$G$15,H$15,$G712=$G$16,H$16,$G712=$G$17,H$17,$G712=$G$18,H$18,$G712=$G$19,H$19,$G712=$G$20,H$20,$G712=$G$21,H$21,$G712=$G$22,H$22,$G712=$G$25,H$25,$G712=$G$26,H$26,$G712=$G$27,H$27,$G712=$G$29,H$29,$G712=$G$31,H$31,$G712=$G$32,H$150,$G712=$G$248,H$248,$G712=$G$250,H$250)</f>
        <v>41.419471000000001</v>
      </c>
      <c r="I712" s="67" cm="1">
        <f t="array" ref="I712">_xlfn.IFS($G712=$G$5,I$5,$G712=$G$6,I$6,$G712=$G$7,I$7,$G712=$G$8,I$8,$G712=$G$9,I$9,$G712=$G$10,I$10,$G712=$G$11,I$11,$G712=$G$12,I$12,$G712=$G$13,I$13,$G712=$G$15,I$15,$G712=$G$16,I$16,$G712=$G$17,I$17,$G712=$G$18,I$18,$G712=$G$19,I$19,$G712=$G$20,I$20,$G712=$G$21,I$21,$G712=$G$22,I$22,$G712=$G$25,I$25,$G712=$G$26,I$26,$G712=$G$27,I$27,$G712=$G$29,I$29,$G712=$G$31,I$31,$G712=$G$32,I$150,$G712=$G$248,I$248,$G712=$G$250,I$250)</f>
        <v>2.1010149999999999</v>
      </c>
      <c r="J712" s="48" cm="1">
        <f t="array" ref="J712">_xlfn.IFS($G712=$G$5,J$5,$G712=$G$6,J$6,$G712=$G$7,J$7,$G712=$G$8,J$8,$G712=$G$9,J$9,$G712=$G$10,J$10,$G712=$G$11,J$11,$G712=$G$12,J$12,$G712=$G$13,J$13,$G712=$G$15,J$15,$G712=$G$16,J$16,$G712=$G$17,J$17,$G712=$G$18,J$18,$G712=$G$19,J$19,$G712=$G$20,J$20,$G712=$G$21,J$21,$G712=$G$22,J$22,$G712=$G$25,J$25,$G712=$G$26,J$26,$G712=$G$27,J$27,$G712=$G$29,J$29,$G712=$G$31,J$31,$G712=$G$32,J$150,$G712=$G$248,J$248,$G712=$G$250,J$250)</f>
        <v>284</v>
      </c>
      <c r="K712" s="48" t="str" cm="1">
        <f t="array" ref="K712">_xlfn.IFS($G712=$G$5,K$5,$G712=$G$6,K$6,$G712=$G$7,K$7,$G712=$G$8,K$8,$G712=$G$9,K$9,$G712=$G$10,K$10,$G712=$G$11,K$11,$G712=$G$12,K$12,$G712=$G$13,K$13,$G712=$G$15,K$15,$G712=$G$16,K$16,$G712=$G$17,K$17,$G712=$G$18,K$18,$G712=$G$19,K$19,$G712=$G$20,K$20,$G712=$G$21,K$21,$G712=$G$22,K$22,$G712=$G$25,K$25,$G712=$G$26,K$26,$G712=$G$27,K$27,$G712=$G$29,K$29,$G712=$G$31,K$31,$G712=$G$32,K$150,$G712=$G$248,K$248,$G712=$G$250,K$250)</f>
        <v>BG sentinel + BG lure7</v>
      </c>
      <c r="L712" s="48"/>
      <c r="M712" s="48"/>
      <c r="O712" s="45" t="str">
        <f t="shared" si="54"/>
        <v>A_SP_BCN_15_210908</v>
      </c>
      <c r="P712" s="64">
        <v>44447</v>
      </c>
      <c r="R712" s="72"/>
      <c r="S712" s="64">
        <v>44456</v>
      </c>
      <c r="U712" s="72"/>
      <c r="V712" s="54" t="s">
        <v>66</v>
      </c>
      <c r="W712" t="s">
        <v>130</v>
      </c>
      <c r="X712" s="45">
        <f t="shared" si="55"/>
        <v>9</v>
      </c>
      <c r="Z712" s="69" t="s">
        <v>69</v>
      </c>
      <c r="AA712" s="45">
        <f t="shared" si="59"/>
        <v>7</v>
      </c>
      <c r="AB712" t="str">
        <f t="shared" si="57"/>
        <v>Adult</v>
      </c>
      <c r="AC712" s="69">
        <v>6</v>
      </c>
      <c r="AD712" s="69">
        <v>1</v>
      </c>
      <c r="AE712" s="45" t="str">
        <f t="shared" si="58"/>
        <v>Morphological</v>
      </c>
      <c r="AF712" s="56">
        <v>3</v>
      </c>
    </row>
    <row r="713" spans="1:32" ht="18" customHeight="1" x14ac:dyDescent="0.25">
      <c r="A713" s="45">
        <v>709</v>
      </c>
      <c r="B713" s="45" t="s">
        <v>60</v>
      </c>
      <c r="C713" s="45" t="s">
        <v>61</v>
      </c>
      <c r="D713" s="45" t="s">
        <v>62</v>
      </c>
      <c r="E713" s="45" t="s">
        <v>62</v>
      </c>
      <c r="F713" s="46" cm="1">
        <f t="array" ref="F713">_xlfn.IFS($G713=$G$5,F$5,$G713=$G$6,F$6,$G713=$G$7,F$7,$G713=$G$8,F$8,$G713=$G$9,F$9,$G713=$G$10,F$10,$G713=$G$11,F$11,$G713=$G$12,F$12,$G713=$G$13,F$13,$G713=$G$15,F$15,$G713=$G$16,F$16,$G713=$G$17,F$17,$G713=$G$18,F$18,$G713=$G$19,F$19,$G713=$G$20,F$20,$G713=$G$21,F$21,$G713=$G$22,F$22,$G713=$G$25,F$25,$G713=$G$26,F$26,$G713=$G$27,F$27,$G713=$G$29,F$29,$G713=$G$31,F$31,$G713=$G$32,F$32,$G713=$G$248,F$248,$G713=$G$250,F$250)</f>
        <v>8017</v>
      </c>
      <c r="G713" t="s">
        <v>88</v>
      </c>
      <c r="H713" s="67" cm="1">
        <f t="array" ref="H713">_xlfn.IFS($G713=$G$5,H$5,$G713=$G$6,H$6,$G713=$G$7,H$7,$G713=$G$8,H$8,$G713=$G$9,H$9,$G713=$G$10,H$10,$G713=$G$11,H$11,$G713=$G$12,H$12,$G713=$G$13,H$13,$G713=$G$15,H$15,$G713=$G$16,H$16,$G713=$G$17,H$17,$G713=$G$18,H$18,$G713=$G$19,H$19,$G713=$G$20,H$20,$G713=$G$21,H$21,$G713=$G$22,H$22,$G713=$G$25,H$25,$G713=$G$26,H$26,$G713=$G$27,H$27,$G713=$G$29,H$29,$G713=$G$31,H$31,$G713=$G$32,H$150,$G713=$G$248,H$248,$G713=$G$250,H$250)</f>
        <v>41.398387</v>
      </c>
      <c r="I713" s="67" cm="1">
        <f t="array" ref="I713">_xlfn.IFS($G713=$G$5,I$5,$G713=$G$6,I$6,$G713=$G$7,I$7,$G713=$G$8,I$8,$G713=$G$9,I$9,$G713=$G$10,I$10,$G713=$G$11,I$11,$G713=$G$12,I$12,$G713=$G$13,I$13,$G713=$G$15,I$15,$G713=$G$16,I$16,$G713=$G$17,I$17,$G713=$G$18,I$18,$G713=$G$19,I$19,$G713=$G$20,I$20,$G713=$G$21,I$21,$G713=$G$22,I$22,$G713=$G$25,I$25,$G713=$G$26,I$26,$G713=$G$27,I$27,$G713=$G$29,I$29,$G713=$G$31,I$31,$G713=$G$32,I$150,$G713=$G$248,I$248,$G713=$G$250,I$250)</f>
        <v>2.1244429999999999</v>
      </c>
      <c r="J713" s="48" cm="1">
        <f t="array" ref="J713">_xlfn.IFS($G713=$G$5,J$5,$G713=$G$6,J$6,$G713=$G$7,J$7,$G713=$G$8,J$8,$G713=$G$9,J$9,$G713=$G$10,J$10,$G713=$G$11,J$11,$G713=$G$12,J$12,$G713=$G$13,J$13,$G713=$G$15,J$15,$G713=$G$16,J$16,$G713=$G$17,J$17,$G713=$G$18,J$18,$G713=$G$19,J$19,$G713=$G$20,J$20,$G713=$G$21,J$21,$G713=$G$22,J$22,$G713=$G$25,J$25,$G713=$G$26,J$26,$G713=$G$27,J$27,$G713=$G$29,J$29,$G713=$G$31,J$31,$G713=$G$32,J$150,$G713=$G$248,J$248,$G713=$G$250,J$250)</f>
        <v>106</v>
      </c>
      <c r="K713" s="48" t="str" cm="1">
        <f t="array" ref="K713">_xlfn.IFS($G713=$G$5,K$5,$G713=$G$6,K$6,$G713=$G$7,K$7,$G713=$G$8,K$8,$G713=$G$9,K$9,$G713=$G$10,K$10,$G713=$G$11,K$11,$G713=$G$12,K$12,$G713=$G$13,K$13,$G713=$G$15,K$15,$G713=$G$16,K$16,$G713=$G$17,K$17,$G713=$G$18,K$18,$G713=$G$19,K$19,$G713=$G$20,K$20,$G713=$G$21,K$21,$G713=$G$22,K$22,$G713=$G$25,K$25,$G713=$G$26,K$26,$G713=$G$27,K$27,$G713=$G$29,K$29,$G713=$G$31,K$31,$G713=$G$32,K$150,$G713=$G$248,K$248,$G713=$G$250,K$250)</f>
        <v>BG sentinel + BG lure7</v>
      </c>
      <c r="L713" s="48"/>
      <c r="M713" s="48"/>
      <c r="O713" s="45" t="str">
        <f t="shared" si="54"/>
        <v>A_SP_BCN_16_210908</v>
      </c>
      <c r="P713" s="64">
        <v>44447</v>
      </c>
      <c r="R713" s="72"/>
      <c r="S713" s="64">
        <v>44456</v>
      </c>
      <c r="U713" s="72"/>
      <c r="V713" s="54" t="s">
        <v>66</v>
      </c>
      <c r="X713" s="45">
        <f t="shared" si="55"/>
        <v>9</v>
      </c>
      <c r="Z713" s="69" t="s">
        <v>69</v>
      </c>
      <c r="AA713" s="45">
        <f t="shared" si="59"/>
        <v>279</v>
      </c>
      <c r="AB713" t="str">
        <f t="shared" si="57"/>
        <v>Adult</v>
      </c>
      <c r="AC713" s="69">
        <v>136</v>
      </c>
      <c r="AD713" s="69">
        <v>143</v>
      </c>
      <c r="AE713" s="45" t="str">
        <f t="shared" si="58"/>
        <v>Morphological</v>
      </c>
      <c r="AF713" s="56">
        <v>4</v>
      </c>
    </row>
    <row r="714" spans="1:32" ht="18" customHeight="1" x14ac:dyDescent="0.25">
      <c r="A714" s="45">
        <v>710</v>
      </c>
      <c r="B714" s="45" t="s">
        <v>60</v>
      </c>
      <c r="C714" s="45" t="s">
        <v>61</v>
      </c>
      <c r="D714" s="45" t="s">
        <v>62</v>
      </c>
      <c r="E714" s="45" t="s">
        <v>62</v>
      </c>
      <c r="F714" s="46" cm="1">
        <f t="array" ref="F714">_xlfn.IFS($G714=$G$5,F$5,$G714=$G$6,F$6,$G714=$G$7,F$7,$G714=$G$8,F$8,$G714=$G$9,F$9,$G714=$G$10,F$10,$G714=$G$11,F$11,$G714=$G$12,F$12,$G714=$G$13,F$13,$G714=$G$15,F$15,$G714=$G$16,F$16,$G714=$G$17,F$17,$G714=$G$18,F$18,$G714=$G$19,F$19,$G714=$G$20,F$20,$G714=$G$21,F$21,$G714=$G$22,F$22,$G714=$G$25,F$25,$G714=$G$26,F$26,$G714=$G$27,F$27,$G714=$G$29,F$29,$G714=$G$31,F$31,$G714=$G$32,F$32,$G714=$G$248,F$248,$G714=$G$250,F$250)</f>
        <v>8017</v>
      </c>
      <c r="G714" t="s">
        <v>88</v>
      </c>
      <c r="H714" s="67" cm="1">
        <f t="array" ref="H714">_xlfn.IFS($G714=$G$5,H$5,$G714=$G$6,H$6,$G714=$G$7,H$7,$G714=$G$8,H$8,$G714=$G$9,H$9,$G714=$G$10,H$10,$G714=$G$11,H$11,$G714=$G$12,H$12,$G714=$G$13,H$13,$G714=$G$15,H$15,$G714=$G$16,H$16,$G714=$G$17,H$17,$G714=$G$18,H$18,$G714=$G$19,H$19,$G714=$G$20,H$20,$G714=$G$21,H$21,$G714=$G$22,H$22,$G714=$G$25,H$25,$G714=$G$26,H$26,$G714=$G$27,H$27,$G714=$G$29,H$29,$G714=$G$31,H$31,$G714=$G$32,H$150,$G714=$G$248,H$248,$G714=$G$250,H$250)</f>
        <v>41.398387</v>
      </c>
      <c r="I714" s="67" cm="1">
        <f t="array" ref="I714">_xlfn.IFS($G714=$G$5,I$5,$G714=$G$6,I$6,$G714=$G$7,I$7,$G714=$G$8,I$8,$G714=$G$9,I$9,$G714=$G$10,I$10,$G714=$G$11,I$11,$G714=$G$12,I$12,$G714=$G$13,I$13,$G714=$G$15,I$15,$G714=$G$16,I$16,$G714=$G$17,I$17,$G714=$G$18,I$18,$G714=$G$19,I$19,$G714=$G$20,I$20,$G714=$G$21,I$21,$G714=$G$22,I$22,$G714=$G$25,I$25,$G714=$G$26,I$26,$G714=$G$27,I$27,$G714=$G$29,I$29,$G714=$G$31,I$31,$G714=$G$32,I$150,$G714=$G$248,I$248,$G714=$G$250,I$250)</f>
        <v>2.1244429999999999</v>
      </c>
      <c r="J714" s="48" cm="1">
        <f t="array" ref="J714">_xlfn.IFS($G714=$G$5,J$5,$G714=$G$6,J$6,$G714=$G$7,J$7,$G714=$G$8,J$8,$G714=$G$9,J$9,$G714=$G$10,J$10,$G714=$G$11,J$11,$G714=$G$12,J$12,$G714=$G$13,J$13,$G714=$G$15,J$15,$G714=$G$16,J$16,$G714=$G$17,J$17,$G714=$G$18,J$18,$G714=$G$19,J$19,$G714=$G$20,J$20,$G714=$G$21,J$21,$G714=$G$22,J$22,$G714=$G$25,J$25,$G714=$G$26,J$26,$G714=$G$27,J$27,$G714=$G$29,J$29,$G714=$G$31,J$31,$G714=$G$32,J$150,$G714=$G$248,J$248,$G714=$G$250,J$250)</f>
        <v>106</v>
      </c>
      <c r="K714" s="48" t="str" cm="1">
        <f t="array" ref="K714">_xlfn.IFS($G714=$G$5,K$5,$G714=$G$6,K$6,$G714=$G$7,K$7,$G714=$G$8,K$8,$G714=$G$9,K$9,$G714=$G$10,K$10,$G714=$G$11,K$11,$G714=$G$12,K$12,$G714=$G$13,K$13,$G714=$G$15,K$15,$G714=$G$16,K$16,$G714=$G$17,K$17,$G714=$G$18,K$18,$G714=$G$19,K$19,$G714=$G$20,K$20,$G714=$G$21,K$21,$G714=$G$22,K$22,$G714=$G$25,K$25,$G714=$G$26,K$26,$G714=$G$27,K$27,$G714=$G$29,K$29,$G714=$G$31,K$31,$G714=$G$32,K$150,$G714=$G$248,K$248,$G714=$G$250,K$250)</f>
        <v>BG sentinel + BG lure7</v>
      </c>
      <c r="L714" s="48"/>
      <c r="M714" s="48"/>
      <c r="O714" s="45" t="str">
        <f t="shared" si="54"/>
        <v>A_SP_BCN_16_210908</v>
      </c>
      <c r="P714" s="64">
        <v>44447</v>
      </c>
      <c r="R714" s="72"/>
      <c r="S714" s="64">
        <v>44456</v>
      </c>
      <c r="U714" s="72"/>
      <c r="V714" s="54" t="s">
        <v>66</v>
      </c>
      <c r="X714" s="45">
        <f t="shared" si="55"/>
        <v>9</v>
      </c>
      <c r="Z714" s="45" t="s">
        <v>70</v>
      </c>
      <c r="AA714" s="45">
        <f t="shared" si="59"/>
        <v>46</v>
      </c>
      <c r="AB714" t="str">
        <f t="shared" si="57"/>
        <v>Adult</v>
      </c>
      <c r="AC714" s="69">
        <v>14</v>
      </c>
      <c r="AD714" s="69">
        <v>32</v>
      </c>
      <c r="AE714" s="45" t="str">
        <f t="shared" si="58"/>
        <v>Morphological</v>
      </c>
      <c r="AF714" s="56">
        <v>4</v>
      </c>
    </row>
    <row r="715" spans="1:32" ht="18" customHeight="1" x14ac:dyDescent="0.25">
      <c r="A715" s="45">
        <v>711</v>
      </c>
      <c r="B715" s="45" t="s">
        <v>60</v>
      </c>
      <c r="C715" s="45" t="s">
        <v>61</v>
      </c>
      <c r="D715" s="45" t="s">
        <v>62</v>
      </c>
      <c r="E715" s="45" t="s">
        <v>62</v>
      </c>
      <c r="F715" s="46" cm="1">
        <f t="array" ref="F715">_xlfn.IFS($G715=$G$5,F$5,$G715=$G$6,F$6,$G715=$G$7,F$7,$G715=$G$8,F$8,$G715=$G$9,F$9,$G715=$G$10,F$10,$G715=$G$11,F$11,$G715=$G$12,F$12,$G715=$G$13,F$13,$G715=$G$15,F$15,$G715=$G$16,F$16,$G715=$G$17,F$17,$G715=$G$18,F$18,$G715=$G$19,F$19,$G715=$G$20,F$20,$G715=$G$21,F$21,$G715=$G$22,F$22,$G715=$G$25,F$25,$G715=$G$26,F$26,$G715=$G$27,F$27,$G715=$G$29,F$29,$G715=$G$31,F$31,$G715=$G$32,F$32,$G715=$G$248,F$248,$G715=$G$250,F$250)</f>
        <v>8017</v>
      </c>
      <c r="G715" t="s">
        <v>88</v>
      </c>
      <c r="H715" s="67" cm="1">
        <f t="array" ref="H715">_xlfn.IFS($G715=$G$5,H$5,$G715=$G$6,H$6,$G715=$G$7,H$7,$G715=$G$8,H$8,$G715=$G$9,H$9,$G715=$G$10,H$10,$G715=$G$11,H$11,$G715=$G$12,H$12,$G715=$G$13,H$13,$G715=$G$15,H$15,$G715=$G$16,H$16,$G715=$G$17,H$17,$G715=$G$18,H$18,$G715=$G$19,H$19,$G715=$G$20,H$20,$G715=$G$21,H$21,$G715=$G$22,H$22,$G715=$G$25,H$25,$G715=$G$26,H$26,$G715=$G$27,H$27,$G715=$G$29,H$29,$G715=$G$31,H$31,$G715=$G$32,H$150,$G715=$G$248,H$248,$G715=$G$250,H$250)</f>
        <v>41.398387</v>
      </c>
      <c r="I715" s="67" cm="1">
        <f t="array" ref="I715">_xlfn.IFS($G715=$G$5,I$5,$G715=$G$6,I$6,$G715=$G$7,I$7,$G715=$G$8,I$8,$G715=$G$9,I$9,$G715=$G$10,I$10,$G715=$G$11,I$11,$G715=$G$12,I$12,$G715=$G$13,I$13,$G715=$G$15,I$15,$G715=$G$16,I$16,$G715=$G$17,I$17,$G715=$G$18,I$18,$G715=$G$19,I$19,$G715=$G$20,I$20,$G715=$G$21,I$21,$G715=$G$22,I$22,$G715=$G$25,I$25,$G715=$G$26,I$26,$G715=$G$27,I$27,$G715=$G$29,I$29,$G715=$G$31,I$31,$G715=$G$32,I$150,$G715=$G$248,I$248,$G715=$G$250,I$250)</f>
        <v>2.1244429999999999</v>
      </c>
      <c r="J715" s="48" cm="1">
        <f t="array" ref="J715">_xlfn.IFS($G715=$G$5,J$5,$G715=$G$6,J$6,$G715=$G$7,J$7,$G715=$G$8,J$8,$G715=$G$9,J$9,$G715=$G$10,J$10,$G715=$G$11,J$11,$G715=$G$12,J$12,$G715=$G$13,J$13,$G715=$G$15,J$15,$G715=$G$16,J$16,$G715=$G$17,J$17,$G715=$G$18,J$18,$G715=$G$19,J$19,$G715=$G$20,J$20,$G715=$G$21,J$21,$G715=$G$22,J$22,$G715=$G$25,J$25,$G715=$G$26,J$26,$G715=$G$27,J$27,$G715=$G$29,J$29,$G715=$G$31,J$31,$G715=$G$32,J$150,$G715=$G$248,J$248,$G715=$G$250,J$250)</f>
        <v>106</v>
      </c>
      <c r="K715" s="48" t="str" cm="1">
        <f t="array" ref="K715">_xlfn.IFS($G715=$G$5,K$5,$G715=$G$6,K$6,$G715=$G$7,K$7,$G715=$G$8,K$8,$G715=$G$9,K$9,$G715=$G$10,K$10,$G715=$G$11,K$11,$G715=$G$12,K$12,$G715=$G$13,K$13,$G715=$G$15,K$15,$G715=$G$16,K$16,$G715=$G$17,K$17,$G715=$G$18,K$18,$G715=$G$19,K$19,$G715=$G$20,K$20,$G715=$G$21,K$21,$G715=$G$22,K$22,$G715=$G$25,K$25,$G715=$G$26,K$26,$G715=$G$27,K$27,$G715=$G$29,K$29,$G715=$G$31,K$31,$G715=$G$32,K$150,$G715=$G$248,K$248,$G715=$G$250,K$250)</f>
        <v>BG sentinel + BG lure7</v>
      </c>
      <c r="L715" s="48"/>
      <c r="M715" s="48"/>
      <c r="O715" s="45" t="str">
        <f t="shared" si="54"/>
        <v>A_SP_BCN_16_210908</v>
      </c>
      <c r="P715" s="64">
        <v>44447</v>
      </c>
      <c r="R715" s="72"/>
      <c r="S715" s="64">
        <v>44456</v>
      </c>
      <c r="U715" s="72"/>
      <c r="V715" s="54" t="s">
        <v>66</v>
      </c>
      <c r="X715" s="45">
        <f t="shared" si="55"/>
        <v>9</v>
      </c>
      <c r="Z715" s="45" t="s">
        <v>80</v>
      </c>
      <c r="AA715" s="45">
        <f t="shared" si="59"/>
        <v>2</v>
      </c>
      <c r="AB715" t="str">
        <f t="shared" si="57"/>
        <v>Adult</v>
      </c>
      <c r="AC715" s="69">
        <v>1</v>
      </c>
      <c r="AD715" s="69">
        <v>1</v>
      </c>
      <c r="AE715" s="45" t="str">
        <f t="shared" si="58"/>
        <v>Morphological</v>
      </c>
      <c r="AF715" s="56">
        <v>4</v>
      </c>
    </row>
    <row r="716" spans="1:32" ht="18" customHeight="1" x14ac:dyDescent="0.25">
      <c r="A716" s="45">
        <v>712</v>
      </c>
      <c r="B716" s="45" t="s">
        <v>60</v>
      </c>
      <c r="C716" s="45" t="s">
        <v>61</v>
      </c>
      <c r="D716" s="45" t="s">
        <v>62</v>
      </c>
      <c r="E716" s="45" t="s">
        <v>62</v>
      </c>
      <c r="F716" s="46" cm="1">
        <f t="array" ref="F716">_xlfn.IFS($G716=$G$5,F$5,$G716=$G$6,F$6,$G716=$G$7,F$7,$G716=$G$8,F$8,$G716=$G$9,F$9,$G716=$G$10,F$10,$G716=$G$11,F$11,$G716=$G$12,F$12,$G716=$G$13,F$13,$G716=$G$15,F$15,$G716=$G$16,F$16,$G716=$G$17,F$17,$G716=$G$18,F$18,$G716=$G$19,F$19,$G716=$G$20,F$20,$G716=$G$21,F$21,$G716=$G$22,F$22,$G716=$G$25,F$25,$G716=$G$26,F$26,$G716=$G$27,F$27,$G716=$G$29,F$29,$G716=$G$31,F$31,$G716=$G$32,F$32,$G716=$G$248,F$248,$G716=$G$250,F$250)</f>
        <v>8023</v>
      </c>
      <c r="G716" t="s">
        <v>89</v>
      </c>
      <c r="H716" s="67" cm="1">
        <f t="array" ref="H716">_xlfn.IFS($G716=$G$5,H$5,$G716=$G$6,H$6,$G716=$G$7,H$7,$G716=$G$8,H$8,$G716=$G$9,H$9,$G716=$G$10,H$10,$G716=$G$11,H$11,$G716=$G$12,H$12,$G716=$G$13,H$13,$G716=$G$15,H$15,$G716=$G$16,H$16,$G716=$G$17,H$17,$G716=$G$18,H$18,$G716=$G$19,H$19,$G716=$G$20,H$20,$G716=$G$21,H$21,$G716=$G$22,H$22,$G716=$G$25,H$25,$G716=$G$26,H$26,$G716=$G$27,H$27,$G716=$G$29,H$29,$G716=$G$31,H$31,$G716=$G$32,H$150,$G716=$G$248,H$248,$G716=$G$250,H$250)</f>
        <v>41.417256000000002</v>
      </c>
      <c r="I716" s="67" cm="1">
        <f t="array" ref="I716">_xlfn.IFS($G716=$G$5,I$5,$G716=$G$6,I$6,$G716=$G$7,I$7,$G716=$G$8,I$8,$G716=$G$9,I$9,$G716=$G$10,I$10,$G716=$G$11,I$11,$G716=$G$12,I$12,$G716=$G$13,I$13,$G716=$G$15,I$15,$G716=$G$16,I$16,$G716=$G$17,I$17,$G716=$G$18,I$18,$G716=$G$19,I$19,$G716=$G$20,I$20,$G716=$G$21,I$21,$G716=$G$22,I$22,$G716=$G$25,I$25,$G716=$G$26,I$26,$G716=$G$27,I$27,$G716=$G$29,I$29,$G716=$G$31,I$31,$G716=$G$32,I$150,$G716=$G$248,I$248,$G716=$G$250,I$250)</f>
        <v>2.1455709999999999</v>
      </c>
      <c r="J716" s="48" cm="1">
        <f t="array" ref="J716">_xlfn.IFS($G716=$G$5,J$5,$G716=$G$6,J$6,$G716=$G$7,J$7,$G716=$G$8,J$8,$G716=$G$9,J$9,$G716=$G$10,J$10,$G716=$G$11,J$11,$G716=$G$12,J$12,$G716=$G$13,J$13,$G716=$G$15,J$15,$G716=$G$16,J$16,$G716=$G$17,J$17,$G716=$G$18,J$18,$G716=$G$19,J$19,$G716=$G$20,J$20,$G716=$G$21,J$21,$G716=$G$22,J$22,$G716=$G$25,J$25,$G716=$G$26,J$26,$G716=$G$27,J$27,$G716=$G$29,J$29,$G716=$G$31,J$31,$G716=$G$32,J$150,$G716=$G$248,J$248,$G716=$G$250,J$250)</f>
        <v>186</v>
      </c>
      <c r="K716" s="48" t="str" cm="1">
        <f t="array" ref="K716">_xlfn.IFS($G716=$G$5,K$5,$G716=$G$6,K$6,$G716=$G$7,K$7,$G716=$G$8,K$8,$G716=$G$9,K$9,$G716=$G$10,K$10,$G716=$G$11,K$11,$G716=$G$12,K$12,$G716=$G$13,K$13,$G716=$G$15,K$15,$G716=$G$16,K$16,$G716=$G$17,K$17,$G716=$G$18,K$18,$G716=$G$19,K$19,$G716=$G$20,K$20,$G716=$G$21,K$21,$G716=$G$22,K$22,$G716=$G$25,K$25,$G716=$G$26,K$26,$G716=$G$27,K$27,$G716=$G$29,K$29,$G716=$G$31,K$31,$G716=$G$32,K$150,$G716=$G$248,K$248,$G716=$G$250,K$250)</f>
        <v>BG sentinel + BG lure7</v>
      </c>
      <c r="L716" s="48"/>
      <c r="M716" s="48"/>
      <c r="O716" s="45" t="str">
        <f t="shared" si="54"/>
        <v>A_SP_BCN_17_210908</v>
      </c>
      <c r="P716" s="64">
        <v>44447</v>
      </c>
      <c r="R716" s="72"/>
      <c r="S716" s="64">
        <v>44456</v>
      </c>
      <c r="U716" s="72"/>
      <c r="V716" s="54" t="s">
        <v>66</v>
      </c>
      <c r="X716" s="45">
        <f t="shared" si="55"/>
        <v>9</v>
      </c>
      <c r="Z716" s="69" t="s">
        <v>69</v>
      </c>
      <c r="AA716" s="45">
        <f t="shared" si="59"/>
        <v>2</v>
      </c>
      <c r="AB716" t="str">
        <f t="shared" si="57"/>
        <v>Adult</v>
      </c>
      <c r="AC716" s="69">
        <v>2</v>
      </c>
      <c r="AD716" s="69">
        <v>0</v>
      </c>
      <c r="AE716" s="45" t="str">
        <f t="shared" si="58"/>
        <v>Morphological</v>
      </c>
      <c r="AF716" s="56">
        <v>4</v>
      </c>
    </row>
    <row r="717" spans="1:32" ht="18" customHeight="1" x14ac:dyDescent="0.25">
      <c r="A717" s="45">
        <v>713</v>
      </c>
      <c r="B717" s="45" t="s">
        <v>60</v>
      </c>
      <c r="C717" s="45" t="s">
        <v>61</v>
      </c>
      <c r="D717" s="45" t="s">
        <v>62</v>
      </c>
      <c r="E717" s="45" t="s">
        <v>62</v>
      </c>
      <c r="F717" s="46" cm="1">
        <f t="array" ref="F717">_xlfn.IFS($G717=$G$5,F$5,$G717=$G$6,F$6,$G717=$G$7,F$7,$G717=$G$8,F$8,$G717=$G$9,F$9,$G717=$G$10,F$10,$G717=$G$11,F$11,$G717=$G$12,F$12,$G717=$G$13,F$13,$G717=$G$15,F$15,$G717=$G$16,F$16,$G717=$G$17,F$17,$G717=$G$18,F$18,$G717=$G$19,F$19,$G717=$G$20,F$20,$G717=$G$21,F$21,$G717=$G$22,F$22,$G717=$G$25,F$25,$G717=$G$26,F$26,$G717=$G$27,F$27,$G717=$G$29,F$29,$G717=$G$31,F$31,$G717=$G$32,F$32,$G717=$G$248,F$248,$G717=$G$250,F$250)</f>
        <v>8031</v>
      </c>
      <c r="G717" t="s">
        <v>92</v>
      </c>
      <c r="H717" s="67" cm="1">
        <f t="array" ref="H717">_xlfn.IFS($G717=$G$5,H$5,$G717=$G$6,H$6,$G717=$G$7,H$7,$G717=$G$8,H$8,$G717=$G$9,H$9,$G717=$G$10,H$10,$G717=$G$11,H$11,$G717=$G$12,H$12,$G717=$G$13,H$13,$G717=$G$15,H$15,$G717=$G$16,H$16,$G717=$G$17,H$17,$G717=$G$18,H$18,$G717=$G$19,H$19,$G717=$G$20,H$20,$G717=$G$21,H$21,$G717=$G$22,H$22,$G717=$G$25,H$25,$G717=$G$26,H$26,$G717=$G$27,H$27,$G717=$G$29,H$29,$G717=$G$31,H$31,$G717=$G$32,H$150,$G717=$G$248,H$248,$G717=$G$250,H$250)</f>
        <v>41.433618000000003</v>
      </c>
      <c r="I717" s="67" cm="1">
        <f t="array" ref="I717">_xlfn.IFS($G717=$G$5,I$5,$G717=$G$6,I$6,$G717=$G$7,I$7,$G717=$G$8,I$8,$G717=$G$9,I$9,$G717=$G$10,I$10,$G717=$G$11,I$11,$G717=$G$12,I$12,$G717=$G$13,I$13,$G717=$G$15,I$15,$G717=$G$16,I$16,$G717=$G$17,I$17,$G717=$G$18,I$18,$G717=$G$19,I$19,$G717=$G$20,I$20,$G717=$G$21,I$21,$G717=$G$22,I$22,$G717=$G$25,I$25,$G717=$G$26,I$26,$G717=$G$27,I$27,$G717=$G$29,I$29,$G717=$G$31,I$31,$G717=$G$32,I$150,$G717=$G$248,I$248,$G717=$G$250,I$250)</f>
        <v>2.1677469999999999</v>
      </c>
      <c r="J717" s="48" cm="1">
        <f t="array" ref="J717">_xlfn.IFS($G717=$G$5,J$5,$G717=$G$6,J$6,$G717=$G$7,J$7,$G717=$G$8,J$8,$G717=$G$9,J$9,$G717=$G$10,J$10,$G717=$G$11,J$11,$G717=$G$12,J$12,$G717=$G$13,J$13,$G717=$G$15,J$15,$G717=$G$16,J$16,$G717=$G$17,J$17,$G717=$G$18,J$18,$G717=$G$19,J$19,$G717=$G$20,J$20,$G717=$G$21,J$21,$G717=$G$22,J$22,$G717=$G$25,J$25,$G717=$G$26,J$26,$G717=$G$27,J$27,$G717=$G$29,J$29,$G717=$G$31,J$31,$G717=$G$32,J$150,$G717=$G$248,J$248,$G717=$G$250,J$250)</f>
        <v>96.85</v>
      </c>
      <c r="K717" s="48" t="str" cm="1">
        <f t="array" ref="K717">_xlfn.IFS($G717=$G$5,K$5,$G717=$G$6,K$6,$G717=$G$7,K$7,$G717=$G$8,K$8,$G717=$G$9,K$9,$G717=$G$10,K$10,$G717=$G$11,K$11,$G717=$G$12,K$12,$G717=$G$13,K$13,$G717=$G$15,K$15,$G717=$G$16,K$16,$G717=$G$17,K$17,$G717=$G$18,K$18,$G717=$G$19,K$19,$G717=$G$20,K$20,$G717=$G$21,K$21,$G717=$G$22,K$22,$G717=$G$25,K$25,$G717=$G$26,K$26,$G717=$G$27,K$27,$G717=$G$29,K$29,$G717=$G$31,K$31,$G717=$G$32,K$150,$G717=$G$248,K$248,$G717=$G$250,K$250)</f>
        <v>BG sentinel + BG lure7</v>
      </c>
      <c r="L717" s="48"/>
      <c r="M717" s="48"/>
      <c r="O717" s="45" t="str">
        <f t="shared" si="54"/>
        <v>A_SP_BCN_18_210908</v>
      </c>
      <c r="P717" s="64">
        <v>44447</v>
      </c>
      <c r="R717" s="72"/>
      <c r="S717" s="64">
        <v>44454</v>
      </c>
      <c r="U717" s="72"/>
      <c r="V717" s="54" t="s">
        <v>66</v>
      </c>
      <c r="X717" s="45">
        <f t="shared" si="55"/>
        <v>7</v>
      </c>
      <c r="Z717" s="69" t="s">
        <v>69</v>
      </c>
      <c r="AA717" s="45">
        <f t="shared" si="59"/>
        <v>12</v>
      </c>
      <c r="AB717" t="str">
        <f t="shared" si="57"/>
        <v>Adult</v>
      </c>
      <c r="AC717" s="69">
        <v>9</v>
      </c>
      <c r="AD717" s="69">
        <v>3</v>
      </c>
      <c r="AE717" s="45" t="str">
        <f t="shared" si="58"/>
        <v>Morphological</v>
      </c>
      <c r="AF717" s="56">
        <v>4</v>
      </c>
    </row>
    <row r="718" spans="1:32" ht="18" customHeight="1" x14ac:dyDescent="0.25">
      <c r="A718" s="45">
        <v>714</v>
      </c>
      <c r="B718" s="45" t="s">
        <v>60</v>
      </c>
      <c r="C718" s="45" t="s">
        <v>61</v>
      </c>
      <c r="D718" s="45" t="s">
        <v>62</v>
      </c>
      <c r="E718" s="45" t="s">
        <v>62</v>
      </c>
      <c r="F718" s="46" cm="1">
        <f t="array" ref="F718">_xlfn.IFS($G718=$G$5,F$5,$G718=$G$6,F$6,$G718=$G$7,F$7,$G718=$G$8,F$8,$G718=$G$9,F$9,$G718=$G$10,F$10,$G718=$G$11,F$11,$G718=$G$12,F$12,$G718=$G$13,F$13,$G718=$G$15,F$15,$G718=$G$16,F$16,$G718=$G$17,F$17,$G718=$G$18,F$18,$G718=$G$19,F$19,$G718=$G$20,F$20,$G718=$G$21,F$21,$G718=$G$22,F$22,$G718=$G$25,F$25,$G718=$G$26,F$26,$G718=$G$27,F$27,$G718=$G$29,F$29,$G718=$G$31,F$31,$G718=$G$32,F$32,$G718=$G$248,F$248,$G718=$G$250,F$250)</f>
        <v>8031</v>
      </c>
      <c r="G718" t="s">
        <v>92</v>
      </c>
      <c r="H718" s="67" cm="1">
        <f t="array" ref="H718">_xlfn.IFS($G718=$G$5,H$5,$G718=$G$6,H$6,$G718=$G$7,H$7,$G718=$G$8,H$8,$G718=$G$9,H$9,$G718=$G$10,H$10,$G718=$G$11,H$11,$G718=$G$12,H$12,$G718=$G$13,H$13,$G718=$G$15,H$15,$G718=$G$16,H$16,$G718=$G$17,H$17,$G718=$G$18,H$18,$G718=$G$19,H$19,$G718=$G$20,H$20,$G718=$G$21,H$21,$G718=$G$22,H$22,$G718=$G$25,H$25,$G718=$G$26,H$26,$G718=$G$27,H$27,$G718=$G$29,H$29,$G718=$G$31,H$31,$G718=$G$32,H$150,$G718=$G$248,H$248,$G718=$G$250,H$250)</f>
        <v>41.433618000000003</v>
      </c>
      <c r="I718" s="67" cm="1">
        <f t="array" ref="I718">_xlfn.IFS($G718=$G$5,I$5,$G718=$G$6,I$6,$G718=$G$7,I$7,$G718=$G$8,I$8,$G718=$G$9,I$9,$G718=$G$10,I$10,$G718=$G$11,I$11,$G718=$G$12,I$12,$G718=$G$13,I$13,$G718=$G$15,I$15,$G718=$G$16,I$16,$G718=$G$17,I$17,$G718=$G$18,I$18,$G718=$G$19,I$19,$G718=$G$20,I$20,$G718=$G$21,I$21,$G718=$G$22,I$22,$G718=$G$25,I$25,$G718=$G$26,I$26,$G718=$G$27,I$27,$G718=$G$29,I$29,$G718=$G$31,I$31,$G718=$G$32,I$150,$G718=$G$248,I$248,$G718=$G$250,I$250)</f>
        <v>2.1677469999999999</v>
      </c>
      <c r="J718" s="48" cm="1">
        <f t="array" ref="J718">_xlfn.IFS($G718=$G$5,J$5,$G718=$G$6,J$6,$G718=$G$7,J$7,$G718=$G$8,J$8,$G718=$G$9,J$9,$G718=$G$10,J$10,$G718=$G$11,J$11,$G718=$G$12,J$12,$G718=$G$13,J$13,$G718=$G$15,J$15,$G718=$G$16,J$16,$G718=$G$17,J$17,$G718=$G$18,J$18,$G718=$G$19,J$19,$G718=$G$20,J$20,$G718=$G$21,J$21,$G718=$G$22,J$22,$G718=$G$25,J$25,$G718=$G$26,J$26,$G718=$G$27,J$27,$G718=$G$29,J$29,$G718=$G$31,J$31,$G718=$G$32,J$150,$G718=$G$248,J$248,$G718=$G$250,J$250)</f>
        <v>96.85</v>
      </c>
      <c r="K718" s="48" t="str" cm="1">
        <f t="array" ref="K718">_xlfn.IFS($G718=$G$5,K$5,$G718=$G$6,K$6,$G718=$G$7,K$7,$G718=$G$8,K$8,$G718=$G$9,K$9,$G718=$G$10,K$10,$G718=$G$11,K$11,$G718=$G$12,K$12,$G718=$G$13,K$13,$G718=$G$15,K$15,$G718=$G$16,K$16,$G718=$G$17,K$17,$G718=$G$18,K$18,$G718=$G$19,K$19,$G718=$G$20,K$20,$G718=$G$21,K$21,$G718=$G$22,K$22,$G718=$G$25,K$25,$G718=$G$26,K$26,$G718=$G$27,K$27,$G718=$G$29,K$29,$G718=$G$31,K$31,$G718=$G$32,K$150,$G718=$G$248,K$248,$G718=$G$250,K$250)</f>
        <v>BG sentinel + BG lure7</v>
      </c>
      <c r="L718" s="48"/>
      <c r="M718" s="48"/>
      <c r="O718" s="45" t="str">
        <f t="shared" si="54"/>
        <v>A_SP_BCN_18_210908</v>
      </c>
      <c r="P718" s="64">
        <v>44447</v>
      </c>
      <c r="R718" s="72"/>
      <c r="S718" s="64">
        <v>44454</v>
      </c>
      <c r="U718" s="72"/>
      <c r="V718" s="54" t="s">
        <v>66</v>
      </c>
      <c r="X718" s="45">
        <f t="shared" si="55"/>
        <v>7</v>
      </c>
      <c r="Z718" s="45" t="s">
        <v>70</v>
      </c>
      <c r="AA718" s="45">
        <f t="shared" si="59"/>
        <v>1</v>
      </c>
      <c r="AB718" t="str">
        <f t="shared" si="57"/>
        <v>Adult</v>
      </c>
      <c r="AC718" s="69">
        <v>1</v>
      </c>
      <c r="AD718" s="69">
        <v>0</v>
      </c>
      <c r="AE718" s="45" t="str">
        <f t="shared" si="58"/>
        <v>Morphological</v>
      </c>
      <c r="AF718" s="56">
        <v>4</v>
      </c>
    </row>
    <row r="719" spans="1:32" ht="18" customHeight="1" x14ac:dyDescent="0.25">
      <c r="A719" s="45">
        <v>715</v>
      </c>
      <c r="B719" s="45" t="s">
        <v>60</v>
      </c>
      <c r="C719" s="45" t="s">
        <v>61</v>
      </c>
      <c r="D719" s="45" t="s">
        <v>62</v>
      </c>
      <c r="E719" s="45" t="s">
        <v>62</v>
      </c>
      <c r="F719" s="46" cm="1">
        <f t="array" ref="F719">_xlfn.IFS($G719=$G$5,F$5,$G719=$G$6,F$6,$G719=$G$7,F$7,$G719=$G$8,F$8,$G719=$G$9,F$9,$G719=$G$10,F$10,$G719=$G$11,F$11,$G719=$G$12,F$12,$G719=$G$13,F$13,$G719=$G$15,F$15,$G719=$G$16,F$16,$G719=$G$17,F$17,$G719=$G$18,F$18,$G719=$G$19,F$19,$G719=$G$20,F$20,$G719=$G$21,F$21,$G719=$G$22,F$22,$G719=$G$25,F$25,$G719=$G$26,F$26,$G719=$G$27,F$27,$G719=$G$29,F$29,$G719=$G$31,F$31,$G719=$G$32,F$32,$G719=$G$248,F$248,$G719=$G$250,F$250)</f>
        <v>8038</v>
      </c>
      <c r="G719" t="s">
        <v>93</v>
      </c>
      <c r="H719" s="67" cm="1">
        <f t="array" ref="H719">_xlfn.IFS($G719=$G$5,H$5,$G719=$G$6,H$6,$G719=$G$7,H$7,$G719=$G$8,H$8,$G719=$G$9,H$9,$G719=$G$10,H$10,$G719=$G$11,H$11,$G719=$G$12,H$12,$G719=$G$13,H$13,$G719=$G$15,H$15,$G719=$G$16,H$16,$G719=$G$17,H$17,$G719=$G$18,H$18,$G719=$G$19,H$19,$G719=$G$20,H$20,$G719=$G$21,H$21,$G719=$G$22,H$22,$G719=$G$25,H$25,$G719=$G$26,H$26,$G719=$G$27,H$27,$G719=$G$29,H$29,$G719=$G$31,H$31,$G719=$G$32,H$150,$G719=$G$248,H$248,$G719=$G$250,H$250)</f>
        <v>41.359864999999999</v>
      </c>
      <c r="I719" s="67" cm="1">
        <f t="array" ref="I719">_xlfn.IFS($G719=$G$5,I$5,$G719=$G$6,I$6,$G719=$G$7,I$7,$G719=$G$8,I$8,$G719=$G$9,I$9,$G719=$G$10,I$10,$G719=$G$11,I$11,$G719=$G$12,I$12,$G719=$G$13,I$13,$G719=$G$15,I$15,$G719=$G$16,I$16,$G719=$G$17,I$17,$G719=$G$18,I$18,$G719=$G$19,I$19,$G719=$G$20,I$20,$G719=$G$21,I$21,$G719=$G$22,I$22,$G719=$G$25,I$25,$G719=$G$26,I$26,$G719=$G$27,I$27,$G719=$G$29,I$29,$G719=$G$31,I$31,$G719=$G$32,I$150,$G719=$G$248,I$248,$G719=$G$250,I$250)</f>
        <v>2.1445430000000001</v>
      </c>
      <c r="J719" s="48" cm="1">
        <f t="array" ref="J719">_xlfn.IFS($G719=$G$5,J$5,$G719=$G$6,J$6,$G719=$G$7,J$7,$G719=$G$8,J$8,$G719=$G$9,J$9,$G719=$G$10,J$10,$G719=$G$11,J$11,$G719=$G$12,J$12,$G719=$G$13,J$13,$G719=$G$15,J$15,$G719=$G$16,J$16,$G719=$G$17,J$17,$G719=$G$18,J$18,$G719=$G$19,J$19,$G719=$G$20,J$20,$G719=$G$21,J$21,$G719=$G$22,J$22,$G719=$G$25,J$25,$G719=$G$26,J$26,$G719=$G$27,J$27,$G719=$G$29,J$29,$G719=$G$31,J$31,$G719=$G$32,J$150,$G719=$G$248,J$248,$G719=$G$250,J$250)</f>
        <v>11.4</v>
      </c>
      <c r="K719" s="48" t="str" cm="1">
        <f t="array" ref="K719">_xlfn.IFS($G719=$G$5,K$5,$G719=$G$6,K$6,$G719=$G$7,K$7,$G719=$G$8,K$8,$G719=$G$9,K$9,$G719=$G$10,K$10,$G719=$G$11,K$11,$G719=$G$12,K$12,$G719=$G$13,K$13,$G719=$G$15,K$15,$G719=$G$16,K$16,$G719=$G$17,K$17,$G719=$G$18,K$18,$G719=$G$19,K$19,$G719=$G$20,K$20,$G719=$G$21,K$21,$G719=$G$22,K$22,$G719=$G$25,K$25,$G719=$G$26,K$26,$G719=$G$27,K$27,$G719=$G$29,K$29,$G719=$G$31,K$31,$G719=$G$32,K$150,$G719=$G$248,K$248,$G719=$G$250,K$250)</f>
        <v>BG sentinel + BG lure7</v>
      </c>
      <c r="L719" s="48"/>
      <c r="M719" s="48"/>
      <c r="O719" s="45" t="str">
        <f t="shared" si="54"/>
        <v>A_SP_BCN_19_210909</v>
      </c>
      <c r="P719" s="64">
        <v>44448</v>
      </c>
      <c r="R719" s="72"/>
      <c r="S719" s="64">
        <v>44456</v>
      </c>
      <c r="U719" s="72"/>
      <c r="V719" s="54" t="s">
        <v>66</v>
      </c>
      <c r="W719" t="s">
        <v>155</v>
      </c>
      <c r="X719" s="45">
        <f t="shared" si="55"/>
        <v>8</v>
      </c>
      <c r="Z719" s="69" t="s">
        <v>69</v>
      </c>
      <c r="AA719" s="45">
        <f t="shared" si="59"/>
        <v>23</v>
      </c>
      <c r="AB719" t="str">
        <f t="shared" si="57"/>
        <v>Adult</v>
      </c>
      <c r="AC719" s="69">
        <v>18</v>
      </c>
      <c r="AD719" s="69">
        <v>5</v>
      </c>
      <c r="AE719" s="45" t="str">
        <f t="shared" si="58"/>
        <v>Morphological</v>
      </c>
      <c r="AF719" s="56">
        <v>3</v>
      </c>
    </row>
    <row r="720" spans="1:32" ht="18" customHeight="1" x14ac:dyDescent="0.25">
      <c r="A720" s="45">
        <v>716</v>
      </c>
      <c r="B720" s="45" t="s">
        <v>60</v>
      </c>
      <c r="C720" s="45" t="s">
        <v>61</v>
      </c>
      <c r="D720" s="45" t="s">
        <v>62</v>
      </c>
      <c r="E720" s="45" t="s">
        <v>62</v>
      </c>
      <c r="F720" s="46" cm="1">
        <f t="array" ref="F720">_xlfn.IFS($G720=$G$5,F$5,$G720=$G$6,F$6,$G720=$G$7,F$7,$G720=$G$8,F$8,$G720=$G$9,F$9,$G720=$G$10,F$10,$G720=$G$11,F$11,$G720=$G$12,F$12,$G720=$G$13,F$13,$G720=$G$15,F$15,$G720=$G$16,F$16,$G720=$G$17,F$17,$G720=$G$18,F$18,$G720=$G$19,F$19,$G720=$G$20,F$20,$G720=$G$21,F$21,$G720=$G$22,F$22,$G720=$G$25,F$25,$G720=$G$26,F$26,$G720=$G$27,F$27,$G720=$G$29,F$29,$G720=$G$31,F$31,$G720=$G$32,F$32,$G720=$G$248,F$248,$G720=$G$250,F$250)</f>
        <v>8038</v>
      </c>
      <c r="G720" t="s">
        <v>93</v>
      </c>
      <c r="H720" s="67" cm="1">
        <f t="array" ref="H720">_xlfn.IFS($G720=$G$5,H$5,$G720=$G$6,H$6,$G720=$G$7,H$7,$G720=$G$8,H$8,$G720=$G$9,H$9,$G720=$G$10,H$10,$G720=$G$11,H$11,$G720=$G$12,H$12,$G720=$G$13,H$13,$G720=$G$15,H$15,$G720=$G$16,H$16,$G720=$G$17,H$17,$G720=$G$18,H$18,$G720=$G$19,H$19,$G720=$G$20,H$20,$G720=$G$21,H$21,$G720=$G$22,H$22,$G720=$G$25,H$25,$G720=$G$26,H$26,$G720=$G$27,H$27,$G720=$G$29,H$29,$G720=$G$31,H$31,$G720=$G$32,H$150,$G720=$G$248,H$248,$G720=$G$250,H$250)</f>
        <v>41.359864999999999</v>
      </c>
      <c r="I720" s="67" cm="1">
        <f t="array" ref="I720">_xlfn.IFS($G720=$G$5,I$5,$G720=$G$6,I$6,$G720=$G$7,I$7,$G720=$G$8,I$8,$G720=$G$9,I$9,$G720=$G$10,I$10,$G720=$G$11,I$11,$G720=$G$12,I$12,$G720=$G$13,I$13,$G720=$G$15,I$15,$G720=$G$16,I$16,$G720=$G$17,I$17,$G720=$G$18,I$18,$G720=$G$19,I$19,$G720=$G$20,I$20,$G720=$G$21,I$21,$G720=$G$22,I$22,$G720=$G$25,I$25,$G720=$G$26,I$26,$G720=$G$27,I$27,$G720=$G$29,I$29,$G720=$G$31,I$31,$G720=$G$32,I$150,$G720=$G$248,I$248,$G720=$G$250,I$250)</f>
        <v>2.1445430000000001</v>
      </c>
      <c r="J720" s="48" cm="1">
        <f t="array" ref="J720">_xlfn.IFS($G720=$G$5,J$5,$G720=$G$6,J$6,$G720=$G$7,J$7,$G720=$G$8,J$8,$G720=$G$9,J$9,$G720=$G$10,J$10,$G720=$G$11,J$11,$G720=$G$12,J$12,$G720=$G$13,J$13,$G720=$G$15,J$15,$G720=$G$16,J$16,$G720=$G$17,J$17,$G720=$G$18,J$18,$G720=$G$19,J$19,$G720=$G$20,J$20,$G720=$G$21,J$21,$G720=$G$22,J$22,$G720=$G$25,J$25,$G720=$G$26,J$26,$G720=$G$27,J$27,$G720=$G$29,J$29,$G720=$G$31,J$31,$G720=$G$32,J$150,$G720=$G$248,J$248,$G720=$G$250,J$250)</f>
        <v>11.4</v>
      </c>
      <c r="K720" s="48" t="str" cm="1">
        <f t="array" ref="K720">_xlfn.IFS($G720=$G$5,K$5,$G720=$G$6,K$6,$G720=$G$7,K$7,$G720=$G$8,K$8,$G720=$G$9,K$9,$G720=$G$10,K$10,$G720=$G$11,K$11,$G720=$G$12,K$12,$G720=$G$13,K$13,$G720=$G$15,K$15,$G720=$G$16,K$16,$G720=$G$17,K$17,$G720=$G$18,K$18,$G720=$G$19,K$19,$G720=$G$20,K$20,$G720=$G$21,K$21,$G720=$G$22,K$22,$G720=$G$25,K$25,$G720=$G$26,K$26,$G720=$G$27,K$27,$G720=$G$29,K$29,$G720=$G$31,K$31,$G720=$G$32,K$150,$G720=$G$248,K$248,$G720=$G$250,K$250)</f>
        <v>BG sentinel + BG lure7</v>
      </c>
      <c r="L720" s="48"/>
      <c r="M720" s="48"/>
      <c r="O720" s="45" t="str">
        <f t="shared" si="54"/>
        <v>A_SP_BCN_19_210909</v>
      </c>
      <c r="P720" s="64">
        <v>44448</v>
      </c>
      <c r="R720" s="72"/>
      <c r="S720" s="64">
        <v>44456</v>
      </c>
      <c r="U720" s="72"/>
      <c r="V720" s="54" t="s">
        <v>66</v>
      </c>
      <c r="W720" t="s">
        <v>155</v>
      </c>
      <c r="X720" s="45">
        <f t="shared" si="55"/>
        <v>8</v>
      </c>
      <c r="Z720" s="45" t="s">
        <v>70</v>
      </c>
      <c r="AA720" s="45">
        <f t="shared" si="59"/>
        <v>10</v>
      </c>
      <c r="AB720" t="str">
        <f t="shared" si="57"/>
        <v>Adult</v>
      </c>
      <c r="AC720" s="69">
        <v>10</v>
      </c>
      <c r="AD720" s="69">
        <v>0</v>
      </c>
      <c r="AE720" s="45" t="str">
        <f t="shared" si="58"/>
        <v>Morphological</v>
      </c>
      <c r="AF720" s="56">
        <v>3</v>
      </c>
    </row>
    <row r="721" spans="1:32" ht="18" customHeight="1" x14ac:dyDescent="0.25">
      <c r="A721" s="45">
        <v>717</v>
      </c>
      <c r="B721" s="45" t="s">
        <v>60</v>
      </c>
      <c r="C721" s="45" t="s">
        <v>61</v>
      </c>
      <c r="D721" s="45" t="s">
        <v>62</v>
      </c>
      <c r="E721" s="45" t="s">
        <v>62</v>
      </c>
      <c r="F721" s="46" cm="1">
        <f t="array" ref="F721">_xlfn.IFS($G721=$G$5,F$5,$G721=$G$6,F$6,$G721=$G$7,F$7,$G721=$G$8,F$8,$G721=$G$9,F$9,$G721=$G$10,F$10,$G721=$G$11,F$11,$G721=$G$12,F$12,$G721=$G$13,F$13,$G721=$G$15,F$15,$G721=$G$16,F$16,$G721=$G$17,F$17,$G721=$G$18,F$18,$G721=$G$19,F$19,$G721=$G$20,F$20,$G721=$G$21,F$21,$G721=$G$22,F$22,$G721=$G$25,F$25,$G721=$G$26,F$26,$G721=$G$27,F$27,$G721=$G$29,F$29,$G721=$G$31,F$31,$G721=$G$32,F$32,$G721=$G$248,F$248,$G721=$G$250,F$250)</f>
        <v>8002</v>
      </c>
      <c r="G721" t="s">
        <v>94</v>
      </c>
      <c r="H721" s="67" cm="1">
        <f t="array" ref="H721">_xlfn.IFS($G721=$G$5,H$5,$G721=$G$6,H$6,$G721=$G$7,H$7,$G721=$G$8,H$8,$G721=$G$9,H$9,$G721=$G$10,H$10,$G721=$G$11,H$11,$G721=$G$12,H$12,$G721=$G$13,H$13,$G721=$G$15,H$15,$G721=$G$16,H$16,$G721=$G$17,H$17,$G721=$G$18,H$18,$G721=$G$19,H$19,$G721=$G$20,H$20,$G721=$G$21,H$21,$G721=$G$22,H$22,$G721=$G$25,H$25,$G721=$G$26,H$26,$G721=$G$27,H$27,$G721=$G$29,H$29,$G721=$G$31,H$31,$G721=$G$32,H$150,$G721=$G$248,H$248,$G721=$G$250,H$250)</f>
        <v>41.385213</v>
      </c>
      <c r="I721" s="67" cm="1">
        <f t="array" ref="I721">_xlfn.IFS($G721=$G$5,I$5,$G721=$G$6,I$6,$G721=$G$7,I$7,$G721=$G$8,I$8,$G721=$G$9,I$9,$G721=$G$10,I$10,$G721=$G$11,I$11,$G721=$G$12,I$12,$G721=$G$13,I$13,$G721=$G$15,I$15,$G721=$G$16,I$16,$G721=$G$17,I$17,$G721=$G$18,I$18,$G721=$G$19,I$19,$G721=$G$20,I$20,$G721=$G$21,I$21,$G721=$G$22,I$22,$G721=$G$25,I$25,$G721=$G$26,I$26,$G721=$G$27,I$27,$G721=$G$29,I$29,$G721=$G$31,I$31,$G721=$G$32,I$150,$G721=$G$248,I$248,$G721=$G$250,I$250)</f>
        <v>2.174852</v>
      </c>
      <c r="J721" s="48" cm="1">
        <f t="array" ref="J721">_xlfn.IFS($G721=$G$5,J$5,$G721=$G$6,J$6,$G721=$G$7,J$7,$G721=$G$8,J$8,$G721=$G$9,J$9,$G721=$G$10,J$10,$G721=$G$11,J$11,$G721=$G$12,J$12,$G721=$G$13,J$13,$G721=$G$15,J$15,$G721=$G$16,J$16,$G721=$G$17,J$17,$G721=$G$18,J$18,$G721=$G$19,J$19,$G721=$G$20,J$20,$G721=$G$21,J$21,$G721=$G$22,J$22,$G721=$G$25,J$25,$G721=$G$26,J$26,$G721=$G$27,J$27,$G721=$G$29,J$29,$G721=$G$31,J$31,$G721=$G$32,J$150,$G721=$G$248,J$248,$G721=$G$250,J$250)</f>
        <v>14</v>
      </c>
      <c r="K721" s="48" t="str" cm="1">
        <f t="array" ref="K721">_xlfn.IFS($G721=$G$5,K$5,$G721=$G$6,K$6,$G721=$G$7,K$7,$G721=$G$8,K$8,$G721=$G$9,K$9,$G721=$G$10,K$10,$G721=$G$11,K$11,$G721=$G$12,K$12,$G721=$G$13,K$13,$G721=$G$15,K$15,$G721=$G$16,K$16,$G721=$G$17,K$17,$G721=$G$18,K$18,$G721=$G$19,K$19,$G721=$G$20,K$20,$G721=$G$21,K$21,$G721=$G$22,K$22,$G721=$G$25,K$25,$G721=$G$26,K$26,$G721=$G$27,K$27,$G721=$G$29,K$29,$G721=$G$31,K$31,$G721=$G$32,K$150,$G721=$G$248,K$248,$G721=$G$250,K$250)</f>
        <v>BG sentinel + BG lure7</v>
      </c>
      <c r="L721" s="48"/>
      <c r="M721" s="48"/>
      <c r="O721" s="45" t="str">
        <f t="shared" si="54"/>
        <v>A_SP_BCN_20_210909</v>
      </c>
      <c r="P721" s="64">
        <v>44448</v>
      </c>
      <c r="R721" s="72"/>
      <c r="S721" s="64">
        <v>44455</v>
      </c>
      <c r="U721" s="72"/>
      <c r="V721" s="54" t="s">
        <v>66</v>
      </c>
      <c r="X721" s="45">
        <f t="shared" si="55"/>
        <v>7</v>
      </c>
      <c r="Z721" s="69" t="s">
        <v>69</v>
      </c>
      <c r="AA721" s="45">
        <f t="shared" si="59"/>
        <v>23</v>
      </c>
      <c r="AB721" t="str">
        <f t="shared" si="57"/>
        <v>Adult</v>
      </c>
      <c r="AC721" s="69">
        <v>17</v>
      </c>
      <c r="AD721" s="69">
        <v>6</v>
      </c>
      <c r="AE721" s="45" t="str">
        <f t="shared" si="58"/>
        <v>Morphological</v>
      </c>
      <c r="AF721" s="56">
        <v>4</v>
      </c>
    </row>
    <row r="722" spans="1:32" ht="18" customHeight="1" x14ac:dyDescent="0.25">
      <c r="A722" s="45">
        <v>718</v>
      </c>
      <c r="B722" s="45" t="s">
        <v>60</v>
      </c>
      <c r="C722" s="45" t="s">
        <v>61</v>
      </c>
      <c r="D722" s="45" t="s">
        <v>62</v>
      </c>
      <c r="E722" s="45" t="s">
        <v>62</v>
      </c>
      <c r="F722" s="46" cm="1">
        <f t="array" ref="F722">_xlfn.IFS($G722=$G$5,F$5,$G722=$G$6,F$6,$G722=$G$7,F$7,$G722=$G$8,F$8,$G722=$G$9,F$9,$G722=$G$10,F$10,$G722=$G$11,F$11,$G722=$G$12,F$12,$G722=$G$13,F$13,$G722=$G$15,F$15,$G722=$G$16,F$16,$G722=$G$17,F$17,$G722=$G$18,F$18,$G722=$G$19,F$19,$G722=$G$20,F$20,$G722=$G$21,F$21,$G722=$G$22,F$22,$G722=$G$25,F$25,$G722=$G$26,F$26,$G722=$G$27,F$27,$G722=$G$29,F$29,$G722=$G$31,F$31,$G722=$G$32,F$32,$G722=$G$248,F$248,$G722=$G$250,F$250)</f>
        <v>8002</v>
      </c>
      <c r="G722" t="s">
        <v>94</v>
      </c>
      <c r="H722" s="67" cm="1">
        <f t="array" ref="H722">_xlfn.IFS($G722=$G$5,H$5,$G722=$G$6,H$6,$G722=$G$7,H$7,$G722=$G$8,H$8,$G722=$G$9,H$9,$G722=$G$10,H$10,$G722=$G$11,H$11,$G722=$G$12,H$12,$G722=$G$13,H$13,$G722=$G$15,H$15,$G722=$G$16,H$16,$G722=$G$17,H$17,$G722=$G$18,H$18,$G722=$G$19,H$19,$G722=$G$20,H$20,$G722=$G$21,H$21,$G722=$G$22,H$22,$G722=$G$25,H$25,$G722=$G$26,H$26,$G722=$G$27,H$27,$G722=$G$29,H$29,$G722=$G$31,H$31,$G722=$G$32,H$150,$G722=$G$248,H$248,$G722=$G$250,H$250)</f>
        <v>41.385213</v>
      </c>
      <c r="I722" s="67" cm="1">
        <f t="array" ref="I722">_xlfn.IFS($G722=$G$5,I$5,$G722=$G$6,I$6,$G722=$G$7,I$7,$G722=$G$8,I$8,$G722=$G$9,I$9,$G722=$G$10,I$10,$G722=$G$11,I$11,$G722=$G$12,I$12,$G722=$G$13,I$13,$G722=$G$15,I$15,$G722=$G$16,I$16,$G722=$G$17,I$17,$G722=$G$18,I$18,$G722=$G$19,I$19,$G722=$G$20,I$20,$G722=$G$21,I$21,$G722=$G$22,I$22,$G722=$G$25,I$25,$G722=$G$26,I$26,$G722=$G$27,I$27,$G722=$G$29,I$29,$G722=$G$31,I$31,$G722=$G$32,I$150,$G722=$G$248,I$248,$G722=$G$250,I$250)</f>
        <v>2.174852</v>
      </c>
      <c r="J722" s="48" cm="1">
        <f t="array" ref="J722">_xlfn.IFS($G722=$G$5,J$5,$G722=$G$6,J$6,$G722=$G$7,J$7,$G722=$G$8,J$8,$G722=$G$9,J$9,$G722=$G$10,J$10,$G722=$G$11,J$11,$G722=$G$12,J$12,$G722=$G$13,J$13,$G722=$G$15,J$15,$G722=$G$16,J$16,$G722=$G$17,J$17,$G722=$G$18,J$18,$G722=$G$19,J$19,$G722=$G$20,J$20,$G722=$G$21,J$21,$G722=$G$22,J$22,$G722=$G$25,J$25,$G722=$G$26,J$26,$G722=$G$27,J$27,$G722=$G$29,J$29,$G722=$G$31,J$31,$G722=$G$32,J$150,$G722=$G$248,J$248,$G722=$G$250,J$250)</f>
        <v>14</v>
      </c>
      <c r="K722" s="48" t="str" cm="1">
        <f t="array" ref="K722">_xlfn.IFS($G722=$G$5,K$5,$G722=$G$6,K$6,$G722=$G$7,K$7,$G722=$G$8,K$8,$G722=$G$9,K$9,$G722=$G$10,K$10,$G722=$G$11,K$11,$G722=$G$12,K$12,$G722=$G$13,K$13,$G722=$G$15,K$15,$G722=$G$16,K$16,$G722=$G$17,K$17,$G722=$G$18,K$18,$G722=$G$19,K$19,$G722=$G$20,K$20,$G722=$G$21,K$21,$G722=$G$22,K$22,$G722=$G$25,K$25,$G722=$G$26,K$26,$G722=$G$27,K$27,$G722=$G$29,K$29,$G722=$G$31,K$31,$G722=$G$32,K$150,$G722=$G$248,K$248,$G722=$G$250,K$250)</f>
        <v>BG sentinel + BG lure7</v>
      </c>
      <c r="L722" s="48"/>
      <c r="M722" s="48"/>
      <c r="O722" s="45" t="str">
        <f t="shared" si="54"/>
        <v>A_SP_BCN_20_210909</v>
      </c>
      <c r="P722" s="64">
        <v>44448</v>
      </c>
      <c r="R722" s="72"/>
      <c r="S722" s="64">
        <v>44455</v>
      </c>
      <c r="U722" s="72"/>
      <c r="V722" s="54" t="s">
        <v>66</v>
      </c>
      <c r="X722" s="45">
        <f t="shared" si="55"/>
        <v>7</v>
      </c>
      <c r="Z722" s="45" t="s">
        <v>70</v>
      </c>
      <c r="AA722" s="45">
        <f t="shared" si="59"/>
        <v>5</v>
      </c>
      <c r="AB722" t="str">
        <f t="shared" si="57"/>
        <v>Adult</v>
      </c>
      <c r="AC722" s="69">
        <v>2</v>
      </c>
      <c r="AD722" s="69">
        <v>3</v>
      </c>
      <c r="AE722" s="45" t="str">
        <f t="shared" si="58"/>
        <v>Morphological</v>
      </c>
      <c r="AF722" s="56">
        <v>4</v>
      </c>
    </row>
    <row r="723" spans="1:32" ht="18" customHeight="1" x14ac:dyDescent="0.25">
      <c r="A723" s="45">
        <v>719</v>
      </c>
      <c r="B723" s="45" t="s">
        <v>60</v>
      </c>
      <c r="C723" s="45" t="s">
        <v>61</v>
      </c>
      <c r="D723" s="45" t="s">
        <v>62</v>
      </c>
      <c r="E723" s="45" t="s">
        <v>62</v>
      </c>
      <c r="F723" s="46" cm="1">
        <f t="array" ref="F723">_xlfn.IFS($G723=$G$5,F$5,$G723=$G$6,F$6,$G723=$G$7,F$7,$G723=$G$8,F$8,$G723=$G$9,F$9,$G723=$G$10,F$10,$G723=$G$11,F$11,$G723=$G$12,F$12,$G723=$G$13,F$13,$G723=$G$15,F$15,$G723=$G$16,F$16,$G723=$G$17,F$17,$G723=$G$18,F$18,$G723=$G$19,F$19,$G723=$G$20,F$20,$G723=$G$21,F$21,$G723=$G$22,F$22,$G723=$G$25,F$25,$G723=$G$26,F$26,$G723=$G$27,F$27,$G723=$G$29,F$29,$G723=$G$31,F$31,$G723=$G$32,F$32,$G723=$G$248,F$248,$G723=$G$250,F$250)</f>
        <v>8002</v>
      </c>
      <c r="G723" t="s">
        <v>94</v>
      </c>
      <c r="H723" s="67" cm="1">
        <f t="array" ref="H723">_xlfn.IFS($G723=$G$5,H$5,$G723=$G$6,H$6,$G723=$G$7,H$7,$G723=$G$8,H$8,$G723=$G$9,H$9,$G723=$G$10,H$10,$G723=$G$11,H$11,$G723=$G$12,H$12,$G723=$G$13,H$13,$G723=$G$15,H$15,$G723=$G$16,H$16,$G723=$G$17,H$17,$G723=$G$18,H$18,$G723=$G$19,H$19,$G723=$G$20,H$20,$G723=$G$21,H$21,$G723=$G$22,H$22,$G723=$G$25,H$25,$G723=$G$26,H$26,$G723=$G$27,H$27,$G723=$G$29,H$29,$G723=$G$31,H$31,$G723=$G$32,H$150,$G723=$G$248,H$248,$G723=$G$250,H$250)</f>
        <v>41.385213</v>
      </c>
      <c r="I723" s="67" cm="1">
        <f t="array" ref="I723">_xlfn.IFS($G723=$G$5,I$5,$G723=$G$6,I$6,$G723=$G$7,I$7,$G723=$G$8,I$8,$G723=$G$9,I$9,$G723=$G$10,I$10,$G723=$G$11,I$11,$G723=$G$12,I$12,$G723=$G$13,I$13,$G723=$G$15,I$15,$G723=$G$16,I$16,$G723=$G$17,I$17,$G723=$G$18,I$18,$G723=$G$19,I$19,$G723=$G$20,I$20,$G723=$G$21,I$21,$G723=$G$22,I$22,$G723=$G$25,I$25,$G723=$G$26,I$26,$G723=$G$27,I$27,$G723=$G$29,I$29,$G723=$G$31,I$31,$G723=$G$32,I$150,$G723=$G$248,I$248,$G723=$G$250,I$250)</f>
        <v>2.174852</v>
      </c>
      <c r="J723" s="48" cm="1">
        <f t="array" ref="J723">_xlfn.IFS($G723=$G$5,J$5,$G723=$G$6,J$6,$G723=$G$7,J$7,$G723=$G$8,J$8,$G723=$G$9,J$9,$G723=$G$10,J$10,$G723=$G$11,J$11,$G723=$G$12,J$12,$G723=$G$13,J$13,$G723=$G$15,J$15,$G723=$G$16,J$16,$G723=$G$17,J$17,$G723=$G$18,J$18,$G723=$G$19,J$19,$G723=$G$20,J$20,$G723=$G$21,J$21,$G723=$G$22,J$22,$G723=$G$25,J$25,$G723=$G$26,J$26,$G723=$G$27,J$27,$G723=$G$29,J$29,$G723=$G$31,J$31,$G723=$G$32,J$150,$G723=$G$248,J$248,$G723=$G$250,J$250)</f>
        <v>14</v>
      </c>
      <c r="K723" s="48" t="str" cm="1">
        <f t="array" ref="K723">_xlfn.IFS($G723=$G$5,K$5,$G723=$G$6,K$6,$G723=$G$7,K$7,$G723=$G$8,K$8,$G723=$G$9,K$9,$G723=$G$10,K$10,$G723=$G$11,K$11,$G723=$G$12,K$12,$G723=$G$13,K$13,$G723=$G$15,K$15,$G723=$G$16,K$16,$G723=$G$17,K$17,$G723=$G$18,K$18,$G723=$G$19,K$19,$G723=$G$20,K$20,$G723=$G$21,K$21,$G723=$G$22,K$22,$G723=$G$25,K$25,$G723=$G$26,K$26,$G723=$G$27,K$27,$G723=$G$29,K$29,$G723=$G$31,K$31,$G723=$G$32,K$150,$G723=$G$248,K$248,$G723=$G$250,K$250)</f>
        <v>BG sentinel + BG lure7</v>
      </c>
      <c r="L723" s="48"/>
      <c r="M723" s="48"/>
      <c r="O723" s="45" t="str">
        <f t="shared" si="54"/>
        <v>A_SP_BCN_20_210909</v>
      </c>
      <c r="P723" s="64">
        <v>44448</v>
      </c>
      <c r="R723" s="72"/>
      <c r="S723" s="64">
        <v>44455</v>
      </c>
      <c r="U723" s="72"/>
      <c r="V723" s="54" t="s">
        <v>66</v>
      </c>
      <c r="X723" s="45">
        <f t="shared" si="55"/>
        <v>7</v>
      </c>
      <c r="Z723" s="45" t="s">
        <v>80</v>
      </c>
      <c r="AA723" s="45">
        <f t="shared" si="59"/>
        <v>10</v>
      </c>
      <c r="AB723" t="str">
        <f t="shared" si="57"/>
        <v>Adult</v>
      </c>
      <c r="AC723" s="69">
        <v>4</v>
      </c>
      <c r="AD723" s="69">
        <v>6</v>
      </c>
      <c r="AE723" s="45" t="str">
        <f t="shared" si="58"/>
        <v>Morphological</v>
      </c>
      <c r="AF723" s="56">
        <v>4</v>
      </c>
    </row>
    <row r="724" spans="1:32" ht="18" customHeight="1" x14ac:dyDescent="0.25">
      <c r="A724" s="45">
        <v>720</v>
      </c>
      <c r="B724" s="45" t="s">
        <v>60</v>
      </c>
      <c r="C724" s="45" t="s">
        <v>61</v>
      </c>
      <c r="D724" s="45" t="s">
        <v>62</v>
      </c>
      <c r="E724" s="45" t="s">
        <v>62</v>
      </c>
      <c r="F724" s="46" cm="1">
        <f t="array" ref="F724">_xlfn.IFS($G724=$G$5,F$5,$G724=$G$6,F$6,$G724=$G$7,F$7,$G724=$G$8,F$8,$G724=$G$9,F$9,$G724=$G$10,F$10,$G724=$G$11,F$11,$G724=$G$12,F$12,$G724=$G$13,F$13,$G724=$G$15,F$15,$G724=$G$16,F$16,$G724=$G$17,F$17,$G724=$G$18,F$18,$G724=$G$19,F$19,$G724=$G$20,F$20,$G724=$G$21,F$21,$G724=$G$22,F$22,$G724=$G$25,F$25,$G724=$G$26,F$26,$G724=$G$27,F$27,$G724=$G$29,F$29,$G724=$G$31,F$31,$G724=$G$32,F$32,$G724=$G$248,F$248,$G724=$G$250,F$250)</f>
        <v>8038</v>
      </c>
      <c r="G724" t="s">
        <v>103</v>
      </c>
      <c r="H724" s="67" cm="1">
        <f t="array" ref="H724">_xlfn.IFS($G724=$G$5,H$5,$G724=$G$6,H$6,$G724=$G$7,H$7,$G724=$G$8,H$8,$G724=$G$9,H$9,$G724=$G$10,H$10,$G724=$G$11,H$11,$G724=$G$12,H$12,$G724=$G$13,H$13,$G724=$G$15,H$15,$G724=$G$16,H$16,$G724=$G$17,H$17,$G724=$G$18,H$18,$G724=$G$19,H$19,$G724=$G$20,H$20,$G724=$G$21,H$21,$G724=$G$22,H$22,$G724=$G$25,H$25,$G724=$G$26,H$26,$G724=$G$27,H$27,$G724=$G$29,H$29,$G724=$G$31,H$31,$G724=$G$32,H$150,$G724=$G$248,H$248,$G724=$G$250,H$250)</f>
        <v>41.367100000000001</v>
      </c>
      <c r="I724" s="67" cm="1">
        <f t="array" ref="I724">_xlfn.IFS($G724=$G$5,I$5,$G724=$G$6,I$6,$G724=$G$7,I$7,$G724=$G$8,I$8,$G724=$G$9,I$9,$G724=$G$10,I$10,$G724=$G$11,I$11,$G724=$G$12,I$12,$G724=$G$13,I$13,$G724=$G$15,I$15,$G724=$G$16,I$16,$G724=$G$17,I$17,$G724=$G$18,I$18,$G724=$G$19,I$19,$G724=$G$20,I$20,$G724=$G$21,I$21,$G724=$G$22,I$22,$G724=$G$25,I$25,$G724=$G$26,I$26,$G724=$G$27,I$27,$G724=$G$29,I$29,$G724=$G$31,I$31,$G724=$G$32,I$150,$G724=$G$248,I$248,$G724=$G$250,I$250)</f>
        <v>2.1539079999999999</v>
      </c>
      <c r="J724" s="48" cm="1">
        <f t="array" ref="J724">_xlfn.IFS($G724=$G$5,J$5,$G724=$G$6,J$6,$G724=$G$7,J$7,$G724=$G$8,J$8,$G724=$G$9,J$9,$G724=$G$10,J$10,$G724=$G$11,J$11,$G724=$G$12,J$12,$G724=$G$13,J$13,$G724=$G$15,J$15,$G724=$G$16,J$16,$G724=$G$17,J$17,$G724=$G$18,J$18,$G724=$G$19,J$19,$G724=$G$20,J$20,$G724=$G$21,J$21,$G724=$G$22,J$22,$G724=$G$25,J$25,$G724=$G$26,J$26,$G724=$G$27,J$27,$G724=$G$29,J$29,$G724=$G$31,J$31,$G724=$G$32,J$150,$G724=$G$248,J$248,$G724=$G$250,J$250)</f>
        <v>68</v>
      </c>
      <c r="K724" s="48" t="str" cm="1">
        <f t="array" ref="K724">_xlfn.IFS($G724=$G$5,K$5,$G724=$G$6,K$6,$G724=$G$7,K$7,$G724=$G$8,K$8,$G724=$G$9,K$9,$G724=$G$10,K$10,$G724=$G$11,K$11,$G724=$G$12,K$12,$G724=$G$13,K$13,$G724=$G$15,K$15,$G724=$G$16,K$16,$G724=$G$17,K$17,$G724=$G$18,K$18,$G724=$G$19,K$19,$G724=$G$20,K$20,$G724=$G$21,K$21,$G724=$G$22,K$22,$G724=$G$25,K$25,$G724=$G$26,K$26,$G724=$G$27,K$27,$G724=$G$29,K$29,$G724=$G$31,K$31,$G724=$G$32,K$150,$G724=$G$248,K$248,$G724=$G$250,K$250)</f>
        <v>BG sentinel + BG lure7</v>
      </c>
      <c r="L724" s="48"/>
      <c r="M724" s="48"/>
      <c r="O724" s="45" t="str">
        <f t="shared" si="54"/>
        <v>A_SP_BCN_23_210909</v>
      </c>
      <c r="P724" s="64">
        <v>44448</v>
      </c>
      <c r="R724" s="72"/>
      <c r="S724" s="64">
        <v>44456</v>
      </c>
      <c r="U724" s="72"/>
      <c r="V724" s="54" t="s">
        <v>66</v>
      </c>
      <c r="W724" t="s">
        <v>135</v>
      </c>
      <c r="X724" s="45">
        <f t="shared" si="55"/>
        <v>8</v>
      </c>
      <c r="Z724" s="69" t="s">
        <v>69</v>
      </c>
      <c r="AA724" s="45">
        <f t="shared" si="59"/>
        <v>4</v>
      </c>
      <c r="AB724" t="str">
        <f t="shared" si="57"/>
        <v>Adult</v>
      </c>
      <c r="AC724" s="69">
        <v>3</v>
      </c>
      <c r="AD724" s="69">
        <v>1</v>
      </c>
      <c r="AE724" s="45" t="str">
        <f t="shared" si="58"/>
        <v>Morphological</v>
      </c>
      <c r="AF724" s="56">
        <v>3</v>
      </c>
    </row>
    <row r="725" spans="1:32" ht="18" customHeight="1" x14ac:dyDescent="0.25">
      <c r="A725" s="45">
        <v>721</v>
      </c>
      <c r="B725" s="45" t="s">
        <v>60</v>
      </c>
      <c r="C725" s="45" t="s">
        <v>61</v>
      </c>
      <c r="D725" s="45" t="s">
        <v>62</v>
      </c>
      <c r="E725" s="45" t="s">
        <v>62</v>
      </c>
      <c r="F725" s="46" cm="1">
        <f t="array" ref="F725">_xlfn.IFS($G725=$G$5,F$5,$G725=$G$6,F$6,$G725=$G$7,F$7,$G725=$G$8,F$8,$G725=$G$9,F$9,$G725=$G$10,F$10,$G725=$G$11,F$11,$G725=$G$12,F$12,$G725=$G$13,F$13,$G725=$G$15,F$15,$G725=$G$16,F$16,$G725=$G$17,F$17,$G725=$G$18,F$18,$G725=$G$19,F$19,$G725=$G$20,F$20,$G725=$G$21,F$21,$G725=$G$22,F$22,$G725=$G$25,F$25,$G725=$G$26,F$26,$G725=$G$27,F$27,$G725=$G$29,F$29,$G725=$G$31,F$31,$G725=$G$32,F$32,$G725=$G$248,F$248,$G725=$G$250,F$250)</f>
        <v>8038</v>
      </c>
      <c r="G725" t="s">
        <v>103</v>
      </c>
      <c r="H725" s="67" cm="1">
        <f t="array" ref="H725">_xlfn.IFS($G725=$G$5,H$5,$G725=$G$6,H$6,$G725=$G$7,H$7,$G725=$G$8,H$8,$G725=$G$9,H$9,$G725=$G$10,H$10,$G725=$G$11,H$11,$G725=$G$12,H$12,$G725=$G$13,H$13,$G725=$G$15,H$15,$G725=$G$16,H$16,$G725=$G$17,H$17,$G725=$G$18,H$18,$G725=$G$19,H$19,$G725=$G$20,H$20,$G725=$G$21,H$21,$G725=$G$22,H$22,$G725=$G$25,H$25,$G725=$G$26,H$26,$G725=$G$27,H$27,$G725=$G$29,H$29,$G725=$G$31,H$31,$G725=$G$32,H$150,$G725=$G$248,H$248,$G725=$G$250,H$250)</f>
        <v>41.367100000000001</v>
      </c>
      <c r="I725" s="67" cm="1">
        <f t="array" ref="I725">_xlfn.IFS($G725=$G$5,I$5,$G725=$G$6,I$6,$G725=$G$7,I$7,$G725=$G$8,I$8,$G725=$G$9,I$9,$G725=$G$10,I$10,$G725=$G$11,I$11,$G725=$G$12,I$12,$G725=$G$13,I$13,$G725=$G$15,I$15,$G725=$G$16,I$16,$G725=$G$17,I$17,$G725=$G$18,I$18,$G725=$G$19,I$19,$G725=$G$20,I$20,$G725=$G$21,I$21,$G725=$G$22,I$22,$G725=$G$25,I$25,$G725=$G$26,I$26,$G725=$G$27,I$27,$G725=$G$29,I$29,$G725=$G$31,I$31,$G725=$G$32,I$150,$G725=$G$248,I$248,$G725=$G$250,I$250)</f>
        <v>2.1539079999999999</v>
      </c>
      <c r="J725" s="48" cm="1">
        <f t="array" ref="J725">_xlfn.IFS($G725=$G$5,J$5,$G725=$G$6,J$6,$G725=$G$7,J$7,$G725=$G$8,J$8,$G725=$G$9,J$9,$G725=$G$10,J$10,$G725=$G$11,J$11,$G725=$G$12,J$12,$G725=$G$13,J$13,$G725=$G$15,J$15,$G725=$G$16,J$16,$G725=$G$17,J$17,$G725=$G$18,J$18,$G725=$G$19,J$19,$G725=$G$20,J$20,$G725=$G$21,J$21,$G725=$G$22,J$22,$G725=$G$25,J$25,$G725=$G$26,J$26,$G725=$G$27,J$27,$G725=$G$29,J$29,$G725=$G$31,J$31,$G725=$G$32,J$150,$G725=$G$248,J$248,$G725=$G$250,J$250)</f>
        <v>68</v>
      </c>
      <c r="K725" s="48" t="str" cm="1">
        <f t="array" ref="K725">_xlfn.IFS($G725=$G$5,K$5,$G725=$G$6,K$6,$G725=$G$7,K$7,$G725=$G$8,K$8,$G725=$G$9,K$9,$G725=$G$10,K$10,$G725=$G$11,K$11,$G725=$G$12,K$12,$G725=$G$13,K$13,$G725=$G$15,K$15,$G725=$G$16,K$16,$G725=$G$17,K$17,$G725=$G$18,K$18,$G725=$G$19,K$19,$G725=$G$20,K$20,$G725=$G$21,K$21,$G725=$G$22,K$22,$G725=$G$25,K$25,$G725=$G$26,K$26,$G725=$G$27,K$27,$G725=$G$29,K$29,$G725=$G$31,K$31,$G725=$G$32,K$150,$G725=$G$248,K$248,$G725=$G$250,K$250)</f>
        <v>BG sentinel + BG lure7</v>
      </c>
      <c r="L725" s="48"/>
      <c r="M725" s="48"/>
      <c r="O725" s="45" t="str">
        <f t="shared" si="54"/>
        <v>A_SP_BCN_23_210909</v>
      </c>
      <c r="P725" s="64">
        <v>44448</v>
      </c>
      <c r="R725" s="72"/>
      <c r="S725" s="64">
        <v>44456</v>
      </c>
      <c r="U725" s="72"/>
      <c r="V725" s="54" t="s">
        <v>66</v>
      </c>
      <c r="W725" t="s">
        <v>135</v>
      </c>
      <c r="X725" s="45">
        <f t="shared" si="55"/>
        <v>8</v>
      </c>
      <c r="Z725" s="45" t="s">
        <v>70</v>
      </c>
      <c r="AA725" s="45">
        <f t="shared" si="59"/>
        <v>2</v>
      </c>
      <c r="AB725" t="str">
        <f t="shared" si="57"/>
        <v>Adult</v>
      </c>
      <c r="AC725" s="69">
        <v>1</v>
      </c>
      <c r="AD725" s="69">
        <v>1</v>
      </c>
      <c r="AE725" s="45" t="str">
        <f t="shared" si="58"/>
        <v>Morphological</v>
      </c>
      <c r="AF725" s="56">
        <v>3</v>
      </c>
    </row>
    <row r="726" spans="1:32" ht="18" customHeight="1" x14ac:dyDescent="0.25">
      <c r="A726" s="45">
        <v>722</v>
      </c>
      <c r="B726" s="45" t="s">
        <v>60</v>
      </c>
      <c r="C726" s="45" t="s">
        <v>61</v>
      </c>
      <c r="D726" s="45" t="s">
        <v>62</v>
      </c>
      <c r="E726" s="45" t="s">
        <v>62</v>
      </c>
      <c r="F726" s="46" cm="1">
        <f t="array" ref="F726">_xlfn.IFS($G726=$G$5,F$5,$G726=$G$6,F$6,$G726=$G$7,F$7,$G726=$G$8,F$8,$G726=$G$9,F$9,$G726=$G$10,F$10,$G726=$G$11,F$11,$G726=$G$12,F$12,$G726=$G$13,F$13,$G726=$G$15,F$15,$G726=$G$16,F$16,$G726=$G$17,F$17,$G726=$G$18,F$18,$G726=$G$19,F$19,$G726=$G$20,F$20,$G726=$G$21,F$21,$G726=$G$22,F$22,$G726=$G$25,F$25,$G726=$G$26,F$26,$G726=$G$27,F$27,$G726=$G$29,F$29,$G726=$G$31,F$31,$G726=$G$32,F$32,$G726=$G$248,F$248,$G726=$G$250,F$250)</f>
        <v>8015</v>
      </c>
      <c r="G726" t="s">
        <v>109</v>
      </c>
      <c r="H726" s="67" cm="1">
        <f t="array" ref="H726">_xlfn.IFS($G726=$G$5,H$5,$G726=$G$6,H$6,$G726=$G$7,H$7,$G726=$G$8,H$8,$G726=$G$9,H$9,$G726=$G$10,H$10,$G726=$G$11,H$11,$G726=$G$12,H$12,$G726=$G$13,H$13,$G726=$G$15,H$15,$G726=$G$16,H$16,$G726=$G$17,H$17,$G726=$G$18,H$18,$G726=$G$19,H$19,$G726=$G$20,H$20,$G726=$G$21,H$21,$G726=$G$22,H$22,$G726=$G$25,H$25,$G726=$G$26,H$26,$G726=$G$27,H$27,$G726=$G$29,H$29,$G726=$G$31,H$31,$G726=$G$32,H$150,$G726=$G$248,H$248,$G726=$G$250,H$250)</f>
        <v>41.381725000000003</v>
      </c>
      <c r="I726" s="67" cm="1">
        <f t="array" ref="I726">_xlfn.IFS($G726=$G$5,I$5,$G726=$G$6,I$6,$G726=$G$7,I$7,$G726=$G$8,I$8,$G726=$G$9,I$9,$G726=$G$10,I$10,$G726=$G$11,I$11,$G726=$G$12,I$12,$G726=$G$13,I$13,$G726=$G$15,I$15,$G726=$G$16,I$16,$G726=$G$17,I$17,$G726=$G$18,I$18,$G726=$G$19,I$19,$G726=$G$20,I$20,$G726=$G$21,I$21,$G726=$G$22,I$22,$G726=$G$25,I$25,$G726=$G$26,I$26,$G726=$G$27,I$27,$G726=$G$29,I$29,$G726=$G$31,I$31,$G726=$G$32,I$150,$G726=$G$248,I$248,$G726=$G$250,I$250)</f>
        <v>2.1543679999999998</v>
      </c>
      <c r="J726" s="48" cm="1">
        <f t="array" ref="J726">_xlfn.IFS($G726=$G$5,J$5,$G726=$G$6,J$6,$G726=$G$7,J$7,$G726=$G$8,J$8,$G726=$G$9,J$9,$G726=$G$10,J$10,$G726=$G$11,J$11,$G726=$G$12,J$12,$G726=$G$13,J$13,$G726=$G$15,J$15,$G726=$G$16,J$16,$G726=$G$17,J$17,$G726=$G$18,J$18,$G726=$G$19,J$19,$G726=$G$20,J$20,$G726=$G$21,J$21,$G726=$G$22,J$22,$G726=$G$25,J$25,$G726=$G$26,J$26,$G726=$G$27,J$27,$G726=$G$29,J$29,$G726=$G$31,J$31,$G726=$G$32,J$150,$G726=$G$248,J$248,$G726=$G$250,J$250)</f>
        <v>20.7</v>
      </c>
      <c r="K726" s="48" t="str" cm="1">
        <f t="array" ref="K726">_xlfn.IFS($G726=$G$5,K$5,$G726=$G$6,K$6,$G726=$G$7,K$7,$G726=$G$8,K$8,$G726=$G$9,K$9,$G726=$G$10,K$10,$G726=$G$11,K$11,$G726=$G$12,K$12,$G726=$G$13,K$13,$G726=$G$15,K$15,$G726=$G$16,K$16,$G726=$G$17,K$17,$G726=$G$18,K$18,$G726=$G$19,K$19,$G726=$G$20,K$20,$G726=$G$21,K$21,$G726=$G$22,K$22,$G726=$G$25,K$25,$G726=$G$26,K$26,$G726=$G$27,K$27,$G726=$G$29,K$29,$G726=$G$31,K$31,$G726=$G$32,K$150,$G726=$G$248,K$248,$G726=$G$250,K$250)</f>
        <v>BG sentinel + BG lure7</v>
      </c>
      <c r="L726" s="48"/>
      <c r="M726" s="48"/>
      <c r="O726" s="45" t="str">
        <f t="shared" si="54"/>
        <v>A_SP_BCN_24_210909</v>
      </c>
      <c r="P726" s="64">
        <v>44448</v>
      </c>
      <c r="R726" s="72"/>
      <c r="S726" s="64">
        <v>44454</v>
      </c>
      <c r="U726" s="72"/>
      <c r="V726" s="54" t="s">
        <v>66</v>
      </c>
      <c r="X726" s="45">
        <f t="shared" si="55"/>
        <v>6</v>
      </c>
      <c r="Z726" s="69" t="s">
        <v>69</v>
      </c>
      <c r="AA726" s="45">
        <f t="shared" si="59"/>
        <v>32</v>
      </c>
      <c r="AB726" t="str">
        <f t="shared" si="57"/>
        <v>Adult</v>
      </c>
      <c r="AC726" s="69">
        <v>12</v>
      </c>
      <c r="AD726" s="69">
        <v>20</v>
      </c>
      <c r="AE726" s="45" t="str">
        <f t="shared" si="58"/>
        <v>Morphological</v>
      </c>
      <c r="AF726" s="56">
        <v>4</v>
      </c>
    </row>
    <row r="727" spans="1:32" ht="18" customHeight="1" x14ac:dyDescent="0.25">
      <c r="A727" s="45">
        <v>723</v>
      </c>
      <c r="B727" s="45" t="s">
        <v>60</v>
      </c>
      <c r="C727" s="45" t="s">
        <v>61</v>
      </c>
      <c r="D727" s="45" t="s">
        <v>62</v>
      </c>
      <c r="E727" s="45" t="s">
        <v>62</v>
      </c>
      <c r="F727" s="46" cm="1">
        <f t="array" ref="F727">_xlfn.IFS($G727=$G$5,F$5,$G727=$G$6,F$6,$G727=$G$7,F$7,$G727=$G$8,F$8,$G727=$G$9,F$9,$G727=$G$10,F$10,$G727=$G$11,F$11,$G727=$G$12,F$12,$G727=$G$13,F$13,$G727=$G$15,F$15,$G727=$G$16,F$16,$G727=$G$17,F$17,$G727=$G$18,F$18,$G727=$G$19,F$19,$G727=$G$20,F$20,$G727=$G$21,F$21,$G727=$G$22,F$22,$G727=$G$25,F$25,$G727=$G$26,F$26,$G727=$G$27,F$27,$G727=$G$29,F$29,$G727=$G$31,F$31,$G727=$G$32,F$32,$G727=$G$248,F$248,$G727=$G$250,F$250)</f>
        <v>8015</v>
      </c>
      <c r="G727" t="s">
        <v>109</v>
      </c>
      <c r="H727" s="67" cm="1">
        <f t="array" ref="H727">_xlfn.IFS($G727=$G$5,H$5,$G727=$G$6,H$6,$G727=$G$7,H$7,$G727=$G$8,H$8,$G727=$G$9,H$9,$G727=$G$10,H$10,$G727=$G$11,H$11,$G727=$G$12,H$12,$G727=$G$13,H$13,$G727=$G$15,H$15,$G727=$G$16,H$16,$G727=$G$17,H$17,$G727=$G$18,H$18,$G727=$G$19,H$19,$G727=$G$20,H$20,$G727=$G$21,H$21,$G727=$G$22,H$22,$G727=$G$25,H$25,$G727=$G$26,H$26,$G727=$G$27,H$27,$G727=$G$29,H$29,$G727=$G$31,H$31,$G727=$G$32,H$150,$G727=$G$248,H$248,$G727=$G$250,H$250)</f>
        <v>41.381725000000003</v>
      </c>
      <c r="I727" s="67" cm="1">
        <f t="array" ref="I727">_xlfn.IFS($G727=$G$5,I$5,$G727=$G$6,I$6,$G727=$G$7,I$7,$G727=$G$8,I$8,$G727=$G$9,I$9,$G727=$G$10,I$10,$G727=$G$11,I$11,$G727=$G$12,I$12,$G727=$G$13,I$13,$G727=$G$15,I$15,$G727=$G$16,I$16,$G727=$G$17,I$17,$G727=$G$18,I$18,$G727=$G$19,I$19,$G727=$G$20,I$20,$G727=$G$21,I$21,$G727=$G$22,I$22,$G727=$G$25,I$25,$G727=$G$26,I$26,$G727=$G$27,I$27,$G727=$G$29,I$29,$G727=$G$31,I$31,$G727=$G$32,I$150,$G727=$G$248,I$248,$G727=$G$250,I$250)</f>
        <v>2.1543679999999998</v>
      </c>
      <c r="J727" s="48" cm="1">
        <f t="array" ref="J727">_xlfn.IFS($G727=$G$5,J$5,$G727=$G$6,J$6,$G727=$G$7,J$7,$G727=$G$8,J$8,$G727=$G$9,J$9,$G727=$G$10,J$10,$G727=$G$11,J$11,$G727=$G$12,J$12,$G727=$G$13,J$13,$G727=$G$15,J$15,$G727=$G$16,J$16,$G727=$G$17,J$17,$G727=$G$18,J$18,$G727=$G$19,J$19,$G727=$G$20,J$20,$G727=$G$21,J$21,$G727=$G$22,J$22,$G727=$G$25,J$25,$G727=$G$26,J$26,$G727=$G$27,J$27,$G727=$G$29,J$29,$G727=$G$31,J$31,$G727=$G$32,J$150,$G727=$G$248,J$248,$G727=$G$250,J$250)</f>
        <v>20.7</v>
      </c>
      <c r="K727" s="48" t="str" cm="1">
        <f t="array" ref="K727">_xlfn.IFS($G727=$G$5,K$5,$G727=$G$6,K$6,$G727=$G$7,K$7,$G727=$G$8,K$8,$G727=$G$9,K$9,$G727=$G$10,K$10,$G727=$G$11,K$11,$G727=$G$12,K$12,$G727=$G$13,K$13,$G727=$G$15,K$15,$G727=$G$16,K$16,$G727=$G$17,K$17,$G727=$G$18,K$18,$G727=$G$19,K$19,$G727=$G$20,K$20,$G727=$G$21,K$21,$G727=$G$22,K$22,$G727=$G$25,K$25,$G727=$G$26,K$26,$G727=$G$27,K$27,$G727=$G$29,K$29,$G727=$G$31,K$31,$G727=$G$32,K$150,$G727=$G$248,K$248,$G727=$G$250,K$250)</f>
        <v>BG sentinel + BG lure7</v>
      </c>
      <c r="L727" s="48"/>
      <c r="M727" s="48"/>
      <c r="O727" s="45" t="str">
        <f t="shared" si="54"/>
        <v>A_SP_BCN_24_210909</v>
      </c>
      <c r="P727" s="64">
        <v>44448</v>
      </c>
      <c r="R727" s="72"/>
      <c r="S727" s="64">
        <v>44454</v>
      </c>
      <c r="U727" s="72"/>
      <c r="V727" s="54" t="s">
        <v>66</v>
      </c>
      <c r="X727" s="45">
        <f t="shared" si="55"/>
        <v>6</v>
      </c>
      <c r="Z727" s="45" t="s">
        <v>70</v>
      </c>
      <c r="AA727" s="45">
        <f t="shared" si="59"/>
        <v>1</v>
      </c>
      <c r="AB727" t="str">
        <f t="shared" si="57"/>
        <v>Adult</v>
      </c>
      <c r="AC727" s="69">
        <v>0</v>
      </c>
      <c r="AD727" s="69">
        <v>1</v>
      </c>
      <c r="AE727" s="45" t="str">
        <f t="shared" si="58"/>
        <v>Morphological</v>
      </c>
      <c r="AF727" s="56">
        <v>4</v>
      </c>
    </row>
    <row r="728" spans="1:32" ht="18" customHeight="1" x14ac:dyDescent="0.25">
      <c r="A728" s="45">
        <v>724</v>
      </c>
      <c r="B728" s="45" t="s">
        <v>60</v>
      </c>
      <c r="C728" s="45" t="s">
        <v>61</v>
      </c>
      <c r="D728" s="45" t="s">
        <v>62</v>
      </c>
      <c r="E728" s="45" t="s">
        <v>62</v>
      </c>
      <c r="F728" s="46" cm="1">
        <f t="array" ref="F728">_xlfn.IFS($G728=$G$5,F$5,$G728=$G$6,F$6,$G728=$G$7,F$7,$G728=$G$8,F$8,$G728=$G$9,F$9,$G728=$G$10,F$10,$G728=$G$11,F$11,$G728=$G$12,F$12,$G728=$G$13,F$13,$G728=$G$15,F$15,$G728=$G$16,F$16,$G728=$G$17,F$17,$G728=$G$18,F$18,$G728=$G$19,F$19,$G728=$G$20,F$20,$G728=$G$21,F$21,$G728=$G$22,F$22,$G728=$G$25,F$25,$G728=$G$26,F$26,$G728=$G$27,F$27,$G728=$G$29,F$29,$G728=$G$31,F$31,$G728=$G$32,F$32,$G728=$G$248,F$248,$G728=$G$250,F$250)</f>
        <v>8024</v>
      </c>
      <c r="G728" t="s">
        <v>63</v>
      </c>
      <c r="H728" s="67" cm="1">
        <f t="array" ref="H728">_xlfn.IFS($G728=$G$5,H$5,$G728=$G$6,H$6,$G728=$G$7,H$7,$G728=$G$8,H$8,$G728=$G$9,H$9,$G728=$G$10,H$10,$G728=$G$11,H$11,$G728=$G$12,H$12,$G728=$G$13,H$13,$G728=$G$15,H$15,$G728=$G$16,H$16,$G728=$G$17,H$17,$G728=$G$18,H$18,$G728=$G$19,H$19,$G728=$G$20,H$20,$G728=$G$21,H$21,$G728=$G$22,H$22,$G728=$G$25,H$25,$G728=$G$26,H$26,$G728=$G$27,H$27,$G728=$G$29,H$29,$G728=$G$31,H$31,$G728=$G$32,H$150,$G728=$G$248,H$248,$G728=$G$250,H$250)</f>
        <v>41.413573999999997</v>
      </c>
      <c r="I728" s="67" cm="1">
        <f t="array" ref="I728">_xlfn.IFS($G728=$G$5,I$5,$G728=$G$6,I$6,$G728=$G$7,I$7,$G728=$G$8,I$8,$G728=$G$9,I$9,$G728=$G$10,I$10,$G728=$G$11,I$11,$G728=$G$12,I$12,$G728=$G$13,I$13,$G728=$G$15,I$15,$G728=$G$16,I$16,$G728=$G$17,I$17,$G728=$G$18,I$18,$G728=$G$19,I$19,$G728=$G$20,I$20,$G728=$G$21,I$21,$G728=$G$22,I$22,$G728=$G$25,I$25,$G728=$G$26,I$26,$G728=$G$27,I$27,$G728=$G$29,I$29,$G728=$G$31,I$31,$G728=$G$32,I$150,$G728=$G$248,I$248,$G728=$G$250,I$250)</f>
        <v>2.1520730000000001</v>
      </c>
      <c r="J728" s="48" cm="1">
        <f t="array" ref="J728">_xlfn.IFS($G728=$G$5,J$5,$G728=$G$6,J$6,$G728=$G$7,J$7,$G728=$G$8,J$8,$G728=$G$9,J$9,$G728=$G$10,J$10,$G728=$G$11,J$11,$G728=$G$12,J$12,$G728=$G$13,J$13,$G728=$G$15,J$15,$G728=$G$16,J$16,$G728=$G$17,J$17,$G728=$G$18,J$18,$G728=$G$19,J$19,$G728=$G$20,J$20,$G728=$G$21,J$21,$G728=$G$22,J$22,$G728=$G$25,J$25,$G728=$G$26,J$26,$G728=$G$27,J$27,$G728=$G$29,J$29,$G728=$G$31,J$31,$G728=$G$32,J$150,$G728=$G$248,J$248,$G728=$G$250,J$250)</f>
        <v>141</v>
      </c>
      <c r="K728" s="48" t="str" cm="1">
        <f t="array" ref="K728">_xlfn.IFS($G728=$G$5,K$5,$G728=$G$6,K$6,$G728=$G$7,K$7,$G728=$G$8,K$8,$G728=$G$9,K$9,$G728=$G$10,K$10,$G728=$G$11,K$11,$G728=$G$12,K$12,$G728=$G$13,K$13,$G728=$G$15,K$15,$G728=$G$16,K$16,$G728=$G$17,K$17,$G728=$G$18,K$18,$G728=$G$19,K$19,$G728=$G$20,K$20,$G728=$G$21,K$21,$G728=$G$22,K$22,$G728=$G$25,K$25,$G728=$G$26,K$26,$G728=$G$27,K$27,$G728=$G$29,K$29,$G728=$G$31,K$31,$G728=$G$32,K$150,$G728=$G$248,K$248,$G728=$G$250,K$250)</f>
        <v>BG sentinel + BG lure7</v>
      </c>
      <c r="L728" s="48"/>
      <c r="M728" s="48"/>
      <c r="O728" s="45" t="str">
        <f t="shared" si="54"/>
        <v>A_SP_BCN_1_210917</v>
      </c>
      <c r="P728" s="64">
        <v>44456</v>
      </c>
      <c r="R728" s="72"/>
      <c r="S728" s="64">
        <v>44461</v>
      </c>
      <c r="U728" s="72"/>
      <c r="V728" s="54" t="s">
        <v>66</v>
      </c>
      <c r="X728" s="45">
        <f t="shared" si="55"/>
        <v>5</v>
      </c>
      <c r="Z728" s="69" t="s">
        <v>69</v>
      </c>
      <c r="AA728" s="45">
        <f t="shared" si="59"/>
        <v>12</v>
      </c>
      <c r="AB728" t="str">
        <f t="shared" si="57"/>
        <v>Adult</v>
      </c>
      <c r="AC728" s="69">
        <v>6</v>
      </c>
      <c r="AD728" s="69">
        <v>6</v>
      </c>
      <c r="AE728" s="45" t="str">
        <f t="shared" si="58"/>
        <v>Morphological</v>
      </c>
      <c r="AF728" s="56">
        <v>4</v>
      </c>
    </row>
    <row r="729" spans="1:32" ht="18" customHeight="1" x14ac:dyDescent="0.25">
      <c r="A729" s="45">
        <v>725</v>
      </c>
      <c r="B729" s="45" t="s">
        <v>60</v>
      </c>
      <c r="C729" s="45" t="s">
        <v>61</v>
      </c>
      <c r="D729" s="45" t="s">
        <v>62</v>
      </c>
      <c r="E729" s="45" t="s">
        <v>62</v>
      </c>
      <c r="F729" s="46" cm="1">
        <f t="array" ref="F729">_xlfn.IFS($G729=$G$5,F$5,$G729=$G$6,F$6,$G729=$G$7,F$7,$G729=$G$8,F$8,$G729=$G$9,F$9,$G729=$G$10,F$10,$G729=$G$11,F$11,$G729=$G$12,F$12,$G729=$G$13,F$13,$G729=$G$15,F$15,$G729=$G$16,F$16,$G729=$G$17,F$17,$G729=$G$18,F$18,$G729=$G$19,F$19,$G729=$G$20,F$20,$G729=$G$21,F$21,$G729=$G$22,F$22,$G729=$G$25,F$25,$G729=$G$26,F$26,$G729=$G$27,F$27,$G729=$G$29,F$29,$G729=$G$31,F$31,$G729=$G$32,F$32,$G729=$G$248,F$248,$G729=$G$250,F$250)</f>
        <v>8035</v>
      </c>
      <c r="G729" t="s">
        <v>67</v>
      </c>
      <c r="H729" s="67" cm="1">
        <f t="array" ref="H729">_xlfn.IFS($G729=$G$5,H$5,$G729=$G$6,H$6,$G729=$G$7,H$7,$G729=$G$8,H$8,$G729=$G$9,H$9,$G729=$G$10,H$10,$G729=$G$11,H$11,$G729=$G$12,H$12,$G729=$G$13,H$13,$G729=$G$15,H$15,$G729=$G$16,H$16,$G729=$G$17,H$17,$G729=$G$18,H$18,$G729=$G$19,H$19,$G729=$G$20,H$20,$G729=$G$21,H$21,$G729=$G$22,H$22,$G729=$G$25,H$25,$G729=$G$26,H$26,$G729=$G$27,H$27,$G729=$G$29,H$29,$G729=$G$31,H$31,$G729=$G$32,H$150,$G729=$G$248,H$248,$G729=$G$250,H$250)</f>
        <v>41.424387000000003</v>
      </c>
      <c r="I729" s="67" cm="1">
        <f t="array" ref="I729">_xlfn.IFS($G729=$G$5,I$5,$G729=$G$6,I$6,$G729=$G$7,I$7,$G729=$G$8,I$8,$G729=$G$9,I$9,$G729=$G$10,I$10,$G729=$G$11,I$11,$G729=$G$12,I$12,$G729=$G$13,I$13,$G729=$G$15,I$15,$G729=$G$16,I$16,$G729=$G$17,I$17,$G729=$G$18,I$18,$G729=$G$19,I$19,$G729=$G$20,I$20,$G729=$G$21,I$21,$G729=$G$22,I$22,$G729=$G$25,I$25,$G729=$G$26,I$26,$G729=$G$27,I$27,$G729=$G$29,I$29,$G729=$G$31,I$31,$G729=$G$32,I$150,$G729=$G$248,I$248,$G729=$G$250,I$250)</f>
        <v>2.1431439999999999</v>
      </c>
      <c r="J729" s="48" cm="1">
        <f t="array" ref="J729">_xlfn.IFS($G729=$G$5,J$5,$G729=$G$6,J$6,$G729=$G$7,J$7,$G729=$G$8,J$8,$G729=$G$9,J$9,$G729=$G$10,J$10,$G729=$G$11,J$11,$G729=$G$12,J$12,$G729=$G$13,J$13,$G729=$G$15,J$15,$G729=$G$16,J$16,$G729=$G$17,J$17,$G729=$G$18,J$18,$G729=$G$19,J$19,$G729=$G$20,J$20,$G729=$G$21,J$21,$G729=$G$22,J$22,$G729=$G$25,J$25,$G729=$G$26,J$26,$G729=$G$27,J$27,$G729=$G$29,J$29,$G729=$G$31,J$31,$G729=$G$32,J$150,$G729=$G$248,J$248,$G729=$G$250,J$250)</f>
        <v>160</v>
      </c>
      <c r="K729" s="48" t="str" cm="1">
        <f t="array" ref="K729">_xlfn.IFS($G729=$G$5,K$5,$G729=$G$6,K$6,$G729=$G$7,K$7,$G729=$G$8,K$8,$G729=$G$9,K$9,$G729=$G$10,K$10,$G729=$G$11,K$11,$G729=$G$12,K$12,$G729=$G$13,K$13,$G729=$G$15,K$15,$G729=$G$16,K$16,$G729=$G$17,K$17,$G729=$G$18,K$18,$G729=$G$19,K$19,$G729=$G$20,K$20,$G729=$G$21,K$21,$G729=$G$22,K$22,$G729=$G$25,K$25,$G729=$G$26,K$26,$G729=$G$27,K$27,$G729=$G$29,K$29,$G729=$G$31,K$31,$G729=$G$32,K$150,$G729=$G$248,K$248,$G729=$G$250,K$250)</f>
        <v>BG sentinel + BG lure7</v>
      </c>
      <c r="L729" s="48"/>
      <c r="M729" s="48"/>
      <c r="O729" s="45" t="str">
        <f t="shared" si="54"/>
        <v>A_SP_BCN_2_210917</v>
      </c>
      <c r="P729" s="64">
        <v>44456</v>
      </c>
      <c r="R729" s="72"/>
      <c r="S729" s="64">
        <v>44461</v>
      </c>
      <c r="U729" s="72"/>
      <c r="V729" s="54" t="s">
        <v>66</v>
      </c>
      <c r="X729" s="45">
        <f t="shared" si="55"/>
        <v>5</v>
      </c>
      <c r="Z729" s="69" t="s">
        <v>69</v>
      </c>
      <c r="AA729" s="45">
        <f t="shared" si="59"/>
        <v>6</v>
      </c>
      <c r="AB729" t="str">
        <f t="shared" si="57"/>
        <v>Adult</v>
      </c>
      <c r="AC729" s="69">
        <v>6</v>
      </c>
      <c r="AD729" s="69">
        <v>0</v>
      </c>
      <c r="AE729" s="45" t="str">
        <f t="shared" si="58"/>
        <v>Morphological</v>
      </c>
      <c r="AF729" s="56">
        <v>4</v>
      </c>
    </row>
    <row r="730" spans="1:32" ht="18" customHeight="1" x14ac:dyDescent="0.25">
      <c r="A730" s="45">
        <v>726</v>
      </c>
      <c r="B730" s="45" t="s">
        <v>60</v>
      </c>
      <c r="C730" s="45" t="s">
        <v>61</v>
      </c>
      <c r="D730" s="45" t="s">
        <v>62</v>
      </c>
      <c r="E730" s="45" t="s">
        <v>62</v>
      </c>
      <c r="F730" s="46" cm="1">
        <f t="array" ref="F730">_xlfn.IFS($G730=$G$5,F$5,$G730=$G$6,F$6,$G730=$G$7,F$7,$G730=$G$8,F$8,$G730=$G$9,F$9,$G730=$G$10,F$10,$G730=$G$11,F$11,$G730=$G$12,F$12,$G730=$G$13,F$13,$G730=$G$15,F$15,$G730=$G$16,F$16,$G730=$G$17,F$17,$G730=$G$18,F$18,$G730=$G$19,F$19,$G730=$G$20,F$20,$G730=$G$21,F$21,$G730=$G$22,F$22,$G730=$G$25,F$25,$G730=$G$26,F$26,$G730=$G$27,F$27,$G730=$G$29,F$29,$G730=$G$31,F$31,$G730=$G$32,F$32,$G730=$G$248,F$248,$G730=$G$250,F$250)</f>
        <v>8016</v>
      </c>
      <c r="G730" t="s">
        <v>68</v>
      </c>
      <c r="H730" s="67" cm="1">
        <f t="array" ref="H730">_xlfn.IFS($G730=$G$5,H$5,$G730=$G$6,H$6,$G730=$G$7,H$7,$G730=$G$8,H$8,$G730=$G$9,H$9,$G730=$G$10,H$10,$G730=$G$11,H$11,$G730=$G$12,H$12,$G730=$G$13,H$13,$G730=$G$15,H$15,$G730=$G$16,H$16,$G730=$G$17,H$17,$G730=$G$18,H$18,$G730=$G$19,H$19,$G730=$G$20,H$20,$G730=$G$21,H$21,$G730=$G$22,H$22,$G730=$G$25,H$25,$G730=$G$26,H$26,$G730=$G$27,H$27,$G730=$G$29,H$29,$G730=$G$31,H$31,$G730=$G$32,H$150,$G730=$G$248,H$248,$G730=$G$250,H$250)</f>
        <v>41.437435000000001</v>
      </c>
      <c r="I730" s="67" cm="1">
        <f t="array" ref="I730">_xlfn.IFS($G730=$G$5,I$5,$G730=$G$6,I$6,$G730=$G$7,I$7,$G730=$G$8,I$8,$G730=$G$9,I$9,$G730=$G$10,I$10,$G730=$G$11,I$11,$G730=$G$12,I$12,$G730=$G$13,I$13,$G730=$G$15,I$15,$G730=$G$16,I$16,$G730=$G$17,I$17,$G730=$G$18,I$18,$G730=$G$19,I$19,$G730=$G$20,I$20,$G730=$G$21,I$21,$G730=$G$22,I$22,$G730=$G$25,I$25,$G730=$G$26,I$26,$G730=$G$27,I$27,$G730=$G$29,I$29,$G730=$G$31,I$31,$G730=$G$32,I$150,$G730=$G$248,I$248,$G730=$G$250,I$250)</f>
        <v>2.1812779999999998</v>
      </c>
      <c r="J730" s="48" cm="1">
        <f t="array" ref="J730">_xlfn.IFS($G730=$G$5,J$5,$G730=$G$6,J$6,$G730=$G$7,J$7,$G730=$G$8,J$8,$G730=$G$9,J$9,$G730=$G$10,J$10,$G730=$G$11,J$11,$G730=$G$12,J$12,$G730=$G$13,J$13,$G730=$G$15,J$15,$G730=$G$16,J$16,$G730=$G$17,J$17,$G730=$G$18,J$18,$G730=$G$19,J$19,$G730=$G$20,J$20,$G730=$G$21,J$21,$G730=$G$22,J$22,$G730=$G$25,J$25,$G730=$G$26,J$26,$G730=$G$27,J$27,$G730=$G$29,J$29,$G730=$G$31,J$31,$G730=$G$32,J$150,$G730=$G$248,J$248,$G730=$G$250,J$250)</f>
        <v>47</v>
      </c>
      <c r="K730" s="48" t="str" cm="1">
        <f t="array" ref="K730">_xlfn.IFS($G730=$G$5,K$5,$G730=$G$6,K$6,$G730=$G$7,K$7,$G730=$G$8,K$8,$G730=$G$9,K$9,$G730=$G$10,K$10,$G730=$G$11,K$11,$G730=$G$12,K$12,$G730=$G$13,K$13,$G730=$G$15,K$15,$G730=$G$16,K$16,$G730=$G$17,K$17,$G730=$G$18,K$18,$G730=$G$19,K$19,$G730=$G$20,K$20,$G730=$G$21,K$21,$G730=$G$22,K$22,$G730=$G$25,K$25,$G730=$G$26,K$26,$G730=$G$27,K$27,$G730=$G$29,K$29,$G730=$G$31,K$31,$G730=$G$32,K$150,$G730=$G$248,K$248,$G730=$G$250,K$250)</f>
        <v>BG sentinel + BG lure7</v>
      </c>
      <c r="L730" s="48"/>
      <c r="M730" s="48"/>
      <c r="O730" s="45" t="str">
        <f t="shared" si="54"/>
        <v>A_SP_BCN_3_210915</v>
      </c>
      <c r="P730" s="64">
        <v>44454</v>
      </c>
      <c r="R730" s="72"/>
      <c r="S730" s="64">
        <v>44461</v>
      </c>
      <c r="U730" s="72"/>
      <c r="V730" s="54" t="s">
        <v>66</v>
      </c>
      <c r="X730" s="45">
        <f t="shared" si="55"/>
        <v>7</v>
      </c>
      <c r="Z730" s="69" t="s">
        <v>69</v>
      </c>
      <c r="AA730" s="45">
        <f t="shared" si="59"/>
        <v>3</v>
      </c>
      <c r="AB730" t="str">
        <f t="shared" si="57"/>
        <v>Adult</v>
      </c>
      <c r="AC730" s="69">
        <v>3</v>
      </c>
      <c r="AD730" s="69">
        <v>0</v>
      </c>
      <c r="AE730" s="45" t="str">
        <f t="shared" si="58"/>
        <v>Morphological</v>
      </c>
      <c r="AF730" s="56">
        <v>4</v>
      </c>
    </row>
    <row r="731" spans="1:32" ht="18" customHeight="1" x14ac:dyDescent="0.25">
      <c r="A731" s="45">
        <v>727</v>
      </c>
      <c r="B731" s="45" t="s">
        <v>60</v>
      </c>
      <c r="C731" s="45" t="s">
        <v>61</v>
      </c>
      <c r="D731" s="45" t="s">
        <v>62</v>
      </c>
      <c r="E731" s="45" t="s">
        <v>62</v>
      </c>
      <c r="F731" s="46" cm="1">
        <f t="array" ref="F731">_xlfn.IFS($G731=$G$5,F$5,$G731=$G$6,F$6,$G731=$G$7,F$7,$G731=$G$8,F$8,$G731=$G$9,F$9,$G731=$G$10,F$10,$G731=$G$11,F$11,$G731=$G$12,F$12,$G731=$G$13,F$13,$G731=$G$15,F$15,$G731=$G$16,F$16,$G731=$G$17,F$17,$G731=$G$18,F$18,$G731=$G$19,F$19,$G731=$G$20,F$20,$G731=$G$21,F$21,$G731=$G$22,F$22,$G731=$G$25,F$25,$G731=$G$26,F$26,$G731=$G$27,F$27,$G731=$G$29,F$29,$G731=$G$31,F$31,$G731=$G$32,F$32,$G731=$G$248,F$248,$G731=$G$250,F$250)</f>
        <v>8016</v>
      </c>
      <c r="G731" t="s">
        <v>68</v>
      </c>
      <c r="H731" s="67" cm="1">
        <f t="array" ref="H731">_xlfn.IFS($G731=$G$5,H$5,$G731=$G$6,H$6,$G731=$G$7,H$7,$G731=$G$8,H$8,$G731=$G$9,H$9,$G731=$G$10,H$10,$G731=$G$11,H$11,$G731=$G$12,H$12,$G731=$G$13,H$13,$G731=$G$15,H$15,$G731=$G$16,H$16,$G731=$G$17,H$17,$G731=$G$18,H$18,$G731=$G$19,H$19,$G731=$G$20,H$20,$G731=$G$21,H$21,$G731=$G$22,H$22,$G731=$G$25,H$25,$G731=$G$26,H$26,$G731=$G$27,H$27,$G731=$G$29,H$29,$G731=$G$31,H$31,$G731=$G$32,H$150,$G731=$G$248,H$248,$G731=$G$250,H$250)</f>
        <v>41.437435000000001</v>
      </c>
      <c r="I731" s="67" cm="1">
        <f t="array" ref="I731">_xlfn.IFS($G731=$G$5,I$5,$G731=$G$6,I$6,$G731=$G$7,I$7,$G731=$G$8,I$8,$G731=$G$9,I$9,$G731=$G$10,I$10,$G731=$G$11,I$11,$G731=$G$12,I$12,$G731=$G$13,I$13,$G731=$G$15,I$15,$G731=$G$16,I$16,$G731=$G$17,I$17,$G731=$G$18,I$18,$G731=$G$19,I$19,$G731=$G$20,I$20,$G731=$G$21,I$21,$G731=$G$22,I$22,$G731=$G$25,I$25,$G731=$G$26,I$26,$G731=$G$27,I$27,$G731=$G$29,I$29,$G731=$G$31,I$31,$G731=$G$32,I$150,$G731=$G$248,I$248,$G731=$G$250,I$250)</f>
        <v>2.1812779999999998</v>
      </c>
      <c r="J731" s="48" cm="1">
        <f t="array" ref="J731">_xlfn.IFS($G731=$G$5,J$5,$G731=$G$6,J$6,$G731=$G$7,J$7,$G731=$G$8,J$8,$G731=$G$9,J$9,$G731=$G$10,J$10,$G731=$G$11,J$11,$G731=$G$12,J$12,$G731=$G$13,J$13,$G731=$G$15,J$15,$G731=$G$16,J$16,$G731=$G$17,J$17,$G731=$G$18,J$18,$G731=$G$19,J$19,$G731=$G$20,J$20,$G731=$G$21,J$21,$G731=$G$22,J$22,$G731=$G$25,J$25,$G731=$G$26,J$26,$G731=$G$27,J$27,$G731=$G$29,J$29,$G731=$G$31,J$31,$G731=$G$32,J$150,$G731=$G$248,J$248,$G731=$G$250,J$250)</f>
        <v>47</v>
      </c>
      <c r="K731" s="48" t="str" cm="1">
        <f t="array" ref="K731">_xlfn.IFS($G731=$G$5,K$5,$G731=$G$6,K$6,$G731=$G$7,K$7,$G731=$G$8,K$8,$G731=$G$9,K$9,$G731=$G$10,K$10,$G731=$G$11,K$11,$G731=$G$12,K$12,$G731=$G$13,K$13,$G731=$G$15,K$15,$G731=$G$16,K$16,$G731=$G$17,K$17,$G731=$G$18,K$18,$G731=$G$19,K$19,$G731=$G$20,K$20,$G731=$G$21,K$21,$G731=$G$22,K$22,$G731=$G$25,K$25,$G731=$G$26,K$26,$G731=$G$27,K$27,$G731=$G$29,K$29,$G731=$G$31,K$31,$G731=$G$32,K$150,$G731=$G$248,K$248,$G731=$G$250,K$250)</f>
        <v>BG sentinel + BG lure7</v>
      </c>
      <c r="L731" s="48"/>
      <c r="M731" s="48"/>
      <c r="O731" s="45" t="str">
        <f t="shared" si="54"/>
        <v>A_SP_BCN_3_210915</v>
      </c>
      <c r="P731" s="64">
        <v>44454</v>
      </c>
      <c r="R731" s="72"/>
      <c r="S731" s="64">
        <v>44461</v>
      </c>
      <c r="U731" s="72"/>
      <c r="V731" s="54" t="s">
        <v>66</v>
      </c>
      <c r="X731" s="45">
        <f t="shared" si="55"/>
        <v>7</v>
      </c>
      <c r="Z731" s="45" t="s">
        <v>70</v>
      </c>
      <c r="AA731" s="45">
        <f t="shared" si="59"/>
        <v>5</v>
      </c>
      <c r="AB731" t="str">
        <f t="shared" si="57"/>
        <v>Adult</v>
      </c>
      <c r="AC731" s="69">
        <v>5</v>
      </c>
      <c r="AD731" s="69">
        <v>0</v>
      </c>
      <c r="AE731" s="45" t="str">
        <f t="shared" si="58"/>
        <v>Morphological</v>
      </c>
      <c r="AF731" s="56">
        <v>4</v>
      </c>
    </row>
    <row r="732" spans="1:32" ht="18" customHeight="1" x14ac:dyDescent="0.25">
      <c r="A732" s="45">
        <v>728</v>
      </c>
      <c r="B732" s="45" t="s">
        <v>60</v>
      </c>
      <c r="C732" s="45" t="s">
        <v>61</v>
      </c>
      <c r="D732" s="45" t="s">
        <v>62</v>
      </c>
      <c r="E732" s="45" t="s">
        <v>62</v>
      </c>
      <c r="F732" s="46" cm="1">
        <f t="array" ref="F732">_xlfn.IFS($G732=$G$5,F$5,$G732=$G$6,F$6,$G732=$G$7,F$7,$G732=$G$8,F$8,$G732=$G$9,F$9,$G732=$G$10,F$10,$G732=$G$11,F$11,$G732=$G$12,F$12,$G732=$G$13,F$13,$G732=$G$15,F$15,$G732=$G$16,F$16,$G732=$G$17,F$17,$G732=$G$18,F$18,$G732=$G$19,F$19,$G732=$G$20,F$20,$G732=$G$21,F$21,$G732=$G$22,F$22,$G732=$G$25,F$25,$G732=$G$26,F$26,$G732=$G$27,F$27,$G732=$G$29,F$29,$G732=$G$31,F$31,$G732=$G$32,F$32,$G732=$G$248,F$248,$G732=$G$250,F$250)</f>
        <v>8018</v>
      </c>
      <c r="G732" t="s">
        <v>71</v>
      </c>
      <c r="H732" s="67" cm="1">
        <f t="array" ref="H732">_xlfn.IFS($G732=$G$5,H$5,$G732=$G$6,H$6,$G732=$G$7,H$7,$G732=$G$8,H$8,$G732=$G$9,H$9,$G732=$G$10,H$10,$G732=$G$11,H$11,$G732=$G$12,H$12,$G732=$G$13,H$13,$G732=$G$15,H$15,$G732=$G$16,H$16,$G732=$G$17,H$17,$G732=$G$18,H$18,$G732=$G$19,H$19,$G732=$G$20,H$20,$G732=$G$21,H$21,$G732=$G$22,H$22,$G732=$G$25,H$25,$G732=$G$26,H$26,$G732=$G$27,H$27,$G732=$G$29,H$29,$G732=$G$31,H$31,$G732=$G$32,H$150,$G732=$G$248,H$248,$G732=$G$250,H$250)</f>
        <v>41.410684000000003</v>
      </c>
      <c r="I732" s="67" cm="1">
        <f t="array" ref="I732">_xlfn.IFS($G732=$G$5,I$5,$G732=$G$6,I$6,$G732=$G$7,I$7,$G732=$G$8,I$8,$G732=$G$9,I$9,$G732=$G$10,I$10,$G732=$G$11,I$11,$G732=$G$12,I$12,$G732=$G$13,I$13,$G732=$G$15,I$15,$G732=$G$16,I$16,$G732=$G$17,I$17,$G732=$G$18,I$18,$G732=$G$19,I$19,$G732=$G$20,I$20,$G732=$G$21,I$21,$G732=$G$22,I$22,$G732=$G$25,I$25,$G732=$G$26,I$26,$G732=$G$27,I$27,$G732=$G$29,I$29,$G732=$G$31,I$31,$G732=$G$32,I$150,$G732=$G$248,I$248,$G732=$G$250,I$250)</f>
        <v>2.2208019999999999</v>
      </c>
      <c r="J732" s="48" cm="1">
        <f t="array" ref="J732">_xlfn.IFS($G732=$G$5,J$5,$G732=$G$6,J$6,$G732=$G$7,J$7,$G732=$G$8,J$8,$G732=$G$9,J$9,$G732=$G$10,J$10,$G732=$G$11,J$11,$G732=$G$12,J$12,$G732=$G$13,J$13,$G732=$G$15,J$15,$G732=$G$16,J$16,$G732=$G$17,J$17,$G732=$G$18,J$18,$G732=$G$19,J$19,$G732=$G$20,J$20,$G732=$G$21,J$21,$G732=$G$22,J$22,$G732=$G$25,J$25,$G732=$G$26,J$26,$G732=$G$27,J$27,$G732=$G$29,J$29,$G732=$G$31,J$31,$G732=$G$32,J$150,$G732=$G$248,J$248,$G732=$G$250,J$250)</f>
        <v>4</v>
      </c>
      <c r="K732" s="48" t="str" cm="1">
        <f t="array" ref="K732">_xlfn.IFS($G732=$G$5,K$5,$G732=$G$6,K$6,$G732=$G$7,K$7,$G732=$G$8,K$8,$G732=$G$9,K$9,$G732=$G$10,K$10,$G732=$G$11,K$11,$G732=$G$12,K$12,$G732=$G$13,K$13,$G732=$G$15,K$15,$G732=$G$16,K$16,$G732=$G$17,K$17,$G732=$G$18,K$18,$G732=$G$19,K$19,$G732=$G$20,K$20,$G732=$G$21,K$21,$G732=$G$22,K$22,$G732=$G$25,K$25,$G732=$G$26,K$26,$G732=$G$27,K$27,$G732=$G$29,K$29,$G732=$G$31,K$31,$G732=$G$32,K$150,$G732=$G$248,K$248,$G732=$G$250,K$250)</f>
        <v>BG sentinel + BG lure7</v>
      </c>
      <c r="L732" s="48"/>
      <c r="M732" s="48"/>
      <c r="O732" s="45" t="str">
        <f t="shared" si="54"/>
        <v>A_SP_BCN_4_210917</v>
      </c>
      <c r="P732" s="64">
        <v>44456</v>
      </c>
      <c r="R732" s="72"/>
      <c r="S732" s="64">
        <v>44462</v>
      </c>
      <c r="U732" s="72"/>
      <c r="V732" s="54" t="s">
        <v>66</v>
      </c>
      <c r="X732" s="45">
        <f t="shared" si="55"/>
        <v>6</v>
      </c>
      <c r="Z732" s="69" t="s">
        <v>69</v>
      </c>
      <c r="AA732" s="45">
        <f t="shared" si="59"/>
        <v>7</v>
      </c>
      <c r="AB732" t="str">
        <f t="shared" si="57"/>
        <v>Adult</v>
      </c>
      <c r="AC732" s="69">
        <v>5</v>
      </c>
      <c r="AD732" s="69">
        <v>2</v>
      </c>
      <c r="AE732" s="45" t="str">
        <f t="shared" si="58"/>
        <v>Morphological</v>
      </c>
      <c r="AF732" s="56">
        <v>4</v>
      </c>
    </row>
    <row r="733" spans="1:32" ht="18" customHeight="1" x14ac:dyDescent="0.25">
      <c r="A733" s="45">
        <v>729</v>
      </c>
      <c r="B733" s="45" t="s">
        <v>60</v>
      </c>
      <c r="C733" s="45" t="s">
        <v>61</v>
      </c>
      <c r="D733" s="45" t="s">
        <v>62</v>
      </c>
      <c r="E733" s="45" t="s">
        <v>62</v>
      </c>
      <c r="F733" s="46" cm="1">
        <f t="array" ref="F733">_xlfn.IFS($G733=$G$5,F$5,$G733=$G$6,F$6,$G733=$G$7,F$7,$G733=$G$8,F$8,$G733=$G$9,F$9,$G733=$G$10,F$10,$G733=$G$11,F$11,$G733=$G$12,F$12,$G733=$G$13,F$13,$G733=$G$15,F$15,$G733=$G$16,F$16,$G733=$G$17,F$17,$G733=$G$18,F$18,$G733=$G$19,F$19,$G733=$G$20,F$20,$G733=$G$21,F$21,$G733=$G$22,F$22,$G733=$G$25,F$25,$G733=$G$26,F$26,$G733=$G$27,F$27,$G733=$G$29,F$29,$G733=$G$31,F$31,$G733=$G$32,F$32,$G733=$G$248,F$248,$G733=$G$250,F$250)</f>
        <v>8018</v>
      </c>
      <c r="G733" t="s">
        <v>71</v>
      </c>
      <c r="H733" s="67" cm="1">
        <f t="array" ref="H733">_xlfn.IFS($G733=$G$5,H$5,$G733=$G$6,H$6,$G733=$G$7,H$7,$G733=$G$8,H$8,$G733=$G$9,H$9,$G733=$G$10,H$10,$G733=$G$11,H$11,$G733=$G$12,H$12,$G733=$G$13,H$13,$G733=$G$15,H$15,$G733=$G$16,H$16,$G733=$G$17,H$17,$G733=$G$18,H$18,$G733=$G$19,H$19,$G733=$G$20,H$20,$G733=$G$21,H$21,$G733=$G$22,H$22,$G733=$G$25,H$25,$G733=$G$26,H$26,$G733=$G$27,H$27,$G733=$G$29,H$29,$G733=$G$31,H$31,$G733=$G$32,H$150,$G733=$G$248,H$248,$G733=$G$250,H$250)</f>
        <v>41.410684000000003</v>
      </c>
      <c r="I733" s="67" cm="1">
        <f t="array" ref="I733">_xlfn.IFS($G733=$G$5,I$5,$G733=$G$6,I$6,$G733=$G$7,I$7,$G733=$G$8,I$8,$G733=$G$9,I$9,$G733=$G$10,I$10,$G733=$G$11,I$11,$G733=$G$12,I$12,$G733=$G$13,I$13,$G733=$G$15,I$15,$G733=$G$16,I$16,$G733=$G$17,I$17,$G733=$G$18,I$18,$G733=$G$19,I$19,$G733=$G$20,I$20,$G733=$G$21,I$21,$G733=$G$22,I$22,$G733=$G$25,I$25,$G733=$G$26,I$26,$G733=$G$27,I$27,$G733=$G$29,I$29,$G733=$G$31,I$31,$G733=$G$32,I$150,$G733=$G$248,I$248,$G733=$G$250,I$250)</f>
        <v>2.2208019999999999</v>
      </c>
      <c r="J733" s="48" cm="1">
        <f t="array" ref="J733">_xlfn.IFS($G733=$G$5,J$5,$G733=$G$6,J$6,$G733=$G$7,J$7,$G733=$G$8,J$8,$G733=$G$9,J$9,$G733=$G$10,J$10,$G733=$G$11,J$11,$G733=$G$12,J$12,$G733=$G$13,J$13,$G733=$G$15,J$15,$G733=$G$16,J$16,$G733=$G$17,J$17,$G733=$G$18,J$18,$G733=$G$19,J$19,$G733=$G$20,J$20,$G733=$G$21,J$21,$G733=$G$22,J$22,$G733=$G$25,J$25,$G733=$G$26,J$26,$G733=$G$27,J$27,$G733=$G$29,J$29,$G733=$G$31,J$31,$G733=$G$32,J$150,$G733=$G$248,J$248,$G733=$G$250,J$250)</f>
        <v>4</v>
      </c>
      <c r="K733" s="48" t="str" cm="1">
        <f t="array" ref="K733">_xlfn.IFS($G733=$G$5,K$5,$G733=$G$6,K$6,$G733=$G$7,K$7,$G733=$G$8,K$8,$G733=$G$9,K$9,$G733=$G$10,K$10,$G733=$G$11,K$11,$G733=$G$12,K$12,$G733=$G$13,K$13,$G733=$G$15,K$15,$G733=$G$16,K$16,$G733=$G$17,K$17,$G733=$G$18,K$18,$G733=$G$19,K$19,$G733=$G$20,K$20,$G733=$G$21,K$21,$G733=$G$22,K$22,$G733=$G$25,K$25,$G733=$G$26,K$26,$G733=$G$27,K$27,$G733=$G$29,K$29,$G733=$G$31,K$31,$G733=$G$32,K$150,$G733=$G$248,K$248,$G733=$G$250,K$250)</f>
        <v>BG sentinel + BG lure7</v>
      </c>
      <c r="L733" s="48"/>
      <c r="M733" s="48"/>
      <c r="O733" s="45" t="str">
        <f t="shared" si="54"/>
        <v>A_SP_BCN_4_210917</v>
      </c>
      <c r="P733" s="64">
        <v>44456</v>
      </c>
      <c r="R733" s="72"/>
      <c r="S733" s="64">
        <v>44462</v>
      </c>
      <c r="U733" s="72"/>
      <c r="V733" s="54" t="s">
        <v>66</v>
      </c>
      <c r="X733" s="45">
        <f t="shared" si="55"/>
        <v>6</v>
      </c>
      <c r="Z733" s="45" t="s">
        <v>70</v>
      </c>
      <c r="AA733" s="45">
        <f t="shared" si="59"/>
        <v>4</v>
      </c>
      <c r="AB733" t="str">
        <f t="shared" si="57"/>
        <v>Adult</v>
      </c>
      <c r="AC733" s="69">
        <v>4</v>
      </c>
      <c r="AD733" s="69">
        <v>0</v>
      </c>
      <c r="AE733" s="45" t="str">
        <f t="shared" si="58"/>
        <v>Morphological</v>
      </c>
      <c r="AF733" s="56">
        <v>4</v>
      </c>
    </row>
    <row r="734" spans="1:32" ht="18" customHeight="1" x14ac:dyDescent="0.25">
      <c r="A734" s="45">
        <v>730</v>
      </c>
      <c r="B734" s="45" t="s">
        <v>60</v>
      </c>
      <c r="C734" s="45" t="s">
        <v>61</v>
      </c>
      <c r="D734" s="45" t="s">
        <v>62</v>
      </c>
      <c r="E734" s="45" t="s">
        <v>62</v>
      </c>
      <c r="F734" s="46" cm="1">
        <f t="array" ref="F734">_xlfn.IFS($G734=$G$5,F$5,$G734=$G$6,F$6,$G734=$G$7,F$7,$G734=$G$8,F$8,$G734=$G$9,F$9,$G734=$G$10,F$10,$G734=$G$11,F$11,$G734=$G$12,F$12,$G734=$G$13,F$13,$G734=$G$15,F$15,$G734=$G$16,F$16,$G734=$G$17,F$17,$G734=$G$18,F$18,$G734=$G$19,F$19,$G734=$G$20,F$20,$G734=$G$21,F$21,$G734=$G$22,F$22,$G734=$G$25,F$25,$G734=$G$26,F$26,$G734=$G$27,F$27,$G734=$G$29,F$29,$G734=$G$31,F$31,$G734=$G$32,F$32,$G734=$G$248,F$248,$G734=$G$250,F$250)</f>
        <v>8019</v>
      </c>
      <c r="G734" t="s">
        <v>72</v>
      </c>
      <c r="H734" s="67" cm="1">
        <f t="array" ref="H734">_xlfn.IFS($G734=$G$5,H$5,$G734=$G$6,H$6,$G734=$G$7,H$7,$G734=$G$8,H$8,$G734=$G$9,H$9,$G734=$G$10,H$10,$G734=$G$11,H$11,$G734=$G$12,H$12,$G734=$G$13,H$13,$G734=$G$15,H$15,$G734=$G$16,H$16,$G734=$G$17,H$17,$G734=$G$18,H$18,$G734=$G$19,H$19,$G734=$G$20,H$20,$G734=$G$21,H$21,$G734=$G$22,H$22,$G734=$G$25,H$25,$G734=$G$26,H$26,$G734=$G$27,H$27,$G734=$G$29,H$29,$G734=$G$31,H$31,$G734=$G$32,H$150,$G734=$G$248,H$248,$G734=$G$250,H$250)</f>
        <v>41.382339999999999</v>
      </c>
      <c r="I734" s="67" cm="1">
        <f t="array" ref="I734">_xlfn.IFS($G734=$G$5,I$5,$G734=$G$6,I$6,$G734=$G$7,I$7,$G734=$G$8,I$8,$G734=$G$9,I$9,$G734=$G$10,I$10,$G734=$G$11,I$11,$G734=$G$12,I$12,$G734=$G$13,I$13,$G734=$G$15,I$15,$G734=$G$16,I$16,$G734=$G$17,I$17,$G734=$G$18,I$18,$G734=$G$19,I$19,$G734=$G$20,I$20,$G734=$G$21,I$21,$G734=$G$22,I$22,$G734=$G$25,I$25,$G734=$G$26,I$26,$G734=$G$27,I$27,$G734=$G$29,I$29,$G734=$G$31,I$31,$G734=$G$32,I$150,$G734=$G$248,I$248,$G734=$G$250,I$250)</f>
        <v>2.1714790000000002</v>
      </c>
      <c r="J734" s="48" cm="1">
        <f t="array" ref="J734">_xlfn.IFS($G734=$G$5,J$5,$G734=$G$6,J$6,$G734=$G$7,J$7,$G734=$G$8,J$8,$G734=$G$9,J$9,$G734=$G$10,J$10,$G734=$G$11,J$11,$G734=$G$12,J$12,$G734=$G$13,J$13,$G734=$G$15,J$15,$G734=$G$16,J$16,$G734=$G$17,J$17,$G734=$G$18,J$18,$G734=$G$19,J$19,$G734=$G$20,J$20,$G734=$G$21,J$21,$G734=$G$22,J$22,$G734=$G$25,J$25,$G734=$G$26,J$26,$G734=$G$27,J$27,$G734=$G$29,J$29,$G734=$G$31,J$31,$G734=$G$32,J$150,$G734=$G$248,J$248,$G734=$G$250,J$250)</f>
        <v>18</v>
      </c>
      <c r="K734" s="48" t="str" cm="1">
        <f t="array" ref="K734">_xlfn.IFS($G734=$G$5,K$5,$G734=$G$6,K$6,$G734=$G$7,K$7,$G734=$G$8,K$8,$G734=$G$9,K$9,$G734=$G$10,K$10,$G734=$G$11,K$11,$G734=$G$12,K$12,$G734=$G$13,K$13,$G734=$G$15,K$15,$G734=$G$16,K$16,$G734=$G$17,K$17,$G734=$G$18,K$18,$G734=$G$19,K$19,$G734=$G$20,K$20,$G734=$G$21,K$21,$G734=$G$22,K$22,$G734=$G$25,K$25,$G734=$G$26,K$26,$G734=$G$27,K$27,$G734=$G$29,K$29,$G734=$G$31,K$31,$G734=$G$32,K$150,$G734=$G$248,K$248,$G734=$G$250,K$250)</f>
        <v>BG sentinel + BG lure7</v>
      </c>
      <c r="L734" s="48"/>
      <c r="M734" s="48"/>
      <c r="O734" s="45" t="str">
        <f t="shared" si="54"/>
        <v>A_SP_BCN_5_210917</v>
      </c>
      <c r="P734" s="64">
        <v>44456</v>
      </c>
      <c r="R734" s="72"/>
      <c r="S734" s="64">
        <v>44462</v>
      </c>
      <c r="U734" s="72"/>
      <c r="V734" s="54" t="s">
        <v>66</v>
      </c>
      <c r="X734" s="45">
        <f t="shared" si="55"/>
        <v>6</v>
      </c>
      <c r="Z734" s="45" t="s">
        <v>70</v>
      </c>
      <c r="AA734" s="45">
        <f t="shared" si="59"/>
        <v>3</v>
      </c>
      <c r="AB734" t="str">
        <f t="shared" si="57"/>
        <v>Adult</v>
      </c>
      <c r="AC734" s="69">
        <v>3</v>
      </c>
      <c r="AD734" s="69">
        <v>0</v>
      </c>
      <c r="AE734" s="45" t="str">
        <f t="shared" si="58"/>
        <v>Morphological</v>
      </c>
      <c r="AF734" s="56">
        <v>4</v>
      </c>
    </row>
    <row r="735" spans="1:32" ht="18" customHeight="1" x14ac:dyDescent="0.25">
      <c r="A735" s="45">
        <v>731</v>
      </c>
      <c r="B735" s="45" t="s">
        <v>60</v>
      </c>
      <c r="C735" s="45" t="s">
        <v>61</v>
      </c>
      <c r="D735" s="45" t="s">
        <v>62</v>
      </c>
      <c r="E735" s="45" t="s">
        <v>62</v>
      </c>
      <c r="F735" s="46" cm="1">
        <f t="array" ref="F735">_xlfn.IFS($G735=$G$5,F$5,$G735=$G$6,F$6,$G735=$G$7,F$7,$G735=$G$8,F$8,$G735=$G$9,F$9,$G735=$G$10,F$10,$G735=$G$11,F$11,$G735=$G$12,F$12,$G735=$G$13,F$13,$G735=$G$15,F$15,$G735=$G$16,F$16,$G735=$G$17,F$17,$G735=$G$18,F$18,$G735=$G$19,F$19,$G735=$G$20,F$20,$G735=$G$21,F$21,$G735=$G$22,F$22,$G735=$G$25,F$25,$G735=$G$26,F$26,$G735=$G$27,F$27,$G735=$G$29,F$29,$G735=$G$31,F$31,$G735=$G$32,F$32,$G735=$G$248,F$248,$G735=$G$250,F$250)</f>
        <v>8002</v>
      </c>
      <c r="G735" t="s">
        <v>73</v>
      </c>
      <c r="H735" s="67" cm="1">
        <f t="array" ref="H735">_xlfn.IFS($G735=$G$5,H$5,$G735=$G$6,H$6,$G735=$G$7,H$7,$G735=$G$8,H$8,$G735=$G$9,H$9,$G735=$G$10,H$10,$G735=$G$11,H$11,$G735=$G$12,H$12,$G735=$G$13,H$13,$G735=$G$15,H$15,$G735=$G$16,H$16,$G735=$G$17,H$17,$G735=$G$18,H$18,$G735=$G$19,H$19,$G735=$G$20,H$20,$G735=$G$21,H$21,$G735=$G$22,H$22,$G735=$G$25,H$25,$G735=$G$26,H$26,$G735=$G$27,H$27,$G735=$G$29,H$29,$G735=$G$31,H$31,$G735=$G$32,H$150,$G735=$G$248,H$248,$G735=$G$250,H$250)</f>
        <v>41.371864000000002</v>
      </c>
      <c r="I735" s="67" cm="1">
        <f t="array" ref="I735">_xlfn.IFS($G735=$G$5,I$5,$G735=$G$6,I$6,$G735=$G$7,I$7,$G735=$G$8,I$8,$G735=$G$9,I$9,$G735=$G$10,I$10,$G735=$G$11,I$11,$G735=$G$12,I$12,$G735=$G$13,I$13,$G735=$G$15,I$15,$G735=$G$16,I$16,$G735=$G$17,I$17,$G735=$G$18,I$18,$G735=$G$19,I$19,$G735=$G$20,I$20,$G735=$G$21,I$21,$G735=$G$22,I$22,$G735=$G$25,I$25,$G735=$G$26,I$26,$G735=$G$27,I$27,$G735=$G$29,I$29,$G735=$G$31,I$31,$G735=$G$32,I$150,$G735=$G$248,I$248,$G735=$G$250,I$250)</f>
        <v>2.173899</v>
      </c>
      <c r="J735" s="48" cm="1">
        <f t="array" ref="J735">_xlfn.IFS($G735=$G$5,J$5,$G735=$G$6,J$6,$G735=$G$7,J$7,$G735=$G$8,J$8,$G735=$G$9,J$9,$G735=$G$10,J$10,$G735=$G$11,J$11,$G735=$G$12,J$12,$G735=$G$13,J$13,$G735=$G$15,J$15,$G735=$G$16,J$16,$G735=$G$17,J$17,$G735=$G$18,J$18,$G735=$G$19,J$19,$G735=$G$20,J$20,$G735=$G$21,J$21,$G735=$G$22,J$22,$G735=$G$25,J$25,$G735=$G$26,J$26,$G735=$G$27,J$27,$G735=$G$29,J$29,$G735=$G$31,J$31,$G735=$G$32,J$150,$G735=$G$248,J$248,$G735=$G$250,J$250)</f>
        <v>19</v>
      </c>
      <c r="K735" s="48" t="str" cm="1">
        <f t="array" ref="K735">_xlfn.IFS($G735=$G$5,K$5,$G735=$G$6,K$6,$G735=$G$7,K$7,$G735=$G$8,K$8,$G735=$G$9,K$9,$G735=$G$10,K$10,$G735=$G$11,K$11,$G735=$G$12,K$12,$G735=$G$13,K$13,$G735=$G$15,K$15,$G735=$G$16,K$16,$G735=$G$17,K$17,$G735=$G$18,K$18,$G735=$G$19,K$19,$G735=$G$20,K$20,$G735=$G$21,K$21,$G735=$G$22,K$22,$G735=$G$25,K$25,$G735=$G$26,K$26,$G735=$G$27,K$27,$G735=$G$29,K$29,$G735=$G$31,K$31,$G735=$G$32,K$150,$G735=$G$248,K$248,$G735=$G$250,K$250)</f>
        <v>BG sentinel + BG lure7</v>
      </c>
      <c r="L735" s="48"/>
      <c r="M735" s="48"/>
      <c r="O735" s="45" t="str">
        <f t="shared" si="54"/>
        <v>A_SP_BCN_6_210916</v>
      </c>
      <c r="P735" s="64">
        <v>44455</v>
      </c>
      <c r="R735" s="72"/>
      <c r="S735" s="64">
        <v>44462</v>
      </c>
      <c r="U735" s="72"/>
      <c r="V735" s="54" t="s">
        <v>66</v>
      </c>
      <c r="X735" s="45">
        <f t="shared" si="55"/>
        <v>7</v>
      </c>
      <c r="Z735" s="69" t="s">
        <v>69</v>
      </c>
      <c r="AA735" s="45">
        <f t="shared" si="59"/>
        <v>3</v>
      </c>
      <c r="AB735" t="str">
        <f t="shared" si="57"/>
        <v>Adult</v>
      </c>
      <c r="AC735" s="69">
        <v>3</v>
      </c>
      <c r="AD735" s="69">
        <v>0</v>
      </c>
      <c r="AE735" s="45" t="str">
        <f t="shared" si="58"/>
        <v>Morphological</v>
      </c>
      <c r="AF735" s="56">
        <v>4</v>
      </c>
    </row>
    <row r="736" spans="1:32" ht="18" customHeight="1" x14ac:dyDescent="0.25">
      <c r="A736" s="45">
        <v>732</v>
      </c>
      <c r="B736" s="45" t="s">
        <v>60</v>
      </c>
      <c r="C736" s="45" t="s">
        <v>61</v>
      </c>
      <c r="D736" s="45" t="s">
        <v>62</v>
      </c>
      <c r="E736" s="45" t="s">
        <v>62</v>
      </c>
      <c r="F736" s="46" cm="1">
        <f t="array" ref="F736">_xlfn.IFS($G736=$G$5,F$5,$G736=$G$6,F$6,$G736=$G$7,F$7,$G736=$G$8,F$8,$G736=$G$9,F$9,$G736=$G$10,F$10,$G736=$G$11,F$11,$G736=$G$12,F$12,$G736=$G$13,F$13,$G736=$G$15,F$15,$G736=$G$16,F$16,$G736=$G$17,F$17,$G736=$G$18,F$18,$G736=$G$19,F$19,$G736=$G$20,F$20,$G736=$G$21,F$21,$G736=$G$22,F$22,$G736=$G$25,F$25,$G736=$G$26,F$26,$G736=$G$27,F$27,$G736=$G$29,F$29,$G736=$G$31,F$31,$G736=$G$32,F$32,$G736=$G$248,F$248,$G736=$G$250,F$250)</f>
        <v>8038</v>
      </c>
      <c r="G736" t="s">
        <v>74</v>
      </c>
      <c r="H736" s="67" cm="1">
        <f t="array" ref="H736">_xlfn.IFS($G736=$G$5,H$5,$G736=$G$6,H$6,$G736=$G$7,H$7,$G736=$G$8,H$8,$G736=$G$9,H$9,$G736=$G$10,H$10,$G736=$G$11,H$11,$G736=$G$12,H$12,$G736=$G$13,H$13,$G736=$G$15,H$15,$G736=$G$16,H$16,$G736=$G$17,H$17,$G736=$G$18,H$18,$G736=$G$19,H$19,$G736=$G$20,H$20,$G736=$G$21,H$21,$G736=$G$22,H$22,$G736=$G$25,H$25,$G736=$G$26,H$26,$G736=$G$27,H$27,$G736=$G$29,H$29,$G736=$G$31,H$31,$G736=$G$32,H$150,$G736=$G$248,H$248,$G736=$G$250,H$250)</f>
        <v>41.371864000000002</v>
      </c>
      <c r="I736" s="67" cm="1">
        <f t="array" ref="I736">_xlfn.IFS($G736=$G$5,I$5,$G736=$G$6,I$6,$G736=$G$7,I$7,$G736=$G$8,I$8,$G736=$G$9,I$9,$G736=$G$10,I$10,$G736=$G$11,I$11,$G736=$G$12,I$12,$G736=$G$13,I$13,$G736=$G$15,I$15,$G736=$G$16,I$16,$G736=$G$17,I$17,$G736=$G$18,I$18,$G736=$G$19,I$19,$G736=$G$20,I$20,$G736=$G$21,I$21,$G736=$G$22,I$22,$G736=$G$25,I$25,$G736=$G$26,I$26,$G736=$G$27,I$27,$G736=$G$29,I$29,$G736=$G$31,I$31,$G736=$G$32,I$150,$G736=$G$248,I$248,$G736=$G$250,I$250)</f>
        <v>2.173899</v>
      </c>
      <c r="J736" s="48" cm="1">
        <f t="array" ref="J736">_xlfn.IFS($G736=$G$5,J$5,$G736=$G$6,J$6,$G736=$G$7,J$7,$G736=$G$8,J$8,$G736=$G$9,J$9,$G736=$G$10,J$10,$G736=$G$11,J$11,$G736=$G$12,J$12,$G736=$G$13,J$13,$G736=$G$15,J$15,$G736=$G$16,J$16,$G736=$G$17,J$17,$G736=$G$18,J$18,$G736=$G$19,J$19,$G736=$G$20,J$20,$G736=$G$21,J$21,$G736=$G$22,J$22,$G736=$G$25,J$25,$G736=$G$26,J$26,$G736=$G$27,J$27,$G736=$G$29,J$29,$G736=$G$31,J$31,$G736=$G$32,J$150,$G736=$G$248,J$248,$G736=$G$250,J$250)</f>
        <v>5</v>
      </c>
      <c r="K736" s="48" t="str" cm="1">
        <f t="array" ref="K736">_xlfn.IFS($G736=$G$5,K$5,$G736=$G$6,K$6,$G736=$G$7,K$7,$G736=$G$8,K$8,$G736=$G$9,K$9,$G736=$G$10,K$10,$G736=$G$11,K$11,$G736=$G$12,K$12,$G736=$G$13,K$13,$G736=$G$15,K$15,$G736=$G$16,K$16,$G736=$G$17,K$17,$G736=$G$18,K$18,$G736=$G$19,K$19,$G736=$G$20,K$20,$G736=$G$21,K$21,$G736=$G$22,K$22,$G736=$G$25,K$25,$G736=$G$26,K$26,$G736=$G$27,K$27,$G736=$G$29,K$29,$G736=$G$31,K$31,$G736=$G$32,K$150,$G736=$G$248,K$248,$G736=$G$250,K$250)</f>
        <v>BG sentinel + BG lure7</v>
      </c>
      <c r="L736" s="48"/>
      <c r="M736" s="48"/>
      <c r="O736" s="45" t="str">
        <f t="shared" si="54"/>
        <v>A_SP_BCN_7_210917</v>
      </c>
      <c r="P736" s="64">
        <v>44456</v>
      </c>
      <c r="R736" s="72"/>
      <c r="S736" s="64">
        <v>44462</v>
      </c>
      <c r="U736" s="72"/>
      <c r="V736" s="54" t="s">
        <v>66</v>
      </c>
      <c r="X736" s="45">
        <f t="shared" si="55"/>
        <v>6</v>
      </c>
      <c r="Z736" s="69" t="s">
        <v>69</v>
      </c>
      <c r="AA736" s="45">
        <f t="shared" si="59"/>
        <v>11</v>
      </c>
      <c r="AB736" t="str">
        <f t="shared" si="57"/>
        <v>Adult</v>
      </c>
      <c r="AC736" s="69">
        <v>10</v>
      </c>
      <c r="AD736" s="69">
        <v>1</v>
      </c>
      <c r="AE736" s="45" t="str">
        <f t="shared" si="58"/>
        <v>Morphological</v>
      </c>
      <c r="AF736" s="56">
        <v>4</v>
      </c>
    </row>
    <row r="737" spans="1:32" ht="18" customHeight="1" x14ac:dyDescent="0.25">
      <c r="A737" s="45">
        <v>733</v>
      </c>
      <c r="B737" s="45" t="s">
        <v>60</v>
      </c>
      <c r="C737" s="45" t="s">
        <v>61</v>
      </c>
      <c r="D737" s="45" t="s">
        <v>62</v>
      </c>
      <c r="E737" s="45" t="s">
        <v>62</v>
      </c>
      <c r="F737" s="46" cm="1">
        <f t="array" ref="F737">_xlfn.IFS($G737=$G$5,F$5,$G737=$G$6,F$6,$G737=$G$7,F$7,$G737=$G$8,F$8,$G737=$G$9,F$9,$G737=$G$10,F$10,$G737=$G$11,F$11,$G737=$G$12,F$12,$G737=$G$13,F$13,$G737=$G$15,F$15,$G737=$G$16,F$16,$G737=$G$17,F$17,$G737=$G$18,F$18,$G737=$G$19,F$19,$G737=$G$20,F$20,$G737=$G$21,F$21,$G737=$G$22,F$22,$G737=$G$25,F$25,$G737=$G$26,F$26,$G737=$G$27,F$27,$G737=$G$29,F$29,$G737=$G$31,F$31,$G737=$G$32,F$32,$G737=$G$248,F$248,$G737=$G$250,F$250)</f>
        <v>8038</v>
      </c>
      <c r="G737" t="s">
        <v>74</v>
      </c>
      <c r="H737" s="67" cm="1">
        <f t="array" ref="H737">_xlfn.IFS($G737=$G$5,H$5,$G737=$G$6,H$6,$G737=$G$7,H$7,$G737=$G$8,H$8,$G737=$G$9,H$9,$G737=$G$10,H$10,$G737=$G$11,H$11,$G737=$G$12,H$12,$G737=$G$13,H$13,$G737=$G$15,H$15,$G737=$G$16,H$16,$G737=$G$17,H$17,$G737=$G$18,H$18,$G737=$G$19,H$19,$G737=$G$20,H$20,$G737=$G$21,H$21,$G737=$G$22,H$22,$G737=$G$25,H$25,$G737=$G$26,H$26,$G737=$G$27,H$27,$G737=$G$29,H$29,$G737=$G$31,H$31,$G737=$G$32,H$150,$G737=$G$248,H$248,$G737=$G$250,H$250)</f>
        <v>41.371864000000002</v>
      </c>
      <c r="I737" s="67" cm="1">
        <f t="array" ref="I737">_xlfn.IFS($G737=$G$5,I$5,$G737=$G$6,I$6,$G737=$G$7,I$7,$G737=$G$8,I$8,$G737=$G$9,I$9,$G737=$G$10,I$10,$G737=$G$11,I$11,$G737=$G$12,I$12,$G737=$G$13,I$13,$G737=$G$15,I$15,$G737=$G$16,I$16,$G737=$G$17,I$17,$G737=$G$18,I$18,$G737=$G$19,I$19,$G737=$G$20,I$20,$G737=$G$21,I$21,$G737=$G$22,I$22,$G737=$G$25,I$25,$G737=$G$26,I$26,$G737=$G$27,I$27,$G737=$G$29,I$29,$G737=$G$31,I$31,$G737=$G$32,I$150,$G737=$G$248,I$248,$G737=$G$250,I$250)</f>
        <v>2.173899</v>
      </c>
      <c r="J737" s="48" cm="1">
        <f t="array" ref="J737">_xlfn.IFS($G737=$G$5,J$5,$G737=$G$6,J$6,$G737=$G$7,J$7,$G737=$G$8,J$8,$G737=$G$9,J$9,$G737=$G$10,J$10,$G737=$G$11,J$11,$G737=$G$12,J$12,$G737=$G$13,J$13,$G737=$G$15,J$15,$G737=$G$16,J$16,$G737=$G$17,J$17,$G737=$G$18,J$18,$G737=$G$19,J$19,$G737=$G$20,J$20,$G737=$G$21,J$21,$G737=$G$22,J$22,$G737=$G$25,J$25,$G737=$G$26,J$26,$G737=$G$27,J$27,$G737=$G$29,J$29,$G737=$G$31,J$31,$G737=$G$32,J$150,$G737=$G$248,J$248,$G737=$G$250,J$250)</f>
        <v>5</v>
      </c>
      <c r="K737" s="48" t="str" cm="1">
        <f t="array" ref="K737">_xlfn.IFS($G737=$G$5,K$5,$G737=$G$6,K$6,$G737=$G$7,K$7,$G737=$G$8,K$8,$G737=$G$9,K$9,$G737=$G$10,K$10,$G737=$G$11,K$11,$G737=$G$12,K$12,$G737=$G$13,K$13,$G737=$G$15,K$15,$G737=$G$16,K$16,$G737=$G$17,K$17,$G737=$G$18,K$18,$G737=$G$19,K$19,$G737=$G$20,K$20,$G737=$G$21,K$21,$G737=$G$22,K$22,$G737=$G$25,K$25,$G737=$G$26,K$26,$G737=$G$27,K$27,$G737=$G$29,K$29,$G737=$G$31,K$31,$G737=$G$32,K$150,$G737=$G$248,K$248,$G737=$G$250,K$250)</f>
        <v>BG sentinel + BG lure7</v>
      </c>
      <c r="L737" s="48"/>
      <c r="M737" s="48"/>
      <c r="O737" s="45" t="str">
        <f t="shared" si="54"/>
        <v>A_SP_BCN_7_210917</v>
      </c>
      <c r="P737" s="64">
        <v>44456</v>
      </c>
      <c r="R737" s="72"/>
      <c r="S737" s="64">
        <v>44462</v>
      </c>
      <c r="U737" s="72"/>
      <c r="V737" s="54" t="s">
        <v>66</v>
      </c>
      <c r="X737" s="45">
        <f t="shared" si="55"/>
        <v>6</v>
      </c>
      <c r="Z737" s="45" t="s">
        <v>70</v>
      </c>
      <c r="AA737" s="45">
        <f t="shared" si="59"/>
        <v>1</v>
      </c>
      <c r="AB737" t="str">
        <f t="shared" si="57"/>
        <v>Adult</v>
      </c>
      <c r="AC737" s="69">
        <v>0</v>
      </c>
      <c r="AD737" s="69">
        <v>1</v>
      </c>
      <c r="AE737" s="45" t="str">
        <f t="shared" si="58"/>
        <v>Morphological</v>
      </c>
      <c r="AF737" s="56">
        <v>4</v>
      </c>
    </row>
    <row r="738" spans="1:32" ht="18" customHeight="1" x14ac:dyDescent="0.25">
      <c r="A738" s="45">
        <v>734</v>
      </c>
      <c r="B738" s="45" t="s">
        <v>60</v>
      </c>
      <c r="C738" s="45" t="s">
        <v>61</v>
      </c>
      <c r="D738" s="45" t="s">
        <v>62</v>
      </c>
      <c r="E738" s="45" t="s">
        <v>62</v>
      </c>
      <c r="F738" s="46" cm="1">
        <f t="array" ref="F738">_xlfn.IFS($G738=$G$5,F$5,$G738=$G$6,F$6,$G738=$G$7,F$7,$G738=$G$8,F$8,$G738=$G$9,F$9,$G738=$G$10,F$10,$G738=$G$11,F$11,$G738=$G$12,F$12,$G738=$G$13,F$13,$G738=$G$15,F$15,$G738=$G$16,F$16,$G738=$G$17,F$17,$G738=$G$18,F$18,$G738=$G$19,F$19,$G738=$G$20,F$20,$G738=$G$21,F$21,$G738=$G$22,F$22,$G738=$G$25,F$25,$G738=$G$26,F$26,$G738=$G$27,F$27,$G738=$G$29,F$29,$G738=$G$31,F$31,$G738=$G$32,F$32,$G738=$G$248,F$248,$G738=$G$250,F$250)</f>
        <v>8038</v>
      </c>
      <c r="G738" t="s">
        <v>75</v>
      </c>
      <c r="H738" s="67" cm="1">
        <f t="array" ref="H738">_xlfn.IFS($G738=$G$5,H$5,$G738=$G$6,H$6,$G738=$G$7,H$7,$G738=$G$8,H$8,$G738=$G$9,H$9,$G738=$G$10,H$10,$G738=$G$11,H$11,$G738=$G$12,H$12,$G738=$G$13,H$13,$G738=$G$15,H$15,$G738=$G$16,H$16,$G738=$G$17,H$17,$G738=$G$18,H$18,$G738=$G$19,H$19,$G738=$G$20,H$20,$G738=$G$21,H$21,$G738=$G$22,H$22,$G738=$G$25,H$25,$G738=$G$26,H$26,$G738=$G$27,H$27,$G738=$G$29,H$29,$G738=$G$31,H$31,$G738=$G$32,H$150,$G738=$G$248,H$248,$G738=$G$250,H$250)</f>
        <v>41.368589</v>
      </c>
      <c r="I738" s="67" cm="1">
        <f t="array" ref="I738">_xlfn.IFS($G738=$G$5,I$5,$G738=$G$6,I$6,$G738=$G$7,I$7,$G738=$G$8,I$8,$G738=$G$9,I$9,$G738=$G$10,I$10,$G738=$G$11,I$11,$G738=$G$12,I$12,$G738=$G$13,I$13,$G738=$G$15,I$15,$G738=$G$16,I$16,$G738=$G$17,I$17,$G738=$G$18,I$18,$G738=$G$19,I$19,$G738=$G$20,I$20,$G738=$G$21,I$21,$G738=$G$22,I$22,$G738=$G$25,I$25,$G738=$G$26,I$26,$G738=$G$27,I$27,$G738=$G$29,I$29,$G738=$G$31,I$31,$G738=$G$32,I$150,$G738=$G$248,I$248,$G738=$G$250,I$250)</f>
        <v>2.1620900000000001</v>
      </c>
      <c r="J738" s="48" cm="1">
        <f t="array" ref="J738">_xlfn.IFS($G738=$G$5,J$5,$G738=$G$6,J$6,$G738=$G$7,J$7,$G738=$G$8,J$8,$G738=$G$9,J$9,$G738=$G$10,J$10,$G738=$G$11,J$11,$G738=$G$12,J$12,$G738=$G$13,J$13,$G738=$G$15,J$15,$G738=$G$16,J$16,$G738=$G$17,J$17,$G738=$G$18,J$18,$G738=$G$19,J$19,$G738=$G$20,J$20,$G738=$G$21,J$21,$G738=$G$22,J$22,$G738=$G$25,J$25,$G738=$G$26,J$26,$G738=$G$27,J$27,$G738=$G$29,J$29,$G738=$G$31,J$31,$G738=$G$32,J$150,$G738=$G$248,J$248,$G738=$G$250,J$250)</f>
        <v>95</v>
      </c>
      <c r="K738" s="48" t="str" cm="1">
        <f t="array" ref="K738">_xlfn.IFS($G738=$G$5,K$5,$G738=$G$6,K$6,$G738=$G$7,K$7,$G738=$G$8,K$8,$G738=$G$9,K$9,$G738=$G$10,K$10,$G738=$G$11,K$11,$G738=$G$12,K$12,$G738=$G$13,K$13,$G738=$G$15,K$15,$G738=$G$16,K$16,$G738=$G$17,K$17,$G738=$G$18,K$18,$G738=$G$19,K$19,$G738=$G$20,K$20,$G738=$G$21,K$21,$G738=$G$22,K$22,$G738=$G$25,K$25,$G738=$G$26,K$26,$G738=$G$27,K$27,$G738=$G$29,K$29,$G738=$G$31,K$31,$G738=$G$32,K$150,$G738=$G$248,K$248,$G738=$G$250,K$250)</f>
        <v>BG sentinel + BG lure7</v>
      </c>
      <c r="L738" s="48"/>
      <c r="M738" s="48"/>
      <c r="O738" s="45" t="str">
        <f t="shared" si="54"/>
        <v>A_SP_BCN_8_210917</v>
      </c>
      <c r="P738" s="64">
        <v>44456</v>
      </c>
      <c r="R738" s="72"/>
      <c r="S738" s="64">
        <v>44462</v>
      </c>
      <c r="U738" s="72"/>
      <c r="V738" s="54" t="s">
        <v>66</v>
      </c>
      <c r="X738" s="45">
        <f t="shared" si="55"/>
        <v>6</v>
      </c>
      <c r="Z738" s="69" t="s">
        <v>69</v>
      </c>
      <c r="AA738" s="45">
        <f t="shared" si="59"/>
        <v>34</v>
      </c>
      <c r="AB738" t="str">
        <f t="shared" ref="AB738:AB809" si="60">IF(AA738=0,"",IF(AA738="","",IF(AA738&gt;0,"Adult")))</f>
        <v>Adult</v>
      </c>
      <c r="AC738" s="69">
        <v>26</v>
      </c>
      <c r="AD738" s="69">
        <v>8</v>
      </c>
      <c r="AE738" s="45" t="str">
        <f t="shared" ref="AE738:AE810" si="61">IF(AA738=0,"",IF(AA738="","",IF(AA738&gt;0,"Morphological")))</f>
        <v>Morphological</v>
      </c>
      <c r="AF738" s="56">
        <v>4</v>
      </c>
    </row>
    <row r="739" spans="1:32" ht="18" customHeight="1" x14ac:dyDescent="0.25">
      <c r="A739" s="45">
        <v>735</v>
      </c>
      <c r="B739" s="45" t="s">
        <v>60</v>
      </c>
      <c r="C739" s="45" t="s">
        <v>61</v>
      </c>
      <c r="D739" s="45" t="s">
        <v>62</v>
      </c>
      <c r="E739" s="45" t="s">
        <v>62</v>
      </c>
      <c r="F739" s="46" cm="1">
        <f t="array" ref="F739">_xlfn.IFS($G739=$G$5,F$5,$G739=$G$6,F$6,$G739=$G$7,F$7,$G739=$G$8,F$8,$G739=$G$9,F$9,$G739=$G$10,F$10,$G739=$G$11,F$11,$G739=$G$12,F$12,$G739=$G$13,F$13,$G739=$G$15,F$15,$G739=$G$16,F$16,$G739=$G$17,F$17,$G739=$G$18,F$18,$G739=$G$19,F$19,$G739=$G$20,F$20,$G739=$G$21,F$21,$G739=$G$22,F$22,$G739=$G$25,F$25,$G739=$G$26,F$26,$G739=$G$27,F$27,$G739=$G$29,F$29,$G739=$G$31,F$31,$G739=$G$32,F$32,$G739=$G$248,F$248,$G739=$G$250,F$250)</f>
        <v>8038</v>
      </c>
      <c r="G739" t="s">
        <v>75</v>
      </c>
      <c r="H739" s="67" cm="1">
        <f t="array" ref="H739">_xlfn.IFS($G739=$G$5,H$5,$G739=$G$6,H$6,$G739=$G$7,H$7,$G739=$G$8,H$8,$G739=$G$9,H$9,$G739=$G$10,H$10,$G739=$G$11,H$11,$G739=$G$12,H$12,$G739=$G$13,H$13,$G739=$G$15,H$15,$G739=$G$16,H$16,$G739=$G$17,H$17,$G739=$G$18,H$18,$G739=$G$19,H$19,$G739=$G$20,H$20,$G739=$G$21,H$21,$G739=$G$22,H$22,$G739=$G$25,H$25,$G739=$G$26,H$26,$G739=$G$27,H$27,$G739=$G$29,H$29,$G739=$G$31,H$31,$G739=$G$32,H$150,$G739=$G$248,H$248,$G739=$G$250,H$250)</f>
        <v>41.368589</v>
      </c>
      <c r="I739" s="67" cm="1">
        <f t="array" ref="I739">_xlfn.IFS($G739=$G$5,I$5,$G739=$G$6,I$6,$G739=$G$7,I$7,$G739=$G$8,I$8,$G739=$G$9,I$9,$G739=$G$10,I$10,$G739=$G$11,I$11,$G739=$G$12,I$12,$G739=$G$13,I$13,$G739=$G$15,I$15,$G739=$G$16,I$16,$G739=$G$17,I$17,$G739=$G$18,I$18,$G739=$G$19,I$19,$G739=$G$20,I$20,$G739=$G$21,I$21,$G739=$G$22,I$22,$G739=$G$25,I$25,$G739=$G$26,I$26,$G739=$G$27,I$27,$G739=$G$29,I$29,$G739=$G$31,I$31,$G739=$G$32,I$150,$G739=$G$248,I$248,$G739=$G$250,I$250)</f>
        <v>2.1620900000000001</v>
      </c>
      <c r="J739" s="48" cm="1">
        <f t="array" ref="J739">_xlfn.IFS($G739=$G$5,J$5,$G739=$G$6,J$6,$G739=$G$7,J$7,$G739=$G$8,J$8,$G739=$G$9,J$9,$G739=$G$10,J$10,$G739=$G$11,J$11,$G739=$G$12,J$12,$G739=$G$13,J$13,$G739=$G$15,J$15,$G739=$G$16,J$16,$G739=$G$17,J$17,$G739=$G$18,J$18,$G739=$G$19,J$19,$G739=$G$20,J$20,$G739=$G$21,J$21,$G739=$G$22,J$22,$G739=$G$25,J$25,$G739=$G$26,J$26,$G739=$G$27,J$27,$G739=$G$29,J$29,$G739=$G$31,J$31,$G739=$G$32,J$150,$G739=$G$248,J$248,$G739=$G$250,J$250)</f>
        <v>95</v>
      </c>
      <c r="K739" s="48" t="str" cm="1">
        <f t="array" ref="K739">_xlfn.IFS($G739=$G$5,K$5,$G739=$G$6,K$6,$G739=$G$7,K$7,$G739=$G$8,K$8,$G739=$G$9,K$9,$G739=$G$10,K$10,$G739=$G$11,K$11,$G739=$G$12,K$12,$G739=$G$13,K$13,$G739=$G$15,K$15,$G739=$G$16,K$16,$G739=$G$17,K$17,$G739=$G$18,K$18,$G739=$G$19,K$19,$G739=$G$20,K$20,$G739=$G$21,K$21,$G739=$G$22,K$22,$G739=$G$25,K$25,$G739=$G$26,K$26,$G739=$G$27,K$27,$G739=$G$29,K$29,$G739=$G$31,K$31,$G739=$G$32,K$150,$G739=$G$248,K$248,$G739=$G$250,K$250)</f>
        <v>BG sentinel + BG lure7</v>
      </c>
      <c r="L739" s="48"/>
      <c r="M739" s="48"/>
      <c r="O739" s="45" t="str">
        <f t="shared" si="54"/>
        <v>A_SP_BCN_8_210917</v>
      </c>
      <c r="P739" s="64">
        <v>44456</v>
      </c>
      <c r="R739" s="72"/>
      <c r="S739" s="64">
        <v>44462</v>
      </c>
      <c r="U739" s="72"/>
      <c r="V739" s="54" t="s">
        <v>66</v>
      </c>
      <c r="X739" s="45">
        <f t="shared" si="55"/>
        <v>6</v>
      </c>
      <c r="Z739" s="45" t="s">
        <v>70</v>
      </c>
      <c r="AA739" s="45">
        <f t="shared" si="59"/>
        <v>5</v>
      </c>
      <c r="AB739" t="str">
        <f t="shared" si="60"/>
        <v>Adult</v>
      </c>
      <c r="AC739" s="69">
        <v>4</v>
      </c>
      <c r="AD739" s="69">
        <v>1</v>
      </c>
      <c r="AE739" s="45" t="str">
        <f t="shared" si="61"/>
        <v>Morphological</v>
      </c>
      <c r="AF739" s="56">
        <v>4</v>
      </c>
    </row>
    <row r="740" spans="1:32" ht="18" customHeight="1" x14ac:dyDescent="0.25">
      <c r="A740" s="45">
        <v>736</v>
      </c>
      <c r="B740" s="45" t="s">
        <v>60</v>
      </c>
      <c r="C740" s="45" t="s">
        <v>61</v>
      </c>
      <c r="D740" s="45" t="s">
        <v>62</v>
      </c>
      <c r="E740" s="45" t="s">
        <v>62</v>
      </c>
      <c r="F740" s="46" cm="1">
        <f t="array" ref="F740">_xlfn.IFS($G740=$G$5,F$5,$G740=$G$6,F$6,$G740=$G$7,F$7,$G740=$G$8,F$8,$G740=$G$9,F$9,$G740=$G$10,F$10,$G740=$G$11,F$11,$G740=$G$12,F$12,$G740=$G$13,F$13,$G740=$G$15,F$15,$G740=$G$16,F$16,$G740=$G$17,F$17,$G740=$G$18,F$18,$G740=$G$19,F$19,$G740=$G$20,F$20,$G740=$G$21,F$21,$G740=$G$22,F$22,$G740=$G$25,F$25,$G740=$G$26,F$26,$G740=$G$27,F$27,$G740=$G$29,F$29,$G740=$G$31,F$31,$G740=$G$32,F$32,$G740=$G$248,F$248,$G740=$G$250,F$250)</f>
        <v>8034</v>
      </c>
      <c r="G740" t="s">
        <v>78</v>
      </c>
      <c r="H740" s="67" cm="1">
        <f t="array" ref="H740">_xlfn.IFS($G740=$G$5,H$5,$G740=$G$6,H$6,$G740=$G$7,H$7,$G740=$G$8,H$8,$G740=$G$9,H$9,$G740=$G$10,H$10,$G740=$G$11,H$11,$G740=$G$12,H$12,$G740=$G$13,H$13,$G740=$G$15,H$15,$G740=$G$16,H$16,$G740=$G$17,H$17,$G740=$G$18,H$18,$G740=$G$19,H$19,$G740=$G$20,H$20,$G740=$G$21,H$21,$G740=$G$22,H$22,$G740=$G$25,H$25,$G740=$G$26,H$26,$G740=$G$27,H$27,$G740=$G$29,H$29,$G740=$G$31,H$31,$G740=$G$32,H$150,$G740=$G$248,H$248,$G740=$G$250,H$250)</f>
        <v>41.393644999999999</v>
      </c>
      <c r="I740" s="67" cm="1">
        <f t="array" ref="I740">_xlfn.IFS($G740=$G$5,I$5,$G740=$G$6,I$6,$G740=$G$7,I$7,$G740=$G$8,I$8,$G740=$G$9,I$9,$G740=$G$10,I$10,$G740=$G$11,I$11,$G740=$G$12,I$12,$G740=$G$13,I$13,$G740=$G$15,I$15,$G740=$G$16,I$16,$G740=$G$17,I$17,$G740=$G$18,I$18,$G740=$G$19,I$19,$G740=$G$20,I$20,$G740=$G$21,I$21,$G740=$G$22,I$22,$G740=$G$25,I$25,$G740=$G$26,I$26,$G740=$G$27,I$27,$G740=$G$29,I$29,$G740=$G$31,I$31,$G740=$G$32,I$150,$G740=$G$248,I$248,$G740=$G$250,I$250)</f>
        <v>2.1216780000000002</v>
      </c>
      <c r="J740" s="48" cm="1">
        <f t="array" ref="J740">_xlfn.IFS($G740=$G$5,J$5,$G740=$G$6,J$6,$G740=$G$7,J$7,$G740=$G$8,J$8,$G740=$G$9,J$9,$G740=$G$10,J$10,$G740=$G$11,J$11,$G740=$G$12,J$12,$G740=$G$13,J$13,$G740=$G$15,J$15,$G740=$G$16,J$16,$G740=$G$17,J$17,$G740=$G$18,J$18,$G740=$G$19,J$19,$G740=$G$20,J$20,$G740=$G$21,J$21,$G740=$G$22,J$22,$G740=$G$25,J$25,$G740=$G$26,J$26,$G740=$G$27,J$27,$G740=$G$29,J$29,$G740=$G$31,J$31,$G740=$G$32,J$150,$G740=$G$248,J$248,$G740=$G$250,J$250)</f>
        <v>98</v>
      </c>
      <c r="K740" s="48" t="str" cm="1">
        <f t="array" ref="K740">_xlfn.IFS($G740=$G$5,K$5,$G740=$G$6,K$6,$G740=$G$7,K$7,$G740=$G$8,K$8,$G740=$G$9,K$9,$G740=$G$10,K$10,$G740=$G$11,K$11,$G740=$G$12,K$12,$G740=$G$13,K$13,$G740=$G$15,K$15,$G740=$G$16,K$16,$G740=$G$17,K$17,$G740=$G$18,K$18,$G740=$G$19,K$19,$G740=$G$20,K$20,$G740=$G$21,K$21,$G740=$G$22,K$22,$G740=$G$25,K$25,$G740=$G$26,K$26,$G740=$G$27,K$27,$G740=$G$29,K$29,$G740=$G$31,K$31,$G740=$G$32,K$150,$G740=$G$248,K$248,$G740=$G$250,K$250)</f>
        <v>BG sentinel + BG lure7</v>
      </c>
      <c r="L740" s="48"/>
      <c r="M740" s="48"/>
      <c r="O740" s="45" t="str">
        <f t="shared" si="54"/>
        <v>A_SP_BCN_9_210917</v>
      </c>
      <c r="P740" s="64">
        <v>44456</v>
      </c>
      <c r="R740" s="72"/>
      <c r="S740" s="64">
        <v>44461</v>
      </c>
      <c r="U740" s="72"/>
      <c r="V740" s="54" t="s">
        <v>66</v>
      </c>
      <c r="X740" s="45">
        <f t="shared" si="55"/>
        <v>5</v>
      </c>
      <c r="Z740" s="45" t="s">
        <v>80</v>
      </c>
      <c r="AA740" s="45">
        <f t="shared" si="59"/>
        <v>3</v>
      </c>
      <c r="AB740" t="str">
        <f t="shared" si="60"/>
        <v>Adult</v>
      </c>
      <c r="AC740" s="69">
        <v>2</v>
      </c>
      <c r="AD740" s="69">
        <v>1</v>
      </c>
      <c r="AE740" s="45" t="str">
        <f t="shared" si="61"/>
        <v>Morphological</v>
      </c>
      <c r="AF740" s="56">
        <v>4</v>
      </c>
    </row>
    <row r="741" spans="1:32" ht="18" customHeight="1" x14ac:dyDescent="0.25">
      <c r="A741" s="45">
        <v>737</v>
      </c>
      <c r="B741" s="45" t="s">
        <v>60</v>
      </c>
      <c r="C741" s="45" t="s">
        <v>61</v>
      </c>
      <c r="D741" s="45" t="s">
        <v>62</v>
      </c>
      <c r="E741" s="45" t="s">
        <v>62</v>
      </c>
      <c r="F741" s="46" cm="1">
        <f t="array" ref="F741">_xlfn.IFS($G741=$G$5,F$5,$G741=$G$6,F$6,$G741=$G$7,F$7,$G741=$G$8,F$8,$G741=$G$9,F$9,$G741=$G$10,F$10,$G741=$G$11,F$11,$G741=$G$12,F$12,$G741=$G$13,F$13,$G741=$G$15,F$15,$G741=$G$16,F$16,$G741=$G$17,F$17,$G741=$G$18,F$18,$G741=$G$19,F$19,$G741=$G$20,F$20,$G741=$G$21,F$21,$G741=$G$22,F$22,$G741=$G$25,F$25,$G741=$G$26,F$26,$G741=$G$27,F$27,$G741=$G$29,F$29,$G741=$G$31,F$31,$G741=$G$32,F$32,$G741=$G$248,F$248,$G741=$G$250,F$250)</f>
        <v>8040</v>
      </c>
      <c r="G741" t="s">
        <v>81</v>
      </c>
      <c r="H741" s="67" cm="1">
        <f t="array" ref="H741">_xlfn.IFS($G741=$G$5,H$5,$G741=$G$6,H$6,$G741=$G$7,H$7,$G741=$G$8,H$8,$G741=$G$9,H$9,$G741=$G$10,H$10,$G741=$G$11,H$11,$G741=$G$12,H$12,$G741=$G$13,H$13,$G741=$G$15,H$15,$G741=$G$16,H$16,$G741=$G$17,H$17,$G741=$G$18,H$18,$G741=$G$19,H$19,$G741=$G$20,H$20,$G741=$G$21,H$21,$G741=$G$22,H$22,$G741=$G$25,H$25,$G741=$G$26,H$26,$G741=$G$27,H$27,$G741=$G$29,H$29,$G741=$G$31,H$31,$G741=$G$32,H$150,$G741=$G$248,H$248,$G741=$G$250,H$250)</f>
        <v>41.343685000000001</v>
      </c>
      <c r="I741" s="67" cm="1">
        <f t="array" ref="I741">_xlfn.IFS($G741=$G$5,I$5,$G741=$G$6,I$6,$G741=$G$7,I$7,$G741=$G$8,I$8,$G741=$G$9,I$9,$G741=$G$10,I$10,$G741=$G$11,I$11,$G741=$G$12,I$12,$G741=$G$13,I$13,$G741=$G$15,I$15,$G741=$G$16,I$16,$G741=$G$17,I$17,$G741=$G$18,I$18,$G741=$G$19,I$19,$G741=$G$20,I$20,$G741=$G$21,I$21,$G741=$G$22,I$22,$G741=$G$25,I$25,$G741=$G$26,I$26,$G741=$G$27,I$27,$G741=$G$29,I$29,$G741=$G$31,I$31,$G741=$G$32,I$150,$G741=$G$248,I$248,$G741=$G$250,I$250)</f>
        <v>2.1441490000000001</v>
      </c>
      <c r="J741" s="48" cm="1">
        <f t="array" ref="J741">_xlfn.IFS($G741=$G$5,J$5,$G741=$G$6,J$6,$G741=$G$7,J$7,$G741=$G$8,J$8,$G741=$G$9,J$9,$G741=$G$10,J$10,$G741=$G$11,J$11,$G741=$G$12,J$12,$G741=$G$13,J$13,$G741=$G$15,J$15,$G741=$G$16,J$16,$G741=$G$17,J$17,$G741=$G$18,J$18,$G741=$G$19,J$19,$G741=$G$20,J$20,$G741=$G$21,J$21,$G741=$G$22,J$22,$G741=$G$25,J$25,$G741=$G$26,J$26,$G741=$G$27,J$27,$G741=$G$29,J$29,$G741=$G$31,J$31,$G741=$G$32,J$150,$G741=$G$248,J$248,$G741=$G$250,J$250)</f>
        <v>4</v>
      </c>
      <c r="K741" s="48" t="str" cm="1">
        <f t="array" ref="K741">_xlfn.IFS($G741=$G$5,K$5,$G741=$G$6,K$6,$G741=$G$7,K$7,$G741=$G$8,K$8,$G741=$G$9,K$9,$G741=$G$10,K$10,$G741=$G$11,K$11,$G741=$G$12,K$12,$G741=$G$13,K$13,$G741=$G$15,K$15,$G741=$G$16,K$16,$G741=$G$17,K$17,$G741=$G$18,K$18,$G741=$G$19,K$19,$G741=$G$20,K$20,$G741=$G$21,K$21,$G741=$G$22,K$22,$G741=$G$25,K$25,$G741=$G$26,K$26,$G741=$G$27,K$27,$G741=$G$29,K$29,$G741=$G$31,K$31,$G741=$G$32,K$150,$G741=$G$248,K$248,$G741=$G$250,K$250)</f>
        <v>BG sentinel + BG lure7</v>
      </c>
      <c r="L741" s="48"/>
      <c r="M741" s="48"/>
      <c r="O741" s="45" t="str">
        <f t="shared" si="54"/>
        <v>A_SP_BCN_10_210917</v>
      </c>
      <c r="P741" s="64">
        <v>44456</v>
      </c>
      <c r="R741" s="72"/>
      <c r="S741" s="64">
        <v>44462</v>
      </c>
      <c r="U741" s="72"/>
      <c r="V741" s="54" t="s">
        <v>66</v>
      </c>
      <c r="X741" s="45">
        <f t="shared" si="55"/>
        <v>6</v>
      </c>
      <c r="Z741" s="69" t="s">
        <v>69</v>
      </c>
      <c r="AA741" s="45">
        <f t="shared" si="59"/>
        <v>5</v>
      </c>
      <c r="AB741" t="str">
        <f t="shared" si="60"/>
        <v>Adult</v>
      </c>
      <c r="AC741" s="69">
        <v>2</v>
      </c>
      <c r="AD741" s="69">
        <v>3</v>
      </c>
      <c r="AE741" s="45" t="str">
        <f t="shared" si="61"/>
        <v>Morphological</v>
      </c>
      <c r="AF741" s="56">
        <v>4</v>
      </c>
    </row>
    <row r="742" spans="1:32" ht="18" customHeight="1" x14ac:dyDescent="0.25">
      <c r="A742" s="45">
        <v>738</v>
      </c>
      <c r="B742" s="45" t="s">
        <v>60</v>
      </c>
      <c r="C742" s="45" t="s">
        <v>61</v>
      </c>
      <c r="D742" s="45" t="s">
        <v>62</v>
      </c>
      <c r="E742" s="45" t="s">
        <v>62</v>
      </c>
      <c r="F742" s="46" cm="1">
        <f t="array" ref="F742">_xlfn.IFS($G742=$G$5,F$5,$G742=$G$6,F$6,$G742=$G$7,F$7,$G742=$G$8,F$8,$G742=$G$9,F$9,$G742=$G$10,F$10,$G742=$G$11,F$11,$G742=$G$12,F$12,$G742=$G$13,F$13,$G742=$G$15,F$15,$G742=$G$16,F$16,$G742=$G$17,F$17,$G742=$G$18,F$18,$G742=$G$19,F$19,$G742=$G$20,F$20,$G742=$G$21,F$21,$G742=$G$22,F$22,$G742=$G$25,F$25,$G742=$G$26,F$26,$G742=$G$27,F$27,$G742=$G$29,F$29,$G742=$G$31,F$31,$G742=$G$32,F$32,$G742=$G$248,F$248,$G742=$G$250,F$250)</f>
        <v>8038</v>
      </c>
      <c r="G742" t="s">
        <v>82</v>
      </c>
      <c r="H742" s="67" cm="1">
        <f t="array" ref="H742">_xlfn.IFS($G742=$G$5,H$5,$G742=$G$6,H$6,$G742=$G$7,H$7,$G742=$G$8,H$8,$G742=$G$9,H$9,$G742=$G$10,H$10,$G742=$G$11,H$11,$G742=$G$12,H$12,$G742=$G$13,H$13,$G742=$G$15,H$15,$G742=$G$16,H$16,$G742=$G$17,H$17,$G742=$G$18,H$18,$G742=$G$19,H$19,$G742=$G$20,H$20,$G742=$G$21,H$21,$G742=$G$22,H$22,$G742=$G$25,H$25,$G742=$G$26,H$26,$G742=$G$27,H$27,$G742=$G$29,H$29,$G742=$G$31,H$31,$G742=$G$32,H$150,$G742=$G$248,H$248,$G742=$G$250,H$250)</f>
        <v>41.367429999999999</v>
      </c>
      <c r="I742" s="67" cm="1">
        <f t="array" ref="I742">_xlfn.IFS($G742=$G$5,I$5,$G742=$G$6,I$6,$G742=$G$7,I$7,$G742=$G$8,I$8,$G742=$G$9,I$9,$G742=$G$10,I$10,$G742=$G$11,I$11,$G742=$G$12,I$12,$G742=$G$13,I$13,$G742=$G$15,I$15,$G742=$G$16,I$16,$G742=$G$17,I$17,$G742=$G$18,I$18,$G742=$G$19,I$19,$G742=$G$20,I$20,$G742=$G$21,I$21,$G742=$G$22,I$22,$G742=$G$25,I$25,$G742=$G$26,I$26,$G742=$G$27,I$27,$G742=$G$29,I$29,$G742=$G$31,I$31,$G742=$G$32,I$150,$G742=$G$248,I$248,$G742=$G$250,I$250)</f>
        <v>2.1569609999999999</v>
      </c>
      <c r="J742" s="48" cm="1">
        <f t="array" ref="J742">_xlfn.IFS($G742=$G$5,J$5,$G742=$G$6,J$6,$G742=$G$7,J$7,$G742=$G$8,J$8,$G742=$G$9,J$9,$G742=$G$10,J$10,$G742=$G$11,J$11,$G742=$G$12,J$12,$G742=$G$13,J$13,$G742=$G$15,J$15,$G742=$G$16,J$16,$G742=$G$17,J$17,$G742=$G$18,J$18,$G742=$G$19,J$19,$G742=$G$20,J$20,$G742=$G$21,J$21,$G742=$G$22,J$22,$G742=$G$25,J$25,$G742=$G$26,J$26,$G742=$G$27,J$27,$G742=$G$29,J$29,$G742=$G$31,J$31,$G742=$G$32,J$150,$G742=$G$248,J$248,$G742=$G$250,J$250)</f>
        <v>91</v>
      </c>
      <c r="K742" s="48" t="str" cm="1">
        <f t="array" ref="K742">_xlfn.IFS($G742=$G$5,K$5,$G742=$G$6,K$6,$G742=$G$7,K$7,$G742=$G$8,K$8,$G742=$G$9,K$9,$G742=$G$10,K$10,$G742=$G$11,K$11,$G742=$G$12,K$12,$G742=$G$13,K$13,$G742=$G$15,K$15,$G742=$G$16,K$16,$G742=$G$17,K$17,$G742=$G$18,K$18,$G742=$G$19,K$19,$G742=$G$20,K$20,$G742=$G$21,K$21,$G742=$G$22,K$22,$G742=$G$25,K$25,$G742=$G$26,K$26,$G742=$G$27,K$27,$G742=$G$29,K$29,$G742=$G$31,K$31,$G742=$G$32,K$150,$G742=$G$248,K$248,$G742=$G$250,K$250)</f>
        <v>BG sentinel + BG lure7</v>
      </c>
      <c r="L742" s="48"/>
      <c r="M742" s="48"/>
      <c r="O742" s="45" t="str">
        <f t="shared" si="54"/>
        <v>A_SP_BCN_11_210917</v>
      </c>
      <c r="P742" s="64">
        <v>44456</v>
      </c>
      <c r="R742" s="72"/>
      <c r="S742" s="64">
        <v>44462</v>
      </c>
      <c r="U742" s="72"/>
      <c r="V742" s="54" t="s">
        <v>156</v>
      </c>
      <c r="X742" s="45">
        <f t="shared" si="55"/>
        <v>6</v>
      </c>
      <c r="AA742" s="45"/>
      <c r="AB742"/>
      <c r="AE742" s="45"/>
      <c r="AF742" s="56">
        <v>1</v>
      </c>
    </row>
    <row r="743" spans="1:32" ht="18" customHeight="1" x14ac:dyDescent="0.25">
      <c r="A743" s="45">
        <v>739</v>
      </c>
      <c r="B743" s="45" t="s">
        <v>60</v>
      </c>
      <c r="C743" s="45" t="s">
        <v>61</v>
      </c>
      <c r="D743" s="45" t="s">
        <v>62</v>
      </c>
      <c r="E743" s="45" t="s">
        <v>62</v>
      </c>
      <c r="F743" s="46" cm="1">
        <f t="array" ref="F743">_xlfn.IFS($G743=$G$5,F$5,$G743=$G$6,F$6,$G743=$G$7,F$7,$G743=$G$8,F$8,$G743=$G$9,F$9,$G743=$G$10,F$10,$G743=$G$11,F$11,$G743=$G$12,F$12,$G743=$G$13,F$13,$G743=$G$15,F$15,$G743=$G$16,F$16,$G743=$G$17,F$17,$G743=$G$18,F$18,$G743=$G$19,F$19,$G743=$G$20,F$20,$G743=$G$21,F$21,$G743=$G$22,F$22,$G743=$G$25,F$25,$G743=$G$26,F$26,$G743=$G$27,F$27,$G743=$G$29,F$29,$G743=$G$31,F$31,$G743=$G$32,F$32,$G743=$G$248,F$248,$G743=$G$250,F$250)</f>
        <v>8038</v>
      </c>
      <c r="G743" t="s">
        <v>84</v>
      </c>
      <c r="H743" s="67" cm="1">
        <f t="array" ref="H743">_xlfn.IFS($G743=$G$5,H$5,$G743=$G$6,H$6,$G743=$G$7,H$7,$G743=$G$8,H$8,$G743=$G$9,H$9,$G743=$G$10,H$10,$G743=$G$11,H$11,$G743=$G$12,H$12,$G743=$G$13,H$13,$G743=$G$15,H$15,$G743=$G$16,H$16,$G743=$G$17,H$17,$G743=$G$18,H$18,$G743=$G$19,H$19,$G743=$G$20,H$20,$G743=$G$21,H$21,$G743=$G$22,H$22,$G743=$G$25,H$25,$G743=$G$26,H$26,$G743=$G$27,H$27,$G743=$G$29,H$29,$G743=$G$31,H$31,$G743=$G$32,H$150,$G743=$G$248,H$248,$G743=$G$250,H$250)</f>
        <v>41.363377999999997</v>
      </c>
      <c r="I743" s="67" cm="1">
        <f t="array" ref="I743">_xlfn.IFS($G743=$G$5,I$5,$G743=$G$6,I$6,$G743=$G$7,I$7,$G743=$G$8,I$8,$G743=$G$9,I$9,$G743=$G$10,I$10,$G743=$G$11,I$11,$G743=$G$12,I$12,$G743=$G$13,I$13,$G743=$G$15,I$15,$G743=$G$16,I$16,$G743=$G$17,I$17,$G743=$G$18,I$18,$G743=$G$19,I$19,$G743=$G$20,I$20,$G743=$G$21,I$21,$G743=$G$22,I$22,$G743=$G$25,I$25,$G743=$G$26,I$26,$G743=$G$27,I$27,$G743=$G$29,I$29,$G743=$G$31,I$31,$G743=$G$32,I$150,$G743=$G$248,I$248,$G743=$G$250,I$250)</f>
        <v>2.164879</v>
      </c>
      <c r="J743" s="48" cm="1">
        <f t="array" ref="J743">_xlfn.IFS($G743=$G$5,J$5,$G743=$G$6,J$6,$G743=$G$7,J$7,$G743=$G$8,J$8,$G743=$G$9,J$9,$G743=$G$10,J$10,$G743=$G$11,J$11,$G743=$G$12,J$12,$G743=$G$13,J$13,$G743=$G$15,J$15,$G743=$G$16,J$16,$G743=$G$17,J$17,$G743=$G$18,J$18,$G743=$G$19,J$19,$G743=$G$20,J$20,$G743=$G$21,J$21,$G743=$G$22,J$22,$G743=$G$25,J$25,$G743=$G$26,J$26,$G743=$G$27,J$27,$G743=$G$29,J$29,$G743=$G$31,J$31,$G743=$G$32,J$150,$G743=$G$248,J$248,$G743=$G$250,J$250)</f>
        <v>185</v>
      </c>
      <c r="K743" s="48" t="str" cm="1">
        <f t="array" ref="K743">_xlfn.IFS($G743=$G$5,K$5,$G743=$G$6,K$6,$G743=$G$7,K$7,$G743=$G$8,K$8,$G743=$G$9,K$9,$G743=$G$10,K$10,$G743=$G$11,K$11,$G743=$G$12,K$12,$G743=$G$13,K$13,$G743=$G$15,K$15,$G743=$G$16,K$16,$G743=$G$17,K$17,$G743=$G$18,K$18,$G743=$G$19,K$19,$G743=$G$20,K$20,$G743=$G$21,K$21,$G743=$G$22,K$22,$G743=$G$25,K$25,$G743=$G$26,K$26,$G743=$G$27,K$27,$G743=$G$29,K$29,$G743=$G$31,K$31,$G743=$G$32,K$150,$G743=$G$248,K$248,$G743=$G$250,K$250)</f>
        <v>BG sentinel + BG lure7</v>
      </c>
      <c r="L743" s="48"/>
      <c r="M743" s="48"/>
      <c r="O743" s="45" t="str">
        <f t="shared" si="54"/>
        <v>A_SP_BCN_12_210917</v>
      </c>
      <c r="P743" s="64">
        <v>44456</v>
      </c>
      <c r="R743" s="72"/>
      <c r="S743" s="64">
        <v>44462</v>
      </c>
      <c r="U743" s="72"/>
      <c r="V743" s="54" t="s">
        <v>66</v>
      </c>
      <c r="X743" s="45">
        <f t="shared" si="55"/>
        <v>6</v>
      </c>
      <c r="Z743" s="69" t="s">
        <v>69</v>
      </c>
      <c r="AA743" s="45">
        <f t="shared" ref="AA743:AA1078" si="62">SUM(AC743:AD743)</f>
        <v>10</v>
      </c>
      <c r="AB743" t="str">
        <f t="shared" ref="AB743:AB814" si="63">IF(AA743=0,"",IF(AA743="","",IF(AA743&gt;0,"Adult")))</f>
        <v>Adult</v>
      </c>
      <c r="AC743" s="69">
        <v>10</v>
      </c>
      <c r="AD743" s="69">
        <v>0</v>
      </c>
      <c r="AE743" s="45" t="str">
        <f t="shared" ref="AE743:AE815" si="64">IF(AA743=0,"",IF(AA743="","",IF(AA743&gt;0,"Morphological")))</f>
        <v>Morphological</v>
      </c>
      <c r="AF743" s="56">
        <v>4</v>
      </c>
    </row>
    <row r="744" spans="1:32" ht="18" customHeight="1" x14ac:dyDescent="0.25">
      <c r="A744" s="45">
        <v>740</v>
      </c>
      <c r="B744" s="45" t="s">
        <v>60</v>
      </c>
      <c r="C744" s="45" t="s">
        <v>61</v>
      </c>
      <c r="D744" s="45" t="s">
        <v>62</v>
      </c>
      <c r="E744" s="45" t="s">
        <v>62</v>
      </c>
      <c r="F744" s="46" cm="1">
        <f t="array" ref="F744">_xlfn.IFS($G744=$G$5,F$5,$G744=$G$6,F$6,$G744=$G$7,F$7,$G744=$G$8,F$8,$G744=$G$9,F$9,$G744=$G$10,F$10,$G744=$G$11,F$11,$G744=$G$12,F$12,$G744=$G$13,F$13,$G744=$G$15,F$15,$G744=$G$16,F$16,$G744=$G$17,F$17,$G744=$G$18,F$18,$G744=$G$19,F$19,$G744=$G$20,F$20,$G744=$G$21,F$21,$G744=$G$22,F$22,$G744=$G$25,F$25,$G744=$G$26,F$26,$G744=$G$27,F$27,$G744=$G$29,F$29,$G744=$G$31,F$31,$G744=$G$32,F$32,$G744=$G$248,F$248,$G744=$G$250,F$250)</f>
        <v>8038</v>
      </c>
      <c r="G744" t="s">
        <v>84</v>
      </c>
      <c r="H744" s="67" cm="1">
        <f t="array" ref="H744">_xlfn.IFS($G744=$G$5,H$5,$G744=$G$6,H$6,$G744=$G$7,H$7,$G744=$G$8,H$8,$G744=$G$9,H$9,$G744=$G$10,H$10,$G744=$G$11,H$11,$G744=$G$12,H$12,$G744=$G$13,H$13,$G744=$G$15,H$15,$G744=$G$16,H$16,$G744=$G$17,H$17,$G744=$G$18,H$18,$G744=$G$19,H$19,$G744=$G$20,H$20,$G744=$G$21,H$21,$G744=$G$22,H$22,$G744=$G$25,H$25,$G744=$G$26,H$26,$G744=$G$27,H$27,$G744=$G$29,H$29,$G744=$G$31,H$31,$G744=$G$32,H$150,$G744=$G$248,H$248,$G744=$G$250,H$250)</f>
        <v>41.363377999999997</v>
      </c>
      <c r="I744" s="67" cm="1">
        <f t="array" ref="I744">_xlfn.IFS($G744=$G$5,I$5,$G744=$G$6,I$6,$G744=$G$7,I$7,$G744=$G$8,I$8,$G744=$G$9,I$9,$G744=$G$10,I$10,$G744=$G$11,I$11,$G744=$G$12,I$12,$G744=$G$13,I$13,$G744=$G$15,I$15,$G744=$G$16,I$16,$G744=$G$17,I$17,$G744=$G$18,I$18,$G744=$G$19,I$19,$G744=$G$20,I$20,$G744=$G$21,I$21,$G744=$G$22,I$22,$G744=$G$25,I$25,$G744=$G$26,I$26,$G744=$G$27,I$27,$G744=$G$29,I$29,$G744=$G$31,I$31,$G744=$G$32,I$150,$G744=$G$248,I$248,$G744=$G$250,I$250)</f>
        <v>2.164879</v>
      </c>
      <c r="J744" s="48" cm="1">
        <f t="array" ref="J744">_xlfn.IFS($G744=$G$5,J$5,$G744=$G$6,J$6,$G744=$G$7,J$7,$G744=$G$8,J$8,$G744=$G$9,J$9,$G744=$G$10,J$10,$G744=$G$11,J$11,$G744=$G$12,J$12,$G744=$G$13,J$13,$G744=$G$15,J$15,$G744=$G$16,J$16,$G744=$G$17,J$17,$G744=$G$18,J$18,$G744=$G$19,J$19,$G744=$G$20,J$20,$G744=$G$21,J$21,$G744=$G$22,J$22,$G744=$G$25,J$25,$G744=$G$26,J$26,$G744=$G$27,J$27,$G744=$G$29,J$29,$G744=$G$31,J$31,$G744=$G$32,J$150,$G744=$G$248,J$248,$G744=$G$250,J$250)</f>
        <v>185</v>
      </c>
      <c r="K744" s="48" t="str" cm="1">
        <f t="array" ref="K744">_xlfn.IFS($G744=$G$5,K$5,$G744=$G$6,K$6,$G744=$G$7,K$7,$G744=$G$8,K$8,$G744=$G$9,K$9,$G744=$G$10,K$10,$G744=$G$11,K$11,$G744=$G$12,K$12,$G744=$G$13,K$13,$G744=$G$15,K$15,$G744=$G$16,K$16,$G744=$G$17,K$17,$G744=$G$18,K$18,$G744=$G$19,K$19,$G744=$G$20,K$20,$G744=$G$21,K$21,$G744=$G$22,K$22,$G744=$G$25,K$25,$G744=$G$26,K$26,$G744=$G$27,K$27,$G744=$G$29,K$29,$G744=$G$31,K$31,$G744=$G$32,K$150,$G744=$G$248,K$248,$G744=$G$250,K$250)</f>
        <v>BG sentinel + BG lure7</v>
      </c>
      <c r="L744" s="48"/>
      <c r="M744" s="48"/>
      <c r="O744" s="45" t="str">
        <f t="shared" si="54"/>
        <v>A_SP_BCN_12_210917</v>
      </c>
      <c r="P744" s="64">
        <v>44456</v>
      </c>
      <c r="R744" s="72"/>
      <c r="S744" s="64">
        <v>44462</v>
      </c>
      <c r="U744" s="72"/>
      <c r="V744" s="54" t="s">
        <v>66</v>
      </c>
      <c r="X744" s="45">
        <f t="shared" si="55"/>
        <v>6</v>
      </c>
      <c r="Z744" s="45" t="s">
        <v>70</v>
      </c>
      <c r="AA744" s="45">
        <f t="shared" si="62"/>
        <v>29</v>
      </c>
      <c r="AB744" t="str">
        <f t="shared" si="63"/>
        <v>Adult</v>
      </c>
      <c r="AC744" s="69">
        <v>25</v>
      </c>
      <c r="AD744" s="69">
        <v>4</v>
      </c>
      <c r="AE744" s="45" t="str">
        <f t="shared" si="64"/>
        <v>Morphological</v>
      </c>
      <c r="AF744" s="56">
        <v>4</v>
      </c>
    </row>
    <row r="745" spans="1:32" ht="18" customHeight="1" x14ac:dyDescent="0.25">
      <c r="A745" s="45">
        <v>741</v>
      </c>
      <c r="B745" s="45" t="s">
        <v>60</v>
      </c>
      <c r="C745" s="45" t="s">
        <v>61</v>
      </c>
      <c r="D745" s="45" t="s">
        <v>62</v>
      </c>
      <c r="E745" s="45" t="s">
        <v>62</v>
      </c>
      <c r="F745" s="46" cm="1">
        <f t="array" ref="F745">_xlfn.IFS($G745=$G$5,F$5,$G745=$G$6,F$6,$G745=$G$7,F$7,$G745=$G$8,F$8,$G745=$G$9,F$9,$G745=$G$10,F$10,$G745=$G$11,F$11,$G745=$G$12,F$12,$G745=$G$13,F$13,$G745=$G$15,F$15,$G745=$G$16,F$16,$G745=$G$17,F$17,$G745=$G$18,F$18,$G745=$G$19,F$19,$G745=$G$20,F$20,$G745=$G$21,F$21,$G745=$G$22,F$22,$G745=$G$25,F$25,$G745=$G$26,F$26,$G745=$G$27,F$27,$G745=$G$29,F$29,$G745=$G$31,F$31,$G745=$G$32,F$32,$G745=$G$248,F$248,$G745=$G$250,F$250)</f>
        <v>8038</v>
      </c>
      <c r="G745" t="s">
        <v>84</v>
      </c>
      <c r="H745" s="67" cm="1">
        <f t="array" ref="H745">_xlfn.IFS($G745=$G$5,H$5,$G745=$G$6,H$6,$G745=$G$7,H$7,$G745=$G$8,H$8,$G745=$G$9,H$9,$G745=$G$10,H$10,$G745=$G$11,H$11,$G745=$G$12,H$12,$G745=$G$13,H$13,$G745=$G$15,H$15,$G745=$G$16,H$16,$G745=$G$17,H$17,$G745=$G$18,H$18,$G745=$G$19,H$19,$G745=$G$20,H$20,$G745=$G$21,H$21,$G745=$G$22,H$22,$G745=$G$25,H$25,$G745=$G$26,H$26,$G745=$G$27,H$27,$G745=$G$29,H$29,$G745=$G$31,H$31,$G745=$G$32,H$150,$G745=$G$248,H$248,$G745=$G$250,H$250)</f>
        <v>41.363377999999997</v>
      </c>
      <c r="I745" s="67" cm="1">
        <f t="array" ref="I745">_xlfn.IFS($G745=$G$5,I$5,$G745=$G$6,I$6,$G745=$G$7,I$7,$G745=$G$8,I$8,$G745=$G$9,I$9,$G745=$G$10,I$10,$G745=$G$11,I$11,$G745=$G$12,I$12,$G745=$G$13,I$13,$G745=$G$15,I$15,$G745=$G$16,I$16,$G745=$G$17,I$17,$G745=$G$18,I$18,$G745=$G$19,I$19,$G745=$G$20,I$20,$G745=$G$21,I$21,$G745=$G$22,I$22,$G745=$G$25,I$25,$G745=$G$26,I$26,$G745=$G$27,I$27,$G745=$G$29,I$29,$G745=$G$31,I$31,$G745=$G$32,I$150,$G745=$G$248,I$248,$G745=$G$250,I$250)</f>
        <v>2.164879</v>
      </c>
      <c r="J745" s="48" cm="1">
        <f t="array" ref="J745">_xlfn.IFS($G745=$G$5,J$5,$G745=$G$6,J$6,$G745=$G$7,J$7,$G745=$G$8,J$8,$G745=$G$9,J$9,$G745=$G$10,J$10,$G745=$G$11,J$11,$G745=$G$12,J$12,$G745=$G$13,J$13,$G745=$G$15,J$15,$G745=$G$16,J$16,$G745=$G$17,J$17,$G745=$G$18,J$18,$G745=$G$19,J$19,$G745=$G$20,J$20,$G745=$G$21,J$21,$G745=$G$22,J$22,$G745=$G$25,J$25,$G745=$G$26,J$26,$G745=$G$27,J$27,$G745=$G$29,J$29,$G745=$G$31,J$31,$G745=$G$32,J$150,$G745=$G$248,J$248,$G745=$G$250,J$250)</f>
        <v>185</v>
      </c>
      <c r="K745" s="48" t="str" cm="1">
        <f t="array" ref="K745">_xlfn.IFS($G745=$G$5,K$5,$G745=$G$6,K$6,$G745=$G$7,K$7,$G745=$G$8,K$8,$G745=$G$9,K$9,$G745=$G$10,K$10,$G745=$G$11,K$11,$G745=$G$12,K$12,$G745=$G$13,K$13,$G745=$G$15,K$15,$G745=$G$16,K$16,$G745=$G$17,K$17,$G745=$G$18,K$18,$G745=$G$19,K$19,$G745=$G$20,K$20,$G745=$G$21,K$21,$G745=$G$22,K$22,$G745=$G$25,K$25,$G745=$G$26,K$26,$G745=$G$27,K$27,$G745=$G$29,K$29,$G745=$G$31,K$31,$G745=$G$32,K$150,$G745=$G$248,K$248,$G745=$G$250,K$250)</f>
        <v>BG sentinel + BG lure7</v>
      </c>
      <c r="L745" s="48"/>
      <c r="M745" s="48"/>
      <c r="O745" s="45" t="str">
        <f t="shared" si="54"/>
        <v>A_SP_BCN_12_210917</v>
      </c>
      <c r="P745" s="64">
        <v>44456</v>
      </c>
      <c r="R745" s="72"/>
      <c r="S745" s="64">
        <v>44462</v>
      </c>
      <c r="U745" s="72"/>
      <c r="V745" s="54" t="s">
        <v>66</v>
      </c>
      <c r="X745" s="45">
        <f t="shared" si="55"/>
        <v>6</v>
      </c>
      <c r="Z745" s="45" t="s">
        <v>80</v>
      </c>
      <c r="AA745" s="45">
        <f t="shared" si="62"/>
        <v>3</v>
      </c>
      <c r="AB745" t="str">
        <f t="shared" si="63"/>
        <v>Adult</v>
      </c>
      <c r="AC745" s="69">
        <v>2</v>
      </c>
      <c r="AD745" s="69">
        <v>1</v>
      </c>
      <c r="AE745" s="45" t="str">
        <f t="shared" si="64"/>
        <v>Morphological</v>
      </c>
      <c r="AF745" s="56">
        <v>4</v>
      </c>
    </row>
    <row r="746" spans="1:32" ht="18" customHeight="1" x14ac:dyDescent="0.25">
      <c r="A746" s="45">
        <v>742</v>
      </c>
      <c r="B746" s="45" t="s">
        <v>60</v>
      </c>
      <c r="C746" s="45" t="s">
        <v>61</v>
      </c>
      <c r="D746" s="45" t="s">
        <v>62</v>
      </c>
      <c r="E746" s="45" t="s">
        <v>62</v>
      </c>
      <c r="F746" s="46" cm="1">
        <f t="array" ref="F746">_xlfn.IFS($G746=$G$5,F$5,$G746=$G$6,F$6,$G746=$G$7,F$7,$G746=$G$8,F$8,$G746=$G$9,F$9,$G746=$G$10,F$10,$G746=$G$11,F$11,$G746=$G$12,F$12,$G746=$G$13,F$13,$G746=$G$15,F$15,$G746=$G$16,F$16,$G746=$G$17,F$17,$G746=$G$18,F$18,$G746=$G$19,F$19,$G746=$G$20,F$20,$G746=$G$21,F$21,$G746=$G$22,F$22,$G746=$G$25,F$25,$G746=$G$26,F$26,$G746=$G$27,F$27,$G746=$G$29,F$29,$G746=$G$31,F$31,$G746=$G$32,F$32,$G746=$G$248,F$248,$G746=$G$250,F$250)</f>
        <v>8035</v>
      </c>
      <c r="G746" t="s">
        <v>85</v>
      </c>
      <c r="H746" s="67" cm="1">
        <f t="array" ref="H746">_xlfn.IFS($G746=$G$5,H$5,$G746=$G$6,H$6,$G746=$G$7,H$7,$G746=$G$8,H$8,$G746=$G$9,H$9,$G746=$G$10,H$10,$G746=$G$11,H$11,$G746=$G$12,H$12,$G746=$G$13,H$13,$G746=$G$15,H$15,$G746=$G$16,H$16,$G746=$G$17,H$17,$G746=$G$18,H$18,$G746=$G$19,H$19,$G746=$G$20,H$20,$G746=$G$21,H$21,$G746=$G$22,H$22,$G746=$G$25,H$25,$G746=$G$26,H$26,$G746=$G$27,H$27,$G746=$G$29,H$29,$G746=$G$31,H$31,$G746=$G$32,H$150,$G746=$G$248,H$248,$G746=$G$250,H$250)</f>
        <v>41.434472</v>
      </c>
      <c r="I746" s="67" cm="1">
        <f t="array" ref="I746">_xlfn.IFS($G746=$G$5,I$5,$G746=$G$6,I$6,$G746=$G$7,I$7,$G746=$G$8,I$8,$G746=$G$9,I$9,$G746=$G$10,I$10,$G746=$G$11,I$11,$G746=$G$12,I$12,$G746=$G$13,I$13,$G746=$G$15,I$15,$G746=$G$16,I$16,$G746=$G$17,I$17,$G746=$G$18,I$18,$G746=$G$19,I$19,$G746=$G$20,I$20,$G746=$G$21,I$21,$G746=$G$22,I$22,$G746=$G$25,I$25,$G746=$G$26,I$26,$G746=$G$27,I$27,$G746=$G$29,I$29,$G746=$G$31,I$31,$G746=$G$32,I$150,$G746=$G$248,I$248,$G746=$G$250,I$250)</f>
        <v>2.1315789999999999</v>
      </c>
      <c r="J746" s="48" cm="1">
        <f t="array" ref="J746">_xlfn.IFS($G746=$G$5,J$5,$G746=$G$6,J$6,$G746=$G$7,J$7,$G746=$G$8,J$8,$G746=$G$9,J$9,$G746=$G$10,J$10,$G746=$G$11,J$11,$G746=$G$12,J$12,$G746=$G$13,J$13,$G746=$G$15,J$15,$G746=$G$16,J$16,$G746=$G$17,J$17,$G746=$G$18,J$18,$G746=$G$19,J$19,$G746=$G$20,J$20,$G746=$G$21,J$21,$G746=$G$22,J$22,$G746=$G$25,J$25,$G746=$G$26,J$26,$G746=$G$27,J$27,$G746=$G$29,J$29,$G746=$G$31,J$31,$G746=$G$32,J$150,$G746=$G$248,J$248,$G746=$G$250,J$250)</f>
        <v>365</v>
      </c>
      <c r="K746" s="48" t="str" cm="1">
        <f t="array" ref="K746">_xlfn.IFS($G746=$G$5,K$5,$G746=$G$6,K$6,$G746=$G$7,K$7,$G746=$G$8,K$8,$G746=$G$9,K$9,$G746=$G$10,K$10,$G746=$G$11,K$11,$G746=$G$12,K$12,$G746=$G$13,K$13,$G746=$G$15,K$15,$G746=$G$16,K$16,$G746=$G$17,K$17,$G746=$G$18,K$18,$G746=$G$19,K$19,$G746=$G$20,K$20,$G746=$G$21,K$21,$G746=$G$22,K$22,$G746=$G$25,K$25,$G746=$G$26,K$26,$G746=$G$27,K$27,$G746=$G$29,K$29,$G746=$G$31,K$31,$G746=$G$32,K$150,$G746=$G$248,K$248,$G746=$G$250,K$250)</f>
        <v>BG sentinel + BG lure7</v>
      </c>
      <c r="L746" s="48"/>
      <c r="M746" s="48"/>
      <c r="O746" s="45" t="str">
        <f t="shared" si="54"/>
        <v>A_SP_BCN_13_210917</v>
      </c>
      <c r="P746" s="64">
        <v>44456</v>
      </c>
      <c r="R746" s="72"/>
      <c r="S746" s="64">
        <v>44461</v>
      </c>
      <c r="U746" s="72"/>
      <c r="V746" s="54" t="s">
        <v>66</v>
      </c>
      <c r="X746" s="45">
        <f t="shared" si="55"/>
        <v>5</v>
      </c>
      <c r="AA746" s="45">
        <f t="shared" si="62"/>
        <v>0</v>
      </c>
      <c r="AB746" t="str">
        <f t="shared" si="63"/>
        <v/>
      </c>
      <c r="AE746" s="45" t="str">
        <f t="shared" si="64"/>
        <v/>
      </c>
      <c r="AF746" s="56">
        <v>4</v>
      </c>
    </row>
    <row r="747" spans="1:32" ht="18" customHeight="1" x14ac:dyDescent="0.25">
      <c r="A747" s="45">
        <v>743</v>
      </c>
      <c r="B747" s="45" t="s">
        <v>60</v>
      </c>
      <c r="C747" s="45" t="s">
        <v>61</v>
      </c>
      <c r="D747" s="45" t="s">
        <v>62</v>
      </c>
      <c r="E747" s="45" t="s">
        <v>62</v>
      </c>
      <c r="F747" s="46" cm="1">
        <f t="array" ref="F747">_xlfn.IFS($G747=$G$5,F$5,$G747=$G$6,F$6,$G747=$G$7,F$7,$G747=$G$8,F$8,$G747=$G$9,F$9,$G747=$G$10,F$10,$G747=$G$11,F$11,$G747=$G$12,F$12,$G747=$G$13,F$13,$G747=$G$15,F$15,$G747=$G$16,F$16,$G747=$G$17,F$17,$G747=$G$18,F$18,$G747=$G$19,F$19,$G747=$G$20,F$20,$G747=$G$21,F$21,$G747=$G$22,F$22,$G747=$G$25,F$25,$G747=$G$26,F$26,$G747=$G$27,F$27,$G747=$G$29,F$29,$G747=$G$31,F$31,$G747=$G$32,F$32,$G747=$G$248,F$248,$G747=$G$250,F$250)</f>
        <v>8017</v>
      </c>
      <c r="G747" t="s">
        <v>86</v>
      </c>
      <c r="H747" s="67" cm="1">
        <f t="array" ref="H747">_xlfn.IFS($G747=$G$5,H$5,$G747=$G$6,H$6,$G747=$G$7,H$7,$G747=$G$8,H$8,$G747=$G$9,H$9,$G747=$G$10,H$10,$G747=$G$11,H$11,$G747=$G$12,H$12,$G747=$G$13,H$13,$G747=$G$15,H$15,$G747=$G$16,H$16,$G747=$G$17,H$17,$G747=$G$18,H$18,$G747=$G$19,H$19,$G747=$G$20,H$20,$G747=$G$21,H$21,$G747=$G$22,H$22,$G747=$G$25,H$25,$G747=$G$26,H$26,$G747=$G$27,H$27,$G747=$G$29,H$29,$G747=$G$31,H$31,$G747=$G$32,H$150,$G747=$G$248,H$248,$G747=$G$250,H$250)</f>
        <v>41.428533999999999</v>
      </c>
      <c r="I747" s="67" cm="1">
        <f t="array" ref="I747">_xlfn.IFS($G747=$G$5,I$5,$G747=$G$6,I$6,$G747=$G$7,I$7,$G747=$G$8,I$8,$G747=$G$9,I$9,$G747=$G$10,I$10,$G747=$G$11,I$11,$G747=$G$12,I$12,$G747=$G$13,I$13,$G747=$G$15,I$15,$G747=$G$16,I$16,$G747=$G$17,I$17,$G747=$G$18,I$18,$G747=$G$19,I$19,$G747=$G$20,I$20,$G747=$G$21,I$21,$G747=$G$22,I$22,$G747=$G$25,I$25,$G747=$G$26,I$26,$G747=$G$27,I$27,$G747=$G$29,I$29,$G747=$G$31,I$31,$G747=$G$32,I$150,$G747=$G$248,I$248,$G747=$G$250,I$250)</f>
        <v>2.090954</v>
      </c>
      <c r="J747" s="48" cm="1">
        <f t="array" ref="J747">_xlfn.IFS($G747=$G$5,J$5,$G747=$G$6,J$6,$G747=$G$7,J$7,$G747=$G$8,J$8,$G747=$G$9,J$9,$G747=$G$10,J$10,$G747=$G$11,J$11,$G747=$G$12,J$12,$G747=$G$13,J$13,$G747=$G$15,J$15,$G747=$G$16,J$16,$G747=$G$17,J$17,$G747=$G$18,J$18,$G747=$G$19,J$19,$G747=$G$20,J$20,$G747=$G$21,J$21,$G747=$G$22,J$22,$G747=$G$25,J$25,$G747=$G$26,J$26,$G747=$G$27,J$27,$G747=$G$29,J$29,$G747=$G$31,J$31,$G747=$G$32,J$150,$G747=$G$248,J$248,$G747=$G$250,J$250)</f>
        <v>215</v>
      </c>
      <c r="K747" s="48" t="str" cm="1">
        <f t="array" ref="K747">_xlfn.IFS($G747=$G$5,K$5,$G747=$G$6,K$6,$G747=$G$7,K$7,$G747=$G$8,K$8,$G747=$G$9,K$9,$G747=$G$10,K$10,$G747=$G$11,K$11,$G747=$G$12,K$12,$G747=$G$13,K$13,$G747=$G$15,K$15,$G747=$G$16,K$16,$G747=$G$17,K$17,$G747=$G$18,K$18,$G747=$G$19,K$19,$G747=$G$20,K$20,$G747=$G$21,K$21,$G747=$G$22,K$22,$G747=$G$25,K$25,$G747=$G$26,K$26,$G747=$G$27,K$27,$G747=$G$29,K$29,$G747=$G$31,K$31,$G747=$G$32,K$150,$G747=$G$248,K$248,$G747=$G$250,K$250)</f>
        <v>BG sentinel + BG lure7</v>
      </c>
      <c r="L747" s="48"/>
      <c r="M747" s="48"/>
      <c r="O747" s="45" t="str">
        <f t="shared" si="54"/>
        <v>A_SP_BCN_14_210917</v>
      </c>
      <c r="P747" s="64">
        <v>44456</v>
      </c>
      <c r="R747" s="72"/>
      <c r="S747" s="64">
        <v>44461</v>
      </c>
      <c r="U747" s="72"/>
      <c r="V747" s="54" t="s">
        <v>66</v>
      </c>
      <c r="X747" s="45">
        <f t="shared" si="55"/>
        <v>5</v>
      </c>
      <c r="Z747" s="69" t="s">
        <v>69</v>
      </c>
      <c r="AA747" s="45">
        <f t="shared" si="62"/>
        <v>3</v>
      </c>
      <c r="AB747" t="str">
        <f t="shared" si="63"/>
        <v>Adult</v>
      </c>
      <c r="AC747" s="69">
        <v>3</v>
      </c>
      <c r="AD747" s="69">
        <v>0</v>
      </c>
      <c r="AE747" s="45" t="str">
        <f t="shared" si="64"/>
        <v>Morphological</v>
      </c>
      <c r="AF747" s="56">
        <v>4</v>
      </c>
    </row>
    <row r="748" spans="1:32" ht="18" customHeight="1" x14ac:dyDescent="0.25">
      <c r="A748" s="45">
        <v>744</v>
      </c>
      <c r="B748" s="45" t="s">
        <v>60</v>
      </c>
      <c r="C748" s="45" t="s">
        <v>61</v>
      </c>
      <c r="D748" s="45" t="s">
        <v>62</v>
      </c>
      <c r="E748" s="45" t="s">
        <v>62</v>
      </c>
      <c r="F748" s="46" cm="1">
        <f t="array" ref="F748">_xlfn.IFS($G748=$G$5,F$5,$G748=$G$6,F$6,$G748=$G$7,F$7,$G748=$G$8,F$8,$G748=$G$9,F$9,$G748=$G$10,F$10,$G748=$G$11,F$11,$G748=$G$12,F$12,$G748=$G$13,F$13,$G748=$G$15,F$15,$G748=$G$16,F$16,$G748=$G$17,F$17,$G748=$G$18,F$18,$G748=$G$19,F$19,$G748=$G$20,F$20,$G748=$G$21,F$21,$G748=$G$22,F$22,$G748=$G$25,F$25,$G748=$G$26,F$26,$G748=$G$27,F$27,$G748=$G$29,F$29,$G748=$G$31,F$31,$G748=$G$32,F$32,$G748=$G$248,F$248,$G748=$G$250,F$250)</f>
        <v>8017</v>
      </c>
      <c r="G748" t="s">
        <v>87</v>
      </c>
      <c r="H748" s="67" cm="1">
        <f t="array" ref="H748">_xlfn.IFS($G748=$G$5,H$5,$G748=$G$6,H$6,$G748=$G$7,H$7,$G748=$G$8,H$8,$G748=$G$9,H$9,$G748=$G$10,H$10,$G748=$G$11,H$11,$G748=$G$12,H$12,$G748=$G$13,H$13,$G748=$G$15,H$15,$G748=$G$16,H$16,$G748=$G$17,H$17,$G748=$G$18,H$18,$G748=$G$19,H$19,$G748=$G$20,H$20,$G748=$G$21,H$21,$G748=$G$22,H$22,$G748=$G$25,H$25,$G748=$G$26,H$26,$G748=$G$27,H$27,$G748=$G$29,H$29,$G748=$G$31,H$31,$G748=$G$32,H$150,$G748=$G$248,H$248,$G748=$G$250,H$250)</f>
        <v>41.419471000000001</v>
      </c>
      <c r="I748" s="67" cm="1">
        <f t="array" ref="I748">_xlfn.IFS($G748=$G$5,I$5,$G748=$G$6,I$6,$G748=$G$7,I$7,$G748=$G$8,I$8,$G748=$G$9,I$9,$G748=$G$10,I$10,$G748=$G$11,I$11,$G748=$G$12,I$12,$G748=$G$13,I$13,$G748=$G$15,I$15,$G748=$G$16,I$16,$G748=$G$17,I$17,$G748=$G$18,I$18,$G748=$G$19,I$19,$G748=$G$20,I$20,$G748=$G$21,I$21,$G748=$G$22,I$22,$G748=$G$25,I$25,$G748=$G$26,I$26,$G748=$G$27,I$27,$G748=$G$29,I$29,$G748=$G$31,I$31,$G748=$G$32,I$150,$G748=$G$248,I$248,$G748=$G$250,I$250)</f>
        <v>2.1010149999999999</v>
      </c>
      <c r="J748" s="48" cm="1">
        <f t="array" ref="J748">_xlfn.IFS($G748=$G$5,J$5,$G748=$G$6,J$6,$G748=$G$7,J$7,$G748=$G$8,J$8,$G748=$G$9,J$9,$G748=$G$10,J$10,$G748=$G$11,J$11,$G748=$G$12,J$12,$G748=$G$13,J$13,$G748=$G$15,J$15,$G748=$G$16,J$16,$G748=$G$17,J$17,$G748=$G$18,J$18,$G748=$G$19,J$19,$G748=$G$20,J$20,$G748=$G$21,J$21,$G748=$G$22,J$22,$G748=$G$25,J$25,$G748=$G$26,J$26,$G748=$G$27,J$27,$G748=$G$29,J$29,$G748=$G$31,J$31,$G748=$G$32,J$150,$G748=$G$248,J$248,$G748=$G$250,J$250)</f>
        <v>284</v>
      </c>
      <c r="K748" s="48" t="str" cm="1">
        <f t="array" ref="K748">_xlfn.IFS($G748=$G$5,K$5,$G748=$G$6,K$6,$G748=$G$7,K$7,$G748=$G$8,K$8,$G748=$G$9,K$9,$G748=$G$10,K$10,$G748=$G$11,K$11,$G748=$G$12,K$12,$G748=$G$13,K$13,$G748=$G$15,K$15,$G748=$G$16,K$16,$G748=$G$17,K$17,$G748=$G$18,K$18,$G748=$G$19,K$19,$G748=$G$20,K$20,$G748=$G$21,K$21,$G748=$G$22,K$22,$G748=$G$25,K$25,$G748=$G$26,K$26,$G748=$G$27,K$27,$G748=$G$29,K$29,$G748=$G$31,K$31,$G748=$G$32,K$150,$G748=$G$248,K$248,$G748=$G$250,K$250)</f>
        <v>BG sentinel + BG lure7</v>
      </c>
      <c r="L748" s="48"/>
      <c r="M748" s="48"/>
      <c r="O748" s="45" t="str">
        <f t="shared" si="54"/>
        <v>A_SP_BCN_15_210917</v>
      </c>
      <c r="P748" s="64">
        <v>44456</v>
      </c>
      <c r="R748" s="72"/>
      <c r="S748" s="64">
        <v>44461</v>
      </c>
      <c r="U748" s="72"/>
      <c r="V748" s="54" t="s">
        <v>66</v>
      </c>
      <c r="X748" s="45">
        <f t="shared" si="55"/>
        <v>5</v>
      </c>
      <c r="Z748" s="69" t="s">
        <v>69</v>
      </c>
      <c r="AA748" s="45">
        <f t="shared" si="62"/>
        <v>2</v>
      </c>
      <c r="AB748" t="str">
        <f t="shared" si="63"/>
        <v>Adult</v>
      </c>
      <c r="AC748" s="69">
        <v>2</v>
      </c>
      <c r="AD748" s="69">
        <v>0</v>
      </c>
      <c r="AE748" s="45" t="str">
        <f t="shared" si="64"/>
        <v>Morphological</v>
      </c>
      <c r="AF748" s="56">
        <v>4</v>
      </c>
    </row>
    <row r="749" spans="1:32" ht="18" customHeight="1" x14ac:dyDescent="0.25">
      <c r="A749" s="45">
        <v>745</v>
      </c>
      <c r="B749" s="45" t="s">
        <v>60</v>
      </c>
      <c r="C749" s="45" t="s">
        <v>61</v>
      </c>
      <c r="D749" s="45" t="s">
        <v>62</v>
      </c>
      <c r="E749" s="45" t="s">
        <v>62</v>
      </c>
      <c r="F749" s="46" cm="1">
        <f t="array" ref="F749">_xlfn.IFS($G749=$G$5,F$5,$G749=$G$6,F$6,$G749=$G$7,F$7,$G749=$G$8,F$8,$G749=$G$9,F$9,$G749=$G$10,F$10,$G749=$G$11,F$11,$G749=$G$12,F$12,$G749=$G$13,F$13,$G749=$G$15,F$15,$G749=$G$16,F$16,$G749=$G$17,F$17,$G749=$G$18,F$18,$G749=$G$19,F$19,$G749=$G$20,F$20,$G749=$G$21,F$21,$G749=$G$22,F$22,$G749=$G$25,F$25,$G749=$G$26,F$26,$G749=$G$27,F$27,$G749=$G$29,F$29,$G749=$G$31,F$31,$G749=$G$32,F$32,$G749=$G$248,F$248,$G749=$G$250,F$250)</f>
        <v>8017</v>
      </c>
      <c r="G749" t="s">
        <v>88</v>
      </c>
      <c r="H749" s="67" cm="1">
        <f t="array" ref="H749">_xlfn.IFS($G749=$G$5,H$5,$G749=$G$6,H$6,$G749=$G$7,H$7,$G749=$G$8,H$8,$G749=$G$9,H$9,$G749=$G$10,H$10,$G749=$G$11,H$11,$G749=$G$12,H$12,$G749=$G$13,H$13,$G749=$G$15,H$15,$G749=$G$16,H$16,$G749=$G$17,H$17,$G749=$G$18,H$18,$G749=$G$19,H$19,$G749=$G$20,H$20,$G749=$G$21,H$21,$G749=$G$22,H$22,$G749=$G$25,H$25,$G749=$G$26,H$26,$G749=$G$27,H$27,$G749=$G$29,H$29,$G749=$G$31,H$31,$G749=$G$32,H$150,$G749=$G$248,H$248,$G749=$G$250,H$250)</f>
        <v>41.398387</v>
      </c>
      <c r="I749" s="67" cm="1">
        <f t="array" ref="I749">_xlfn.IFS($G749=$G$5,I$5,$G749=$G$6,I$6,$G749=$G$7,I$7,$G749=$G$8,I$8,$G749=$G$9,I$9,$G749=$G$10,I$10,$G749=$G$11,I$11,$G749=$G$12,I$12,$G749=$G$13,I$13,$G749=$G$15,I$15,$G749=$G$16,I$16,$G749=$G$17,I$17,$G749=$G$18,I$18,$G749=$G$19,I$19,$G749=$G$20,I$20,$G749=$G$21,I$21,$G749=$G$22,I$22,$G749=$G$25,I$25,$G749=$G$26,I$26,$G749=$G$27,I$27,$G749=$G$29,I$29,$G749=$G$31,I$31,$G749=$G$32,I$150,$G749=$G$248,I$248,$G749=$G$250,I$250)</f>
        <v>2.1244429999999999</v>
      </c>
      <c r="J749" s="48" cm="1">
        <f t="array" ref="J749">_xlfn.IFS($G749=$G$5,J$5,$G749=$G$6,J$6,$G749=$G$7,J$7,$G749=$G$8,J$8,$G749=$G$9,J$9,$G749=$G$10,J$10,$G749=$G$11,J$11,$G749=$G$12,J$12,$G749=$G$13,J$13,$G749=$G$15,J$15,$G749=$G$16,J$16,$G749=$G$17,J$17,$G749=$G$18,J$18,$G749=$G$19,J$19,$G749=$G$20,J$20,$G749=$G$21,J$21,$G749=$G$22,J$22,$G749=$G$25,J$25,$G749=$G$26,J$26,$G749=$G$27,J$27,$G749=$G$29,J$29,$G749=$G$31,J$31,$G749=$G$32,J$150,$G749=$G$248,J$248,$G749=$G$250,J$250)</f>
        <v>106</v>
      </c>
      <c r="K749" s="48" t="str" cm="1">
        <f t="array" ref="K749">_xlfn.IFS($G749=$G$5,K$5,$G749=$G$6,K$6,$G749=$G$7,K$7,$G749=$G$8,K$8,$G749=$G$9,K$9,$G749=$G$10,K$10,$G749=$G$11,K$11,$G749=$G$12,K$12,$G749=$G$13,K$13,$G749=$G$15,K$15,$G749=$G$16,K$16,$G749=$G$17,K$17,$G749=$G$18,K$18,$G749=$G$19,K$19,$G749=$G$20,K$20,$G749=$G$21,K$21,$G749=$G$22,K$22,$G749=$G$25,K$25,$G749=$G$26,K$26,$G749=$G$27,K$27,$G749=$G$29,K$29,$G749=$G$31,K$31,$G749=$G$32,K$150,$G749=$G$248,K$248,$G749=$G$250,K$250)</f>
        <v>BG sentinel + BG lure7</v>
      </c>
      <c r="L749" s="48"/>
      <c r="M749" s="48"/>
      <c r="O749" s="45" t="str">
        <f t="shared" si="54"/>
        <v>A_SP_BCN_16_210917</v>
      </c>
      <c r="P749" s="64">
        <v>44456</v>
      </c>
      <c r="R749" s="72"/>
      <c r="S749" s="64">
        <v>44461</v>
      </c>
      <c r="U749" s="72"/>
      <c r="V749" s="54" t="s">
        <v>66</v>
      </c>
      <c r="X749" s="45">
        <f t="shared" si="55"/>
        <v>5</v>
      </c>
      <c r="Z749" s="69" t="s">
        <v>69</v>
      </c>
      <c r="AA749" s="45">
        <f t="shared" si="62"/>
        <v>25</v>
      </c>
      <c r="AB749" t="str">
        <f t="shared" si="63"/>
        <v>Adult</v>
      </c>
      <c r="AC749" s="69">
        <v>11</v>
      </c>
      <c r="AD749" s="69">
        <v>14</v>
      </c>
      <c r="AE749" s="45" t="str">
        <f t="shared" si="64"/>
        <v>Morphological</v>
      </c>
      <c r="AF749" s="56">
        <v>4</v>
      </c>
    </row>
    <row r="750" spans="1:32" ht="18" customHeight="1" x14ac:dyDescent="0.25">
      <c r="A750" s="45">
        <v>746</v>
      </c>
      <c r="B750" s="45" t="s">
        <v>60</v>
      </c>
      <c r="C750" s="45" t="s">
        <v>61</v>
      </c>
      <c r="D750" s="45" t="s">
        <v>62</v>
      </c>
      <c r="E750" s="45" t="s">
        <v>62</v>
      </c>
      <c r="F750" s="46" cm="1">
        <f t="array" ref="F750">_xlfn.IFS($G750=$G$5,F$5,$G750=$G$6,F$6,$G750=$G$7,F$7,$G750=$G$8,F$8,$G750=$G$9,F$9,$G750=$G$10,F$10,$G750=$G$11,F$11,$G750=$G$12,F$12,$G750=$G$13,F$13,$G750=$G$15,F$15,$G750=$G$16,F$16,$G750=$G$17,F$17,$G750=$G$18,F$18,$G750=$G$19,F$19,$G750=$G$20,F$20,$G750=$G$21,F$21,$G750=$G$22,F$22,$G750=$G$25,F$25,$G750=$G$26,F$26,$G750=$G$27,F$27,$G750=$G$29,F$29,$G750=$G$31,F$31,$G750=$G$32,F$32,$G750=$G$248,F$248,$G750=$G$250,F$250)</f>
        <v>8017</v>
      </c>
      <c r="G750" t="s">
        <v>88</v>
      </c>
      <c r="H750" s="67" cm="1">
        <f t="array" ref="H750">_xlfn.IFS($G750=$G$5,H$5,$G750=$G$6,H$6,$G750=$G$7,H$7,$G750=$G$8,H$8,$G750=$G$9,H$9,$G750=$G$10,H$10,$G750=$G$11,H$11,$G750=$G$12,H$12,$G750=$G$13,H$13,$G750=$G$15,H$15,$G750=$G$16,H$16,$G750=$G$17,H$17,$G750=$G$18,H$18,$G750=$G$19,H$19,$G750=$G$20,H$20,$G750=$G$21,H$21,$G750=$G$22,H$22,$G750=$G$25,H$25,$G750=$G$26,H$26,$G750=$G$27,H$27,$G750=$G$29,H$29,$G750=$G$31,H$31,$G750=$G$32,H$150,$G750=$G$248,H$248,$G750=$G$250,H$250)</f>
        <v>41.398387</v>
      </c>
      <c r="I750" s="67" cm="1">
        <f t="array" ref="I750">_xlfn.IFS($G750=$G$5,I$5,$G750=$G$6,I$6,$G750=$G$7,I$7,$G750=$G$8,I$8,$G750=$G$9,I$9,$G750=$G$10,I$10,$G750=$G$11,I$11,$G750=$G$12,I$12,$G750=$G$13,I$13,$G750=$G$15,I$15,$G750=$G$16,I$16,$G750=$G$17,I$17,$G750=$G$18,I$18,$G750=$G$19,I$19,$G750=$G$20,I$20,$G750=$G$21,I$21,$G750=$G$22,I$22,$G750=$G$25,I$25,$G750=$G$26,I$26,$G750=$G$27,I$27,$G750=$G$29,I$29,$G750=$G$31,I$31,$G750=$G$32,I$150,$G750=$G$248,I$248,$G750=$G$250,I$250)</f>
        <v>2.1244429999999999</v>
      </c>
      <c r="J750" s="48" cm="1">
        <f t="array" ref="J750">_xlfn.IFS($G750=$G$5,J$5,$G750=$G$6,J$6,$G750=$G$7,J$7,$G750=$G$8,J$8,$G750=$G$9,J$9,$G750=$G$10,J$10,$G750=$G$11,J$11,$G750=$G$12,J$12,$G750=$G$13,J$13,$G750=$G$15,J$15,$G750=$G$16,J$16,$G750=$G$17,J$17,$G750=$G$18,J$18,$G750=$G$19,J$19,$G750=$G$20,J$20,$G750=$G$21,J$21,$G750=$G$22,J$22,$G750=$G$25,J$25,$G750=$G$26,J$26,$G750=$G$27,J$27,$G750=$G$29,J$29,$G750=$G$31,J$31,$G750=$G$32,J$150,$G750=$G$248,J$248,$G750=$G$250,J$250)</f>
        <v>106</v>
      </c>
      <c r="K750" s="48" t="str" cm="1">
        <f t="array" ref="K750">_xlfn.IFS($G750=$G$5,K$5,$G750=$G$6,K$6,$G750=$G$7,K$7,$G750=$G$8,K$8,$G750=$G$9,K$9,$G750=$G$10,K$10,$G750=$G$11,K$11,$G750=$G$12,K$12,$G750=$G$13,K$13,$G750=$G$15,K$15,$G750=$G$16,K$16,$G750=$G$17,K$17,$G750=$G$18,K$18,$G750=$G$19,K$19,$G750=$G$20,K$20,$G750=$G$21,K$21,$G750=$G$22,K$22,$G750=$G$25,K$25,$G750=$G$26,K$26,$G750=$G$27,K$27,$G750=$G$29,K$29,$G750=$G$31,K$31,$G750=$G$32,K$150,$G750=$G$248,K$248,$G750=$G$250,K$250)</f>
        <v>BG sentinel + BG lure7</v>
      </c>
      <c r="L750" s="48"/>
      <c r="M750" s="48"/>
      <c r="O750" s="45" t="str">
        <f t="shared" si="54"/>
        <v>A_SP_BCN_16_210917</v>
      </c>
      <c r="P750" s="64">
        <v>44456</v>
      </c>
      <c r="R750" s="72"/>
      <c r="S750" s="64">
        <v>44461</v>
      </c>
      <c r="U750" s="72"/>
      <c r="V750" s="54" t="s">
        <v>66</v>
      </c>
      <c r="X750" s="45">
        <f t="shared" si="55"/>
        <v>5</v>
      </c>
      <c r="Z750" s="45" t="s">
        <v>70</v>
      </c>
      <c r="AA750" s="45">
        <f t="shared" si="62"/>
        <v>25</v>
      </c>
      <c r="AB750" t="str">
        <f t="shared" si="63"/>
        <v>Adult</v>
      </c>
      <c r="AC750" s="69">
        <v>23</v>
      </c>
      <c r="AD750" s="69">
        <v>2</v>
      </c>
      <c r="AE750" s="45" t="str">
        <f t="shared" si="64"/>
        <v>Morphological</v>
      </c>
      <c r="AF750" s="56">
        <v>4</v>
      </c>
    </row>
    <row r="751" spans="1:32" ht="18" customHeight="1" x14ac:dyDescent="0.25">
      <c r="A751" s="45">
        <v>747</v>
      </c>
      <c r="B751" s="45" t="s">
        <v>60</v>
      </c>
      <c r="C751" s="45" t="s">
        <v>61</v>
      </c>
      <c r="D751" s="45" t="s">
        <v>62</v>
      </c>
      <c r="E751" s="45" t="s">
        <v>62</v>
      </c>
      <c r="F751" s="46" cm="1">
        <f t="array" ref="F751">_xlfn.IFS($G751=$G$5,F$5,$G751=$G$6,F$6,$G751=$G$7,F$7,$G751=$G$8,F$8,$G751=$G$9,F$9,$G751=$G$10,F$10,$G751=$G$11,F$11,$G751=$G$12,F$12,$G751=$G$13,F$13,$G751=$G$15,F$15,$G751=$G$16,F$16,$G751=$G$17,F$17,$G751=$G$18,F$18,$G751=$G$19,F$19,$G751=$G$20,F$20,$G751=$G$21,F$21,$G751=$G$22,F$22,$G751=$G$25,F$25,$G751=$G$26,F$26,$G751=$G$27,F$27,$G751=$G$29,F$29,$G751=$G$31,F$31,$G751=$G$32,F$32,$G751=$G$248,F$248,$G751=$G$250,F$250)</f>
        <v>8017</v>
      </c>
      <c r="G751" t="s">
        <v>88</v>
      </c>
      <c r="H751" s="67" cm="1">
        <f t="array" ref="H751">_xlfn.IFS($G751=$G$5,H$5,$G751=$G$6,H$6,$G751=$G$7,H$7,$G751=$G$8,H$8,$G751=$G$9,H$9,$G751=$G$10,H$10,$G751=$G$11,H$11,$G751=$G$12,H$12,$G751=$G$13,H$13,$G751=$G$15,H$15,$G751=$G$16,H$16,$G751=$G$17,H$17,$G751=$G$18,H$18,$G751=$G$19,H$19,$G751=$G$20,H$20,$G751=$G$21,H$21,$G751=$G$22,H$22,$G751=$G$25,H$25,$G751=$G$26,H$26,$G751=$G$27,H$27,$G751=$G$29,H$29,$G751=$G$31,H$31,$G751=$G$32,H$150,$G751=$G$248,H$248,$G751=$G$250,H$250)</f>
        <v>41.398387</v>
      </c>
      <c r="I751" s="67" cm="1">
        <f t="array" ref="I751">_xlfn.IFS($G751=$G$5,I$5,$G751=$G$6,I$6,$G751=$G$7,I$7,$G751=$G$8,I$8,$G751=$G$9,I$9,$G751=$G$10,I$10,$G751=$G$11,I$11,$G751=$G$12,I$12,$G751=$G$13,I$13,$G751=$G$15,I$15,$G751=$G$16,I$16,$G751=$G$17,I$17,$G751=$G$18,I$18,$G751=$G$19,I$19,$G751=$G$20,I$20,$G751=$G$21,I$21,$G751=$G$22,I$22,$G751=$G$25,I$25,$G751=$G$26,I$26,$G751=$G$27,I$27,$G751=$G$29,I$29,$G751=$G$31,I$31,$G751=$G$32,I$150,$G751=$G$248,I$248,$G751=$G$250,I$250)</f>
        <v>2.1244429999999999</v>
      </c>
      <c r="J751" s="48" cm="1">
        <f t="array" ref="J751">_xlfn.IFS($G751=$G$5,J$5,$G751=$G$6,J$6,$G751=$G$7,J$7,$G751=$G$8,J$8,$G751=$G$9,J$9,$G751=$G$10,J$10,$G751=$G$11,J$11,$G751=$G$12,J$12,$G751=$G$13,J$13,$G751=$G$15,J$15,$G751=$G$16,J$16,$G751=$G$17,J$17,$G751=$G$18,J$18,$G751=$G$19,J$19,$G751=$G$20,J$20,$G751=$G$21,J$21,$G751=$G$22,J$22,$G751=$G$25,J$25,$G751=$G$26,J$26,$G751=$G$27,J$27,$G751=$G$29,J$29,$G751=$G$31,J$31,$G751=$G$32,J$150,$G751=$G$248,J$248,$G751=$G$250,J$250)</f>
        <v>106</v>
      </c>
      <c r="K751" s="48" t="str" cm="1">
        <f t="array" ref="K751">_xlfn.IFS($G751=$G$5,K$5,$G751=$G$6,K$6,$G751=$G$7,K$7,$G751=$G$8,K$8,$G751=$G$9,K$9,$G751=$G$10,K$10,$G751=$G$11,K$11,$G751=$G$12,K$12,$G751=$G$13,K$13,$G751=$G$15,K$15,$G751=$G$16,K$16,$G751=$G$17,K$17,$G751=$G$18,K$18,$G751=$G$19,K$19,$G751=$G$20,K$20,$G751=$G$21,K$21,$G751=$G$22,K$22,$G751=$G$25,K$25,$G751=$G$26,K$26,$G751=$G$27,K$27,$G751=$G$29,K$29,$G751=$G$31,K$31,$G751=$G$32,K$150,$G751=$G$248,K$248,$G751=$G$250,K$250)</f>
        <v>BG sentinel + BG lure7</v>
      </c>
      <c r="L751" s="48"/>
      <c r="M751" s="48"/>
      <c r="O751" s="45" t="str">
        <f t="shared" si="54"/>
        <v>A_SP_BCN_16_210917</v>
      </c>
      <c r="P751" s="64">
        <v>44456</v>
      </c>
      <c r="R751" s="72"/>
      <c r="S751" s="64">
        <v>44461</v>
      </c>
      <c r="U751" s="72"/>
      <c r="V751" s="54" t="s">
        <v>66</v>
      </c>
      <c r="X751" s="45">
        <f t="shared" si="55"/>
        <v>5</v>
      </c>
      <c r="Z751" s="45" t="s">
        <v>80</v>
      </c>
      <c r="AA751" s="45">
        <f t="shared" si="62"/>
        <v>1</v>
      </c>
      <c r="AB751" t="str">
        <f t="shared" si="63"/>
        <v>Adult</v>
      </c>
      <c r="AC751" s="69">
        <v>0</v>
      </c>
      <c r="AD751" s="69">
        <v>1</v>
      </c>
      <c r="AE751" s="45" t="str">
        <f t="shared" si="64"/>
        <v>Morphological</v>
      </c>
      <c r="AF751" s="56">
        <v>4</v>
      </c>
    </row>
    <row r="752" spans="1:32" ht="18" customHeight="1" x14ac:dyDescent="0.25">
      <c r="A752" s="45">
        <v>748</v>
      </c>
      <c r="B752" s="45" t="s">
        <v>60</v>
      </c>
      <c r="C752" s="45" t="s">
        <v>61</v>
      </c>
      <c r="D752" s="45" t="s">
        <v>62</v>
      </c>
      <c r="E752" s="45" t="s">
        <v>62</v>
      </c>
      <c r="F752" s="46" cm="1">
        <f t="array" ref="F752">_xlfn.IFS($G752=$G$5,F$5,$G752=$G$6,F$6,$G752=$G$7,F$7,$G752=$G$8,F$8,$G752=$G$9,F$9,$G752=$G$10,F$10,$G752=$G$11,F$11,$G752=$G$12,F$12,$G752=$G$13,F$13,$G752=$G$15,F$15,$G752=$G$16,F$16,$G752=$G$17,F$17,$G752=$G$18,F$18,$G752=$G$19,F$19,$G752=$G$20,F$20,$G752=$G$21,F$21,$G752=$G$22,F$22,$G752=$G$25,F$25,$G752=$G$26,F$26,$G752=$G$27,F$27,$G752=$G$29,F$29,$G752=$G$31,F$31,$G752=$G$32,F$32,$G752=$G$248,F$248,$G752=$G$250,F$250)</f>
        <v>8023</v>
      </c>
      <c r="G752" t="s">
        <v>89</v>
      </c>
      <c r="H752" s="67" cm="1">
        <f t="array" ref="H752">_xlfn.IFS($G752=$G$5,H$5,$G752=$G$6,H$6,$G752=$G$7,H$7,$G752=$G$8,H$8,$G752=$G$9,H$9,$G752=$G$10,H$10,$G752=$G$11,H$11,$G752=$G$12,H$12,$G752=$G$13,H$13,$G752=$G$15,H$15,$G752=$G$16,H$16,$G752=$G$17,H$17,$G752=$G$18,H$18,$G752=$G$19,H$19,$G752=$G$20,H$20,$G752=$G$21,H$21,$G752=$G$22,H$22,$G752=$G$25,H$25,$G752=$G$26,H$26,$G752=$G$27,H$27,$G752=$G$29,H$29,$G752=$G$31,H$31,$G752=$G$32,H$150,$G752=$G$248,H$248,$G752=$G$250,H$250)</f>
        <v>41.417256000000002</v>
      </c>
      <c r="I752" s="67" cm="1">
        <f t="array" ref="I752">_xlfn.IFS($G752=$G$5,I$5,$G752=$G$6,I$6,$G752=$G$7,I$7,$G752=$G$8,I$8,$G752=$G$9,I$9,$G752=$G$10,I$10,$G752=$G$11,I$11,$G752=$G$12,I$12,$G752=$G$13,I$13,$G752=$G$15,I$15,$G752=$G$16,I$16,$G752=$G$17,I$17,$G752=$G$18,I$18,$G752=$G$19,I$19,$G752=$G$20,I$20,$G752=$G$21,I$21,$G752=$G$22,I$22,$G752=$G$25,I$25,$G752=$G$26,I$26,$G752=$G$27,I$27,$G752=$G$29,I$29,$G752=$G$31,I$31,$G752=$G$32,I$150,$G752=$G$248,I$248,$G752=$G$250,I$250)</f>
        <v>2.1455709999999999</v>
      </c>
      <c r="J752" s="48" cm="1">
        <f t="array" ref="J752">_xlfn.IFS($G752=$G$5,J$5,$G752=$G$6,J$6,$G752=$G$7,J$7,$G752=$G$8,J$8,$G752=$G$9,J$9,$G752=$G$10,J$10,$G752=$G$11,J$11,$G752=$G$12,J$12,$G752=$G$13,J$13,$G752=$G$15,J$15,$G752=$G$16,J$16,$G752=$G$17,J$17,$G752=$G$18,J$18,$G752=$G$19,J$19,$G752=$G$20,J$20,$G752=$G$21,J$21,$G752=$G$22,J$22,$G752=$G$25,J$25,$G752=$G$26,J$26,$G752=$G$27,J$27,$G752=$G$29,J$29,$G752=$G$31,J$31,$G752=$G$32,J$150,$G752=$G$248,J$248,$G752=$G$250,J$250)</f>
        <v>186</v>
      </c>
      <c r="K752" s="48" t="str" cm="1">
        <f t="array" ref="K752">_xlfn.IFS($G752=$G$5,K$5,$G752=$G$6,K$6,$G752=$G$7,K$7,$G752=$G$8,K$8,$G752=$G$9,K$9,$G752=$G$10,K$10,$G752=$G$11,K$11,$G752=$G$12,K$12,$G752=$G$13,K$13,$G752=$G$15,K$15,$G752=$G$16,K$16,$G752=$G$17,K$17,$G752=$G$18,K$18,$G752=$G$19,K$19,$G752=$G$20,K$20,$G752=$G$21,K$21,$G752=$G$22,K$22,$G752=$G$25,K$25,$G752=$G$26,K$26,$G752=$G$27,K$27,$G752=$G$29,K$29,$G752=$G$31,K$31,$G752=$G$32,K$150,$G752=$G$248,K$248,$G752=$G$250,K$250)</f>
        <v>BG sentinel + BG lure7</v>
      </c>
      <c r="L752" s="48"/>
      <c r="M752" s="48"/>
      <c r="O752" s="45" t="str">
        <f t="shared" si="54"/>
        <v>A_SP_BCN_17_210917</v>
      </c>
      <c r="P752" s="64">
        <v>44456</v>
      </c>
      <c r="R752" s="72"/>
      <c r="S752" s="64">
        <v>44461</v>
      </c>
      <c r="U752" s="72"/>
      <c r="V752" s="54" t="s">
        <v>66</v>
      </c>
      <c r="X752" s="45">
        <f t="shared" si="55"/>
        <v>5</v>
      </c>
      <c r="Z752" s="45" t="s">
        <v>80</v>
      </c>
      <c r="AA752" s="45">
        <f t="shared" si="62"/>
        <v>1</v>
      </c>
      <c r="AB752" t="str">
        <f t="shared" si="63"/>
        <v>Adult</v>
      </c>
      <c r="AC752" s="69">
        <v>1</v>
      </c>
      <c r="AD752" s="69">
        <v>0</v>
      </c>
      <c r="AE752" s="45" t="str">
        <f t="shared" si="64"/>
        <v>Morphological</v>
      </c>
      <c r="AF752" s="56">
        <v>4</v>
      </c>
    </row>
    <row r="753" spans="1:32" ht="18" customHeight="1" x14ac:dyDescent="0.25">
      <c r="A753" s="45">
        <v>749</v>
      </c>
      <c r="B753" s="45" t="s">
        <v>60</v>
      </c>
      <c r="C753" s="45" t="s">
        <v>61</v>
      </c>
      <c r="D753" s="45" t="s">
        <v>62</v>
      </c>
      <c r="E753" s="45" t="s">
        <v>62</v>
      </c>
      <c r="F753" s="46" cm="1">
        <f t="array" ref="F753">_xlfn.IFS($G753=$G$5,F$5,$G753=$G$6,F$6,$G753=$G$7,F$7,$G753=$G$8,F$8,$G753=$G$9,F$9,$G753=$G$10,F$10,$G753=$G$11,F$11,$G753=$G$12,F$12,$G753=$G$13,F$13,$G753=$G$15,F$15,$G753=$G$16,F$16,$G753=$G$17,F$17,$G753=$G$18,F$18,$G753=$G$19,F$19,$G753=$G$20,F$20,$G753=$G$21,F$21,$G753=$G$22,F$22,$G753=$G$25,F$25,$G753=$G$26,F$26,$G753=$G$27,F$27,$G753=$G$29,F$29,$G753=$G$31,F$31,$G753=$G$32,F$32,$G753=$G$248,F$248,$G753=$G$250,F$250)</f>
        <v>8031</v>
      </c>
      <c r="G753" t="s">
        <v>92</v>
      </c>
      <c r="H753" s="67" cm="1">
        <f t="array" ref="H753">_xlfn.IFS($G753=$G$5,H$5,$G753=$G$6,H$6,$G753=$G$7,H$7,$G753=$G$8,H$8,$G753=$G$9,H$9,$G753=$G$10,H$10,$G753=$G$11,H$11,$G753=$G$12,H$12,$G753=$G$13,H$13,$G753=$G$15,H$15,$G753=$G$16,H$16,$G753=$G$17,H$17,$G753=$G$18,H$18,$G753=$G$19,H$19,$G753=$G$20,H$20,$G753=$G$21,H$21,$G753=$G$22,H$22,$G753=$G$25,H$25,$G753=$G$26,H$26,$G753=$G$27,H$27,$G753=$G$29,H$29,$G753=$G$31,H$31,$G753=$G$32,H$150,$G753=$G$248,H$248,$G753=$G$250,H$250)</f>
        <v>41.433618000000003</v>
      </c>
      <c r="I753" s="67" cm="1">
        <f t="array" ref="I753">_xlfn.IFS($G753=$G$5,I$5,$G753=$G$6,I$6,$G753=$G$7,I$7,$G753=$G$8,I$8,$G753=$G$9,I$9,$G753=$G$10,I$10,$G753=$G$11,I$11,$G753=$G$12,I$12,$G753=$G$13,I$13,$G753=$G$15,I$15,$G753=$G$16,I$16,$G753=$G$17,I$17,$G753=$G$18,I$18,$G753=$G$19,I$19,$G753=$G$20,I$20,$G753=$G$21,I$21,$G753=$G$22,I$22,$G753=$G$25,I$25,$G753=$G$26,I$26,$G753=$G$27,I$27,$G753=$G$29,I$29,$G753=$G$31,I$31,$G753=$G$32,I$150,$G753=$G$248,I$248,$G753=$G$250,I$250)</f>
        <v>2.1677469999999999</v>
      </c>
      <c r="J753" s="48" cm="1">
        <f t="array" ref="J753">_xlfn.IFS($G753=$G$5,J$5,$G753=$G$6,J$6,$G753=$G$7,J$7,$G753=$G$8,J$8,$G753=$G$9,J$9,$G753=$G$10,J$10,$G753=$G$11,J$11,$G753=$G$12,J$12,$G753=$G$13,J$13,$G753=$G$15,J$15,$G753=$G$16,J$16,$G753=$G$17,J$17,$G753=$G$18,J$18,$G753=$G$19,J$19,$G753=$G$20,J$20,$G753=$G$21,J$21,$G753=$G$22,J$22,$G753=$G$25,J$25,$G753=$G$26,J$26,$G753=$G$27,J$27,$G753=$G$29,J$29,$G753=$G$31,J$31,$G753=$G$32,J$150,$G753=$G$248,J$248,$G753=$G$250,J$250)</f>
        <v>96.85</v>
      </c>
      <c r="K753" s="48" t="str" cm="1">
        <f t="array" ref="K753">_xlfn.IFS($G753=$G$5,K$5,$G753=$G$6,K$6,$G753=$G$7,K$7,$G753=$G$8,K$8,$G753=$G$9,K$9,$G753=$G$10,K$10,$G753=$G$11,K$11,$G753=$G$12,K$12,$G753=$G$13,K$13,$G753=$G$15,K$15,$G753=$G$16,K$16,$G753=$G$17,K$17,$G753=$G$18,K$18,$G753=$G$19,K$19,$G753=$G$20,K$20,$G753=$G$21,K$21,$G753=$G$22,K$22,$G753=$G$25,K$25,$G753=$G$26,K$26,$G753=$G$27,K$27,$G753=$G$29,K$29,$G753=$G$31,K$31,$G753=$G$32,K$150,$G753=$G$248,K$248,$G753=$G$250,K$250)</f>
        <v>BG sentinel + BG lure7</v>
      </c>
      <c r="L753" s="48"/>
      <c r="M753" s="48"/>
      <c r="O753" s="45" t="str">
        <f t="shared" si="54"/>
        <v>A_SP_BCN_18_210915</v>
      </c>
      <c r="P753" s="64">
        <v>44454</v>
      </c>
      <c r="R753" s="72"/>
      <c r="S753" s="64">
        <v>44461</v>
      </c>
      <c r="U753" s="72"/>
      <c r="V753" s="54" t="s">
        <v>66</v>
      </c>
      <c r="X753" s="45">
        <f t="shared" si="55"/>
        <v>7</v>
      </c>
      <c r="Z753" s="69" t="s">
        <v>69</v>
      </c>
      <c r="AA753" s="45">
        <f t="shared" si="62"/>
        <v>7</v>
      </c>
      <c r="AB753" t="str">
        <f t="shared" si="63"/>
        <v>Adult</v>
      </c>
      <c r="AC753" s="69">
        <v>6</v>
      </c>
      <c r="AD753" s="69">
        <v>1</v>
      </c>
      <c r="AE753" s="45" t="str">
        <f t="shared" si="64"/>
        <v>Morphological</v>
      </c>
      <c r="AF753" s="56">
        <v>4</v>
      </c>
    </row>
    <row r="754" spans="1:32" ht="18" customHeight="1" x14ac:dyDescent="0.25">
      <c r="A754" s="45">
        <v>750</v>
      </c>
      <c r="B754" s="45" t="s">
        <v>60</v>
      </c>
      <c r="C754" s="45" t="s">
        <v>61</v>
      </c>
      <c r="D754" s="45" t="s">
        <v>62</v>
      </c>
      <c r="E754" s="45" t="s">
        <v>62</v>
      </c>
      <c r="F754" s="46" cm="1">
        <f t="array" ref="F754">_xlfn.IFS($G754=$G$5,F$5,$G754=$G$6,F$6,$G754=$G$7,F$7,$G754=$G$8,F$8,$G754=$G$9,F$9,$G754=$G$10,F$10,$G754=$G$11,F$11,$G754=$G$12,F$12,$G754=$G$13,F$13,$G754=$G$15,F$15,$G754=$G$16,F$16,$G754=$G$17,F$17,$G754=$G$18,F$18,$G754=$G$19,F$19,$G754=$G$20,F$20,$G754=$G$21,F$21,$G754=$G$22,F$22,$G754=$G$25,F$25,$G754=$G$26,F$26,$G754=$G$27,F$27,$G754=$G$29,F$29,$G754=$G$31,F$31,$G754=$G$32,F$32,$G754=$G$248,F$248,$G754=$G$250,F$250)</f>
        <v>8038</v>
      </c>
      <c r="G754" t="s">
        <v>93</v>
      </c>
      <c r="H754" s="67" cm="1">
        <f t="array" ref="H754">_xlfn.IFS($G754=$G$5,H$5,$G754=$G$6,H$6,$G754=$G$7,H$7,$G754=$G$8,H$8,$G754=$G$9,H$9,$G754=$G$10,H$10,$G754=$G$11,H$11,$G754=$G$12,H$12,$G754=$G$13,H$13,$G754=$G$15,H$15,$G754=$G$16,H$16,$G754=$G$17,H$17,$G754=$G$18,H$18,$G754=$G$19,H$19,$G754=$G$20,H$20,$G754=$G$21,H$21,$G754=$G$22,H$22,$G754=$G$25,H$25,$G754=$G$26,H$26,$G754=$G$27,H$27,$G754=$G$29,H$29,$G754=$G$31,H$31,$G754=$G$32,H$150,$G754=$G$248,H$248,$G754=$G$250,H$250)</f>
        <v>41.359864999999999</v>
      </c>
      <c r="I754" s="67" cm="1">
        <f t="array" ref="I754">_xlfn.IFS($G754=$G$5,I$5,$G754=$G$6,I$6,$G754=$G$7,I$7,$G754=$G$8,I$8,$G754=$G$9,I$9,$G754=$G$10,I$10,$G754=$G$11,I$11,$G754=$G$12,I$12,$G754=$G$13,I$13,$G754=$G$15,I$15,$G754=$G$16,I$16,$G754=$G$17,I$17,$G754=$G$18,I$18,$G754=$G$19,I$19,$G754=$G$20,I$20,$G754=$G$21,I$21,$G754=$G$22,I$22,$G754=$G$25,I$25,$G754=$G$26,I$26,$G754=$G$27,I$27,$G754=$G$29,I$29,$G754=$G$31,I$31,$G754=$G$32,I$150,$G754=$G$248,I$248,$G754=$G$250,I$250)</f>
        <v>2.1445430000000001</v>
      </c>
      <c r="J754" s="48" cm="1">
        <f t="array" ref="J754">_xlfn.IFS($G754=$G$5,J$5,$G754=$G$6,J$6,$G754=$G$7,J$7,$G754=$G$8,J$8,$G754=$G$9,J$9,$G754=$G$10,J$10,$G754=$G$11,J$11,$G754=$G$12,J$12,$G754=$G$13,J$13,$G754=$G$15,J$15,$G754=$G$16,J$16,$G754=$G$17,J$17,$G754=$G$18,J$18,$G754=$G$19,J$19,$G754=$G$20,J$20,$G754=$G$21,J$21,$G754=$G$22,J$22,$G754=$G$25,J$25,$G754=$G$26,J$26,$G754=$G$27,J$27,$G754=$G$29,J$29,$G754=$G$31,J$31,$G754=$G$32,J$150,$G754=$G$248,J$248,$G754=$G$250,J$250)</f>
        <v>11.4</v>
      </c>
      <c r="K754" s="48" t="str" cm="1">
        <f t="array" ref="K754">_xlfn.IFS($G754=$G$5,K$5,$G754=$G$6,K$6,$G754=$G$7,K$7,$G754=$G$8,K$8,$G754=$G$9,K$9,$G754=$G$10,K$10,$G754=$G$11,K$11,$G754=$G$12,K$12,$G754=$G$13,K$13,$G754=$G$15,K$15,$G754=$G$16,K$16,$G754=$G$17,K$17,$G754=$G$18,K$18,$G754=$G$19,K$19,$G754=$G$20,K$20,$G754=$G$21,K$21,$G754=$G$22,K$22,$G754=$G$25,K$25,$G754=$G$26,K$26,$G754=$G$27,K$27,$G754=$G$29,K$29,$G754=$G$31,K$31,$G754=$G$32,K$150,$G754=$G$248,K$248,$G754=$G$250,K$250)</f>
        <v>BG sentinel + BG lure7</v>
      </c>
      <c r="L754" s="48"/>
      <c r="M754" s="48"/>
      <c r="O754" s="45" t="str">
        <f t="shared" si="54"/>
        <v>A_SP_BCN_19_210917</v>
      </c>
      <c r="P754" s="64">
        <v>44456</v>
      </c>
      <c r="R754" s="72"/>
      <c r="S754" s="64">
        <v>44462</v>
      </c>
      <c r="U754" s="72"/>
      <c r="V754" s="54" t="s">
        <v>66</v>
      </c>
      <c r="W754" t="s">
        <v>157</v>
      </c>
      <c r="X754" s="45">
        <f t="shared" si="55"/>
        <v>6</v>
      </c>
      <c r="Z754" s="69" t="s">
        <v>69</v>
      </c>
      <c r="AA754" s="45">
        <f t="shared" si="62"/>
        <v>5</v>
      </c>
      <c r="AB754" t="str">
        <f t="shared" si="63"/>
        <v>Adult</v>
      </c>
      <c r="AC754" s="69">
        <v>5</v>
      </c>
      <c r="AD754" s="69">
        <v>0</v>
      </c>
      <c r="AE754" s="45" t="str">
        <f t="shared" si="64"/>
        <v>Morphological</v>
      </c>
      <c r="AF754" s="56">
        <v>3</v>
      </c>
    </row>
    <row r="755" spans="1:32" ht="18" customHeight="1" x14ac:dyDescent="0.25">
      <c r="A755" s="45">
        <v>751</v>
      </c>
      <c r="B755" s="45" t="s">
        <v>60</v>
      </c>
      <c r="C755" s="45" t="s">
        <v>61</v>
      </c>
      <c r="D755" s="45" t="s">
        <v>62</v>
      </c>
      <c r="E755" s="45" t="s">
        <v>62</v>
      </c>
      <c r="F755" s="46" cm="1">
        <f t="array" ref="F755">_xlfn.IFS($G755=$G$5,F$5,$G755=$G$6,F$6,$G755=$G$7,F$7,$G755=$G$8,F$8,$G755=$G$9,F$9,$G755=$G$10,F$10,$G755=$G$11,F$11,$G755=$G$12,F$12,$G755=$G$13,F$13,$G755=$G$15,F$15,$G755=$G$16,F$16,$G755=$G$17,F$17,$G755=$G$18,F$18,$G755=$G$19,F$19,$G755=$G$20,F$20,$G755=$G$21,F$21,$G755=$G$22,F$22,$G755=$G$25,F$25,$G755=$G$26,F$26,$G755=$G$27,F$27,$G755=$G$29,F$29,$G755=$G$31,F$31,$G755=$G$32,F$32,$G755=$G$248,F$248,$G755=$G$250,F$250)</f>
        <v>8038</v>
      </c>
      <c r="G755" t="s">
        <v>93</v>
      </c>
      <c r="H755" s="67" cm="1">
        <f t="array" ref="H755">_xlfn.IFS($G755=$G$5,H$5,$G755=$G$6,H$6,$G755=$G$7,H$7,$G755=$G$8,H$8,$G755=$G$9,H$9,$G755=$G$10,H$10,$G755=$G$11,H$11,$G755=$G$12,H$12,$G755=$G$13,H$13,$G755=$G$15,H$15,$G755=$G$16,H$16,$G755=$G$17,H$17,$G755=$G$18,H$18,$G755=$G$19,H$19,$G755=$G$20,H$20,$G755=$G$21,H$21,$G755=$G$22,H$22,$G755=$G$25,H$25,$G755=$G$26,H$26,$G755=$G$27,H$27,$G755=$G$29,H$29,$G755=$G$31,H$31,$G755=$G$32,H$150,$G755=$G$248,H$248,$G755=$G$250,H$250)</f>
        <v>41.359864999999999</v>
      </c>
      <c r="I755" s="67" cm="1">
        <f t="array" ref="I755">_xlfn.IFS($G755=$G$5,I$5,$G755=$G$6,I$6,$G755=$G$7,I$7,$G755=$G$8,I$8,$G755=$G$9,I$9,$G755=$G$10,I$10,$G755=$G$11,I$11,$G755=$G$12,I$12,$G755=$G$13,I$13,$G755=$G$15,I$15,$G755=$G$16,I$16,$G755=$G$17,I$17,$G755=$G$18,I$18,$G755=$G$19,I$19,$G755=$G$20,I$20,$G755=$G$21,I$21,$G755=$G$22,I$22,$G755=$G$25,I$25,$G755=$G$26,I$26,$G755=$G$27,I$27,$G755=$G$29,I$29,$G755=$G$31,I$31,$G755=$G$32,I$150,$G755=$G$248,I$248,$G755=$G$250,I$250)</f>
        <v>2.1445430000000001</v>
      </c>
      <c r="J755" s="48" cm="1">
        <f t="array" ref="J755">_xlfn.IFS($G755=$G$5,J$5,$G755=$G$6,J$6,$G755=$G$7,J$7,$G755=$G$8,J$8,$G755=$G$9,J$9,$G755=$G$10,J$10,$G755=$G$11,J$11,$G755=$G$12,J$12,$G755=$G$13,J$13,$G755=$G$15,J$15,$G755=$G$16,J$16,$G755=$G$17,J$17,$G755=$G$18,J$18,$G755=$G$19,J$19,$G755=$G$20,J$20,$G755=$G$21,J$21,$G755=$G$22,J$22,$G755=$G$25,J$25,$G755=$G$26,J$26,$G755=$G$27,J$27,$G755=$G$29,J$29,$G755=$G$31,J$31,$G755=$G$32,J$150,$G755=$G$248,J$248,$G755=$G$250,J$250)</f>
        <v>11.4</v>
      </c>
      <c r="K755" s="48" t="str" cm="1">
        <f t="array" ref="K755">_xlfn.IFS($G755=$G$5,K$5,$G755=$G$6,K$6,$G755=$G$7,K$7,$G755=$G$8,K$8,$G755=$G$9,K$9,$G755=$G$10,K$10,$G755=$G$11,K$11,$G755=$G$12,K$12,$G755=$G$13,K$13,$G755=$G$15,K$15,$G755=$G$16,K$16,$G755=$G$17,K$17,$G755=$G$18,K$18,$G755=$G$19,K$19,$G755=$G$20,K$20,$G755=$G$21,K$21,$G755=$G$22,K$22,$G755=$G$25,K$25,$G755=$G$26,K$26,$G755=$G$27,K$27,$G755=$G$29,K$29,$G755=$G$31,K$31,$G755=$G$32,K$150,$G755=$G$248,K$248,$G755=$G$250,K$250)</f>
        <v>BG sentinel + BG lure7</v>
      </c>
      <c r="L755" s="48"/>
      <c r="M755" s="48"/>
      <c r="O755" s="45" t="str">
        <f t="shared" si="54"/>
        <v>A_SP_BCN_19_210917</v>
      </c>
      <c r="P755" s="64">
        <v>44456</v>
      </c>
      <c r="R755" s="72"/>
      <c r="S755" s="64">
        <v>44462</v>
      </c>
      <c r="U755" s="72"/>
      <c r="V755" s="54" t="s">
        <v>66</v>
      </c>
      <c r="W755" t="s">
        <v>157</v>
      </c>
      <c r="X755" s="45">
        <f t="shared" si="55"/>
        <v>6</v>
      </c>
      <c r="Z755" s="45" t="s">
        <v>70</v>
      </c>
      <c r="AA755" s="45">
        <f t="shared" si="62"/>
        <v>8</v>
      </c>
      <c r="AB755" t="str">
        <f t="shared" si="63"/>
        <v>Adult</v>
      </c>
      <c r="AC755" s="69">
        <v>7</v>
      </c>
      <c r="AD755" s="69">
        <v>1</v>
      </c>
      <c r="AE755" s="45" t="str">
        <f t="shared" si="64"/>
        <v>Morphological</v>
      </c>
      <c r="AF755" s="56">
        <v>3</v>
      </c>
    </row>
    <row r="756" spans="1:32" ht="18" customHeight="1" x14ac:dyDescent="0.25">
      <c r="A756" s="45">
        <v>752</v>
      </c>
      <c r="B756" s="45" t="s">
        <v>60</v>
      </c>
      <c r="C756" s="45" t="s">
        <v>61</v>
      </c>
      <c r="D756" s="45" t="s">
        <v>62</v>
      </c>
      <c r="E756" s="45" t="s">
        <v>62</v>
      </c>
      <c r="F756" s="46" cm="1">
        <f t="array" ref="F756">_xlfn.IFS($G756=$G$5,F$5,$G756=$G$6,F$6,$G756=$G$7,F$7,$G756=$G$8,F$8,$G756=$G$9,F$9,$G756=$G$10,F$10,$G756=$G$11,F$11,$G756=$G$12,F$12,$G756=$G$13,F$13,$G756=$G$15,F$15,$G756=$G$16,F$16,$G756=$G$17,F$17,$G756=$G$18,F$18,$G756=$G$19,F$19,$G756=$G$20,F$20,$G756=$G$21,F$21,$G756=$G$22,F$22,$G756=$G$25,F$25,$G756=$G$26,F$26,$G756=$G$27,F$27,$G756=$G$29,F$29,$G756=$G$31,F$31,$G756=$G$32,F$32,$G756=$G$248,F$248,$G756=$G$250,F$250)</f>
        <v>8002</v>
      </c>
      <c r="G756" t="s">
        <v>94</v>
      </c>
      <c r="H756" s="67" cm="1">
        <f t="array" ref="H756">_xlfn.IFS($G756=$G$5,H$5,$G756=$G$6,H$6,$G756=$G$7,H$7,$G756=$G$8,H$8,$G756=$G$9,H$9,$G756=$G$10,H$10,$G756=$G$11,H$11,$G756=$G$12,H$12,$G756=$G$13,H$13,$G756=$G$15,H$15,$G756=$G$16,H$16,$G756=$G$17,H$17,$G756=$G$18,H$18,$G756=$G$19,H$19,$G756=$G$20,H$20,$G756=$G$21,H$21,$G756=$G$22,H$22,$G756=$G$25,H$25,$G756=$G$26,H$26,$G756=$G$27,H$27,$G756=$G$29,H$29,$G756=$G$31,H$31,$G756=$G$32,H$150,$G756=$G$248,H$248,$G756=$G$250,H$250)</f>
        <v>41.385213</v>
      </c>
      <c r="I756" s="67" cm="1">
        <f t="array" ref="I756">_xlfn.IFS($G756=$G$5,I$5,$G756=$G$6,I$6,$G756=$G$7,I$7,$G756=$G$8,I$8,$G756=$G$9,I$9,$G756=$G$10,I$10,$G756=$G$11,I$11,$G756=$G$12,I$12,$G756=$G$13,I$13,$G756=$G$15,I$15,$G756=$G$16,I$16,$G756=$G$17,I$17,$G756=$G$18,I$18,$G756=$G$19,I$19,$G756=$G$20,I$20,$G756=$G$21,I$21,$G756=$G$22,I$22,$G756=$G$25,I$25,$G756=$G$26,I$26,$G756=$G$27,I$27,$G756=$G$29,I$29,$G756=$G$31,I$31,$G756=$G$32,I$150,$G756=$G$248,I$248,$G756=$G$250,I$250)</f>
        <v>2.174852</v>
      </c>
      <c r="J756" s="48" cm="1">
        <f t="array" ref="J756">_xlfn.IFS($G756=$G$5,J$5,$G756=$G$6,J$6,$G756=$G$7,J$7,$G756=$G$8,J$8,$G756=$G$9,J$9,$G756=$G$10,J$10,$G756=$G$11,J$11,$G756=$G$12,J$12,$G756=$G$13,J$13,$G756=$G$15,J$15,$G756=$G$16,J$16,$G756=$G$17,J$17,$G756=$G$18,J$18,$G756=$G$19,J$19,$G756=$G$20,J$20,$G756=$G$21,J$21,$G756=$G$22,J$22,$G756=$G$25,J$25,$G756=$G$26,J$26,$G756=$G$27,J$27,$G756=$G$29,J$29,$G756=$G$31,J$31,$G756=$G$32,J$150,$G756=$G$248,J$248,$G756=$G$250,J$250)</f>
        <v>14</v>
      </c>
      <c r="K756" s="48" t="str" cm="1">
        <f t="array" ref="K756">_xlfn.IFS($G756=$G$5,K$5,$G756=$G$6,K$6,$G756=$G$7,K$7,$G756=$G$8,K$8,$G756=$G$9,K$9,$G756=$G$10,K$10,$G756=$G$11,K$11,$G756=$G$12,K$12,$G756=$G$13,K$13,$G756=$G$15,K$15,$G756=$G$16,K$16,$G756=$G$17,K$17,$G756=$G$18,K$18,$G756=$G$19,K$19,$G756=$G$20,K$20,$G756=$G$21,K$21,$G756=$G$22,K$22,$G756=$G$25,K$25,$G756=$G$26,K$26,$G756=$G$27,K$27,$G756=$G$29,K$29,$G756=$G$31,K$31,$G756=$G$32,K$150,$G756=$G$248,K$248,$G756=$G$250,K$250)</f>
        <v>BG sentinel + BG lure7</v>
      </c>
      <c r="L756" s="48"/>
      <c r="M756" s="48"/>
      <c r="O756" s="45" t="str">
        <f t="shared" si="54"/>
        <v>A_SP_BCN_20_210916</v>
      </c>
      <c r="P756" s="64">
        <v>44455</v>
      </c>
      <c r="R756" s="72"/>
      <c r="S756" s="64">
        <v>44462</v>
      </c>
      <c r="U756" s="72"/>
      <c r="V756" s="54" t="s">
        <v>66</v>
      </c>
      <c r="X756" s="45">
        <f t="shared" si="55"/>
        <v>7</v>
      </c>
      <c r="Z756" s="69" t="s">
        <v>69</v>
      </c>
      <c r="AA756" s="45">
        <f t="shared" si="62"/>
        <v>9</v>
      </c>
      <c r="AB756" t="str">
        <f t="shared" si="63"/>
        <v>Adult</v>
      </c>
      <c r="AC756" s="69">
        <v>5</v>
      </c>
      <c r="AD756" s="69">
        <v>4</v>
      </c>
      <c r="AE756" s="45" t="str">
        <f t="shared" si="64"/>
        <v>Morphological</v>
      </c>
      <c r="AF756" s="56">
        <v>4</v>
      </c>
    </row>
    <row r="757" spans="1:32" ht="18" customHeight="1" x14ac:dyDescent="0.25">
      <c r="A757" s="45">
        <v>753</v>
      </c>
      <c r="B757" s="45" t="s">
        <v>60</v>
      </c>
      <c r="C757" s="45" t="s">
        <v>61</v>
      </c>
      <c r="D757" s="45" t="s">
        <v>62</v>
      </c>
      <c r="E757" s="45" t="s">
        <v>62</v>
      </c>
      <c r="F757" s="46" cm="1">
        <f t="array" ref="F757">_xlfn.IFS($G757=$G$5,F$5,$G757=$G$6,F$6,$G757=$G$7,F$7,$G757=$G$8,F$8,$G757=$G$9,F$9,$G757=$G$10,F$10,$G757=$G$11,F$11,$G757=$G$12,F$12,$G757=$G$13,F$13,$G757=$G$15,F$15,$G757=$G$16,F$16,$G757=$G$17,F$17,$G757=$G$18,F$18,$G757=$G$19,F$19,$G757=$G$20,F$20,$G757=$G$21,F$21,$G757=$G$22,F$22,$G757=$G$25,F$25,$G757=$G$26,F$26,$G757=$G$27,F$27,$G757=$G$29,F$29,$G757=$G$31,F$31,$G757=$G$32,F$32,$G757=$G$248,F$248,$G757=$G$250,F$250)</f>
        <v>8002</v>
      </c>
      <c r="G757" t="s">
        <v>94</v>
      </c>
      <c r="H757" s="67" cm="1">
        <f t="array" ref="H757">_xlfn.IFS($G757=$G$5,H$5,$G757=$G$6,H$6,$G757=$G$7,H$7,$G757=$G$8,H$8,$G757=$G$9,H$9,$G757=$G$10,H$10,$G757=$G$11,H$11,$G757=$G$12,H$12,$G757=$G$13,H$13,$G757=$G$15,H$15,$G757=$G$16,H$16,$G757=$G$17,H$17,$G757=$G$18,H$18,$G757=$G$19,H$19,$G757=$G$20,H$20,$G757=$G$21,H$21,$G757=$G$22,H$22,$G757=$G$25,H$25,$G757=$G$26,H$26,$G757=$G$27,H$27,$G757=$G$29,H$29,$G757=$G$31,H$31,$G757=$G$32,H$150,$G757=$G$248,H$248,$G757=$G$250,H$250)</f>
        <v>41.385213</v>
      </c>
      <c r="I757" s="67" cm="1">
        <f t="array" ref="I757">_xlfn.IFS($G757=$G$5,I$5,$G757=$G$6,I$6,$G757=$G$7,I$7,$G757=$G$8,I$8,$G757=$G$9,I$9,$G757=$G$10,I$10,$G757=$G$11,I$11,$G757=$G$12,I$12,$G757=$G$13,I$13,$G757=$G$15,I$15,$G757=$G$16,I$16,$G757=$G$17,I$17,$G757=$G$18,I$18,$G757=$G$19,I$19,$G757=$G$20,I$20,$G757=$G$21,I$21,$G757=$G$22,I$22,$G757=$G$25,I$25,$G757=$G$26,I$26,$G757=$G$27,I$27,$G757=$G$29,I$29,$G757=$G$31,I$31,$G757=$G$32,I$150,$G757=$G$248,I$248,$G757=$G$250,I$250)</f>
        <v>2.174852</v>
      </c>
      <c r="J757" s="48" cm="1">
        <f t="array" ref="J757">_xlfn.IFS($G757=$G$5,J$5,$G757=$G$6,J$6,$G757=$G$7,J$7,$G757=$G$8,J$8,$G757=$G$9,J$9,$G757=$G$10,J$10,$G757=$G$11,J$11,$G757=$G$12,J$12,$G757=$G$13,J$13,$G757=$G$15,J$15,$G757=$G$16,J$16,$G757=$G$17,J$17,$G757=$G$18,J$18,$G757=$G$19,J$19,$G757=$G$20,J$20,$G757=$G$21,J$21,$G757=$G$22,J$22,$G757=$G$25,J$25,$G757=$G$26,J$26,$G757=$G$27,J$27,$G757=$G$29,J$29,$G757=$G$31,J$31,$G757=$G$32,J$150,$G757=$G$248,J$248,$G757=$G$250,J$250)</f>
        <v>14</v>
      </c>
      <c r="K757" s="48" t="str" cm="1">
        <f t="array" ref="K757">_xlfn.IFS($G757=$G$5,K$5,$G757=$G$6,K$6,$G757=$G$7,K$7,$G757=$G$8,K$8,$G757=$G$9,K$9,$G757=$G$10,K$10,$G757=$G$11,K$11,$G757=$G$12,K$12,$G757=$G$13,K$13,$G757=$G$15,K$15,$G757=$G$16,K$16,$G757=$G$17,K$17,$G757=$G$18,K$18,$G757=$G$19,K$19,$G757=$G$20,K$20,$G757=$G$21,K$21,$G757=$G$22,K$22,$G757=$G$25,K$25,$G757=$G$26,K$26,$G757=$G$27,K$27,$G757=$G$29,K$29,$G757=$G$31,K$31,$G757=$G$32,K$150,$G757=$G$248,K$248,$G757=$G$250,K$250)</f>
        <v>BG sentinel + BG lure7</v>
      </c>
      <c r="L757" s="48"/>
      <c r="M757" s="48"/>
      <c r="O757" s="45" t="str">
        <f t="shared" si="54"/>
        <v>A_SP_BCN_20_210916</v>
      </c>
      <c r="P757" s="64">
        <v>44455</v>
      </c>
      <c r="R757" s="72"/>
      <c r="S757" s="64">
        <v>44462</v>
      </c>
      <c r="U757" s="72"/>
      <c r="V757" s="54" t="s">
        <v>66</v>
      </c>
      <c r="X757" s="45">
        <f t="shared" si="55"/>
        <v>7</v>
      </c>
      <c r="Z757" s="45" t="s">
        <v>70</v>
      </c>
      <c r="AA757" s="45">
        <f t="shared" si="62"/>
        <v>10</v>
      </c>
      <c r="AB757" t="str">
        <f t="shared" si="63"/>
        <v>Adult</v>
      </c>
      <c r="AC757" s="69">
        <v>8</v>
      </c>
      <c r="AD757" s="69">
        <v>2</v>
      </c>
      <c r="AE757" s="45" t="str">
        <f t="shared" si="64"/>
        <v>Morphological</v>
      </c>
      <c r="AF757" s="56">
        <v>4</v>
      </c>
    </row>
    <row r="758" spans="1:32" ht="18" customHeight="1" x14ac:dyDescent="0.25">
      <c r="A758" s="45">
        <v>754</v>
      </c>
      <c r="B758" s="45" t="s">
        <v>60</v>
      </c>
      <c r="C758" s="45" t="s">
        <v>61</v>
      </c>
      <c r="D758" s="45" t="s">
        <v>62</v>
      </c>
      <c r="E758" s="45" t="s">
        <v>62</v>
      </c>
      <c r="F758" s="46" cm="1">
        <f t="array" ref="F758">_xlfn.IFS($G758=$G$5,F$5,$G758=$G$6,F$6,$G758=$G$7,F$7,$G758=$G$8,F$8,$G758=$G$9,F$9,$G758=$G$10,F$10,$G758=$G$11,F$11,$G758=$G$12,F$12,$G758=$G$13,F$13,$G758=$G$15,F$15,$G758=$G$16,F$16,$G758=$G$17,F$17,$G758=$G$18,F$18,$G758=$G$19,F$19,$G758=$G$20,F$20,$G758=$G$21,F$21,$G758=$G$22,F$22,$G758=$G$25,F$25,$G758=$G$26,F$26,$G758=$G$27,F$27,$G758=$G$29,F$29,$G758=$G$31,F$31,$G758=$G$32,F$32,$G758=$G$248,F$248,$G758=$G$250,F$250)</f>
        <v>8002</v>
      </c>
      <c r="G758" t="s">
        <v>94</v>
      </c>
      <c r="H758" s="67" cm="1">
        <f t="array" ref="H758">_xlfn.IFS($G758=$G$5,H$5,$G758=$G$6,H$6,$G758=$G$7,H$7,$G758=$G$8,H$8,$G758=$G$9,H$9,$G758=$G$10,H$10,$G758=$G$11,H$11,$G758=$G$12,H$12,$G758=$G$13,H$13,$G758=$G$15,H$15,$G758=$G$16,H$16,$G758=$G$17,H$17,$G758=$G$18,H$18,$G758=$G$19,H$19,$G758=$G$20,H$20,$G758=$G$21,H$21,$G758=$G$22,H$22,$G758=$G$25,H$25,$G758=$G$26,H$26,$G758=$G$27,H$27,$G758=$G$29,H$29,$G758=$G$31,H$31,$G758=$G$32,H$150,$G758=$G$248,H$248,$G758=$G$250,H$250)</f>
        <v>41.385213</v>
      </c>
      <c r="I758" s="67" cm="1">
        <f t="array" ref="I758">_xlfn.IFS($G758=$G$5,I$5,$G758=$G$6,I$6,$G758=$G$7,I$7,$G758=$G$8,I$8,$G758=$G$9,I$9,$G758=$G$10,I$10,$G758=$G$11,I$11,$G758=$G$12,I$12,$G758=$G$13,I$13,$G758=$G$15,I$15,$G758=$G$16,I$16,$G758=$G$17,I$17,$G758=$G$18,I$18,$G758=$G$19,I$19,$G758=$G$20,I$20,$G758=$G$21,I$21,$G758=$G$22,I$22,$G758=$G$25,I$25,$G758=$G$26,I$26,$G758=$G$27,I$27,$G758=$G$29,I$29,$G758=$G$31,I$31,$G758=$G$32,I$150,$G758=$G$248,I$248,$G758=$G$250,I$250)</f>
        <v>2.174852</v>
      </c>
      <c r="J758" s="48" cm="1">
        <f t="array" ref="J758">_xlfn.IFS($G758=$G$5,J$5,$G758=$G$6,J$6,$G758=$G$7,J$7,$G758=$G$8,J$8,$G758=$G$9,J$9,$G758=$G$10,J$10,$G758=$G$11,J$11,$G758=$G$12,J$12,$G758=$G$13,J$13,$G758=$G$15,J$15,$G758=$G$16,J$16,$G758=$G$17,J$17,$G758=$G$18,J$18,$G758=$G$19,J$19,$G758=$G$20,J$20,$G758=$G$21,J$21,$G758=$G$22,J$22,$G758=$G$25,J$25,$G758=$G$26,J$26,$G758=$G$27,J$27,$G758=$G$29,J$29,$G758=$G$31,J$31,$G758=$G$32,J$150,$G758=$G$248,J$248,$G758=$G$250,J$250)</f>
        <v>14</v>
      </c>
      <c r="K758" s="48" t="str" cm="1">
        <f t="array" ref="K758">_xlfn.IFS($G758=$G$5,K$5,$G758=$G$6,K$6,$G758=$G$7,K$7,$G758=$G$8,K$8,$G758=$G$9,K$9,$G758=$G$10,K$10,$G758=$G$11,K$11,$G758=$G$12,K$12,$G758=$G$13,K$13,$G758=$G$15,K$15,$G758=$G$16,K$16,$G758=$G$17,K$17,$G758=$G$18,K$18,$G758=$G$19,K$19,$G758=$G$20,K$20,$G758=$G$21,K$21,$G758=$G$22,K$22,$G758=$G$25,K$25,$G758=$G$26,K$26,$G758=$G$27,K$27,$G758=$G$29,K$29,$G758=$G$31,K$31,$G758=$G$32,K$150,$G758=$G$248,K$248,$G758=$G$250,K$250)</f>
        <v>BG sentinel + BG lure7</v>
      </c>
      <c r="L758" s="48"/>
      <c r="M758" s="48"/>
      <c r="O758" s="45" t="str">
        <f t="shared" si="54"/>
        <v>A_SP_BCN_20_210916</v>
      </c>
      <c r="P758" s="64">
        <v>44455</v>
      </c>
      <c r="R758" s="72"/>
      <c r="S758" s="64">
        <v>44462</v>
      </c>
      <c r="U758" s="72"/>
      <c r="V758" s="54" t="s">
        <v>66</v>
      </c>
      <c r="X758" s="45">
        <f t="shared" si="55"/>
        <v>7</v>
      </c>
      <c r="Z758" s="45" t="s">
        <v>80</v>
      </c>
      <c r="AA758" s="45">
        <f t="shared" si="62"/>
        <v>1</v>
      </c>
      <c r="AB758" t="str">
        <f t="shared" si="63"/>
        <v>Adult</v>
      </c>
      <c r="AC758" s="69">
        <v>0</v>
      </c>
      <c r="AD758" s="69">
        <v>1</v>
      </c>
      <c r="AE758" s="45" t="str">
        <f t="shared" si="64"/>
        <v>Morphological</v>
      </c>
      <c r="AF758" s="56">
        <v>4</v>
      </c>
    </row>
    <row r="759" spans="1:32" ht="18" customHeight="1" x14ac:dyDescent="0.25">
      <c r="A759" s="45">
        <v>755</v>
      </c>
      <c r="B759" s="45" t="s">
        <v>60</v>
      </c>
      <c r="C759" s="45" t="s">
        <v>61</v>
      </c>
      <c r="D759" s="45" t="s">
        <v>62</v>
      </c>
      <c r="E759" s="45" t="s">
        <v>62</v>
      </c>
      <c r="F759" s="46" cm="1">
        <f t="array" ref="F759">_xlfn.IFS($G759=$G$5,F$5,$G759=$G$6,F$6,$G759=$G$7,F$7,$G759=$G$8,F$8,$G759=$G$9,F$9,$G759=$G$10,F$10,$G759=$G$11,F$11,$G759=$G$12,F$12,$G759=$G$13,F$13,$G759=$G$15,F$15,$G759=$G$16,F$16,$G759=$G$17,F$17,$G759=$G$18,F$18,$G759=$G$19,F$19,$G759=$G$20,F$20,$G759=$G$21,F$21,$G759=$G$22,F$22,$G759=$G$25,F$25,$G759=$G$26,F$26,$G759=$G$27,F$27,$G759=$G$29,F$29,$G759=$G$31,F$31,$G759=$G$32,F$32,$G759=$G$248,F$248,$G759=$G$250,F$250)</f>
        <v>8017</v>
      </c>
      <c r="G759" t="s">
        <v>98</v>
      </c>
      <c r="H759" s="67" cm="1">
        <f t="array" ref="H759">_xlfn.IFS($G759=$G$5,H$5,$G759=$G$6,H$6,$G759=$G$7,H$7,$G759=$G$8,H$8,$G759=$G$9,H$9,$G759=$G$10,H$10,$G759=$G$11,H$11,$G759=$G$12,H$12,$G759=$G$13,H$13,$G759=$G$15,H$15,$G759=$G$16,H$16,$G759=$G$17,H$17,$G759=$G$18,H$18,$G759=$G$19,H$19,$G759=$G$20,H$20,$G759=$G$21,H$21,$G759=$G$22,H$22,$G759=$G$25,H$25,$G759=$G$26,H$26,$G759=$G$27,H$27,$G759=$G$29,H$29,$G759=$G$31,H$31,$G759=$G$32,H$150,$G759=$G$248,H$248,$G759=$G$250,H$250)</f>
        <v>41.430315999999998</v>
      </c>
      <c r="I759" s="67" cm="1">
        <f t="array" ref="I759">_xlfn.IFS($G759=$G$5,I$5,$G759=$G$6,I$6,$G759=$G$7,I$7,$G759=$G$8,I$8,$G759=$G$9,I$9,$G759=$G$10,I$10,$G759=$G$11,I$11,$G759=$G$12,I$12,$G759=$G$13,I$13,$G759=$G$15,I$15,$G759=$G$16,I$16,$G759=$G$17,I$17,$G759=$G$18,I$18,$G759=$G$19,I$19,$G759=$G$20,I$20,$G759=$G$21,I$21,$G759=$G$22,I$22,$G759=$G$25,I$25,$G759=$G$26,I$26,$G759=$G$27,I$27,$G759=$G$29,I$29,$G759=$G$31,I$31,$G759=$G$32,I$150,$G759=$G$248,I$248,$G759=$G$250,I$250)</f>
        <v>2.077556</v>
      </c>
      <c r="J759" s="48" cm="1">
        <f t="array" ref="J759">_xlfn.IFS($G759=$G$5,J$5,$G759=$G$6,J$6,$G759=$G$7,J$7,$G759=$G$8,J$8,$G759=$G$9,J$9,$G759=$G$10,J$10,$G759=$G$11,J$11,$G759=$G$12,J$12,$G759=$G$13,J$13,$G759=$G$15,J$15,$G759=$G$16,J$16,$G759=$G$17,J$17,$G759=$G$18,J$18,$G759=$G$19,J$19,$G759=$G$20,J$20,$G759=$G$21,J$21,$G759=$G$22,J$22,$G759=$G$25,J$25,$G759=$G$26,J$26,$G759=$G$27,J$27,$G759=$G$29,J$29,$G759=$G$31,J$31,$G759=$G$32,J$150,$G759=$G$248,J$248,$G759=$G$250,J$250)</f>
        <v>243.3</v>
      </c>
      <c r="K759" s="48" t="str" cm="1">
        <f t="array" ref="K759">_xlfn.IFS($G759=$G$5,K$5,$G759=$G$6,K$6,$G759=$G$7,K$7,$G759=$G$8,K$8,$G759=$G$9,K$9,$G759=$G$10,K$10,$G759=$G$11,K$11,$G759=$G$12,K$12,$G759=$G$13,K$13,$G759=$G$15,K$15,$G759=$G$16,K$16,$G759=$G$17,K$17,$G759=$G$18,K$18,$G759=$G$19,K$19,$G759=$G$20,K$20,$G759=$G$21,K$21,$G759=$G$22,K$22,$G759=$G$25,K$25,$G759=$G$26,K$26,$G759=$G$27,K$27,$G759=$G$29,K$29,$G759=$G$31,K$31,$G759=$G$32,K$150,$G759=$G$248,K$248,$G759=$G$250,K$250)</f>
        <v>BG sentinel + BG lure7</v>
      </c>
      <c r="L759" s="48"/>
      <c r="M759" s="48"/>
      <c r="O759" s="45" t="str">
        <f t="shared" si="54"/>
        <v>A_SP_BCN_22_210917</v>
      </c>
      <c r="P759" s="64">
        <v>44456</v>
      </c>
      <c r="R759" s="72"/>
      <c r="S759" s="64">
        <v>44461</v>
      </c>
      <c r="U759" s="72"/>
      <c r="V759" s="54" t="s">
        <v>66</v>
      </c>
      <c r="X759" s="45">
        <f t="shared" si="55"/>
        <v>5</v>
      </c>
      <c r="Z759" s="69" t="s">
        <v>69</v>
      </c>
      <c r="AA759" s="45">
        <f t="shared" si="62"/>
        <v>10</v>
      </c>
      <c r="AB759" t="str">
        <f t="shared" si="63"/>
        <v>Adult</v>
      </c>
      <c r="AC759" s="69">
        <v>8</v>
      </c>
      <c r="AD759" s="69">
        <v>2</v>
      </c>
      <c r="AE759" s="45" t="str">
        <f t="shared" si="64"/>
        <v>Morphological</v>
      </c>
      <c r="AF759" s="56">
        <v>4</v>
      </c>
    </row>
    <row r="760" spans="1:32" ht="18" customHeight="1" x14ac:dyDescent="0.25">
      <c r="A760" s="45">
        <v>756</v>
      </c>
      <c r="B760" s="45" t="s">
        <v>60</v>
      </c>
      <c r="C760" s="45" t="s">
        <v>61</v>
      </c>
      <c r="D760" s="45" t="s">
        <v>62</v>
      </c>
      <c r="E760" s="45" t="s">
        <v>62</v>
      </c>
      <c r="F760" s="46" cm="1">
        <f t="array" ref="F760">_xlfn.IFS($G760=$G$5,F$5,$G760=$G$6,F$6,$G760=$G$7,F$7,$G760=$G$8,F$8,$G760=$G$9,F$9,$G760=$G$10,F$10,$G760=$G$11,F$11,$G760=$G$12,F$12,$G760=$G$13,F$13,$G760=$G$15,F$15,$G760=$G$16,F$16,$G760=$G$17,F$17,$G760=$G$18,F$18,$G760=$G$19,F$19,$G760=$G$20,F$20,$G760=$G$21,F$21,$G760=$G$22,F$22,$G760=$G$25,F$25,$G760=$G$26,F$26,$G760=$G$27,F$27,$G760=$G$29,F$29,$G760=$G$31,F$31,$G760=$G$32,F$32,$G760=$G$248,F$248,$G760=$G$250,F$250)</f>
        <v>8017</v>
      </c>
      <c r="G760" t="s">
        <v>98</v>
      </c>
      <c r="H760" s="67" cm="1">
        <f t="array" ref="H760">_xlfn.IFS($G760=$G$5,H$5,$G760=$G$6,H$6,$G760=$G$7,H$7,$G760=$G$8,H$8,$G760=$G$9,H$9,$G760=$G$10,H$10,$G760=$G$11,H$11,$G760=$G$12,H$12,$G760=$G$13,H$13,$G760=$G$15,H$15,$G760=$G$16,H$16,$G760=$G$17,H$17,$G760=$G$18,H$18,$G760=$G$19,H$19,$G760=$G$20,H$20,$G760=$G$21,H$21,$G760=$G$22,H$22,$G760=$G$25,H$25,$G760=$G$26,H$26,$G760=$G$27,H$27,$G760=$G$29,H$29,$G760=$G$31,H$31,$G760=$G$32,H$150,$G760=$G$248,H$248,$G760=$G$250,H$250)</f>
        <v>41.430315999999998</v>
      </c>
      <c r="I760" s="67" cm="1">
        <f t="array" ref="I760">_xlfn.IFS($G760=$G$5,I$5,$G760=$G$6,I$6,$G760=$G$7,I$7,$G760=$G$8,I$8,$G760=$G$9,I$9,$G760=$G$10,I$10,$G760=$G$11,I$11,$G760=$G$12,I$12,$G760=$G$13,I$13,$G760=$G$15,I$15,$G760=$G$16,I$16,$G760=$G$17,I$17,$G760=$G$18,I$18,$G760=$G$19,I$19,$G760=$G$20,I$20,$G760=$G$21,I$21,$G760=$G$22,I$22,$G760=$G$25,I$25,$G760=$G$26,I$26,$G760=$G$27,I$27,$G760=$G$29,I$29,$G760=$G$31,I$31,$G760=$G$32,I$150,$G760=$G$248,I$248,$G760=$G$250,I$250)</f>
        <v>2.077556</v>
      </c>
      <c r="J760" s="48" cm="1">
        <f t="array" ref="J760">_xlfn.IFS($G760=$G$5,J$5,$G760=$G$6,J$6,$G760=$G$7,J$7,$G760=$G$8,J$8,$G760=$G$9,J$9,$G760=$G$10,J$10,$G760=$G$11,J$11,$G760=$G$12,J$12,$G760=$G$13,J$13,$G760=$G$15,J$15,$G760=$G$16,J$16,$G760=$G$17,J$17,$G760=$G$18,J$18,$G760=$G$19,J$19,$G760=$G$20,J$20,$G760=$G$21,J$21,$G760=$G$22,J$22,$G760=$G$25,J$25,$G760=$G$26,J$26,$G760=$G$27,J$27,$G760=$G$29,J$29,$G760=$G$31,J$31,$G760=$G$32,J$150,$G760=$G$248,J$248,$G760=$G$250,J$250)</f>
        <v>243.3</v>
      </c>
      <c r="K760" s="48" t="str" cm="1">
        <f t="array" ref="K760">_xlfn.IFS($G760=$G$5,K$5,$G760=$G$6,K$6,$G760=$G$7,K$7,$G760=$G$8,K$8,$G760=$G$9,K$9,$G760=$G$10,K$10,$G760=$G$11,K$11,$G760=$G$12,K$12,$G760=$G$13,K$13,$G760=$G$15,K$15,$G760=$G$16,K$16,$G760=$G$17,K$17,$G760=$G$18,K$18,$G760=$G$19,K$19,$G760=$G$20,K$20,$G760=$G$21,K$21,$G760=$G$22,K$22,$G760=$G$25,K$25,$G760=$G$26,K$26,$G760=$G$27,K$27,$G760=$G$29,K$29,$G760=$G$31,K$31,$G760=$G$32,K$150,$G760=$G$248,K$248,$G760=$G$250,K$250)</f>
        <v>BG sentinel + BG lure7</v>
      </c>
      <c r="L760" s="48"/>
      <c r="M760" s="48"/>
      <c r="O760" s="45" t="str">
        <f t="shared" si="54"/>
        <v>A_SP_BCN_22_210917</v>
      </c>
      <c r="P760" s="64">
        <v>44456</v>
      </c>
      <c r="R760" s="72"/>
      <c r="S760" s="64">
        <v>44461</v>
      </c>
      <c r="U760" s="72"/>
      <c r="V760" s="54" t="s">
        <v>66</v>
      </c>
      <c r="X760" s="45">
        <f t="shared" si="55"/>
        <v>5</v>
      </c>
      <c r="Z760" s="45" t="s">
        <v>70</v>
      </c>
      <c r="AA760" s="45">
        <f t="shared" si="62"/>
        <v>3</v>
      </c>
      <c r="AB760" t="str">
        <f t="shared" si="63"/>
        <v>Adult</v>
      </c>
      <c r="AC760" s="69">
        <v>1</v>
      </c>
      <c r="AD760" s="69">
        <v>2</v>
      </c>
      <c r="AE760" s="45" t="str">
        <f t="shared" si="64"/>
        <v>Morphological</v>
      </c>
      <c r="AF760" s="56">
        <v>4</v>
      </c>
    </row>
    <row r="761" spans="1:32" ht="18" customHeight="1" x14ac:dyDescent="0.25">
      <c r="A761" s="45">
        <v>757</v>
      </c>
      <c r="B761" s="45" t="s">
        <v>60</v>
      </c>
      <c r="C761" s="45" t="s">
        <v>61</v>
      </c>
      <c r="D761" s="45" t="s">
        <v>62</v>
      </c>
      <c r="E761" s="45" t="s">
        <v>62</v>
      </c>
      <c r="F761" s="46" cm="1">
        <f t="array" ref="F761">_xlfn.IFS($G761=$G$5,F$5,$G761=$G$6,F$6,$G761=$G$7,F$7,$G761=$G$8,F$8,$G761=$G$9,F$9,$G761=$G$10,F$10,$G761=$G$11,F$11,$G761=$G$12,F$12,$G761=$G$13,F$13,$G761=$G$15,F$15,$G761=$G$16,F$16,$G761=$G$17,F$17,$G761=$G$18,F$18,$G761=$G$19,F$19,$G761=$G$20,F$20,$G761=$G$21,F$21,$G761=$G$22,F$22,$G761=$G$25,F$25,$G761=$G$26,F$26,$G761=$G$27,F$27,$G761=$G$29,F$29,$G761=$G$31,F$31,$G761=$G$32,F$32,$G761=$G$248,F$248,$G761=$G$250,F$250)</f>
        <v>8017</v>
      </c>
      <c r="G761" t="s">
        <v>98</v>
      </c>
      <c r="H761" s="67" cm="1">
        <f t="array" ref="H761">_xlfn.IFS($G761=$G$5,H$5,$G761=$G$6,H$6,$G761=$G$7,H$7,$G761=$G$8,H$8,$G761=$G$9,H$9,$G761=$G$10,H$10,$G761=$G$11,H$11,$G761=$G$12,H$12,$G761=$G$13,H$13,$G761=$G$15,H$15,$G761=$G$16,H$16,$G761=$G$17,H$17,$G761=$G$18,H$18,$G761=$G$19,H$19,$G761=$G$20,H$20,$G761=$G$21,H$21,$G761=$G$22,H$22,$G761=$G$25,H$25,$G761=$G$26,H$26,$G761=$G$27,H$27,$G761=$G$29,H$29,$G761=$G$31,H$31,$G761=$G$32,H$150,$G761=$G$248,H$248,$G761=$G$250,H$250)</f>
        <v>41.430315999999998</v>
      </c>
      <c r="I761" s="67" cm="1">
        <f t="array" ref="I761">_xlfn.IFS($G761=$G$5,I$5,$G761=$G$6,I$6,$G761=$G$7,I$7,$G761=$G$8,I$8,$G761=$G$9,I$9,$G761=$G$10,I$10,$G761=$G$11,I$11,$G761=$G$12,I$12,$G761=$G$13,I$13,$G761=$G$15,I$15,$G761=$G$16,I$16,$G761=$G$17,I$17,$G761=$G$18,I$18,$G761=$G$19,I$19,$G761=$G$20,I$20,$G761=$G$21,I$21,$G761=$G$22,I$22,$G761=$G$25,I$25,$G761=$G$26,I$26,$G761=$G$27,I$27,$G761=$G$29,I$29,$G761=$G$31,I$31,$G761=$G$32,I$150,$G761=$G$248,I$248,$G761=$G$250,I$250)</f>
        <v>2.077556</v>
      </c>
      <c r="J761" s="48" cm="1">
        <f t="array" ref="J761">_xlfn.IFS($G761=$G$5,J$5,$G761=$G$6,J$6,$G761=$G$7,J$7,$G761=$G$8,J$8,$G761=$G$9,J$9,$G761=$G$10,J$10,$G761=$G$11,J$11,$G761=$G$12,J$12,$G761=$G$13,J$13,$G761=$G$15,J$15,$G761=$G$16,J$16,$G761=$G$17,J$17,$G761=$G$18,J$18,$G761=$G$19,J$19,$G761=$G$20,J$20,$G761=$G$21,J$21,$G761=$G$22,J$22,$G761=$G$25,J$25,$G761=$G$26,J$26,$G761=$G$27,J$27,$G761=$G$29,J$29,$G761=$G$31,J$31,$G761=$G$32,J$150,$G761=$G$248,J$248,$G761=$G$250,J$250)</f>
        <v>243.3</v>
      </c>
      <c r="K761" s="48" t="str" cm="1">
        <f t="array" ref="K761">_xlfn.IFS($G761=$G$5,K$5,$G761=$G$6,K$6,$G761=$G$7,K$7,$G761=$G$8,K$8,$G761=$G$9,K$9,$G761=$G$10,K$10,$G761=$G$11,K$11,$G761=$G$12,K$12,$G761=$G$13,K$13,$G761=$G$15,K$15,$G761=$G$16,K$16,$G761=$G$17,K$17,$G761=$G$18,K$18,$G761=$G$19,K$19,$G761=$G$20,K$20,$G761=$G$21,K$21,$G761=$G$22,K$22,$G761=$G$25,K$25,$G761=$G$26,K$26,$G761=$G$27,K$27,$G761=$G$29,K$29,$G761=$G$31,K$31,$G761=$G$32,K$150,$G761=$G$248,K$248,$G761=$G$250,K$250)</f>
        <v>BG sentinel + BG lure7</v>
      </c>
      <c r="L761" s="48"/>
      <c r="M761" s="48"/>
      <c r="O761" s="45" t="str">
        <f t="shared" si="54"/>
        <v>A_SP_BCN_22_210917</v>
      </c>
      <c r="P761" s="64">
        <v>44456</v>
      </c>
      <c r="R761" s="72"/>
      <c r="S761" s="64">
        <v>44461</v>
      </c>
      <c r="U761" s="72"/>
      <c r="V761" s="54" t="s">
        <v>66</v>
      </c>
      <c r="X761" s="45">
        <f t="shared" si="55"/>
        <v>5</v>
      </c>
      <c r="Z761" s="45" t="s">
        <v>80</v>
      </c>
      <c r="AA761" s="45">
        <f t="shared" si="62"/>
        <v>1</v>
      </c>
      <c r="AB761" t="str">
        <f t="shared" si="63"/>
        <v>Adult</v>
      </c>
      <c r="AC761" s="69">
        <v>1</v>
      </c>
      <c r="AD761" s="69">
        <v>0</v>
      </c>
      <c r="AE761" s="45" t="str">
        <f t="shared" si="64"/>
        <v>Morphological</v>
      </c>
      <c r="AF761" s="56">
        <v>4</v>
      </c>
    </row>
    <row r="762" spans="1:32" ht="18" customHeight="1" x14ac:dyDescent="0.25">
      <c r="A762" s="45">
        <v>758</v>
      </c>
      <c r="B762" s="45" t="s">
        <v>60</v>
      </c>
      <c r="C762" s="45" t="s">
        <v>61</v>
      </c>
      <c r="D762" s="45" t="s">
        <v>62</v>
      </c>
      <c r="E762" s="45" t="s">
        <v>62</v>
      </c>
      <c r="F762" s="46" cm="1">
        <f t="array" ref="F762">_xlfn.IFS($G762=$G$5,F$5,$G762=$G$6,F$6,$G762=$G$7,F$7,$G762=$G$8,F$8,$G762=$G$9,F$9,$G762=$G$10,F$10,$G762=$G$11,F$11,$G762=$G$12,F$12,$G762=$G$13,F$13,$G762=$G$15,F$15,$G762=$G$16,F$16,$G762=$G$17,F$17,$G762=$G$18,F$18,$G762=$G$19,F$19,$G762=$G$20,F$20,$G762=$G$21,F$21,$G762=$G$22,F$22,$G762=$G$25,F$25,$G762=$G$26,F$26,$G762=$G$27,F$27,$G762=$G$29,F$29,$G762=$G$31,F$31,$G762=$G$32,F$32,$G762=$G$248,F$248,$G762=$G$250,F$250)</f>
        <v>8038</v>
      </c>
      <c r="G762" t="s">
        <v>103</v>
      </c>
      <c r="H762" s="67" cm="1">
        <f t="array" ref="H762">_xlfn.IFS($G762=$G$5,H$5,$G762=$G$6,H$6,$G762=$G$7,H$7,$G762=$G$8,H$8,$G762=$G$9,H$9,$G762=$G$10,H$10,$G762=$G$11,H$11,$G762=$G$12,H$12,$G762=$G$13,H$13,$G762=$G$15,H$15,$G762=$G$16,H$16,$G762=$G$17,H$17,$G762=$G$18,H$18,$G762=$G$19,H$19,$G762=$G$20,H$20,$G762=$G$21,H$21,$G762=$G$22,H$22,$G762=$G$25,H$25,$G762=$G$26,H$26,$G762=$G$27,H$27,$G762=$G$29,H$29,$G762=$G$31,H$31,$G762=$G$32,H$150,$G762=$G$248,H$248,$G762=$G$250,H$250)</f>
        <v>41.367100000000001</v>
      </c>
      <c r="I762" s="67" cm="1">
        <f t="array" ref="I762">_xlfn.IFS($G762=$G$5,I$5,$G762=$G$6,I$6,$G762=$G$7,I$7,$G762=$G$8,I$8,$G762=$G$9,I$9,$G762=$G$10,I$10,$G762=$G$11,I$11,$G762=$G$12,I$12,$G762=$G$13,I$13,$G762=$G$15,I$15,$G762=$G$16,I$16,$G762=$G$17,I$17,$G762=$G$18,I$18,$G762=$G$19,I$19,$G762=$G$20,I$20,$G762=$G$21,I$21,$G762=$G$22,I$22,$G762=$G$25,I$25,$G762=$G$26,I$26,$G762=$G$27,I$27,$G762=$G$29,I$29,$G762=$G$31,I$31,$G762=$G$32,I$150,$G762=$G$248,I$248,$G762=$G$250,I$250)</f>
        <v>2.1539079999999999</v>
      </c>
      <c r="J762" s="48" cm="1">
        <f t="array" ref="J762">_xlfn.IFS($G762=$G$5,J$5,$G762=$G$6,J$6,$G762=$G$7,J$7,$G762=$G$8,J$8,$G762=$G$9,J$9,$G762=$G$10,J$10,$G762=$G$11,J$11,$G762=$G$12,J$12,$G762=$G$13,J$13,$G762=$G$15,J$15,$G762=$G$16,J$16,$G762=$G$17,J$17,$G762=$G$18,J$18,$G762=$G$19,J$19,$G762=$G$20,J$20,$G762=$G$21,J$21,$G762=$G$22,J$22,$G762=$G$25,J$25,$G762=$G$26,J$26,$G762=$G$27,J$27,$G762=$G$29,J$29,$G762=$G$31,J$31,$G762=$G$32,J$150,$G762=$G$248,J$248,$G762=$G$250,J$250)</f>
        <v>68</v>
      </c>
      <c r="K762" s="48" t="str" cm="1">
        <f t="array" ref="K762">_xlfn.IFS($G762=$G$5,K$5,$G762=$G$6,K$6,$G762=$G$7,K$7,$G762=$G$8,K$8,$G762=$G$9,K$9,$G762=$G$10,K$10,$G762=$G$11,K$11,$G762=$G$12,K$12,$G762=$G$13,K$13,$G762=$G$15,K$15,$G762=$G$16,K$16,$G762=$G$17,K$17,$G762=$G$18,K$18,$G762=$G$19,K$19,$G762=$G$20,K$20,$G762=$G$21,K$21,$G762=$G$22,K$22,$G762=$G$25,K$25,$G762=$G$26,K$26,$G762=$G$27,K$27,$G762=$G$29,K$29,$G762=$G$31,K$31,$G762=$G$32,K$150,$G762=$G$248,K$248,$G762=$G$250,K$250)</f>
        <v>BG sentinel + BG lure7</v>
      </c>
      <c r="L762" s="48"/>
      <c r="M762" s="48"/>
      <c r="O762" s="45" t="str">
        <f t="shared" si="54"/>
        <v>A_SP_BCN_23_210917</v>
      </c>
      <c r="P762" s="64">
        <v>44456</v>
      </c>
      <c r="R762" s="72"/>
      <c r="S762" s="64">
        <v>44462</v>
      </c>
      <c r="U762" s="72"/>
      <c r="V762" s="54" t="s">
        <v>66</v>
      </c>
      <c r="X762" s="45">
        <f t="shared" si="55"/>
        <v>6</v>
      </c>
      <c r="Z762" s="69" t="s">
        <v>69</v>
      </c>
      <c r="AA762" s="45">
        <f t="shared" si="62"/>
        <v>7</v>
      </c>
      <c r="AB762" t="str">
        <f t="shared" si="63"/>
        <v>Adult</v>
      </c>
      <c r="AC762" s="69">
        <v>7</v>
      </c>
      <c r="AD762" s="69">
        <v>0</v>
      </c>
      <c r="AE762" s="45" t="str">
        <f t="shared" si="64"/>
        <v>Morphological</v>
      </c>
      <c r="AF762" s="56">
        <v>4</v>
      </c>
    </row>
    <row r="763" spans="1:32" ht="18" customHeight="1" x14ac:dyDescent="0.25">
      <c r="A763" s="45">
        <v>759</v>
      </c>
      <c r="B763" s="45" t="s">
        <v>60</v>
      </c>
      <c r="C763" s="45" t="s">
        <v>61</v>
      </c>
      <c r="D763" s="45" t="s">
        <v>62</v>
      </c>
      <c r="E763" s="45" t="s">
        <v>62</v>
      </c>
      <c r="F763" s="46" cm="1">
        <f t="array" ref="F763">_xlfn.IFS($G763=$G$5,F$5,$G763=$G$6,F$6,$G763=$G$7,F$7,$G763=$G$8,F$8,$G763=$G$9,F$9,$G763=$G$10,F$10,$G763=$G$11,F$11,$G763=$G$12,F$12,$G763=$G$13,F$13,$G763=$G$15,F$15,$G763=$G$16,F$16,$G763=$G$17,F$17,$G763=$G$18,F$18,$G763=$G$19,F$19,$G763=$G$20,F$20,$G763=$G$21,F$21,$G763=$G$22,F$22,$G763=$G$25,F$25,$G763=$G$26,F$26,$G763=$G$27,F$27,$G763=$G$29,F$29,$G763=$G$31,F$31,$G763=$G$32,F$32,$G763=$G$248,F$248,$G763=$G$250,F$250)</f>
        <v>8038</v>
      </c>
      <c r="G763" t="s">
        <v>103</v>
      </c>
      <c r="H763" s="67" cm="1">
        <f t="array" ref="H763">_xlfn.IFS($G763=$G$5,H$5,$G763=$G$6,H$6,$G763=$G$7,H$7,$G763=$G$8,H$8,$G763=$G$9,H$9,$G763=$G$10,H$10,$G763=$G$11,H$11,$G763=$G$12,H$12,$G763=$G$13,H$13,$G763=$G$15,H$15,$G763=$G$16,H$16,$G763=$G$17,H$17,$G763=$G$18,H$18,$G763=$G$19,H$19,$G763=$G$20,H$20,$G763=$G$21,H$21,$G763=$G$22,H$22,$G763=$G$25,H$25,$G763=$G$26,H$26,$G763=$G$27,H$27,$G763=$G$29,H$29,$G763=$G$31,H$31,$G763=$G$32,H$150,$G763=$G$248,H$248,$G763=$G$250,H$250)</f>
        <v>41.367100000000001</v>
      </c>
      <c r="I763" s="67" cm="1">
        <f t="array" ref="I763">_xlfn.IFS($G763=$G$5,I$5,$G763=$G$6,I$6,$G763=$G$7,I$7,$G763=$G$8,I$8,$G763=$G$9,I$9,$G763=$G$10,I$10,$G763=$G$11,I$11,$G763=$G$12,I$12,$G763=$G$13,I$13,$G763=$G$15,I$15,$G763=$G$16,I$16,$G763=$G$17,I$17,$G763=$G$18,I$18,$G763=$G$19,I$19,$G763=$G$20,I$20,$G763=$G$21,I$21,$G763=$G$22,I$22,$G763=$G$25,I$25,$G763=$G$26,I$26,$G763=$G$27,I$27,$G763=$G$29,I$29,$G763=$G$31,I$31,$G763=$G$32,I$150,$G763=$G$248,I$248,$G763=$G$250,I$250)</f>
        <v>2.1539079999999999</v>
      </c>
      <c r="J763" s="48" cm="1">
        <f t="array" ref="J763">_xlfn.IFS($G763=$G$5,J$5,$G763=$G$6,J$6,$G763=$G$7,J$7,$G763=$G$8,J$8,$G763=$G$9,J$9,$G763=$G$10,J$10,$G763=$G$11,J$11,$G763=$G$12,J$12,$G763=$G$13,J$13,$G763=$G$15,J$15,$G763=$G$16,J$16,$G763=$G$17,J$17,$G763=$G$18,J$18,$G763=$G$19,J$19,$G763=$G$20,J$20,$G763=$G$21,J$21,$G763=$G$22,J$22,$G763=$G$25,J$25,$G763=$G$26,J$26,$G763=$G$27,J$27,$G763=$G$29,J$29,$G763=$G$31,J$31,$G763=$G$32,J$150,$G763=$G$248,J$248,$G763=$G$250,J$250)</f>
        <v>68</v>
      </c>
      <c r="K763" s="48" t="str" cm="1">
        <f t="array" ref="K763">_xlfn.IFS($G763=$G$5,K$5,$G763=$G$6,K$6,$G763=$G$7,K$7,$G763=$G$8,K$8,$G763=$G$9,K$9,$G763=$G$10,K$10,$G763=$G$11,K$11,$G763=$G$12,K$12,$G763=$G$13,K$13,$G763=$G$15,K$15,$G763=$G$16,K$16,$G763=$G$17,K$17,$G763=$G$18,K$18,$G763=$G$19,K$19,$G763=$G$20,K$20,$G763=$G$21,K$21,$G763=$G$22,K$22,$G763=$G$25,K$25,$G763=$G$26,K$26,$G763=$G$27,K$27,$G763=$G$29,K$29,$G763=$G$31,K$31,$G763=$G$32,K$150,$G763=$G$248,K$248,$G763=$G$250,K$250)</f>
        <v>BG sentinel + BG lure7</v>
      </c>
      <c r="L763" s="48"/>
      <c r="M763" s="48"/>
      <c r="O763" s="45" t="str">
        <f t="shared" si="54"/>
        <v>A_SP_BCN_23_210917</v>
      </c>
      <c r="P763" s="64">
        <v>44456</v>
      </c>
      <c r="R763" s="72"/>
      <c r="S763" s="64">
        <v>44462</v>
      </c>
      <c r="U763" s="72"/>
      <c r="V763" s="54" t="s">
        <v>66</v>
      </c>
      <c r="X763" s="45">
        <f t="shared" si="55"/>
        <v>6</v>
      </c>
      <c r="Z763" s="45" t="s">
        <v>70</v>
      </c>
      <c r="AA763" s="45">
        <f t="shared" si="62"/>
        <v>1</v>
      </c>
      <c r="AB763" t="str">
        <f t="shared" si="63"/>
        <v>Adult</v>
      </c>
      <c r="AC763" s="69">
        <v>0</v>
      </c>
      <c r="AD763" s="69">
        <v>1</v>
      </c>
      <c r="AE763" s="45" t="str">
        <f t="shared" si="64"/>
        <v>Morphological</v>
      </c>
      <c r="AF763" s="56">
        <v>4</v>
      </c>
    </row>
    <row r="764" spans="1:32" ht="18" customHeight="1" x14ac:dyDescent="0.25">
      <c r="A764" s="45">
        <v>760</v>
      </c>
      <c r="B764" s="45" t="s">
        <v>60</v>
      </c>
      <c r="C764" s="45" t="s">
        <v>61</v>
      </c>
      <c r="D764" s="45" t="s">
        <v>62</v>
      </c>
      <c r="E764" s="45" t="s">
        <v>62</v>
      </c>
      <c r="F764" s="46" cm="1">
        <f t="array" ref="F764">_xlfn.IFS($G764=$G$5,F$5,$G764=$G$6,F$6,$G764=$G$7,F$7,$G764=$G$8,F$8,$G764=$G$9,F$9,$G764=$G$10,F$10,$G764=$G$11,F$11,$G764=$G$12,F$12,$G764=$G$13,F$13,$G764=$G$15,F$15,$G764=$G$16,F$16,$G764=$G$17,F$17,$G764=$G$18,F$18,$G764=$G$19,F$19,$G764=$G$20,F$20,$G764=$G$21,F$21,$G764=$G$22,F$22,$G764=$G$25,F$25,$G764=$G$26,F$26,$G764=$G$27,F$27,$G764=$G$29,F$29,$G764=$G$31,F$31,$G764=$G$32,F$32,$G764=$G$248,F$248,$G764=$G$250,F$250)</f>
        <v>8015</v>
      </c>
      <c r="G764" t="s">
        <v>109</v>
      </c>
      <c r="H764" s="67" cm="1">
        <f t="array" ref="H764">_xlfn.IFS($G764=$G$5,H$5,$G764=$G$6,H$6,$G764=$G$7,H$7,$G764=$G$8,H$8,$G764=$G$9,H$9,$G764=$G$10,H$10,$G764=$G$11,H$11,$G764=$G$12,H$12,$G764=$G$13,H$13,$G764=$G$15,H$15,$G764=$G$16,H$16,$G764=$G$17,H$17,$G764=$G$18,H$18,$G764=$G$19,H$19,$G764=$G$20,H$20,$G764=$G$21,H$21,$G764=$G$22,H$22,$G764=$G$25,H$25,$G764=$G$26,H$26,$G764=$G$27,H$27,$G764=$G$29,H$29,$G764=$G$31,H$31,$G764=$G$32,H$150,$G764=$G$248,H$248,$G764=$G$250,H$250)</f>
        <v>41.381725000000003</v>
      </c>
      <c r="I764" s="67" cm="1">
        <f t="array" ref="I764">_xlfn.IFS($G764=$G$5,I$5,$G764=$G$6,I$6,$G764=$G$7,I$7,$G764=$G$8,I$8,$G764=$G$9,I$9,$G764=$G$10,I$10,$G764=$G$11,I$11,$G764=$G$12,I$12,$G764=$G$13,I$13,$G764=$G$15,I$15,$G764=$G$16,I$16,$G764=$G$17,I$17,$G764=$G$18,I$18,$G764=$G$19,I$19,$G764=$G$20,I$20,$G764=$G$21,I$21,$G764=$G$22,I$22,$G764=$G$25,I$25,$G764=$G$26,I$26,$G764=$G$27,I$27,$G764=$G$29,I$29,$G764=$G$31,I$31,$G764=$G$32,I$150,$G764=$G$248,I$248,$G764=$G$250,I$250)</f>
        <v>2.1543679999999998</v>
      </c>
      <c r="J764" s="48" cm="1">
        <f t="array" ref="J764">_xlfn.IFS($G764=$G$5,J$5,$G764=$G$6,J$6,$G764=$G$7,J$7,$G764=$G$8,J$8,$G764=$G$9,J$9,$G764=$G$10,J$10,$G764=$G$11,J$11,$G764=$G$12,J$12,$G764=$G$13,J$13,$G764=$G$15,J$15,$G764=$G$16,J$16,$G764=$G$17,J$17,$G764=$G$18,J$18,$G764=$G$19,J$19,$G764=$G$20,J$20,$G764=$G$21,J$21,$G764=$G$22,J$22,$G764=$G$25,J$25,$G764=$G$26,J$26,$G764=$G$27,J$27,$G764=$G$29,J$29,$G764=$G$31,J$31,$G764=$G$32,J$150,$G764=$G$248,J$248,$G764=$G$250,J$250)</f>
        <v>20.7</v>
      </c>
      <c r="K764" s="48" t="str" cm="1">
        <f t="array" ref="K764">_xlfn.IFS($G764=$G$5,K$5,$G764=$G$6,K$6,$G764=$G$7,K$7,$G764=$G$8,K$8,$G764=$G$9,K$9,$G764=$G$10,K$10,$G764=$G$11,K$11,$G764=$G$12,K$12,$G764=$G$13,K$13,$G764=$G$15,K$15,$G764=$G$16,K$16,$G764=$G$17,K$17,$G764=$G$18,K$18,$G764=$G$19,K$19,$G764=$G$20,K$20,$G764=$G$21,K$21,$G764=$G$22,K$22,$G764=$G$25,K$25,$G764=$G$26,K$26,$G764=$G$27,K$27,$G764=$G$29,K$29,$G764=$G$31,K$31,$G764=$G$32,K$150,$G764=$G$248,K$248,$G764=$G$250,K$250)</f>
        <v>BG sentinel + BG lure7</v>
      </c>
      <c r="L764" s="48"/>
      <c r="M764" s="48"/>
      <c r="O764" s="45" t="str">
        <f t="shared" si="54"/>
        <v>A_SP_BCN_24_210915</v>
      </c>
      <c r="P764" s="64">
        <v>44454</v>
      </c>
      <c r="R764" s="72"/>
      <c r="S764" s="64">
        <v>44462</v>
      </c>
      <c r="U764" s="72"/>
      <c r="V764" s="54" t="s">
        <v>66</v>
      </c>
      <c r="X764" s="45">
        <f t="shared" si="55"/>
        <v>8</v>
      </c>
      <c r="Z764" s="69" t="s">
        <v>69</v>
      </c>
      <c r="AA764" s="45">
        <f t="shared" si="62"/>
        <v>16</v>
      </c>
      <c r="AB764" t="str">
        <f t="shared" si="63"/>
        <v>Adult</v>
      </c>
      <c r="AC764" s="69">
        <v>14</v>
      </c>
      <c r="AD764" s="69">
        <v>2</v>
      </c>
      <c r="AE764" s="45" t="str">
        <f t="shared" si="64"/>
        <v>Morphological</v>
      </c>
      <c r="AF764" s="56">
        <v>4</v>
      </c>
    </row>
    <row r="765" spans="1:32" ht="18" customHeight="1" x14ac:dyDescent="0.25">
      <c r="A765" s="45">
        <v>761</v>
      </c>
      <c r="B765" s="45" t="s">
        <v>60</v>
      </c>
      <c r="C765" s="45" t="s">
        <v>61</v>
      </c>
      <c r="D765" s="45" t="s">
        <v>62</v>
      </c>
      <c r="E765" s="45" t="s">
        <v>62</v>
      </c>
      <c r="F765" s="46" cm="1">
        <f t="array" ref="F765">_xlfn.IFS($G765=$G$5,F$5,$G765=$G$6,F$6,$G765=$G$7,F$7,$G765=$G$8,F$8,$G765=$G$9,F$9,$G765=$G$10,F$10,$G765=$G$11,F$11,$G765=$G$12,F$12,$G765=$G$13,F$13,$G765=$G$15,F$15,$G765=$G$16,F$16,$G765=$G$17,F$17,$G765=$G$18,F$18,$G765=$G$19,F$19,$G765=$G$20,F$20,$G765=$G$21,F$21,$G765=$G$22,F$22,$G765=$G$25,F$25,$G765=$G$26,F$26,$G765=$G$27,F$27,$G765=$G$29,F$29,$G765=$G$31,F$31,$G765=$G$32,F$32,$G765=$G$248,F$248,$G765=$G$250,F$250)</f>
        <v>8015</v>
      </c>
      <c r="G765" t="s">
        <v>109</v>
      </c>
      <c r="H765" s="67" cm="1">
        <f t="array" ref="H765">_xlfn.IFS($G765=$G$5,H$5,$G765=$G$6,H$6,$G765=$G$7,H$7,$G765=$G$8,H$8,$G765=$G$9,H$9,$G765=$G$10,H$10,$G765=$G$11,H$11,$G765=$G$12,H$12,$G765=$G$13,H$13,$G765=$G$15,H$15,$G765=$G$16,H$16,$G765=$G$17,H$17,$G765=$G$18,H$18,$G765=$G$19,H$19,$G765=$G$20,H$20,$G765=$G$21,H$21,$G765=$G$22,H$22,$G765=$G$25,H$25,$G765=$G$26,H$26,$G765=$G$27,H$27,$G765=$G$29,H$29,$G765=$G$31,H$31,$G765=$G$32,H$150,$G765=$G$248,H$248,$G765=$G$250,H$250)</f>
        <v>41.381725000000003</v>
      </c>
      <c r="I765" s="67" cm="1">
        <f t="array" ref="I765">_xlfn.IFS($G765=$G$5,I$5,$G765=$G$6,I$6,$G765=$G$7,I$7,$G765=$G$8,I$8,$G765=$G$9,I$9,$G765=$G$10,I$10,$G765=$G$11,I$11,$G765=$G$12,I$12,$G765=$G$13,I$13,$G765=$G$15,I$15,$G765=$G$16,I$16,$G765=$G$17,I$17,$G765=$G$18,I$18,$G765=$G$19,I$19,$G765=$G$20,I$20,$G765=$G$21,I$21,$G765=$G$22,I$22,$G765=$G$25,I$25,$G765=$G$26,I$26,$G765=$G$27,I$27,$G765=$G$29,I$29,$G765=$G$31,I$31,$G765=$G$32,I$150,$G765=$G$248,I$248,$G765=$G$250,I$250)</f>
        <v>2.1543679999999998</v>
      </c>
      <c r="J765" s="48" cm="1">
        <f t="array" ref="J765">_xlfn.IFS($G765=$G$5,J$5,$G765=$G$6,J$6,$G765=$G$7,J$7,$G765=$G$8,J$8,$G765=$G$9,J$9,$G765=$G$10,J$10,$G765=$G$11,J$11,$G765=$G$12,J$12,$G765=$G$13,J$13,$G765=$G$15,J$15,$G765=$G$16,J$16,$G765=$G$17,J$17,$G765=$G$18,J$18,$G765=$G$19,J$19,$G765=$G$20,J$20,$G765=$G$21,J$21,$G765=$G$22,J$22,$G765=$G$25,J$25,$G765=$G$26,J$26,$G765=$G$27,J$27,$G765=$G$29,J$29,$G765=$G$31,J$31,$G765=$G$32,J$150,$G765=$G$248,J$248,$G765=$G$250,J$250)</f>
        <v>20.7</v>
      </c>
      <c r="K765" s="48" t="str" cm="1">
        <f t="array" ref="K765">_xlfn.IFS($G765=$G$5,K$5,$G765=$G$6,K$6,$G765=$G$7,K$7,$G765=$G$8,K$8,$G765=$G$9,K$9,$G765=$G$10,K$10,$G765=$G$11,K$11,$G765=$G$12,K$12,$G765=$G$13,K$13,$G765=$G$15,K$15,$G765=$G$16,K$16,$G765=$G$17,K$17,$G765=$G$18,K$18,$G765=$G$19,K$19,$G765=$G$20,K$20,$G765=$G$21,K$21,$G765=$G$22,K$22,$G765=$G$25,K$25,$G765=$G$26,K$26,$G765=$G$27,K$27,$G765=$G$29,K$29,$G765=$G$31,K$31,$G765=$G$32,K$150,$G765=$G$248,K$248,$G765=$G$250,K$250)</f>
        <v>BG sentinel + BG lure7</v>
      </c>
      <c r="L765" s="48"/>
      <c r="M765" s="48"/>
      <c r="O765" s="45" t="str">
        <f t="shared" si="54"/>
        <v>A_SP_BCN_24_210915</v>
      </c>
      <c r="P765" s="64">
        <v>44454</v>
      </c>
      <c r="R765" s="72"/>
      <c r="S765" s="64">
        <v>44462</v>
      </c>
      <c r="U765" s="72"/>
      <c r="V765" s="54" t="s">
        <v>66</v>
      </c>
      <c r="X765" s="45">
        <f t="shared" si="55"/>
        <v>8</v>
      </c>
      <c r="Z765" s="45" t="s">
        <v>70</v>
      </c>
      <c r="AA765" s="45">
        <f t="shared" si="62"/>
        <v>4</v>
      </c>
      <c r="AB765" t="str">
        <f t="shared" si="63"/>
        <v>Adult</v>
      </c>
      <c r="AC765" s="69">
        <v>4</v>
      </c>
      <c r="AD765" s="69">
        <v>0</v>
      </c>
      <c r="AE765" s="45" t="str">
        <f t="shared" si="64"/>
        <v>Morphological</v>
      </c>
      <c r="AF765" s="56">
        <v>4</v>
      </c>
    </row>
    <row r="766" spans="1:32" ht="18" customHeight="1" x14ac:dyDescent="0.25">
      <c r="A766" s="45">
        <v>762</v>
      </c>
      <c r="B766" s="45" t="s">
        <v>60</v>
      </c>
      <c r="C766" s="45" t="s">
        <v>61</v>
      </c>
      <c r="D766" s="45" t="s">
        <v>62</v>
      </c>
      <c r="E766" s="45" t="s">
        <v>62</v>
      </c>
      <c r="F766" s="46" cm="1">
        <f t="array" ref="F766">_xlfn.IFS($G766=$G$5,F$5,$G766=$G$6,F$6,$G766=$G$7,F$7,$G766=$G$8,F$8,$G766=$G$9,F$9,$G766=$G$10,F$10,$G766=$G$11,F$11,$G766=$G$12,F$12,$G766=$G$13,F$13,$G766=$G$15,F$15,$G766=$G$16,F$16,$G766=$G$17,F$17,$G766=$G$18,F$18,$G766=$G$19,F$19,$G766=$G$20,F$20,$G766=$G$21,F$21,$G766=$G$22,F$22,$G766=$G$25,F$25,$G766=$G$26,F$26,$G766=$G$27,F$27,$G766=$G$29,F$29,$G766=$G$31,F$31,$G766=$G$32,F$32,$G766=$G$248,F$248,$G766=$G$250,F$250)</f>
        <v>8024</v>
      </c>
      <c r="G766" t="s">
        <v>63</v>
      </c>
      <c r="H766" s="67" cm="1">
        <f t="array" ref="H766">_xlfn.IFS($G766=$G$5,H$5,$G766=$G$6,H$6,$G766=$G$7,H$7,$G766=$G$8,H$8,$G766=$G$9,H$9,$G766=$G$10,H$10,$G766=$G$11,H$11,$G766=$G$12,H$12,$G766=$G$13,H$13,$G766=$G$15,H$15,$G766=$G$16,H$16,$G766=$G$17,H$17,$G766=$G$18,H$18,$G766=$G$19,H$19,$G766=$G$20,H$20,$G766=$G$21,H$21,$G766=$G$22,H$22,$G766=$G$25,H$25,$G766=$G$26,H$26,$G766=$G$27,H$27,$G766=$G$29,H$29,$G766=$G$31,H$31,$G766=$G$32,H$150,$G766=$G$248,H$248,$G766=$G$250,H$250)</f>
        <v>41.413573999999997</v>
      </c>
      <c r="I766" s="67" cm="1">
        <f t="array" ref="I766">_xlfn.IFS($G766=$G$5,I$5,$G766=$G$6,I$6,$G766=$G$7,I$7,$G766=$G$8,I$8,$G766=$G$9,I$9,$G766=$G$10,I$10,$G766=$G$11,I$11,$G766=$G$12,I$12,$G766=$G$13,I$13,$G766=$G$15,I$15,$G766=$G$16,I$16,$G766=$G$17,I$17,$G766=$G$18,I$18,$G766=$G$19,I$19,$G766=$G$20,I$20,$G766=$G$21,I$21,$G766=$G$22,I$22,$G766=$G$25,I$25,$G766=$G$26,I$26,$G766=$G$27,I$27,$G766=$G$29,I$29,$G766=$G$31,I$31,$G766=$G$32,I$150,$G766=$G$248,I$248,$G766=$G$250,I$250)</f>
        <v>2.1520730000000001</v>
      </c>
      <c r="J766" s="48" cm="1">
        <f t="array" ref="J766">_xlfn.IFS($G766=$G$5,J$5,$G766=$G$6,J$6,$G766=$G$7,J$7,$G766=$G$8,J$8,$G766=$G$9,J$9,$G766=$G$10,J$10,$G766=$G$11,J$11,$G766=$G$12,J$12,$G766=$G$13,J$13,$G766=$G$15,J$15,$G766=$G$16,J$16,$G766=$G$17,J$17,$G766=$G$18,J$18,$G766=$G$19,J$19,$G766=$G$20,J$20,$G766=$G$21,J$21,$G766=$G$22,J$22,$G766=$G$25,J$25,$G766=$G$26,J$26,$G766=$G$27,J$27,$G766=$G$29,J$29,$G766=$G$31,J$31,$G766=$G$32,J$150,$G766=$G$248,J$248,$G766=$G$250,J$250)</f>
        <v>141</v>
      </c>
      <c r="K766" s="48" t="str" cm="1">
        <f t="array" ref="K766">_xlfn.IFS($G766=$G$5,K$5,$G766=$G$6,K$6,$G766=$G$7,K$7,$G766=$G$8,K$8,$G766=$G$9,K$9,$G766=$G$10,K$10,$G766=$G$11,K$11,$G766=$G$12,K$12,$G766=$G$13,K$13,$G766=$G$15,K$15,$G766=$G$16,K$16,$G766=$G$17,K$17,$G766=$G$18,K$18,$G766=$G$19,K$19,$G766=$G$20,K$20,$G766=$G$21,K$21,$G766=$G$22,K$22,$G766=$G$25,K$25,$G766=$G$26,K$26,$G766=$G$27,K$27,$G766=$G$29,K$29,$G766=$G$31,K$31,$G766=$G$32,K$150,$G766=$G$248,K$248,$G766=$G$250,K$250)</f>
        <v>BG sentinel + BG lure7</v>
      </c>
      <c r="L766" s="48" t="str" cm="1">
        <f t="array" ref="L766">_xlfn.IFS($G766=$G$5,L$5,$G766=$G$6,L$6,$G766=$G$7,L$7,$G766=$G$8,L$8,$G766=$G$9,L$9,$G766=$G$10,L$10,$G766=$G$11,L$11,$G766=$G$12,L$12,$G766=$G$13,L$13,$G766=$G$15,L$15,$G766=$G$16,L$16,$G766=$G$17,L$17,$G766=$G$18,L$18,$G766=$G$19,L$19,$G766=$G$20,L$20,$G766=$G$21,L$21,$G766=$G$22,L$22,$G766=$G$25,L$25,$G766=$G$26,L$26,$G766=$G$27,L$27,$G766=$G$29,L$29,$G766=$G$31,L$31,$G766=$G$32,L$32,$G766=$G$248,L$248,$G766=$G$250,L$250)</f>
        <v>Urban habitat</v>
      </c>
      <c r="M766" s="48"/>
      <c r="O766" s="45" t="str">
        <f t="shared" si="54"/>
        <v>A_SP_BCN_1_210922</v>
      </c>
      <c r="P766" s="64">
        <v>44461</v>
      </c>
      <c r="R766" s="72"/>
      <c r="S766" s="64">
        <v>44468</v>
      </c>
      <c r="U766" s="72"/>
      <c r="V766" s="54" t="s">
        <v>66</v>
      </c>
      <c r="X766" s="45">
        <f t="shared" si="55"/>
        <v>7</v>
      </c>
      <c r="Z766" s="69" t="s">
        <v>69</v>
      </c>
      <c r="AA766" s="45">
        <f t="shared" si="62"/>
        <v>71</v>
      </c>
      <c r="AB766" t="str">
        <f t="shared" si="63"/>
        <v>Adult</v>
      </c>
      <c r="AC766" s="69">
        <v>33</v>
      </c>
      <c r="AD766" s="69">
        <v>38</v>
      </c>
      <c r="AE766" s="45" t="str">
        <f t="shared" si="64"/>
        <v>Morphological</v>
      </c>
      <c r="AF766" s="56">
        <v>4</v>
      </c>
    </row>
    <row r="767" spans="1:32" ht="18" customHeight="1" x14ac:dyDescent="0.25">
      <c r="A767" s="45">
        <v>763</v>
      </c>
      <c r="B767" s="45" t="s">
        <v>60</v>
      </c>
      <c r="C767" s="45" t="s">
        <v>61</v>
      </c>
      <c r="D767" s="45" t="s">
        <v>62</v>
      </c>
      <c r="E767" s="45" t="s">
        <v>62</v>
      </c>
      <c r="F767" s="46" cm="1">
        <f t="array" ref="F767">_xlfn.IFS($G767=$G$5,F$5,$G767=$G$6,F$6,$G767=$G$7,F$7,$G767=$G$8,F$8,$G767=$G$9,F$9,$G767=$G$10,F$10,$G767=$G$11,F$11,$G767=$G$12,F$12,$G767=$G$13,F$13,$G767=$G$15,F$15,$G767=$G$16,F$16,$G767=$G$17,F$17,$G767=$G$18,F$18,$G767=$G$19,F$19,$G767=$G$20,F$20,$G767=$G$21,F$21,$G767=$G$22,F$22,$G767=$G$25,F$25,$G767=$G$26,F$26,$G767=$G$27,F$27,$G767=$G$29,F$29,$G767=$G$31,F$31,$G767=$G$32,F$32,$G767=$G$248,F$248,$G767=$G$250,F$250)</f>
        <v>8035</v>
      </c>
      <c r="G767" t="s">
        <v>67</v>
      </c>
      <c r="H767" s="67" cm="1">
        <f t="array" ref="H767">_xlfn.IFS($G767=$G$5,H$5,$G767=$G$6,H$6,$G767=$G$7,H$7,$G767=$G$8,H$8,$G767=$G$9,H$9,$G767=$G$10,H$10,$G767=$G$11,H$11,$G767=$G$12,H$12,$G767=$G$13,H$13,$G767=$G$15,H$15,$G767=$G$16,H$16,$G767=$G$17,H$17,$G767=$G$18,H$18,$G767=$G$19,H$19,$G767=$G$20,H$20,$G767=$G$21,H$21,$G767=$G$22,H$22,$G767=$G$25,H$25,$G767=$G$26,H$26,$G767=$G$27,H$27,$G767=$G$29,H$29,$G767=$G$31,H$31,$G767=$G$32,H$150,$G767=$G$248,H$248,$G767=$G$250,H$250)</f>
        <v>41.424387000000003</v>
      </c>
      <c r="I767" s="67" cm="1">
        <f t="array" ref="I767">_xlfn.IFS($G767=$G$5,I$5,$G767=$G$6,I$6,$G767=$G$7,I$7,$G767=$G$8,I$8,$G767=$G$9,I$9,$G767=$G$10,I$10,$G767=$G$11,I$11,$G767=$G$12,I$12,$G767=$G$13,I$13,$G767=$G$15,I$15,$G767=$G$16,I$16,$G767=$G$17,I$17,$G767=$G$18,I$18,$G767=$G$19,I$19,$G767=$G$20,I$20,$G767=$G$21,I$21,$G767=$G$22,I$22,$G767=$G$25,I$25,$G767=$G$26,I$26,$G767=$G$27,I$27,$G767=$G$29,I$29,$G767=$G$31,I$31,$G767=$G$32,I$150,$G767=$G$248,I$248,$G767=$G$250,I$250)</f>
        <v>2.1431439999999999</v>
      </c>
      <c r="J767" s="48" cm="1">
        <f t="array" ref="J767">_xlfn.IFS($G767=$G$5,J$5,$G767=$G$6,J$6,$G767=$G$7,J$7,$G767=$G$8,J$8,$G767=$G$9,J$9,$G767=$G$10,J$10,$G767=$G$11,J$11,$G767=$G$12,J$12,$G767=$G$13,J$13,$G767=$G$15,J$15,$G767=$G$16,J$16,$G767=$G$17,J$17,$G767=$G$18,J$18,$G767=$G$19,J$19,$G767=$G$20,J$20,$G767=$G$21,J$21,$G767=$G$22,J$22,$G767=$G$25,J$25,$G767=$G$26,J$26,$G767=$G$27,J$27,$G767=$G$29,J$29,$G767=$G$31,J$31,$G767=$G$32,J$150,$G767=$G$248,J$248,$G767=$G$250,J$250)</f>
        <v>160</v>
      </c>
      <c r="K767" s="48" t="str" cm="1">
        <f t="array" ref="K767">_xlfn.IFS($G767=$G$5,K$5,$G767=$G$6,K$6,$G767=$G$7,K$7,$G767=$G$8,K$8,$G767=$G$9,K$9,$G767=$G$10,K$10,$G767=$G$11,K$11,$G767=$G$12,K$12,$G767=$G$13,K$13,$G767=$G$15,K$15,$G767=$G$16,K$16,$G767=$G$17,K$17,$G767=$G$18,K$18,$G767=$G$19,K$19,$G767=$G$20,K$20,$G767=$G$21,K$21,$G767=$G$22,K$22,$G767=$G$25,K$25,$G767=$G$26,K$26,$G767=$G$27,K$27,$G767=$G$29,K$29,$G767=$G$31,K$31,$G767=$G$32,K$150,$G767=$G$248,K$248,$G767=$G$250,K$250)</f>
        <v>BG sentinel + BG lure7</v>
      </c>
      <c r="L767" s="48" t="str" cm="1">
        <f t="array" ref="L767">_xlfn.IFS($G767=$G$5,L$5,$G767=$G$6,L$6,$G767=$G$7,L$7,$G767=$G$8,L$8,$G767=$G$9,L$9,$G767=$G$10,L$10,$G767=$G$11,L$11,$G767=$G$12,L$12,$G767=$G$13,L$13,$G767=$G$15,L$15,$G767=$G$16,L$16,$G767=$G$17,L$17,$G767=$G$18,L$18,$G767=$G$19,L$19,$G767=$G$20,L$20,$G767=$G$21,L$21,$G767=$G$22,L$22,$G767=$G$25,L$25,$G767=$G$26,L$26,$G767=$G$27,L$27,$G767=$G$29,L$29,$G767=$G$31,L$31,$G767=$G$32,L$32,$G767=$G$248,L$248,$G767=$G$250,L$250)</f>
        <v>Urban habitat</v>
      </c>
      <c r="M767" s="48"/>
      <c r="O767" s="45" t="str">
        <f t="shared" si="54"/>
        <v>A_SP_BCN_2_210922</v>
      </c>
      <c r="P767" s="64">
        <v>44461</v>
      </c>
      <c r="R767" s="72"/>
      <c r="S767" s="64">
        <v>44468</v>
      </c>
      <c r="U767" s="72"/>
      <c r="V767" s="54" t="s">
        <v>66</v>
      </c>
      <c r="X767" s="45">
        <f t="shared" si="55"/>
        <v>7</v>
      </c>
      <c r="Z767" s="69" t="s">
        <v>69</v>
      </c>
      <c r="AA767" s="45">
        <f t="shared" si="62"/>
        <v>5</v>
      </c>
      <c r="AB767" t="str">
        <f t="shared" si="63"/>
        <v>Adult</v>
      </c>
      <c r="AC767" s="69">
        <v>5</v>
      </c>
      <c r="AD767" s="69">
        <v>0</v>
      </c>
      <c r="AE767" s="45" t="str">
        <f t="shared" si="64"/>
        <v>Morphological</v>
      </c>
      <c r="AF767" s="56">
        <v>4</v>
      </c>
    </row>
    <row r="768" spans="1:32" ht="18" customHeight="1" x14ac:dyDescent="0.25">
      <c r="A768" s="45">
        <v>764</v>
      </c>
      <c r="B768" s="45" t="s">
        <v>60</v>
      </c>
      <c r="C768" s="45" t="s">
        <v>61</v>
      </c>
      <c r="D768" s="45" t="s">
        <v>62</v>
      </c>
      <c r="E768" s="45" t="s">
        <v>62</v>
      </c>
      <c r="F768" s="46" cm="1">
        <f t="array" ref="F768">_xlfn.IFS($G768=$G$5,F$5,$G768=$G$6,F$6,$G768=$G$7,F$7,$G768=$G$8,F$8,$G768=$G$9,F$9,$G768=$G$10,F$10,$G768=$G$11,F$11,$G768=$G$12,F$12,$G768=$G$13,F$13,$G768=$G$15,F$15,$G768=$G$16,F$16,$G768=$G$17,F$17,$G768=$G$18,F$18,$G768=$G$19,F$19,$G768=$G$20,F$20,$G768=$G$21,F$21,$G768=$G$22,F$22,$G768=$G$25,F$25,$G768=$G$26,F$26,$G768=$G$27,F$27,$G768=$G$29,F$29,$G768=$G$31,F$31,$G768=$G$32,F$32,$G768=$G$248,F$248,$G768=$G$250,F$250)</f>
        <v>8035</v>
      </c>
      <c r="G768" t="s">
        <v>67</v>
      </c>
      <c r="H768" s="67" cm="1">
        <f t="array" ref="H768">_xlfn.IFS($G768=$G$5,H$5,$G768=$G$6,H$6,$G768=$G$7,H$7,$G768=$G$8,H$8,$G768=$G$9,H$9,$G768=$G$10,H$10,$G768=$G$11,H$11,$G768=$G$12,H$12,$G768=$G$13,H$13,$G768=$G$15,H$15,$G768=$G$16,H$16,$G768=$G$17,H$17,$G768=$G$18,H$18,$G768=$G$19,H$19,$G768=$G$20,H$20,$G768=$G$21,H$21,$G768=$G$22,H$22,$G768=$G$25,H$25,$G768=$G$26,H$26,$G768=$G$27,H$27,$G768=$G$29,H$29,$G768=$G$31,H$31,$G768=$G$32,H$150,$G768=$G$248,H$248,$G768=$G$250,H$250)</f>
        <v>41.424387000000003</v>
      </c>
      <c r="I768" s="67" cm="1">
        <f t="array" ref="I768">_xlfn.IFS($G768=$G$5,I$5,$G768=$G$6,I$6,$G768=$G$7,I$7,$G768=$G$8,I$8,$G768=$G$9,I$9,$G768=$G$10,I$10,$G768=$G$11,I$11,$G768=$G$12,I$12,$G768=$G$13,I$13,$G768=$G$15,I$15,$G768=$G$16,I$16,$G768=$G$17,I$17,$G768=$G$18,I$18,$G768=$G$19,I$19,$G768=$G$20,I$20,$G768=$G$21,I$21,$G768=$G$22,I$22,$G768=$G$25,I$25,$G768=$G$26,I$26,$G768=$G$27,I$27,$G768=$G$29,I$29,$G768=$G$31,I$31,$G768=$G$32,I$150,$G768=$G$248,I$248,$G768=$G$250,I$250)</f>
        <v>2.1431439999999999</v>
      </c>
      <c r="J768" s="48" cm="1">
        <f t="array" ref="J768">_xlfn.IFS($G768=$G$5,J$5,$G768=$G$6,J$6,$G768=$G$7,J$7,$G768=$G$8,J$8,$G768=$G$9,J$9,$G768=$G$10,J$10,$G768=$G$11,J$11,$G768=$G$12,J$12,$G768=$G$13,J$13,$G768=$G$15,J$15,$G768=$G$16,J$16,$G768=$G$17,J$17,$G768=$G$18,J$18,$G768=$G$19,J$19,$G768=$G$20,J$20,$G768=$G$21,J$21,$G768=$G$22,J$22,$G768=$G$25,J$25,$G768=$G$26,J$26,$G768=$G$27,J$27,$G768=$G$29,J$29,$G768=$G$31,J$31,$G768=$G$32,J$150,$G768=$G$248,J$248,$G768=$G$250,J$250)</f>
        <v>160</v>
      </c>
      <c r="K768" s="48" t="str" cm="1">
        <f t="array" ref="K768">_xlfn.IFS($G768=$G$5,K$5,$G768=$G$6,K$6,$G768=$G$7,K$7,$G768=$G$8,K$8,$G768=$G$9,K$9,$G768=$G$10,K$10,$G768=$G$11,K$11,$G768=$G$12,K$12,$G768=$G$13,K$13,$G768=$G$15,K$15,$G768=$G$16,K$16,$G768=$G$17,K$17,$G768=$G$18,K$18,$G768=$G$19,K$19,$G768=$G$20,K$20,$G768=$G$21,K$21,$G768=$G$22,K$22,$G768=$G$25,K$25,$G768=$G$26,K$26,$G768=$G$27,K$27,$G768=$G$29,K$29,$G768=$G$31,K$31,$G768=$G$32,K$150,$G768=$G$248,K$248,$G768=$G$250,K$250)</f>
        <v>BG sentinel + BG lure7</v>
      </c>
      <c r="L768" s="48" t="str" cm="1">
        <f t="array" ref="L768">_xlfn.IFS($G768=$G$5,L$5,$G768=$G$6,L$6,$G768=$G$7,L$7,$G768=$G$8,L$8,$G768=$G$9,L$9,$G768=$G$10,L$10,$G768=$G$11,L$11,$G768=$G$12,L$12,$G768=$G$13,L$13,$G768=$G$15,L$15,$G768=$G$16,L$16,$G768=$G$17,L$17,$G768=$G$18,L$18,$G768=$G$19,L$19,$G768=$G$20,L$20,$G768=$G$21,L$21,$G768=$G$22,L$22,$G768=$G$25,L$25,$G768=$G$26,L$26,$G768=$G$27,L$27,$G768=$G$29,L$29,$G768=$G$31,L$31,$G768=$G$32,L$32,$G768=$G$248,L$248,$G768=$G$250,L$250)</f>
        <v>Urban habitat</v>
      </c>
      <c r="M768" s="48"/>
      <c r="O768" s="45" t="str">
        <f t="shared" si="54"/>
        <v>A_SP_BCN_2_210922</v>
      </c>
      <c r="P768" s="64">
        <v>44461</v>
      </c>
      <c r="R768" s="72"/>
      <c r="S768" s="64">
        <v>44468</v>
      </c>
      <c r="U768" s="72"/>
      <c r="V768" s="54" t="s">
        <v>66</v>
      </c>
      <c r="X768" s="45">
        <f t="shared" si="55"/>
        <v>7</v>
      </c>
      <c r="Z768" s="45" t="s">
        <v>70</v>
      </c>
      <c r="AA768" s="45">
        <f t="shared" si="62"/>
        <v>2</v>
      </c>
      <c r="AB768" t="str">
        <f t="shared" si="63"/>
        <v>Adult</v>
      </c>
      <c r="AC768" s="69">
        <v>2</v>
      </c>
      <c r="AD768" s="69">
        <v>0</v>
      </c>
      <c r="AE768" s="45" t="str">
        <f t="shared" si="64"/>
        <v>Morphological</v>
      </c>
      <c r="AF768" s="56">
        <v>4</v>
      </c>
    </row>
    <row r="769" spans="1:32" ht="18" customHeight="1" x14ac:dyDescent="0.25">
      <c r="A769" s="45">
        <v>765</v>
      </c>
      <c r="B769" s="45" t="s">
        <v>60</v>
      </c>
      <c r="C769" s="45" t="s">
        <v>61</v>
      </c>
      <c r="D769" s="45" t="s">
        <v>62</v>
      </c>
      <c r="E769" s="45" t="s">
        <v>62</v>
      </c>
      <c r="F769" s="46" cm="1">
        <f t="array" ref="F769">_xlfn.IFS($G769=$G$5,F$5,$G769=$G$6,F$6,$G769=$G$7,F$7,$G769=$G$8,F$8,$G769=$G$9,F$9,$G769=$G$10,F$10,$G769=$G$11,F$11,$G769=$G$12,F$12,$G769=$G$13,F$13,$G769=$G$15,F$15,$G769=$G$16,F$16,$G769=$G$17,F$17,$G769=$G$18,F$18,$G769=$G$19,F$19,$G769=$G$20,F$20,$G769=$G$21,F$21,$G769=$G$22,F$22,$G769=$G$25,F$25,$G769=$G$26,F$26,$G769=$G$27,F$27,$G769=$G$29,F$29,$G769=$G$31,F$31,$G769=$G$32,F$32,$G769=$G$248,F$248,$G769=$G$250,F$250)</f>
        <v>8016</v>
      </c>
      <c r="G769" t="s">
        <v>68</v>
      </c>
      <c r="H769" s="67" cm="1">
        <f t="array" ref="H769">_xlfn.IFS($G769=$G$5,H$5,$G769=$G$6,H$6,$G769=$G$7,H$7,$G769=$G$8,H$8,$G769=$G$9,H$9,$G769=$G$10,H$10,$G769=$G$11,H$11,$G769=$G$12,H$12,$G769=$G$13,H$13,$G769=$G$15,H$15,$G769=$G$16,H$16,$G769=$G$17,H$17,$G769=$G$18,H$18,$G769=$G$19,H$19,$G769=$G$20,H$20,$G769=$G$21,H$21,$G769=$G$22,H$22,$G769=$G$25,H$25,$G769=$G$26,H$26,$G769=$G$27,H$27,$G769=$G$29,H$29,$G769=$G$31,H$31,$G769=$G$32,H$150,$G769=$G$248,H$248,$G769=$G$250,H$250)</f>
        <v>41.437435000000001</v>
      </c>
      <c r="I769" s="67" cm="1">
        <f t="array" ref="I769">_xlfn.IFS($G769=$G$5,I$5,$G769=$G$6,I$6,$G769=$G$7,I$7,$G769=$G$8,I$8,$G769=$G$9,I$9,$G769=$G$10,I$10,$G769=$G$11,I$11,$G769=$G$12,I$12,$G769=$G$13,I$13,$G769=$G$15,I$15,$G769=$G$16,I$16,$G769=$G$17,I$17,$G769=$G$18,I$18,$G769=$G$19,I$19,$G769=$G$20,I$20,$G769=$G$21,I$21,$G769=$G$22,I$22,$G769=$G$25,I$25,$G769=$G$26,I$26,$G769=$G$27,I$27,$G769=$G$29,I$29,$G769=$G$31,I$31,$G769=$G$32,I$150,$G769=$G$248,I$248,$G769=$G$250,I$250)</f>
        <v>2.1812779999999998</v>
      </c>
      <c r="J769" s="48" cm="1">
        <f t="array" ref="J769">_xlfn.IFS($G769=$G$5,J$5,$G769=$G$6,J$6,$G769=$G$7,J$7,$G769=$G$8,J$8,$G769=$G$9,J$9,$G769=$G$10,J$10,$G769=$G$11,J$11,$G769=$G$12,J$12,$G769=$G$13,J$13,$G769=$G$15,J$15,$G769=$G$16,J$16,$G769=$G$17,J$17,$G769=$G$18,J$18,$G769=$G$19,J$19,$G769=$G$20,J$20,$G769=$G$21,J$21,$G769=$G$22,J$22,$G769=$G$25,J$25,$G769=$G$26,J$26,$G769=$G$27,J$27,$G769=$G$29,J$29,$G769=$G$31,J$31,$G769=$G$32,J$150,$G769=$G$248,J$248,$G769=$G$250,J$250)</f>
        <v>47</v>
      </c>
      <c r="K769" s="48" t="str" cm="1">
        <f t="array" ref="K769">_xlfn.IFS($G769=$G$5,K$5,$G769=$G$6,K$6,$G769=$G$7,K$7,$G769=$G$8,K$8,$G769=$G$9,K$9,$G769=$G$10,K$10,$G769=$G$11,K$11,$G769=$G$12,K$12,$G769=$G$13,K$13,$G769=$G$15,K$15,$G769=$G$16,K$16,$G769=$G$17,K$17,$G769=$G$18,K$18,$G769=$G$19,K$19,$G769=$G$20,K$20,$G769=$G$21,K$21,$G769=$G$22,K$22,$G769=$G$25,K$25,$G769=$G$26,K$26,$G769=$G$27,K$27,$G769=$G$29,K$29,$G769=$G$31,K$31,$G769=$G$32,K$150,$G769=$G$248,K$248,$G769=$G$250,K$250)</f>
        <v>BG sentinel + BG lure7</v>
      </c>
      <c r="L769" s="48" t="str" cm="1">
        <f t="array" ref="L769">_xlfn.IFS($G769=$G$5,L$5,$G769=$G$6,L$6,$G769=$G$7,L$7,$G769=$G$8,L$8,$G769=$G$9,L$9,$G769=$G$10,L$10,$G769=$G$11,L$11,$G769=$G$12,L$12,$G769=$G$13,L$13,$G769=$G$15,L$15,$G769=$G$16,L$16,$G769=$G$17,L$17,$G769=$G$18,L$18,$G769=$G$19,L$19,$G769=$G$20,L$20,$G769=$G$21,L$21,$G769=$G$22,L$22,$G769=$G$25,L$25,$G769=$G$26,L$26,$G769=$G$27,L$27,$G769=$G$29,L$29,$G769=$G$31,L$31,$G769=$G$32,L$32,$G769=$G$248,L$248,$G769=$G$250,L$250)</f>
        <v>Urban habitat</v>
      </c>
      <c r="M769" s="48"/>
      <c r="O769" s="45" t="str">
        <f t="shared" si="54"/>
        <v>A_SP_BCN_3_210922</v>
      </c>
      <c r="P769" s="64">
        <v>44461</v>
      </c>
      <c r="R769" s="72"/>
      <c r="S769" s="64">
        <v>44468</v>
      </c>
      <c r="U769" s="72"/>
      <c r="V769" s="54" t="s">
        <v>158</v>
      </c>
      <c r="X769" s="45">
        <f t="shared" si="55"/>
        <v>7</v>
      </c>
      <c r="AA769" s="45"/>
      <c r="AB769" t="str">
        <f t="shared" si="63"/>
        <v/>
      </c>
      <c r="AE769" s="45" t="str">
        <f t="shared" si="64"/>
        <v/>
      </c>
      <c r="AF769" s="56">
        <v>1</v>
      </c>
    </row>
    <row r="770" spans="1:32" ht="18" customHeight="1" x14ac:dyDescent="0.25">
      <c r="A770" s="45">
        <v>766</v>
      </c>
      <c r="B770" s="45" t="s">
        <v>60</v>
      </c>
      <c r="C770" s="45" t="s">
        <v>61</v>
      </c>
      <c r="D770" s="45" t="s">
        <v>62</v>
      </c>
      <c r="E770" s="45" t="s">
        <v>62</v>
      </c>
      <c r="F770" s="46" cm="1">
        <f t="array" ref="F770">_xlfn.IFS($G770=$G$5,F$5,$G770=$G$6,F$6,$G770=$G$7,F$7,$G770=$G$8,F$8,$G770=$G$9,F$9,$G770=$G$10,F$10,$G770=$G$11,F$11,$G770=$G$12,F$12,$G770=$G$13,F$13,$G770=$G$15,F$15,$G770=$G$16,F$16,$G770=$G$17,F$17,$G770=$G$18,F$18,$G770=$G$19,F$19,$G770=$G$20,F$20,$G770=$G$21,F$21,$G770=$G$22,F$22,$G770=$G$25,F$25,$G770=$G$26,F$26,$G770=$G$27,F$27,$G770=$G$29,F$29,$G770=$G$31,F$31,$G770=$G$32,F$32,$G770=$G$248,F$248,$G770=$G$250,F$250)</f>
        <v>8018</v>
      </c>
      <c r="G770" t="s">
        <v>71</v>
      </c>
      <c r="H770" s="67" cm="1">
        <f t="array" ref="H770">_xlfn.IFS($G770=$G$5,H$5,$G770=$G$6,H$6,$G770=$G$7,H$7,$G770=$G$8,H$8,$G770=$G$9,H$9,$G770=$G$10,H$10,$G770=$G$11,H$11,$G770=$G$12,H$12,$G770=$G$13,H$13,$G770=$G$15,H$15,$G770=$G$16,H$16,$G770=$G$17,H$17,$G770=$G$18,H$18,$G770=$G$19,H$19,$G770=$G$20,H$20,$G770=$G$21,H$21,$G770=$G$22,H$22,$G770=$G$25,H$25,$G770=$G$26,H$26,$G770=$G$27,H$27,$G770=$G$29,H$29,$G770=$G$31,H$31,$G770=$G$32,H$150,$G770=$G$248,H$248,$G770=$G$250,H$250)</f>
        <v>41.410684000000003</v>
      </c>
      <c r="I770" s="67" cm="1">
        <f t="array" ref="I770">_xlfn.IFS($G770=$G$5,I$5,$G770=$G$6,I$6,$G770=$G$7,I$7,$G770=$G$8,I$8,$G770=$G$9,I$9,$G770=$G$10,I$10,$G770=$G$11,I$11,$G770=$G$12,I$12,$G770=$G$13,I$13,$G770=$G$15,I$15,$G770=$G$16,I$16,$G770=$G$17,I$17,$G770=$G$18,I$18,$G770=$G$19,I$19,$G770=$G$20,I$20,$G770=$G$21,I$21,$G770=$G$22,I$22,$G770=$G$25,I$25,$G770=$G$26,I$26,$G770=$G$27,I$27,$G770=$G$29,I$29,$G770=$G$31,I$31,$G770=$G$32,I$150,$G770=$G$248,I$248,$G770=$G$250,I$250)</f>
        <v>2.2208019999999999</v>
      </c>
      <c r="J770" s="48" cm="1">
        <f t="array" ref="J770">_xlfn.IFS($G770=$G$5,J$5,$G770=$G$6,J$6,$G770=$G$7,J$7,$G770=$G$8,J$8,$G770=$G$9,J$9,$G770=$G$10,J$10,$G770=$G$11,J$11,$G770=$G$12,J$12,$G770=$G$13,J$13,$G770=$G$15,J$15,$G770=$G$16,J$16,$G770=$G$17,J$17,$G770=$G$18,J$18,$G770=$G$19,J$19,$G770=$G$20,J$20,$G770=$G$21,J$21,$G770=$G$22,J$22,$G770=$G$25,J$25,$G770=$G$26,J$26,$G770=$G$27,J$27,$G770=$G$29,J$29,$G770=$G$31,J$31,$G770=$G$32,J$150,$G770=$G$248,J$248,$G770=$G$250,J$250)</f>
        <v>4</v>
      </c>
      <c r="K770" s="48" t="str" cm="1">
        <f t="array" ref="K770">_xlfn.IFS($G770=$G$5,K$5,$G770=$G$6,K$6,$G770=$G$7,K$7,$G770=$G$8,K$8,$G770=$G$9,K$9,$G770=$G$10,K$10,$G770=$G$11,K$11,$G770=$G$12,K$12,$G770=$G$13,K$13,$G770=$G$15,K$15,$G770=$G$16,K$16,$G770=$G$17,K$17,$G770=$G$18,K$18,$G770=$G$19,K$19,$G770=$G$20,K$20,$G770=$G$21,K$21,$G770=$G$22,K$22,$G770=$G$25,K$25,$G770=$G$26,K$26,$G770=$G$27,K$27,$G770=$G$29,K$29,$G770=$G$31,K$31,$G770=$G$32,K$150,$G770=$G$248,K$248,$G770=$G$250,K$250)</f>
        <v>BG sentinel + BG lure7</v>
      </c>
      <c r="L770" s="48"/>
      <c r="M770" s="48"/>
      <c r="O770" s="45" t="str">
        <f t="shared" si="54"/>
        <v>A_SP_BCN_4_210923</v>
      </c>
      <c r="P770" s="64">
        <v>44462</v>
      </c>
      <c r="R770" s="72"/>
      <c r="S770" s="64">
        <v>44469</v>
      </c>
      <c r="U770" s="72"/>
      <c r="V770" s="54" t="s">
        <v>66</v>
      </c>
      <c r="X770" s="45">
        <f t="shared" si="55"/>
        <v>7</v>
      </c>
      <c r="Z770" s="69" t="s">
        <v>69</v>
      </c>
      <c r="AA770" s="45">
        <f t="shared" ref="AA770:AA1105" si="65">SUM(AC770:AD770)</f>
        <v>7</v>
      </c>
      <c r="AB770" t="str">
        <f t="shared" si="63"/>
        <v>Adult</v>
      </c>
      <c r="AC770" s="69">
        <v>6</v>
      </c>
      <c r="AD770" s="69">
        <v>1</v>
      </c>
      <c r="AE770" s="45" t="str">
        <f t="shared" si="64"/>
        <v>Morphological</v>
      </c>
      <c r="AF770" s="56">
        <v>4</v>
      </c>
    </row>
    <row r="771" spans="1:32" ht="18" customHeight="1" x14ac:dyDescent="0.25">
      <c r="A771" s="45">
        <v>767</v>
      </c>
      <c r="B771" s="45" t="s">
        <v>60</v>
      </c>
      <c r="C771" s="45" t="s">
        <v>61</v>
      </c>
      <c r="D771" s="45" t="s">
        <v>62</v>
      </c>
      <c r="E771" s="45" t="s">
        <v>62</v>
      </c>
      <c r="F771" s="46" cm="1">
        <f t="array" ref="F771">_xlfn.IFS($G771=$G$5,F$5,$G771=$G$6,F$6,$G771=$G$7,F$7,$G771=$G$8,F$8,$G771=$G$9,F$9,$G771=$G$10,F$10,$G771=$G$11,F$11,$G771=$G$12,F$12,$G771=$G$13,F$13,$G771=$G$15,F$15,$G771=$G$16,F$16,$G771=$G$17,F$17,$G771=$G$18,F$18,$G771=$G$19,F$19,$G771=$G$20,F$20,$G771=$G$21,F$21,$G771=$G$22,F$22,$G771=$G$25,F$25,$G771=$G$26,F$26,$G771=$G$27,F$27,$G771=$G$29,F$29,$G771=$G$31,F$31,$G771=$G$32,F$32,$G771=$G$248,F$248,$G771=$G$250,F$250)</f>
        <v>8018</v>
      </c>
      <c r="G771" t="s">
        <v>71</v>
      </c>
      <c r="H771" s="67" cm="1">
        <f t="array" ref="H771">_xlfn.IFS($G771=$G$5,H$5,$G771=$G$6,H$6,$G771=$G$7,H$7,$G771=$G$8,H$8,$G771=$G$9,H$9,$G771=$G$10,H$10,$G771=$G$11,H$11,$G771=$G$12,H$12,$G771=$G$13,H$13,$G771=$G$15,H$15,$G771=$G$16,H$16,$G771=$G$17,H$17,$G771=$G$18,H$18,$G771=$G$19,H$19,$G771=$G$20,H$20,$G771=$G$21,H$21,$G771=$G$22,H$22,$G771=$G$25,H$25,$G771=$G$26,H$26,$G771=$G$27,H$27,$G771=$G$29,H$29,$G771=$G$31,H$31,$G771=$G$32,H$150,$G771=$G$248,H$248,$G771=$G$250,H$250)</f>
        <v>41.410684000000003</v>
      </c>
      <c r="I771" s="67" cm="1">
        <f t="array" ref="I771">_xlfn.IFS($G771=$G$5,I$5,$G771=$G$6,I$6,$G771=$G$7,I$7,$G771=$G$8,I$8,$G771=$G$9,I$9,$G771=$G$10,I$10,$G771=$G$11,I$11,$G771=$G$12,I$12,$G771=$G$13,I$13,$G771=$G$15,I$15,$G771=$G$16,I$16,$G771=$G$17,I$17,$G771=$G$18,I$18,$G771=$G$19,I$19,$G771=$G$20,I$20,$G771=$G$21,I$21,$G771=$G$22,I$22,$G771=$G$25,I$25,$G771=$G$26,I$26,$G771=$G$27,I$27,$G771=$G$29,I$29,$G771=$G$31,I$31,$G771=$G$32,I$150,$G771=$G$248,I$248,$G771=$G$250,I$250)</f>
        <v>2.2208019999999999</v>
      </c>
      <c r="J771" s="48" cm="1">
        <f t="array" ref="J771">_xlfn.IFS($G771=$G$5,J$5,$G771=$G$6,J$6,$G771=$G$7,J$7,$G771=$G$8,J$8,$G771=$G$9,J$9,$G771=$G$10,J$10,$G771=$G$11,J$11,$G771=$G$12,J$12,$G771=$G$13,J$13,$G771=$G$15,J$15,$G771=$G$16,J$16,$G771=$G$17,J$17,$G771=$G$18,J$18,$G771=$G$19,J$19,$G771=$G$20,J$20,$G771=$G$21,J$21,$G771=$G$22,J$22,$G771=$G$25,J$25,$G771=$G$26,J$26,$G771=$G$27,J$27,$G771=$G$29,J$29,$G771=$G$31,J$31,$G771=$G$32,J$150,$G771=$G$248,J$248,$G771=$G$250,J$250)</f>
        <v>4</v>
      </c>
      <c r="K771" s="48" t="str" cm="1">
        <f t="array" ref="K771">_xlfn.IFS($G771=$G$5,K$5,$G771=$G$6,K$6,$G771=$G$7,K$7,$G771=$G$8,K$8,$G771=$G$9,K$9,$G771=$G$10,K$10,$G771=$G$11,K$11,$G771=$G$12,K$12,$G771=$G$13,K$13,$G771=$G$15,K$15,$G771=$G$16,K$16,$G771=$G$17,K$17,$G771=$G$18,K$18,$G771=$G$19,K$19,$G771=$G$20,K$20,$G771=$G$21,K$21,$G771=$G$22,K$22,$G771=$G$25,K$25,$G771=$G$26,K$26,$G771=$G$27,K$27,$G771=$G$29,K$29,$G771=$G$31,K$31,$G771=$G$32,K$150,$G771=$G$248,K$248,$G771=$G$250,K$250)</f>
        <v>BG sentinel + BG lure7</v>
      </c>
      <c r="L771" s="48"/>
      <c r="M771" s="48"/>
      <c r="O771" s="45" t="str">
        <f t="shared" si="54"/>
        <v>A_SP_BCN_4_210923</v>
      </c>
      <c r="P771" s="64">
        <v>44462</v>
      </c>
      <c r="R771" s="72"/>
      <c r="S771" s="64">
        <v>44469</v>
      </c>
      <c r="U771" s="72"/>
      <c r="V771" s="54" t="s">
        <v>66</v>
      </c>
      <c r="X771" s="45">
        <f t="shared" si="55"/>
        <v>7</v>
      </c>
      <c r="Z771" s="45" t="s">
        <v>70</v>
      </c>
      <c r="AA771" s="45">
        <f t="shared" si="65"/>
        <v>6</v>
      </c>
      <c r="AB771" t="str">
        <f t="shared" si="63"/>
        <v>Adult</v>
      </c>
      <c r="AC771" s="69">
        <v>1</v>
      </c>
      <c r="AD771" s="69">
        <v>5</v>
      </c>
      <c r="AE771" s="45" t="str">
        <f t="shared" si="64"/>
        <v>Morphological</v>
      </c>
      <c r="AF771" s="56">
        <v>4</v>
      </c>
    </row>
    <row r="772" spans="1:32" ht="18" customHeight="1" x14ac:dyDescent="0.25">
      <c r="A772" s="45">
        <v>768</v>
      </c>
      <c r="B772" s="45" t="s">
        <v>60</v>
      </c>
      <c r="C772" s="45" t="s">
        <v>61</v>
      </c>
      <c r="D772" s="45" t="s">
        <v>62</v>
      </c>
      <c r="E772" s="45" t="s">
        <v>62</v>
      </c>
      <c r="F772" s="46" cm="1">
        <f t="array" ref="F772">_xlfn.IFS($G772=$G$5,F$5,$G772=$G$6,F$6,$G772=$G$7,F$7,$G772=$G$8,F$8,$G772=$G$9,F$9,$G772=$G$10,F$10,$G772=$G$11,F$11,$G772=$G$12,F$12,$G772=$G$13,F$13,$G772=$G$15,F$15,$G772=$G$16,F$16,$G772=$G$17,F$17,$G772=$G$18,F$18,$G772=$G$19,F$19,$G772=$G$20,F$20,$G772=$G$21,F$21,$G772=$G$22,F$22,$G772=$G$25,F$25,$G772=$G$26,F$26,$G772=$G$27,F$27,$G772=$G$29,F$29,$G772=$G$31,F$31,$G772=$G$32,F$32,$G772=$G$248,F$248,$G772=$G$250,F$250)</f>
        <v>8019</v>
      </c>
      <c r="G772" t="s">
        <v>72</v>
      </c>
      <c r="H772" s="67" cm="1">
        <f t="array" ref="H772">_xlfn.IFS($G772=$G$5,H$5,$G772=$G$6,H$6,$G772=$G$7,H$7,$G772=$G$8,H$8,$G772=$G$9,H$9,$G772=$G$10,H$10,$G772=$G$11,H$11,$G772=$G$12,H$12,$G772=$G$13,H$13,$G772=$G$15,H$15,$G772=$G$16,H$16,$G772=$G$17,H$17,$G772=$G$18,H$18,$G772=$G$19,H$19,$G772=$G$20,H$20,$G772=$G$21,H$21,$G772=$G$22,H$22,$G772=$G$25,H$25,$G772=$G$26,H$26,$G772=$G$27,H$27,$G772=$G$29,H$29,$G772=$G$31,H$31,$G772=$G$32,H$150,$G772=$G$248,H$248,$G772=$G$250,H$250)</f>
        <v>41.382339999999999</v>
      </c>
      <c r="I772" s="67" cm="1">
        <f t="array" ref="I772">_xlfn.IFS($G772=$G$5,I$5,$G772=$G$6,I$6,$G772=$G$7,I$7,$G772=$G$8,I$8,$G772=$G$9,I$9,$G772=$G$10,I$10,$G772=$G$11,I$11,$G772=$G$12,I$12,$G772=$G$13,I$13,$G772=$G$15,I$15,$G772=$G$16,I$16,$G772=$G$17,I$17,$G772=$G$18,I$18,$G772=$G$19,I$19,$G772=$G$20,I$20,$G772=$G$21,I$21,$G772=$G$22,I$22,$G772=$G$25,I$25,$G772=$G$26,I$26,$G772=$G$27,I$27,$G772=$G$29,I$29,$G772=$G$31,I$31,$G772=$G$32,I$150,$G772=$G$248,I$248,$G772=$G$250,I$250)</f>
        <v>2.1714790000000002</v>
      </c>
      <c r="J772" s="48" cm="1">
        <f t="array" ref="J772">_xlfn.IFS($G772=$G$5,J$5,$G772=$G$6,J$6,$G772=$G$7,J$7,$G772=$G$8,J$8,$G772=$G$9,J$9,$G772=$G$10,J$10,$G772=$G$11,J$11,$G772=$G$12,J$12,$G772=$G$13,J$13,$G772=$G$15,J$15,$G772=$G$16,J$16,$G772=$G$17,J$17,$G772=$G$18,J$18,$G772=$G$19,J$19,$G772=$G$20,J$20,$G772=$G$21,J$21,$G772=$G$22,J$22,$G772=$G$25,J$25,$G772=$G$26,J$26,$G772=$G$27,J$27,$G772=$G$29,J$29,$G772=$G$31,J$31,$G772=$G$32,J$150,$G772=$G$248,J$248,$G772=$G$250,J$250)</f>
        <v>18</v>
      </c>
      <c r="K772" s="48" t="str" cm="1">
        <f t="array" ref="K772">_xlfn.IFS($G772=$G$5,K$5,$G772=$G$6,K$6,$G772=$G$7,K$7,$G772=$G$8,K$8,$G772=$G$9,K$9,$G772=$G$10,K$10,$G772=$G$11,K$11,$G772=$G$12,K$12,$G772=$G$13,K$13,$G772=$G$15,K$15,$G772=$G$16,K$16,$G772=$G$17,K$17,$G772=$G$18,K$18,$G772=$G$19,K$19,$G772=$G$20,K$20,$G772=$G$21,K$21,$G772=$G$22,K$22,$G772=$G$25,K$25,$G772=$G$26,K$26,$G772=$G$27,K$27,$G772=$G$29,K$29,$G772=$G$31,K$31,$G772=$G$32,K$150,$G772=$G$248,K$248,$G772=$G$250,K$250)</f>
        <v>BG sentinel + BG lure7</v>
      </c>
      <c r="L772" s="48"/>
      <c r="M772" s="48"/>
      <c r="O772" s="45" t="str">
        <f t="shared" si="54"/>
        <v>A_SP_BCN_5_210923</v>
      </c>
      <c r="P772" s="64">
        <v>44462</v>
      </c>
      <c r="R772" s="72"/>
      <c r="S772" s="64">
        <v>44469</v>
      </c>
      <c r="U772" s="72"/>
      <c r="V772" s="54" t="s">
        <v>66</v>
      </c>
      <c r="X772" s="45">
        <f t="shared" si="55"/>
        <v>7</v>
      </c>
      <c r="Z772" s="45" t="s">
        <v>70</v>
      </c>
      <c r="AA772" s="45">
        <f t="shared" si="65"/>
        <v>1</v>
      </c>
      <c r="AB772" t="str">
        <f t="shared" si="63"/>
        <v>Adult</v>
      </c>
      <c r="AC772" s="69">
        <v>1</v>
      </c>
      <c r="AD772" s="69">
        <v>0</v>
      </c>
      <c r="AE772" s="45" t="str">
        <f t="shared" si="64"/>
        <v>Morphological</v>
      </c>
      <c r="AF772" s="56">
        <v>4</v>
      </c>
    </row>
    <row r="773" spans="1:32" ht="18" customHeight="1" x14ac:dyDescent="0.25">
      <c r="A773" s="45">
        <v>769</v>
      </c>
      <c r="B773" s="45" t="s">
        <v>60</v>
      </c>
      <c r="C773" s="45" t="s">
        <v>61</v>
      </c>
      <c r="D773" s="45" t="s">
        <v>62</v>
      </c>
      <c r="E773" s="45" t="s">
        <v>62</v>
      </c>
      <c r="F773" s="46" cm="1">
        <f t="array" ref="F773">_xlfn.IFS($G773=$G$5,F$5,$G773=$G$6,F$6,$G773=$G$7,F$7,$G773=$G$8,F$8,$G773=$G$9,F$9,$G773=$G$10,F$10,$G773=$G$11,F$11,$G773=$G$12,F$12,$G773=$G$13,F$13,$G773=$G$15,F$15,$G773=$G$16,F$16,$G773=$G$17,F$17,$G773=$G$18,F$18,$G773=$G$19,F$19,$G773=$G$20,F$20,$G773=$G$21,F$21,$G773=$G$22,F$22,$G773=$G$25,F$25,$G773=$G$26,F$26,$G773=$G$27,F$27,$G773=$G$29,F$29,$G773=$G$31,F$31,$G773=$G$32,F$32,$G773=$G$248,F$248,$G773=$G$250,F$250)</f>
        <v>8002</v>
      </c>
      <c r="G773" t="s">
        <v>73</v>
      </c>
      <c r="H773" s="67" cm="1">
        <f t="array" ref="H773">_xlfn.IFS($G773=$G$5,H$5,$G773=$G$6,H$6,$G773=$G$7,H$7,$G773=$G$8,H$8,$G773=$G$9,H$9,$G773=$G$10,H$10,$G773=$G$11,H$11,$G773=$G$12,H$12,$G773=$G$13,H$13,$G773=$G$15,H$15,$G773=$G$16,H$16,$G773=$G$17,H$17,$G773=$G$18,H$18,$G773=$G$19,H$19,$G773=$G$20,H$20,$G773=$G$21,H$21,$G773=$G$22,H$22,$G773=$G$25,H$25,$G773=$G$26,H$26,$G773=$G$27,H$27,$G773=$G$29,H$29,$G773=$G$31,H$31,$G773=$G$32,H$150,$G773=$G$248,H$248,$G773=$G$250,H$250)</f>
        <v>41.371864000000002</v>
      </c>
      <c r="I773" s="67" cm="1">
        <f t="array" ref="I773">_xlfn.IFS($G773=$G$5,I$5,$G773=$G$6,I$6,$G773=$G$7,I$7,$G773=$G$8,I$8,$G773=$G$9,I$9,$G773=$G$10,I$10,$G773=$G$11,I$11,$G773=$G$12,I$12,$G773=$G$13,I$13,$G773=$G$15,I$15,$G773=$G$16,I$16,$G773=$G$17,I$17,$G773=$G$18,I$18,$G773=$G$19,I$19,$G773=$G$20,I$20,$G773=$G$21,I$21,$G773=$G$22,I$22,$G773=$G$25,I$25,$G773=$G$26,I$26,$G773=$G$27,I$27,$G773=$G$29,I$29,$G773=$G$31,I$31,$G773=$G$32,I$150,$G773=$G$248,I$248,$G773=$G$250,I$250)</f>
        <v>2.173899</v>
      </c>
      <c r="J773" s="48" cm="1">
        <f t="array" ref="J773">_xlfn.IFS($G773=$G$5,J$5,$G773=$G$6,J$6,$G773=$G$7,J$7,$G773=$G$8,J$8,$G773=$G$9,J$9,$G773=$G$10,J$10,$G773=$G$11,J$11,$G773=$G$12,J$12,$G773=$G$13,J$13,$G773=$G$15,J$15,$G773=$G$16,J$16,$G773=$G$17,J$17,$G773=$G$18,J$18,$G773=$G$19,J$19,$G773=$G$20,J$20,$G773=$G$21,J$21,$G773=$G$22,J$22,$G773=$G$25,J$25,$G773=$G$26,J$26,$G773=$G$27,J$27,$G773=$G$29,J$29,$G773=$G$31,J$31,$G773=$G$32,J$150,$G773=$G$248,J$248,$G773=$G$250,J$250)</f>
        <v>19</v>
      </c>
      <c r="K773" s="48" t="str" cm="1">
        <f t="array" ref="K773">_xlfn.IFS($G773=$G$5,K$5,$G773=$G$6,K$6,$G773=$G$7,K$7,$G773=$G$8,K$8,$G773=$G$9,K$9,$G773=$G$10,K$10,$G773=$G$11,K$11,$G773=$G$12,K$12,$G773=$G$13,K$13,$G773=$G$15,K$15,$G773=$G$16,K$16,$G773=$G$17,K$17,$G773=$G$18,K$18,$G773=$G$19,K$19,$G773=$G$20,K$20,$G773=$G$21,K$21,$G773=$G$22,K$22,$G773=$G$25,K$25,$G773=$G$26,K$26,$G773=$G$27,K$27,$G773=$G$29,K$29,$G773=$G$31,K$31,$G773=$G$32,K$150,$G773=$G$248,K$248,$G773=$G$250,K$250)</f>
        <v>BG sentinel + BG lure7</v>
      </c>
      <c r="L773" s="48"/>
      <c r="M773" s="48"/>
      <c r="O773" s="45" t="str">
        <f t="shared" si="54"/>
        <v>A_SP_BCN_6_210923</v>
      </c>
      <c r="P773" s="64">
        <v>44462</v>
      </c>
      <c r="R773" s="72"/>
      <c r="S773" s="64">
        <v>44469</v>
      </c>
      <c r="U773" s="72"/>
      <c r="V773" s="54" t="s">
        <v>66</v>
      </c>
      <c r="X773" s="45">
        <f t="shared" si="55"/>
        <v>7</v>
      </c>
      <c r="Z773" s="69" t="s">
        <v>69</v>
      </c>
      <c r="AA773" s="45">
        <f t="shared" si="65"/>
        <v>4</v>
      </c>
      <c r="AB773" t="str">
        <f t="shared" si="63"/>
        <v>Adult</v>
      </c>
      <c r="AC773" s="69">
        <v>4</v>
      </c>
      <c r="AD773" s="69">
        <v>0</v>
      </c>
      <c r="AE773" s="45" t="str">
        <f t="shared" si="64"/>
        <v>Morphological</v>
      </c>
      <c r="AF773" s="56">
        <v>4</v>
      </c>
    </row>
    <row r="774" spans="1:32" ht="18" customHeight="1" x14ac:dyDescent="0.25">
      <c r="A774" s="45">
        <v>770</v>
      </c>
      <c r="B774" s="45" t="s">
        <v>60</v>
      </c>
      <c r="C774" s="45" t="s">
        <v>61</v>
      </c>
      <c r="D774" s="45" t="s">
        <v>62</v>
      </c>
      <c r="E774" s="45" t="s">
        <v>62</v>
      </c>
      <c r="F774" s="46" cm="1">
        <f t="array" ref="F774">_xlfn.IFS($G774=$G$5,F$5,$G774=$G$6,F$6,$G774=$G$7,F$7,$G774=$G$8,F$8,$G774=$G$9,F$9,$G774=$G$10,F$10,$G774=$G$11,F$11,$G774=$G$12,F$12,$G774=$G$13,F$13,$G774=$G$15,F$15,$G774=$G$16,F$16,$G774=$G$17,F$17,$G774=$G$18,F$18,$G774=$G$19,F$19,$G774=$G$20,F$20,$G774=$G$21,F$21,$G774=$G$22,F$22,$G774=$G$25,F$25,$G774=$G$26,F$26,$G774=$G$27,F$27,$G774=$G$29,F$29,$G774=$G$31,F$31,$G774=$G$32,F$32,$G774=$G$248,F$248,$G774=$G$250,F$250)</f>
        <v>8002</v>
      </c>
      <c r="G774" t="s">
        <v>73</v>
      </c>
      <c r="H774" s="67" cm="1">
        <f t="array" ref="H774">_xlfn.IFS($G774=$G$5,H$5,$G774=$G$6,H$6,$G774=$G$7,H$7,$G774=$G$8,H$8,$G774=$G$9,H$9,$G774=$G$10,H$10,$G774=$G$11,H$11,$G774=$G$12,H$12,$G774=$G$13,H$13,$G774=$G$15,H$15,$G774=$G$16,H$16,$G774=$G$17,H$17,$G774=$G$18,H$18,$G774=$G$19,H$19,$G774=$G$20,H$20,$G774=$G$21,H$21,$G774=$G$22,H$22,$G774=$G$25,H$25,$G774=$G$26,H$26,$G774=$G$27,H$27,$G774=$G$29,H$29,$G774=$G$31,H$31,$G774=$G$32,H$150,$G774=$G$248,H$248,$G774=$G$250,H$250)</f>
        <v>41.371864000000002</v>
      </c>
      <c r="I774" s="67" cm="1">
        <f t="array" ref="I774">_xlfn.IFS($G774=$G$5,I$5,$G774=$G$6,I$6,$G774=$G$7,I$7,$G774=$G$8,I$8,$G774=$G$9,I$9,$G774=$G$10,I$10,$G774=$G$11,I$11,$G774=$G$12,I$12,$G774=$G$13,I$13,$G774=$G$15,I$15,$G774=$G$16,I$16,$G774=$G$17,I$17,$G774=$G$18,I$18,$G774=$G$19,I$19,$G774=$G$20,I$20,$G774=$G$21,I$21,$G774=$G$22,I$22,$G774=$G$25,I$25,$G774=$G$26,I$26,$G774=$G$27,I$27,$G774=$G$29,I$29,$G774=$G$31,I$31,$G774=$G$32,I$150,$G774=$G$248,I$248,$G774=$G$250,I$250)</f>
        <v>2.173899</v>
      </c>
      <c r="J774" s="48" cm="1">
        <f t="array" ref="J774">_xlfn.IFS($G774=$G$5,J$5,$G774=$G$6,J$6,$G774=$G$7,J$7,$G774=$G$8,J$8,$G774=$G$9,J$9,$G774=$G$10,J$10,$G774=$G$11,J$11,$G774=$G$12,J$12,$G774=$G$13,J$13,$G774=$G$15,J$15,$G774=$G$16,J$16,$G774=$G$17,J$17,$G774=$G$18,J$18,$G774=$G$19,J$19,$G774=$G$20,J$20,$G774=$G$21,J$21,$G774=$G$22,J$22,$G774=$G$25,J$25,$G774=$G$26,J$26,$G774=$G$27,J$27,$G774=$G$29,J$29,$G774=$G$31,J$31,$G774=$G$32,J$150,$G774=$G$248,J$248,$G774=$G$250,J$250)</f>
        <v>19</v>
      </c>
      <c r="K774" s="48" t="str" cm="1">
        <f t="array" ref="K774">_xlfn.IFS($G774=$G$5,K$5,$G774=$G$6,K$6,$G774=$G$7,K$7,$G774=$G$8,K$8,$G774=$G$9,K$9,$G774=$G$10,K$10,$G774=$G$11,K$11,$G774=$G$12,K$12,$G774=$G$13,K$13,$G774=$G$15,K$15,$G774=$G$16,K$16,$G774=$G$17,K$17,$G774=$G$18,K$18,$G774=$G$19,K$19,$G774=$G$20,K$20,$G774=$G$21,K$21,$G774=$G$22,K$22,$G774=$G$25,K$25,$G774=$G$26,K$26,$G774=$G$27,K$27,$G774=$G$29,K$29,$G774=$G$31,K$31,$G774=$G$32,K$150,$G774=$G$248,K$248,$G774=$G$250,K$250)</f>
        <v>BG sentinel + BG lure7</v>
      </c>
      <c r="L774" s="48"/>
      <c r="M774" s="48"/>
      <c r="O774" s="45" t="str">
        <f t="shared" si="54"/>
        <v>A_SP_BCN_6_210923</v>
      </c>
      <c r="P774" s="64">
        <v>44462</v>
      </c>
      <c r="R774" s="72"/>
      <c r="S774" s="64">
        <v>44469</v>
      </c>
      <c r="U774" s="72"/>
      <c r="V774" s="54" t="s">
        <v>66</v>
      </c>
      <c r="X774" s="45">
        <f t="shared" si="55"/>
        <v>7</v>
      </c>
      <c r="Z774" s="45" t="s">
        <v>80</v>
      </c>
      <c r="AA774" s="45">
        <f t="shared" si="65"/>
        <v>1</v>
      </c>
      <c r="AB774" t="str">
        <f t="shared" si="63"/>
        <v>Adult</v>
      </c>
      <c r="AC774" s="69">
        <v>1</v>
      </c>
      <c r="AD774" s="69">
        <v>0</v>
      </c>
      <c r="AE774" s="45" t="str">
        <f t="shared" si="64"/>
        <v>Morphological</v>
      </c>
      <c r="AF774" s="56">
        <v>4</v>
      </c>
    </row>
    <row r="775" spans="1:32" ht="18" customHeight="1" x14ac:dyDescent="0.25">
      <c r="A775" s="45">
        <v>771</v>
      </c>
      <c r="B775" s="45" t="s">
        <v>60</v>
      </c>
      <c r="C775" s="45" t="s">
        <v>61</v>
      </c>
      <c r="D775" s="45" t="s">
        <v>62</v>
      </c>
      <c r="E775" s="45" t="s">
        <v>62</v>
      </c>
      <c r="F775" s="46" cm="1">
        <f t="array" ref="F775">_xlfn.IFS($G775=$G$5,F$5,$G775=$G$6,F$6,$G775=$G$7,F$7,$G775=$G$8,F$8,$G775=$G$9,F$9,$G775=$G$10,F$10,$G775=$G$11,F$11,$G775=$G$12,F$12,$G775=$G$13,F$13,$G775=$G$15,F$15,$G775=$G$16,F$16,$G775=$G$17,F$17,$G775=$G$18,F$18,$G775=$G$19,F$19,$G775=$G$20,F$20,$G775=$G$21,F$21,$G775=$G$22,F$22,$G775=$G$25,F$25,$G775=$G$26,F$26,$G775=$G$27,F$27,$G775=$G$29,F$29,$G775=$G$31,F$31,$G775=$G$32,F$32,$G775=$G$248,F$248,$G775=$G$250,F$250)</f>
        <v>8038</v>
      </c>
      <c r="G775" t="s">
        <v>74</v>
      </c>
      <c r="H775" s="67" cm="1">
        <f t="array" ref="H775">_xlfn.IFS($G775=$G$5,H$5,$G775=$G$6,H$6,$G775=$G$7,H$7,$G775=$G$8,H$8,$G775=$G$9,H$9,$G775=$G$10,H$10,$G775=$G$11,H$11,$G775=$G$12,H$12,$G775=$G$13,H$13,$G775=$G$15,H$15,$G775=$G$16,H$16,$G775=$G$17,H$17,$G775=$G$18,H$18,$G775=$G$19,H$19,$G775=$G$20,H$20,$G775=$G$21,H$21,$G775=$G$22,H$22,$G775=$G$25,H$25,$G775=$G$26,H$26,$G775=$G$27,H$27,$G775=$G$29,H$29,$G775=$G$31,H$31,$G775=$G$32,H$150,$G775=$G$248,H$248,$G775=$G$250,H$250)</f>
        <v>41.371864000000002</v>
      </c>
      <c r="I775" s="67" cm="1">
        <f t="array" ref="I775">_xlfn.IFS($G775=$G$5,I$5,$G775=$G$6,I$6,$G775=$G$7,I$7,$G775=$G$8,I$8,$G775=$G$9,I$9,$G775=$G$10,I$10,$G775=$G$11,I$11,$G775=$G$12,I$12,$G775=$G$13,I$13,$G775=$G$15,I$15,$G775=$G$16,I$16,$G775=$G$17,I$17,$G775=$G$18,I$18,$G775=$G$19,I$19,$G775=$G$20,I$20,$G775=$G$21,I$21,$G775=$G$22,I$22,$G775=$G$25,I$25,$G775=$G$26,I$26,$G775=$G$27,I$27,$G775=$G$29,I$29,$G775=$G$31,I$31,$G775=$G$32,I$150,$G775=$G$248,I$248,$G775=$G$250,I$250)</f>
        <v>2.173899</v>
      </c>
      <c r="J775" s="48" cm="1">
        <f t="array" ref="J775">_xlfn.IFS($G775=$G$5,J$5,$G775=$G$6,J$6,$G775=$G$7,J$7,$G775=$G$8,J$8,$G775=$G$9,J$9,$G775=$G$10,J$10,$G775=$G$11,J$11,$G775=$G$12,J$12,$G775=$G$13,J$13,$G775=$G$15,J$15,$G775=$G$16,J$16,$G775=$G$17,J$17,$G775=$G$18,J$18,$G775=$G$19,J$19,$G775=$G$20,J$20,$G775=$G$21,J$21,$G775=$G$22,J$22,$G775=$G$25,J$25,$G775=$G$26,J$26,$G775=$G$27,J$27,$G775=$G$29,J$29,$G775=$G$31,J$31,$G775=$G$32,J$150,$G775=$G$248,J$248,$G775=$G$250,J$250)</f>
        <v>5</v>
      </c>
      <c r="K775" s="48" t="str" cm="1">
        <f t="array" ref="K775">_xlfn.IFS($G775=$G$5,K$5,$G775=$G$6,K$6,$G775=$G$7,K$7,$G775=$G$8,K$8,$G775=$G$9,K$9,$G775=$G$10,K$10,$G775=$G$11,K$11,$G775=$G$12,K$12,$G775=$G$13,K$13,$G775=$G$15,K$15,$G775=$G$16,K$16,$G775=$G$17,K$17,$G775=$G$18,K$18,$G775=$G$19,K$19,$G775=$G$20,K$20,$G775=$G$21,K$21,$G775=$G$22,K$22,$G775=$G$25,K$25,$G775=$G$26,K$26,$G775=$G$27,K$27,$G775=$G$29,K$29,$G775=$G$31,K$31,$G775=$G$32,K$150,$G775=$G$248,K$248,$G775=$G$250,K$250)</f>
        <v>BG sentinel + BG lure7</v>
      </c>
      <c r="L775" s="48"/>
      <c r="M775" s="48"/>
      <c r="O775" s="45" t="str">
        <f t="shared" si="54"/>
        <v>A_SP_BCN_7_210923</v>
      </c>
      <c r="P775" s="64">
        <v>44462</v>
      </c>
      <c r="R775" s="72"/>
      <c r="S775" s="64">
        <v>44469</v>
      </c>
      <c r="U775" s="72"/>
      <c r="V775" s="54" t="s">
        <v>66</v>
      </c>
      <c r="X775" s="45">
        <f t="shared" si="55"/>
        <v>7</v>
      </c>
      <c r="Z775" s="69" t="s">
        <v>69</v>
      </c>
      <c r="AA775" s="45">
        <f t="shared" si="65"/>
        <v>14</v>
      </c>
      <c r="AB775" t="str">
        <f t="shared" si="63"/>
        <v>Adult</v>
      </c>
      <c r="AC775" s="69">
        <v>14</v>
      </c>
      <c r="AD775" s="69">
        <v>0</v>
      </c>
      <c r="AE775" s="45" t="str">
        <f t="shared" si="64"/>
        <v>Morphological</v>
      </c>
      <c r="AF775" s="56">
        <v>4</v>
      </c>
    </row>
    <row r="776" spans="1:32" ht="18" customHeight="1" x14ac:dyDescent="0.25">
      <c r="A776" s="45">
        <v>772</v>
      </c>
      <c r="B776" s="45" t="s">
        <v>60</v>
      </c>
      <c r="C776" s="45" t="s">
        <v>61</v>
      </c>
      <c r="D776" s="45" t="s">
        <v>62</v>
      </c>
      <c r="E776" s="45" t="s">
        <v>62</v>
      </c>
      <c r="F776" s="46" cm="1">
        <f t="array" ref="F776">_xlfn.IFS($G776=$G$5,F$5,$G776=$G$6,F$6,$G776=$G$7,F$7,$G776=$G$8,F$8,$G776=$G$9,F$9,$G776=$G$10,F$10,$G776=$G$11,F$11,$G776=$G$12,F$12,$G776=$G$13,F$13,$G776=$G$15,F$15,$G776=$G$16,F$16,$G776=$G$17,F$17,$G776=$G$18,F$18,$G776=$G$19,F$19,$G776=$G$20,F$20,$G776=$G$21,F$21,$G776=$G$22,F$22,$G776=$G$25,F$25,$G776=$G$26,F$26,$G776=$G$27,F$27,$G776=$G$29,F$29,$G776=$G$31,F$31,$G776=$G$32,F$32,$G776=$G$248,F$248,$G776=$G$250,F$250)</f>
        <v>8038</v>
      </c>
      <c r="G776" t="s">
        <v>74</v>
      </c>
      <c r="H776" s="67" cm="1">
        <f t="array" ref="H776">_xlfn.IFS($G776=$G$5,H$5,$G776=$G$6,H$6,$G776=$G$7,H$7,$G776=$G$8,H$8,$G776=$G$9,H$9,$G776=$G$10,H$10,$G776=$G$11,H$11,$G776=$G$12,H$12,$G776=$G$13,H$13,$G776=$G$15,H$15,$G776=$G$16,H$16,$G776=$G$17,H$17,$G776=$G$18,H$18,$G776=$G$19,H$19,$G776=$G$20,H$20,$G776=$G$21,H$21,$G776=$G$22,H$22,$G776=$G$25,H$25,$G776=$G$26,H$26,$G776=$G$27,H$27,$G776=$G$29,H$29,$G776=$G$31,H$31,$G776=$G$32,H$150,$G776=$G$248,H$248,$G776=$G$250,H$250)</f>
        <v>41.371864000000002</v>
      </c>
      <c r="I776" s="67" cm="1">
        <f t="array" ref="I776">_xlfn.IFS($G776=$G$5,I$5,$G776=$G$6,I$6,$G776=$G$7,I$7,$G776=$G$8,I$8,$G776=$G$9,I$9,$G776=$G$10,I$10,$G776=$G$11,I$11,$G776=$G$12,I$12,$G776=$G$13,I$13,$G776=$G$15,I$15,$G776=$G$16,I$16,$G776=$G$17,I$17,$G776=$G$18,I$18,$G776=$G$19,I$19,$G776=$G$20,I$20,$G776=$G$21,I$21,$G776=$G$22,I$22,$G776=$G$25,I$25,$G776=$G$26,I$26,$G776=$G$27,I$27,$G776=$G$29,I$29,$G776=$G$31,I$31,$G776=$G$32,I$150,$G776=$G$248,I$248,$G776=$G$250,I$250)</f>
        <v>2.173899</v>
      </c>
      <c r="J776" s="48" cm="1">
        <f t="array" ref="J776">_xlfn.IFS($G776=$G$5,J$5,$G776=$G$6,J$6,$G776=$G$7,J$7,$G776=$G$8,J$8,$G776=$G$9,J$9,$G776=$G$10,J$10,$G776=$G$11,J$11,$G776=$G$12,J$12,$G776=$G$13,J$13,$G776=$G$15,J$15,$G776=$G$16,J$16,$G776=$G$17,J$17,$G776=$G$18,J$18,$G776=$G$19,J$19,$G776=$G$20,J$20,$G776=$G$21,J$21,$G776=$G$22,J$22,$G776=$G$25,J$25,$G776=$G$26,J$26,$G776=$G$27,J$27,$G776=$G$29,J$29,$G776=$G$31,J$31,$G776=$G$32,J$150,$G776=$G$248,J$248,$G776=$G$250,J$250)</f>
        <v>5</v>
      </c>
      <c r="K776" s="48" t="str" cm="1">
        <f t="array" ref="K776">_xlfn.IFS($G776=$G$5,K$5,$G776=$G$6,K$6,$G776=$G$7,K$7,$G776=$G$8,K$8,$G776=$G$9,K$9,$G776=$G$10,K$10,$G776=$G$11,K$11,$G776=$G$12,K$12,$G776=$G$13,K$13,$G776=$G$15,K$15,$G776=$G$16,K$16,$G776=$G$17,K$17,$G776=$G$18,K$18,$G776=$G$19,K$19,$G776=$G$20,K$20,$G776=$G$21,K$21,$G776=$G$22,K$22,$G776=$G$25,K$25,$G776=$G$26,K$26,$G776=$G$27,K$27,$G776=$G$29,K$29,$G776=$G$31,K$31,$G776=$G$32,K$150,$G776=$G$248,K$248,$G776=$G$250,K$250)</f>
        <v>BG sentinel + BG lure7</v>
      </c>
      <c r="L776" s="48"/>
      <c r="M776" s="48"/>
      <c r="O776" s="45" t="str">
        <f t="shared" si="54"/>
        <v>A_SP_BCN_7_210923</v>
      </c>
      <c r="P776" s="64">
        <v>44462</v>
      </c>
      <c r="R776" s="72"/>
      <c r="S776" s="64">
        <v>44469</v>
      </c>
      <c r="U776" s="72"/>
      <c r="V776" s="54" t="s">
        <v>66</v>
      </c>
      <c r="X776" s="45">
        <f t="shared" si="55"/>
        <v>7</v>
      </c>
      <c r="Z776" s="45" t="s">
        <v>80</v>
      </c>
      <c r="AA776" s="45">
        <f t="shared" si="65"/>
        <v>3</v>
      </c>
      <c r="AB776" t="str">
        <f t="shared" si="63"/>
        <v>Adult</v>
      </c>
      <c r="AC776" s="69">
        <v>1</v>
      </c>
      <c r="AD776" s="69">
        <v>2</v>
      </c>
      <c r="AE776" s="45" t="str">
        <f t="shared" si="64"/>
        <v>Morphological</v>
      </c>
      <c r="AF776" s="56">
        <v>4</v>
      </c>
    </row>
    <row r="777" spans="1:32" ht="18" customHeight="1" x14ac:dyDescent="0.25">
      <c r="A777" s="45">
        <v>773</v>
      </c>
      <c r="B777" s="45" t="s">
        <v>60</v>
      </c>
      <c r="C777" s="45" t="s">
        <v>61</v>
      </c>
      <c r="D777" s="45" t="s">
        <v>62</v>
      </c>
      <c r="E777" s="45" t="s">
        <v>62</v>
      </c>
      <c r="F777" s="46" cm="1">
        <f t="array" ref="F777">_xlfn.IFS($G777=$G$5,F$5,$G777=$G$6,F$6,$G777=$G$7,F$7,$G777=$G$8,F$8,$G777=$G$9,F$9,$G777=$G$10,F$10,$G777=$G$11,F$11,$G777=$G$12,F$12,$G777=$G$13,F$13,$G777=$G$15,F$15,$G777=$G$16,F$16,$G777=$G$17,F$17,$G777=$G$18,F$18,$G777=$G$19,F$19,$G777=$G$20,F$20,$G777=$G$21,F$21,$G777=$G$22,F$22,$G777=$G$25,F$25,$G777=$G$26,F$26,$G777=$G$27,F$27,$G777=$G$29,F$29,$G777=$G$31,F$31,$G777=$G$32,F$32,$G777=$G$248,F$248,$G777=$G$250,F$250)</f>
        <v>8038</v>
      </c>
      <c r="G777" t="s">
        <v>75</v>
      </c>
      <c r="H777" s="67" cm="1">
        <f t="array" ref="H777">_xlfn.IFS($G777=$G$5,H$5,$G777=$G$6,H$6,$G777=$G$7,H$7,$G777=$G$8,H$8,$G777=$G$9,H$9,$G777=$G$10,H$10,$G777=$G$11,H$11,$G777=$G$12,H$12,$G777=$G$13,H$13,$G777=$G$15,H$15,$G777=$G$16,H$16,$G777=$G$17,H$17,$G777=$G$18,H$18,$G777=$G$19,H$19,$G777=$G$20,H$20,$G777=$G$21,H$21,$G777=$G$22,H$22,$G777=$G$25,H$25,$G777=$G$26,H$26,$G777=$G$27,H$27,$G777=$G$29,H$29,$G777=$G$31,H$31,$G777=$G$32,H$150,$G777=$G$248,H$248,$G777=$G$250,H$250)</f>
        <v>41.368589</v>
      </c>
      <c r="I777" s="67" cm="1">
        <f t="array" ref="I777">_xlfn.IFS($G777=$G$5,I$5,$G777=$G$6,I$6,$G777=$G$7,I$7,$G777=$G$8,I$8,$G777=$G$9,I$9,$G777=$G$10,I$10,$G777=$G$11,I$11,$G777=$G$12,I$12,$G777=$G$13,I$13,$G777=$G$15,I$15,$G777=$G$16,I$16,$G777=$G$17,I$17,$G777=$G$18,I$18,$G777=$G$19,I$19,$G777=$G$20,I$20,$G777=$G$21,I$21,$G777=$G$22,I$22,$G777=$G$25,I$25,$G777=$G$26,I$26,$G777=$G$27,I$27,$G777=$G$29,I$29,$G777=$G$31,I$31,$G777=$G$32,I$150,$G777=$G$248,I$248,$G777=$G$250,I$250)</f>
        <v>2.1620900000000001</v>
      </c>
      <c r="J777" s="48" cm="1">
        <f t="array" ref="J777">_xlfn.IFS($G777=$G$5,J$5,$G777=$G$6,J$6,$G777=$G$7,J$7,$G777=$G$8,J$8,$G777=$G$9,J$9,$G777=$G$10,J$10,$G777=$G$11,J$11,$G777=$G$12,J$12,$G777=$G$13,J$13,$G777=$G$15,J$15,$G777=$G$16,J$16,$G777=$G$17,J$17,$G777=$G$18,J$18,$G777=$G$19,J$19,$G777=$G$20,J$20,$G777=$G$21,J$21,$G777=$G$22,J$22,$G777=$G$25,J$25,$G777=$G$26,J$26,$G777=$G$27,J$27,$G777=$G$29,J$29,$G777=$G$31,J$31,$G777=$G$32,J$150,$G777=$G$248,J$248,$G777=$G$250,J$250)</f>
        <v>95</v>
      </c>
      <c r="K777" s="48" t="str" cm="1">
        <f t="array" ref="K777">_xlfn.IFS($G777=$G$5,K$5,$G777=$G$6,K$6,$G777=$G$7,K$7,$G777=$G$8,K$8,$G777=$G$9,K$9,$G777=$G$10,K$10,$G777=$G$11,K$11,$G777=$G$12,K$12,$G777=$G$13,K$13,$G777=$G$15,K$15,$G777=$G$16,K$16,$G777=$G$17,K$17,$G777=$G$18,K$18,$G777=$G$19,K$19,$G777=$G$20,K$20,$G777=$G$21,K$21,$G777=$G$22,K$22,$G777=$G$25,K$25,$G777=$G$26,K$26,$G777=$G$27,K$27,$G777=$G$29,K$29,$G777=$G$31,K$31,$G777=$G$32,K$150,$G777=$G$248,K$248,$G777=$G$250,K$250)</f>
        <v>BG sentinel + BG lure7</v>
      </c>
      <c r="L777" s="48"/>
      <c r="M777" s="48"/>
      <c r="O777" s="45" t="str">
        <f t="shared" si="54"/>
        <v>A_SP_BCN_8_210923</v>
      </c>
      <c r="P777" s="64">
        <v>44462</v>
      </c>
      <c r="R777" s="72"/>
      <c r="S777" s="64">
        <v>44469</v>
      </c>
      <c r="U777" s="72"/>
      <c r="V777" s="54" t="s">
        <v>66</v>
      </c>
      <c r="X777" s="45">
        <f t="shared" si="55"/>
        <v>7</v>
      </c>
      <c r="Z777" s="69" t="s">
        <v>69</v>
      </c>
      <c r="AA777" s="45">
        <f t="shared" si="65"/>
        <v>56</v>
      </c>
      <c r="AB777" t="str">
        <f t="shared" si="63"/>
        <v>Adult</v>
      </c>
      <c r="AC777" s="69">
        <v>46</v>
      </c>
      <c r="AD777" s="69">
        <v>10</v>
      </c>
      <c r="AE777" s="45" t="str">
        <f t="shared" si="64"/>
        <v>Morphological</v>
      </c>
      <c r="AF777" s="56">
        <v>4</v>
      </c>
    </row>
    <row r="778" spans="1:32" ht="18" customHeight="1" x14ac:dyDescent="0.25">
      <c r="A778" s="45">
        <v>774</v>
      </c>
      <c r="B778" s="45" t="s">
        <v>60</v>
      </c>
      <c r="C778" s="45" t="s">
        <v>61</v>
      </c>
      <c r="D778" s="45" t="s">
        <v>62</v>
      </c>
      <c r="E778" s="45" t="s">
        <v>62</v>
      </c>
      <c r="F778" s="46" cm="1">
        <f t="array" ref="F778">_xlfn.IFS($G778=$G$5,F$5,$G778=$G$6,F$6,$G778=$G$7,F$7,$G778=$G$8,F$8,$G778=$G$9,F$9,$G778=$G$10,F$10,$G778=$G$11,F$11,$G778=$G$12,F$12,$G778=$G$13,F$13,$G778=$G$15,F$15,$G778=$G$16,F$16,$G778=$G$17,F$17,$G778=$G$18,F$18,$G778=$G$19,F$19,$G778=$G$20,F$20,$G778=$G$21,F$21,$G778=$G$22,F$22,$G778=$G$25,F$25,$G778=$G$26,F$26,$G778=$G$27,F$27,$G778=$G$29,F$29,$G778=$G$31,F$31,$G778=$G$32,F$32,$G778=$G$248,F$248,$G778=$G$250,F$250)</f>
        <v>8038</v>
      </c>
      <c r="G778" t="s">
        <v>75</v>
      </c>
      <c r="H778" s="67" cm="1">
        <f t="array" ref="H778">_xlfn.IFS($G778=$G$5,H$5,$G778=$G$6,H$6,$G778=$G$7,H$7,$G778=$G$8,H$8,$G778=$G$9,H$9,$G778=$G$10,H$10,$G778=$G$11,H$11,$G778=$G$12,H$12,$G778=$G$13,H$13,$G778=$G$15,H$15,$G778=$G$16,H$16,$G778=$G$17,H$17,$G778=$G$18,H$18,$G778=$G$19,H$19,$G778=$G$20,H$20,$G778=$G$21,H$21,$G778=$G$22,H$22,$G778=$G$25,H$25,$G778=$G$26,H$26,$G778=$G$27,H$27,$G778=$G$29,H$29,$G778=$G$31,H$31,$G778=$G$32,H$150,$G778=$G$248,H$248,$G778=$G$250,H$250)</f>
        <v>41.368589</v>
      </c>
      <c r="I778" s="67" cm="1">
        <f t="array" ref="I778">_xlfn.IFS($G778=$G$5,I$5,$G778=$G$6,I$6,$G778=$G$7,I$7,$G778=$G$8,I$8,$G778=$G$9,I$9,$G778=$G$10,I$10,$G778=$G$11,I$11,$G778=$G$12,I$12,$G778=$G$13,I$13,$G778=$G$15,I$15,$G778=$G$16,I$16,$G778=$G$17,I$17,$G778=$G$18,I$18,$G778=$G$19,I$19,$G778=$G$20,I$20,$G778=$G$21,I$21,$G778=$G$22,I$22,$G778=$G$25,I$25,$G778=$G$26,I$26,$G778=$G$27,I$27,$G778=$G$29,I$29,$G778=$G$31,I$31,$G778=$G$32,I$150,$G778=$G$248,I$248,$G778=$G$250,I$250)</f>
        <v>2.1620900000000001</v>
      </c>
      <c r="J778" s="48" cm="1">
        <f t="array" ref="J778">_xlfn.IFS($G778=$G$5,J$5,$G778=$G$6,J$6,$G778=$G$7,J$7,$G778=$G$8,J$8,$G778=$G$9,J$9,$G778=$G$10,J$10,$G778=$G$11,J$11,$G778=$G$12,J$12,$G778=$G$13,J$13,$G778=$G$15,J$15,$G778=$G$16,J$16,$G778=$G$17,J$17,$G778=$G$18,J$18,$G778=$G$19,J$19,$G778=$G$20,J$20,$G778=$G$21,J$21,$G778=$G$22,J$22,$G778=$G$25,J$25,$G778=$G$26,J$26,$G778=$G$27,J$27,$G778=$G$29,J$29,$G778=$G$31,J$31,$G778=$G$32,J$150,$G778=$G$248,J$248,$G778=$G$250,J$250)</f>
        <v>95</v>
      </c>
      <c r="K778" s="48" t="str" cm="1">
        <f t="array" ref="K778">_xlfn.IFS($G778=$G$5,K$5,$G778=$G$6,K$6,$G778=$G$7,K$7,$G778=$G$8,K$8,$G778=$G$9,K$9,$G778=$G$10,K$10,$G778=$G$11,K$11,$G778=$G$12,K$12,$G778=$G$13,K$13,$G778=$G$15,K$15,$G778=$G$16,K$16,$G778=$G$17,K$17,$G778=$G$18,K$18,$G778=$G$19,K$19,$G778=$G$20,K$20,$G778=$G$21,K$21,$G778=$G$22,K$22,$G778=$G$25,K$25,$G778=$G$26,K$26,$G778=$G$27,K$27,$G778=$G$29,K$29,$G778=$G$31,K$31,$G778=$G$32,K$150,$G778=$G$248,K$248,$G778=$G$250,K$250)</f>
        <v>BG sentinel + BG lure7</v>
      </c>
      <c r="L778" s="48"/>
      <c r="M778" s="48"/>
      <c r="O778" s="45" t="str">
        <f t="shared" si="54"/>
        <v>A_SP_BCN_8_210923</v>
      </c>
      <c r="P778" s="64">
        <v>44462</v>
      </c>
      <c r="R778" s="72"/>
      <c r="S778" s="64">
        <v>44469</v>
      </c>
      <c r="U778" s="72"/>
      <c r="V778" s="54" t="s">
        <v>66</v>
      </c>
      <c r="X778" s="45">
        <f t="shared" si="55"/>
        <v>7</v>
      </c>
      <c r="Z778" s="45" t="s">
        <v>70</v>
      </c>
      <c r="AA778" s="45">
        <f t="shared" si="65"/>
        <v>5</v>
      </c>
      <c r="AB778" t="str">
        <f t="shared" si="63"/>
        <v>Adult</v>
      </c>
      <c r="AC778" s="69">
        <v>5</v>
      </c>
      <c r="AD778" s="69">
        <v>0</v>
      </c>
      <c r="AE778" s="45" t="str">
        <f t="shared" si="64"/>
        <v>Morphological</v>
      </c>
      <c r="AF778" s="56">
        <v>4</v>
      </c>
    </row>
    <row r="779" spans="1:32" ht="18" customHeight="1" x14ac:dyDescent="0.25">
      <c r="A779" s="45">
        <v>775</v>
      </c>
      <c r="B779" s="45" t="s">
        <v>60</v>
      </c>
      <c r="C779" s="45" t="s">
        <v>61</v>
      </c>
      <c r="D779" s="45" t="s">
        <v>62</v>
      </c>
      <c r="E779" s="45" t="s">
        <v>62</v>
      </c>
      <c r="F779" s="46" cm="1">
        <f t="array" ref="F779">_xlfn.IFS($G779=$G$5,F$5,$G779=$G$6,F$6,$G779=$G$7,F$7,$G779=$G$8,F$8,$G779=$G$9,F$9,$G779=$G$10,F$10,$G779=$G$11,F$11,$G779=$G$12,F$12,$G779=$G$13,F$13,$G779=$G$15,F$15,$G779=$G$16,F$16,$G779=$G$17,F$17,$G779=$G$18,F$18,$G779=$G$19,F$19,$G779=$G$20,F$20,$G779=$G$21,F$21,$G779=$G$22,F$22,$G779=$G$25,F$25,$G779=$G$26,F$26,$G779=$G$27,F$27,$G779=$G$29,F$29,$G779=$G$31,F$31,$G779=$G$32,F$32,$G779=$G$248,F$248,$G779=$G$250,F$250)</f>
        <v>8038</v>
      </c>
      <c r="G779" t="s">
        <v>75</v>
      </c>
      <c r="H779" s="67" cm="1">
        <f t="array" ref="H779">_xlfn.IFS($G779=$G$5,H$5,$G779=$G$6,H$6,$G779=$G$7,H$7,$G779=$G$8,H$8,$G779=$G$9,H$9,$G779=$G$10,H$10,$G779=$G$11,H$11,$G779=$G$12,H$12,$G779=$G$13,H$13,$G779=$G$15,H$15,$G779=$G$16,H$16,$G779=$G$17,H$17,$G779=$G$18,H$18,$G779=$G$19,H$19,$G779=$G$20,H$20,$G779=$G$21,H$21,$G779=$G$22,H$22,$G779=$G$25,H$25,$G779=$G$26,H$26,$G779=$G$27,H$27,$G779=$G$29,H$29,$G779=$G$31,H$31,$G779=$G$32,H$150,$G779=$G$248,H$248,$G779=$G$250,H$250)</f>
        <v>41.368589</v>
      </c>
      <c r="I779" s="67" cm="1">
        <f t="array" ref="I779">_xlfn.IFS($G779=$G$5,I$5,$G779=$G$6,I$6,$G779=$G$7,I$7,$G779=$G$8,I$8,$G779=$G$9,I$9,$G779=$G$10,I$10,$G779=$G$11,I$11,$G779=$G$12,I$12,$G779=$G$13,I$13,$G779=$G$15,I$15,$G779=$G$16,I$16,$G779=$G$17,I$17,$G779=$G$18,I$18,$G779=$G$19,I$19,$G779=$G$20,I$20,$G779=$G$21,I$21,$G779=$G$22,I$22,$G779=$G$25,I$25,$G779=$G$26,I$26,$G779=$G$27,I$27,$G779=$G$29,I$29,$G779=$G$31,I$31,$G779=$G$32,I$150,$G779=$G$248,I$248,$G779=$G$250,I$250)</f>
        <v>2.1620900000000001</v>
      </c>
      <c r="J779" s="48" cm="1">
        <f t="array" ref="J779">_xlfn.IFS($G779=$G$5,J$5,$G779=$G$6,J$6,$G779=$G$7,J$7,$G779=$G$8,J$8,$G779=$G$9,J$9,$G779=$G$10,J$10,$G779=$G$11,J$11,$G779=$G$12,J$12,$G779=$G$13,J$13,$G779=$G$15,J$15,$G779=$G$16,J$16,$G779=$G$17,J$17,$G779=$G$18,J$18,$G779=$G$19,J$19,$G779=$G$20,J$20,$G779=$G$21,J$21,$G779=$G$22,J$22,$G779=$G$25,J$25,$G779=$G$26,J$26,$G779=$G$27,J$27,$G779=$G$29,J$29,$G779=$G$31,J$31,$G779=$G$32,J$150,$G779=$G$248,J$248,$G779=$G$250,J$250)</f>
        <v>95</v>
      </c>
      <c r="K779" s="48" t="str" cm="1">
        <f t="array" ref="K779">_xlfn.IFS($G779=$G$5,K$5,$G779=$G$6,K$6,$G779=$G$7,K$7,$G779=$G$8,K$8,$G779=$G$9,K$9,$G779=$G$10,K$10,$G779=$G$11,K$11,$G779=$G$12,K$12,$G779=$G$13,K$13,$G779=$G$15,K$15,$G779=$G$16,K$16,$G779=$G$17,K$17,$G779=$G$18,K$18,$G779=$G$19,K$19,$G779=$G$20,K$20,$G779=$G$21,K$21,$G779=$G$22,K$22,$G779=$G$25,K$25,$G779=$G$26,K$26,$G779=$G$27,K$27,$G779=$G$29,K$29,$G779=$G$31,K$31,$G779=$G$32,K$150,$G779=$G$248,K$248,$G779=$G$250,K$250)</f>
        <v>BG sentinel + BG lure7</v>
      </c>
      <c r="L779" s="48"/>
      <c r="M779" s="48"/>
      <c r="O779" s="45" t="str">
        <f t="shared" si="54"/>
        <v>A_SP_BCN_8_210923</v>
      </c>
      <c r="P779" s="64">
        <v>44462</v>
      </c>
      <c r="R779" s="72"/>
      <c r="S779" s="64">
        <v>44469</v>
      </c>
      <c r="U779" s="72"/>
      <c r="V779" s="54" t="s">
        <v>66</v>
      </c>
      <c r="X779" s="45">
        <f t="shared" si="55"/>
        <v>7</v>
      </c>
      <c r="Z779" s="45" t="s">
        <v>80</v>
      </c>
      <c r="AA779" s="45">
        <f t="shared" si="65"/>
        <v>1</v>
      </c>
      <c r="AB779" t="str">
        <f t="shared" si="63"/>
        <v>Adult</v>
      </c>
      <c r="AC779" s="69">
        <v>0</v>
      </c>
      <c r="AD779" s="69">
        <v>1</v>
      </c>
      <c r="AE779" s="45" t="str">
        <f t="shared" si="64"/>
        <v>Morphological</v>
      </c>
      <c r="AF779" s="56">
        <v>4</v>
      </c>
    </row>
    <row r="780" spans="1:32" ht="18" customHeight="1" x14ac:dyDescent="0.25">
      <c r="A780" s="45">
        <v>776</v>
      </c>
      <c r="B780" s="45" t="s">
        <v>60</v>
      </c>
      <c r="C780" s="45" t="s">
        <v>61</v>
      </c>
      <c r="D780" s="45" t="s">
        <v>62</v>
      </c>
      <c r="E780" s="45" t="s">
        <v>62</v>
      </c>
      <c r="F780" s="46" cm="1">
        <f t="array" ref="F780">_xlfn.IFS($G780=$G$5,F$5,$G780=$G$6,F$6,$G780=$G$7,F$7,$G780=$G$8,F$8,$G780=$G$9,F$9,$G780=$G$10,F$10,$G780=$G$11,F$11,$G780=$G$12,F$12,$G780=$G$13,F$13,$G780=$G$15,F$15,$G780=$G$16,F$16,$G780=$G$17,F$17,$G780=$G$18,F$18,$G780=$G$19,F$19,$G780=$G$20,F$20,$G780=$G$21,F$21,$G780=$G$22,F$22,$G780=$G$25,F$25,$G780=$G$26,F$26,$G780=$G$27,F$27,$G780=$G$29,F$29,$G780=$G$31,F$31,$G780=$G$32,F$32,$G780=$G$248,F$248,$G780=$G$250,F$250)</f>
        <v>8034</v>
      </c>
      <c r="G780" t="s">
        <v>78</v>
      </c>
      <c r="H780" s="67" cm="1">
        <f t="array" ref="H780">_xlfn.IFS($G780=$G$5,H$5,$G780=$G$6,H$6,$G780=$G$7,H$7,$G780=$G$8,H$8,$G780=$G$9,H$9,$G780=$G$10,H$10,$G780=$G$11,H$11,$G780=$G$12,H$12,$G780=$G$13,H$13,$G780=$G$15,H$15,$G780=$G$16,H$16,$G780=$G$17,H$17,$G780=$G$18,H$18,$G780=$G$19,H$19,$G780=$G$20,H$20,$G780=$G$21,H$21,$G780=$G$22,H$22,$G780=$G$25,H$25,$G780=$G$26,H$26,$G780=$G$27,H$27,$G780=$G$29,H$29,$G780=$G$31,H$31,$G780=$G$32,H$150,$G780=$G$248,H$248,$G780=$G$250,H$250)</f>
        <v>41.393644999999999</v>
      </c>
      <c r="I780" s="67" cm="1">
        <f t="array" ref="I780">_xlfn.IFS($G780=$G$5,I$5,$G780=$G$6,I$6,$G780=$G$7,I$7,$G780=$G$8,I$8,$G780=$G$9,I$9,$G780=$G$10,I$10,$G780=$G$11,I$11,$G780=$G$12,I$12,$G780=$G$13,I$13,$G780=$G$15,I$15,$G780=$G$16,I$16,$G780=$G$17,I$17,$G780=$G$18,I$18,$G780=$G$19,I$19,$G780=$G$20,I$20,$G780=$G$21,I$21,$G780=$G$22,I$22,$G780=$G$25,I$25,$G780=$G$26,I$26,$G780=$G$27,I$27,$G780=$G$29,I$29,$G780=$G$31,I$31,$G780=$G$32,I$150,$G780=$G$248,I$248,$G780=$G$250,I$250)</f>
        <v>2.1216780000000002</v>
      </c>
      <c r="J780" s="48" cm="1">
        <f t="array" ref="J780">_xlfn.IFS($G780=$G$5,J$5,$G780=$G$6,J$6,$G780=$G$7,J$7,$G780=$G$8,J$8,$G780=$G$9,J$9,$G780=$G$10,J$10,$G780=$G$11,J$11,$G780=$G$12,J$12,$G780=$G$13,J$13,$G780=$G$15,J$15,$G780=$G$16,J$16,$G780=$G$17,J$17,$G780=$G$18,J$18,$G780=$G$19,J$19,$G780=$G$20,J$20,$G780=$G$21,J$21,$G780=$G$22,J$22,$G780=$G$25,J$25,$G780=$G$26,J$26,$G780=$G$27,J$27,$G780=$G$29,J$29,$G780=$G$31,J$31,$G780=$G$32,J$150,$G780=$G$248,J$248,$G780=$G$250,J$250)</f>
        <v>98</v>
      </c>
      <c r="K780" s="48" t="str" cm="1">
        <f t="array" ref="K780">_xlfn.IFS($G780=$G$5,K$5,$G780=$G$6,K$6,$G780=$G$7,K$7,$G780=$G$8,K$8,$G780=$G$9,K$9,$G780=$G$10,K$10,$G780=$G$11,K$11,$G780=$G$12,K$12,$G780=$G$13,K$13,$G780=$G$15,K$15,$G780=$G$16,K$16,$G780=$G$17,K$17,$G780=$G$18,K$18,$G780=$G$19,K$19,$G780=$G$20,K$20,$G780=$G$21,K$21,$G780=$G$22,K$22,$G780=$G$25,K$25,$G780=$G$26,K$26,$G780=$G$27,K$27,$G780=$G$29,K$29,$G780=$G$31,K$31,$G780=$G$32,K$150,$G780=$G$248,K$248,$G780=$G$250,K$250)</f>
        <v>BG sentinel + BG lure7</v>
      </c>
      <c r="L780" s="48"/>
      <c r="M780" s="48"/>
      <c r="O780" s="45" t="str">
        <f t="shared" si="54"/>
        <v>A_SP_BCN_9_210922</v>
      </c>
      <c r="P780" s="64">
        <v>44461</v>
      </c>
      <c r="R780" s="72"/>
      <c r="S780" s="64">
        <v>44468</v>
      </c>
      <c r="U780" s="72"/>
      <c r="V780" s="54" t="s">
        <v>66</v>
      </c>
      <c r="X780" s="45">
        <f t="shared" si="55"/>
        <v>7</v>
      </c>
      <c r="Z780" s="69" t="s">
        <v>69</v>
      </c>
      <c r="AA780" s="45">
        <f t="shared" si="65"/>
        <v>3</v>
      </c>
      <c r="AB780" t="str">
        <f t="shared" si="63"/>
        <v>Adult</v>
      </c>
      <c r="AC780" s="69">
        <v>3</v>
      </c>
      <c r="AD780" s="69">
        <v>0</v>
      </c>
      <c r="AE780" s="45" t="str">
        <f t="shared" si="64"/>
        <v>Morphological</v>
      </c>
      <c r="AF780" s="56">
        <v>4</v>
      </c>
    </row>
    <row r="781" spans="1:32" ht="18" customHeight="1" x14ac:dyDescent="0.25">
      <c r="A781" s="45">
        <v>777</v>
      </c>
      <c r="B781" s="45" t="s">
        <v>60</v>
      </c>
      <c r="C781" s="45" t="s">
        <v>61</v>
      </c>
      <c r="D781" s="45" t="s">
        <v>62</v>
      </c>
      <c r="E781" s="45" t="s">
        <v>62</v>
      </c>
      <c r="F781" s="46" cm="1">
        <f t="array" ref="F781">_xlfn.IFS($G781=$G$5,F$5,$G781=$G$6,F$6,$G781=$G$7,F$7,$G781=$G$8,F$8,$G781=$G$9,F$9,$G781=$G$10,F$10,$G781=$G$11,F$11,$G781=$G$12,F$12,$G781=$G$13,F$13,$G781=$G$15,F$15,$G781=$G$16,F$16,$G781=$G$17,F$17,$G781=$G$18,F$18,$G781=$G$19,F$19,$G781=$G$20,F$20,$G781=$G$21,F$21,$G781=$G$22,F$22,$G781=$G$25,F$25,$G781=$G$26,F$26,$G781=$G$27,F$27,$G781=$G$29,F$29,$G781=$G$31,F$31,$G781=$G$32,F$32,$G781=$G$248,F$248,$G781=$G$250,F$250)</f>
        <v>8034</v>
      </c>
      <c r="G781" t="s">
        <v>78</v>
      </c>
      <c r="H781" s="67" cm="1">
        <f t="array" ref="H781">_xlfn.IFS($G781=$G$5,H$5,$G781=$G$6,H$6,$G781=$G$7,H$7,$G781=$G$8,H$8,$G781=$G$9,H$9,$G781=$G$10,H$10,$G781=$G$11,H$11,$G781=$G$12,H$12,$G781=$G$13,H$13,$G781=$G$15,H$15,$G781=$G$16,H$16,$G781=$G$17,H$17,$G781=$G$18,H$18,$G781=$G$19,H$19,$G781=$G$20,H$20,$G781=$G$21,H$21,$G781=$G$22,H$22,$G781=$G$25,H$25,$G781=$G$26,H$26,$G781=$G$27,H$27,$G781=$G$29,H$29,$G781=$G$31,H$31,$G781=$G$32,H$150,$G781=$G$248,H$248,$G781=$G$250,H$250)</f>
        <v>41.393644999999999</v>
      </c>
      <c r="I781" s="67" cm="1">
        <f t="array" ref="I781">_xlfn.IFS($G781=$G$5,I$5,$G781=$G$6,I$6,$G781=$G$7,I$7,$G781=$G$8,I$8,$G781=$G$9,I$9,$G781=$G$10,I$10,$G781=$G$11,I$11,$G781=$G$12,I$12,$G781=$G$13,I$13,$G781=$G$15,I$15,$G781=$G$16,I$16,$G781=$G$17,I$17,$G781=$G$18,I$18,$G781=$G$19,I$19,$G781=$G$20,I$20,$G781=$G$21,I$21,$G781=$G$22,I$22,$G781=$G$25,I$25,$G781=$G$26,I$26,$G781=$G$27,I$27,$G781=$G$29,I$29,$G781=$G$31,I$31,$G781=$G$32,I$150,$G781=$G$248,I$248,$G781=$G$250,I$250)</f>
        <v>2.1216780000000002</v>
      </c>
      <c r="J781" s="48" cm="1">
        <f t="array" ref="J781">_xlfn.IFS($G781=$G$5,J$5,$G781=$G$6,J$6,$G781=$G$7,J$7,$G781=$G$8,J$8,$G781=$G$9,J$9,$G781=$G$10,J$10,$G781=$G$11,J$11,$G781=$G$12,J$12,$G781=$G$13,J$13,$G781=$G$15,J$15,$G781=$G$16,J$16,$G781=$G$17,J$17,$G781=$G$18,J$18,$G781=$G$19,J$19,$G781=$G$20,J$20,$G781=$G$21,J$21,$G781=$G$22,J$22,$G781=$G$25,J$25,$G781=$G$26,J$26,$G781=$G$27,J$27,$G781=$G$29,J$29,$G781=$G$31,J$31,$G781=$G$32,J$150,$G781=$G$248,J$248,$G781=$G$250,J$250)</f>
        <v>98</v>
      </c>
      <c r="K781" s="48" t="str" cm="1">
        <f t="array" ref="K781">_xlfn.IFS($G781=$G$5,K$5,$G781=$G$6,K$6,$G781=$G$7,K$7,$G781=$G$8,K$8,$G781=$G$9,K$9,$G781=$G$10,K$10,$G781=$G$11,K$11,$G781=$G$12,K$12,$G781=$G$13,K$13,$G781=$G$15,K$15,$G781=$G$16,K$16,$G781=$G$17,K$17,$G781=$G$18,K$18,$G781=$G$19,K$19,$G781=$G$20,K$20,$G781=$G$21,K$21,$G781=$G$22,K$22,$G781=$G$25,K$25,$G781=$G$26,K$26,$G781=$G$27,K$27,$G781=$G$29,K$29,$G781=$G$31,K$31,$G781=$G$32,K$150,$G781=$G$248,K$248,$G781=$G$250,K$250)</f>
        <v>BG sentinel + BG lure7</v>
      </c>
      <c r="L781" s="48" t="str" cm="1">
        <f t="array" ref="L781">_xlfn.IFS($G781=$G$5,L$5,$G781=$G$6,L$6,$G781=$G$7,L$7,$G781=$G$8,L$8,$G781=$G$9,L$9,$G781=$G$10,L$10,$G781=$G$11,L$11,$G781=$G$12,L$12,$G781=$G$13,L$13,$G781=$G$15,L$15,$G781=$G$16,L$16,$G781=$G$17,L$17,$G781=$G$18,L$18,$G781=$G$19,L$19,$G781=$G$20,L$20,$G781=$G$21,L$21,$G781=$G$22,L$22,$G781=$G$25,L$25,$G781=$G$26,L$26,$G781=$G$27,L$27,$G781=$G$29,L$29,$G781=$G$31,L$31,$G781=$G$32,L$32,$G781=$G$248,L$248,$G781=$G$250,L$250)</f>
        <v>Other</v>
      </c>
      <c r="M781" s="48"/>
      <c r="O781" s="45" t="str">
        <f t="shared" si="54"/>
        <v>A_SP_BCN_9_210922</v>
      </c>
      <c r="P781" s="64">
        <v>44461</v>
      </c>
      <c r="R781" s="72"/>
      <c r="S781" s="64">
        <v>44468</v>
      </c>
      <c r="U781" s="72"/>
      <c r="V781" s="54" t="s">
        <v>66</v>
      </c>
      <c r="X781" s="45">
        <f t="shared" si="55"/>
        <v>7</v>
      </c>
      <c r="Z781" s="45" t="s">
        <v>80</v>
      </c>
      <c r="AA781" s="45">
        <f t="shared" si="65"/>
        <v>1</v>
      </c>
      <c r="AB781" t="str">
        <f t="shared" si="63"/>
        <v>Adult</v>
      </c>
      <c r="AC781" s="69">
        <v>0</v>
      </c>
      <c r="AD781" s="69">
        <v>1</v>
      </c>
      <c r="AE781" s="45" t="str">
        <f t="shared" si="64"/>
        <v>Morphological</v>
      </c>
      <c r="AF781" s="56">
        <v>4</v>
      </c>
    </row>
    <row r="782" spans="1:32" ht="18" customHeight="1" x14ac:dyDescent="0.25">
      <c r="A782" s="45">
        <v>778</v>
      </c>
      <c r="B782" s="45" t="s">
        <v>60</v>
      </c>
      <c r="C782" s="45" t="s">
        <v>61</v>
      </c>
      <c r="D782" s="45" t="s">
        <v>62</v>
      </c>
      <c r="E782" s="45" t="s">
        <v>62</v>
      </c>
      <c r="F782" s="46" cm="1">
        <f t="array" ref="F782">_xlfn.IFS($G782=$G$5,F$5,$G782=$G$6,F$6,$G782=$G$7,F$7,$G782=$G$8,F$8,$G782=$G$9,F$9,$G782=$G$10,F$10,$G782=$G$11,F$11,$G782=$G$12,F$12,$G782=$G$13,F$13,$G782=$G$15,F$15,$G782=$G$16,F$16,$G782=$G$17,F$17,$G782=$G$18,F$18,$G782=$G$19,F$19,$G782=$G$20,F$20,$G782=$G$21,F$21,$G782=$G$22,F$22,$G782=$G$25,F$25,$G782=$G$26,F$26,$G782=$G$27,F$27,$G782=$G$29,F$29,$G782=$G$31,F$31,$G782=$G$32,F$32,$G782=$G$248,F$248,$G782=$G$250,F$250)</f>
        <v>8040</v>
      </c>
      <c r="G782" t="s">
        <v>81</v>
      </c>
      <c r="H782" s="67" cm="1">
        <f t="array" ref="H782">_xlfn.IFS($G782=$G$5,H$5,$G782=$G$6,H$6,$G782=$G$7,H$7,$G782=$G$8,H$8,$G782=$G$9,H$9,$G782=$G$10,H$10,$G782=$G$11,H$11,$G782=$G$12,H$12,$G782=$G$13,H$13,$G782=$G$15,H$15,$G782=$G$16,H$16,$G782=$G$17,H$17,$G782=$G$18,H$18,$G782=$G$19,H$19,$G782=$G$20,H$20,$G782=$G$21,H$21,$G782=$G$22,H$22,$G782=$G$25,H$25,$G782=$G$26,H$26,$G782=$G$27,H$27,$G782=$G$29,H$29,$G782=$G$31,H$31,$G782=$G$32,H$150,$G782=$G$248,H$248,$G782=$G$250,H$250)</f>
        <v>41.343685000000001</v>
      </c>
      <c r="I782" s="67" cm="1">
        <f t="array" ref="I782">_xlfn.IFS($G782=$G$5,I$5,$G782=$G$6,I$6,$G782=$G$7,I$7,$G782=$G$8,I$8,$G782=$G$9,I$9,$G782=$G$10,I$10,$G782=$G$11,I$11,$G782=$G$12,I$12,$G782=$G$13,I$13,$G782=$G$15,I$15,$G782=$G$16,I$16,$G782=$G$17,I$17,$G782=$G$18,I$18,$G782=$G$19,I$19,$G782=$G$20,I$20,$G782=$G$21,I$21,$G782=$G$22,I$22,$G782=$G$25,I$25,$G782=$G$26,I$26,$G782=$G$27,I$27,$G782=$G$29,I$29,$G782=$G$31,I$31,$G782=$G$32,I$150,$G782=$G$248,I$248,$G782=$G$250,I$250)</f>
        <v>2.1441490000000001</v>
      </c>
      <c r="J782" s="48" cm="1">
        <f t="array" ref="J782">_xlfn.IFS($G782=$G$5,J$5,$G782=$G$6,J$6,$G782=$G$7,J$7,$G782=$G$8,J$8,$G782=$G$9,J$9,$G782=$G$10,J$10,$G782=$G$11,J$11,$G782=$G$12,J$12,$G782=$G$13,J$13,$G782=$G$15,J$15,$G782=$G$16,J$16,$G782=$G$17,J$17,$G782=$G$18,J$18,$G782=$G$19,J$19,$G782=$G$20,J$20,$G782=$G$21,J$21,$G782=$G$22,J$22,$G782=$G$25,J$25,$G782=$G$26,J$26,$G782=$G$27,J$27,$G782=$G$29,J$29,$G782=$G$31,J$31,$G782=$G$32,J$150,$G782=$G$248,J$248,$G782=$G$250,J$250)</f>
        <v>4</v>
      </c>
      <c r="K782" s="48" t="str" cm="1">
        <f t="array" ref="K782">_xlfn.IFS($G782=$G$5,K$5,$G782=$G$6,K$6,$G782=$G$7,K$7,$G782=$G$8,K$8,$G782=$G$9,K$9,$G782=$G$10,K$10,$G782=$G$11,K$11,$G782=$G$12,K$12,$G782=$G$13,K$13,$G782=$G$15,K$15,$G782=$G$16,K$16,$G782=$G$17,K$17,$G782=$G$18,K$18,$G782=$G$19,K$19,$G782=$G$20,K$20,$G782=$G$21,K$21,$G782=$G$22,K$22,$G782=$G$25,K$25,$G782=$G$26,K$26,$G782=$G$27,K$27,$G782=$G$29,K$29,$G782=$G$31,K$31,$G782=$G$32,K$150,$G782=$G$248,K$248,$G782=$G$250,K$250)</f>
        <v>BG sentinel + BG lure7</v>
      </c>
      <c r="L782" s="48"/>
      <c r="M782" s="48"/>
      <c r="O782" s="45" t="str">
        <f t="shared" si="54"/>
        <v>A_SP_BCN_10_210923</v>
      </c>
      <c r="P782" s="64">
        <v>44462</v>
      </c>
      <c r="R782" s="72"/>
      <c r="S782" s="64">
        <v>44469</v>
      </c>
      <c r="U782" s="72"/>
      <c r="V782" s="54" t="s">
        <v>66</v>
      </c>
      <c r="X782" s="45">
        <f t="shared" si="55"/>
        <v>7</v>
      </c>
      <c r="Z782" s="69" t="s">
        <v>69</v>
      </c>
      <c r="AA782" s="45">
        <f t="shared" si="65"/>
        <v>12</v>
      </c>
      <c r="AB782" t="str">
        <f t="shared" si="63"/>
        <v>Adult</v>
      </c>
      <c r="AC782" s="69">
        <v>8</v>
      </c>
      <c r="AD782" s="69">
        <v>4</v>
      </c>
      <c r="AE782" s="45" t="str">
        <f t="shared" si="64"/>
        <v>Morphological</v>
      </c>
      <c r="AF782" s="56">
        <v>4</v>
      </c>
    </row>
    <row r="783" spans="1:32" ht="18" customHeight="1" x14ac:dyDescent="0.25">
      <c r="A783" s="45">
        <v>779</v>
      </c>
      <c r="B783" s="45" t="s">
        <v>60</v>
      </c>
      <c r="C783" s="45" t="s">
        <v>61</v>
      </c>
      <c r="D783" s="45" t="s">
        <v>62</v>
      </c>
      <c r="E783" s="45" t="s">
        <v>62</v>
      </c>
      <c r="F783" s="46" cm="1">
        <f t="array" ref="F783">_xlfn.IFS($G783=$G$5,F$5,$G783=$G$6,F$6,$G783=$G$7,F$7,$G783=$G$8,F$8,$G783=$G$9,F$9,$G783=$G$10,F$10,$G783=$G$11,F$11,$G783=$G$12,F$12,$G783=$G$13,F$13,$G783=$G$15,F$15,$G783=$G$16,F$16,$G783=$G$17,F$17,$G783=$G$18,F$18,$G783=$G$19,F$19,$G783=$G$20,F$20,$G783=$G$21,F$21,$G783=$G$22,F$22,$G783=$G$25,F$25,$G783=$G$26,F$26,$G783=$G$27,F$27,$G783=$G$29,F$29,$G783=$G$31,F$31,$G783=$G$32,F$32,$G783=$G$248,F$248,$G783=$G$250,F$250)</f>
        <v>8040</v>
      </c>
      <c r="G783" t="s">
        <v>81</v>
      </c>
      <c r="H783" s="67" cm="1">
        <f t="array" ref="H783">_xlfn.IFS($G783=$G$5,H$5,$G783=$G$6,H$6,$G783=$G$7,H$7,$G783=$G$8,H$8,$G783=$G$9,H$9,$G783=$G$10,H$10,$G783=$G$11,H$11,$G783=$G$12,H$12,$G783=$G$13,H$13,$G783=$G$15,H$15,$G783=$G$16,H$16,$G783=$G$17,H$17,$G783=$G$18,H$18,$G783=$G$19,H$19,$G783=$G$20,H$20,$G783=$G$21,H$21,$G783=$G$22,H$22,$G783=$G$25,H$25,$G783=$G$26,H$26,$G783=$G$27,H$27,$G783=$G$29,H$29,$G783=$G$31,H$31,$G783=$G$32,H$150,$G783=$G$248,H$248,$G783=$G$250,H$250)</f>
        <v>41.343685000000001</v>
      </c>
      <c r="I783" s="67" cm="1">
        <f t="array" ref="I783">_xlfn.IFS($G783=$G$5,I$5,$G783=$G$6,I$6,$G783=$G$7,I$7,$G783=$G$8,I$8,$G783=$G$9,I$9,$G783=$G$10,I$10,$G783=$G$11,I$11,$G783=$G$12,I$12,$G783=$G$13,I$13,$G783=$G$15,I$15,$G783=$G$16,I$16,$G783=$G$17,I$17,$G783=$G$18,I$18,$G783=$G$19,I$19,$G783=$G$20,I$20,$G783=$G$21,I$21,$G783=$G$22,I$22,$G783=$G$25,I$25,$G783=$G$26,I$26,$G783=$G$27,I$27,$G783=$G$29,I$29,$G783=$G$31,I$31,$G783=$G$32,I$150,$G783=$G$248,I$248,$G783=$G$250,I$250)</f>
        <v>2.1441490000000001</v>
      </c>
      <c r="J783" s="48" cm="1">
        <f t="array" ref="J783">_xlfn.IFS($G783=$G$5,J$5,$G783=$G$6,J$6,$G783=$G$7,J$7,$G783=$G$8,J$8,$G783=$G$9,J$9,$G783=$G$10,J$10,$G783=$G$11,J$11,$G783=$G$12,J$12,$G783=$G$13,J$13,$G783=$G$15,J$15,$G783=$G$16,J$16,$G783=$G$17,J$17,$G783=$G$18,J$18,$G783=$G$19,J$19,$G783=$G$20,J$20,$G783=$G$21,J$21,$G783=$G$22,J$22,$G783=$G$25,J$25,$G783=$G$26,J$26,$G783=$G$27,J$27,$G783=$G$29,J$29,$G783=$G$31,J$31,$G783=$G$32,J$150,$G783=$G$248,J$248,$G783=$G$250,J$250)</f>
        <v>4</v>
      </c>
      <c r="K783" s="48" t="str" cm="1">
        <f t="array" ref="K783">_xlfn.IFS($G783=$G$5,K$5,$G783=$G$6,K$6,$G783=$G$7,K$7,$G783=$G$8,K$8,$G783=$G$9,K$9,$G783=$G$10,K$10,$G783=$G$11,K$11,$G783=$G$12,K$12,$G783=$G$13,K$13,$G783=$G$15,K$15,$G783=$G$16,K$16,$G783=$G$17,K$17,$G783=$G$18,K$18,$G783=$G$19,K$19,$G783=$G$20,K$20,$G783=$G$21,K$21,$G783=$G$22,K$22,$G783=$G$25,K$25,$G783=$G$26,K$26,$G783=$G$27,K$27,$G783=$G$29,K$29,$G783=$G$31,K$31,$G783=$G$32,K$150,$G783=$G$248,K$248,$G783=$G$250,K$250)</f>
        <v>BG sentinel + BG lure7</v>
      </c>
      <c r="L783" s="48"/>
      <c r="M783" s="48"/>
      <c r="O783" s="45" t="str">
        <f t="shared" si="54"/>
        <v>A_SP_BCN_10_210923</v>
      </c>
      <c r="P783" s="64">
        <v>44462</v>
      </c>
      <c r="R783" s="72"/>
      <c r="S783" s="64">
        <v>44469</v>
      </c>
      <c r="U783" s="72"/>
      <c r="V783" s="54" t="s">
        <v>66</v>
      </c>
      <c r="X783" s="45">
        <f t="shared" si="55"/>
        <v>7</v>
      </c>
      <c r="Z783" s="45" t="s">
        <v>70</v>
      </c>
      <c r="AA783" s="45">
        <f t="shared" si="65"/>
        <v>2</v>
      </c>
      <c r="AB783" t="str">
        <f t="shared" si="63"/>
        <v>Adult</v>
      </c>
      <c r="AC783" s="69">
        <v>2</v>
      </c>
      <c r="AD783" s="69">
        <v>0</v>
      </c>
      <c r="AE783" s="45" t="str">
        <f t="shared" si="64"/>
        <v>Morphological</v>
      </c>
      <c r="AF783" s="56">
        <v>4</v>
      </c>
    </row>
    <row r="784" spans="1:32" ht="18" customHeight="1" x14ac:dyDescent="0.25">
      <c r="A784" s="45">
        <v>780</v>
      </c>
      <c r="B784" s="45" t="s">
        <v>60</v>
      </c>
      <c r="C784" s="45" t="s">
        <v>61</v>
      </c>
      <c r="D784" s="45" t="s">
        <v>62</v>
      </c>
      <c r="E784" s="45" t="s">
        <v>62</v>
      </c>
      <c r="F784" s="46" cm="1">
        <f t="array" ref="F784">_xlfn.IFS($G784=$G$5,F$5,$G784=$G$6,F$6,$G784=$G$7,F$7,$G784=$G$8,F$8,$G784=$G$9,F$9,$G784=$G$10,F$10,$G784=$G$11,F$11,$G784=$G$12,F$12,$G784=$G$13,F$13,$G784=$G$15,F$15,$G784=$G$16,F$16,$G784=$G$17,F$17,$G784=$G$18,F$18,$G784=$G$19,F$19,$G784=$G$20,F$20,$G784=$G$21,F$21,$G784=$G$22,F$22,$G784=$G$25,F$25,$G784=$G$26,F$26,$G784=$G$27,F$27,$G784=$G$29,F$29,$G784=$G$31,F$31,$G784=$G$32,F$32,$G784=$G$248,F$248,$G784=$G$250,F$250)</f>
        <v>8038</v>
      </c>
      <c r="G784" t="s">
        <v>82</v>
      </c>
      <c r="H784" s="67" cm="1">
        <f t="array" ref="H784">_xlfn.IFS($G784=$G$5,H$5,$G784=$G$6,H$6,$G784=$G$7,H$7,$G784=$G$8,H$8,$G784=$G$9,H$9,$G784=$G$10,H$10,$G784=$G$11,H$11,$G784=$G$12,H$12,$G784=$G$13,H$13,$G784=$G$15,H$15,$G784=$G$16,H$16,$G784=$G$17,H$17,$G784=$G$18,H$18,$G784=$G$19,H$19,$G784=$G$20,H$20,$G784=$G$21,H$21,$G784=$G$22,H$22,$G784=$G$25,H$25,$G784=$G$26,H$26,$G784=$G$27,H$27,$G784=$G$29,H$29,$G784=$G$31,H$31,$G784=$G$32,H$150,$G784=$G$248,H$248,$G784=$G$250,H$250)</f>
        <v>41.367429999999999</v>
      </c>
      <c r="I784" s="67" cm="1">
        <f t="array" ref="I784">_xlfn.IFS($G784=$G$5,I$5,$G784=$G$6,I$6,$G784=$G$7,I$7,$G784=$G$8,I$8,$G784=$G$9,I$9,$G784=$G$10,I$10,$G784=$G$11,I$11,$G784=$G$12,I$12,$G784=$G$13,I$13,$G784=$G$15,I$15,$G784=$G$16,I$16,$G784=$G$17,I$17,$G784=$G$18,I$18,$G784=$G$19,I$19,$G784=$G$20,I$20,$G784=$G$21,I$21,$G784=$G$22,I$22,$G784=$G$25,I$25,$G784=$G$26,I$26,$G784=$G$27,I$27,$G784=$G$29,I$29,$G784=$G$31,I$31,$G784=$G$32,I$150,$G784=$G$248,I$248,$G784=$G$250,I$250)</f>
        <v>2.1569609999999999</v>
      </c>
      <c r="J784" s="48" cm="1">
        <f t="array" ref="J784">_xlfn.IFS($G784=$G$5,J$5,$G784=$G$6,J$6,$G784=$G$7,J$7,$G784=$G$8,J$8,$G784=$G$9,J$9,$G784=$G$10,J$10,$G784=$G$11,J$11,$G784=$G$12,J$12,$G784=$G$13,J$13,$G784=$G$15,J$15,$G784=$G$16,J$16,$G784=$G$17,J$17,$G784=$G$18,J$18,$G784=$G$19,J$19,$G784=$G$20,J$20,$G784=$G$21,J$21,$G784=$G$22,J$22,$G784=$G$25,J$25,$G784=$G$26,J$26,$G784=$G$27,J$27,$G784=$G$29,J$29,$G784=$G$31,J$31,$G784=$G$32,J$150,$G784=$G$248,J$248,$G784=$G$250,J$250)</f>
        <v>91</v>
      </c>
      <c r="K784" s="48" t="str" cm="1">
        <f t="array" ref="K784">_xlfn.IFS($G784=$G$5,K$5,$G784=$G$6,K$6,$G784=$G$7,K$7,$G784=$G$8,K$8,$G784=$G$9,K$9,$G784=$G$10,K$10,$G784=$G$11,K$11,$G784=$G$12,K$12,$G784=$G$13,K$13,$G784=$G$15,K$15,$G784=$G$16,K$16,$G784=$G$17,K$17,$G784=$G$18,K$18,$G784=$G$19,K$19,$G784=$G$20,K$20,$G784=$G$21,K$21,$G784=$G$22,K$22,$G784=$G$25,K$25,$G784=$G$26,K$26,$G784=$G$27,K$27,$G784=$G$29,K$29,$G784=$G$31,K$31,$G784=$G$32,K$150,$G784=$G$248,K$248,$G784=$G$250,K$250)</f>
        <v>BG sentinel + BG lure7</v>
      </c>
      <c r="L784" s="48"/>
      <c r="M784" s="48"/>
      <c r="O784" s="45" t="str">
        <f t="shared" si="54"/>
        <v>A_SP_BCN_11_210923</v>
      </c>
      <c r="P784" s="64">
        <v>44462</v>
      </c>
      <c r="R784" s="72"/>
      <c r="S784" s="64">
        <v>44469</v>
      </c>
      <c r="U784" s="72"/>
      <c r="V784" s="54" t="s">
        <v>66</v>
      </c>
      <c r="X784" s="45">
        <f t="shared" si="55"/>
        <v>7</v>
      </c>
      <c r="Z784" s="69" t="s">
        <v>69</v>
      </c>
      <c r="AA784" s="45">
        <f t="shared" si="65"/>
        <v>32</v>
      </c>
      <c r="AB784" t="str">
        <f t="shared" si="63"/>
        <v>Adult</v>
      </c>
      <c r="AC784" s="69">
        <v>29</v>
      </c>
      <c r="AD784" s="69">
        <v>3</v>
      </c>
      <c r="AE784" s="45" t="str">
        <f t="shared" si="64"/>
        <v>Morphological</v>
      </c>
      <c r="AF784" s="56">
        <v>4</v>
      </c>
    </row>
    <row r="785" spans="1:32" ht="18" customHeight="1" x14ac:dyDescent="0.25">
      <c r="A785" s="45">
        <v>781</v>
      </c>
      <c r="B785" s="45" t="s">
        <v>60</v>
      </c>
      <c r="C785" s="45" t="s">
        <v>61</v>
      </c>
      <c r="D785" s="45" t="s">
        <v>62</v>
      </c>
      <c r="E785" s="45" t="s">
        <v>62</v>
      </c>
      <c r="F785" s="46" cm="1">
        <f t="array" ref="F785">_xlfn.IFS($G785=$G$5,F$5,$G785=$G$6,F$6,$G785=$G$7,F$7,$G785=$G$8,F$8,$G785=$G$9,F$9,$G785=$G$10,F$10,$G785=$G$11,F$11,$G785=$G$12,F$12,$G785=$G$13,F$13,$G785=$G$15,F$15,$G785=$G$16,F$16,$G785=$G$17,F$17,$G785=$G$18,F$18,$G785=$G$19,F$19,$G785=$G$20,F$20,$G785=$G$21,F$21,$G785=$G$22,F$22,$G785=$G$25,F$25,$G785=$G$26,F$26,$G785=$G$27,F$27,$G785=$G$29,F$29,$G785=$G$31,F$31,$G785=$G$32,F$32,$G785=$G$248,F$248,$G785=$G$250,F$250)</f>
        <v>8038</v>
      </c>
      <c r="G785" t="s">
        <v>82</v>
      </c>
      <c r="H785" s="67" cm="1">
        <f t="array" ref="H785">_xlfn.IFS($G785=$G$5,H$5,$G785=$G$6,H$6,$G785=$G$7,H$7,$G785=$G$8,H$8,$G785=$G$9,H$9,$G785=$G$10,H$10,$G785=$G$11,H$11,$G785=$G$12,H$12,$G785=$G$13,H$13,$G785=$G$15,H$15,$G785=$G$16,H$16,$G785=$G$17,H$17,$G785=$G$18,H$18,$G785=$G$19,H$19,$G785=$G$20,H$20,$G785=$G$21,H$21,$G785=$G$22,H$22,$G785=$G$25,H$25,$G785=$G$26,H$26,$G785=$G$27,H$27,$G785=$G$29,H$29,$G785=$G$31,H$31,$G785=$G$32,H$150,$G785=$G$248,H$248,$G785=$G$250,H$250)</f>
        <v>41.367429999999999</v>
      </c>
      <c r="I785" s="67" cm="1">
        <f t="array" ref="I785">_xlfn.IFS($G785=$G$5,I$5,$G785=$G$6,I$6,$G785=$G$7,I$7,$G785=$G$8,I$8,$G785=$G$9,I$9,$G785=$G$10,I$10,$G785=$G$11,I$11,$G785=$G$12,I$12,$G785=$G$13,I$13,$G785=$G$15,I$15,$G785=$G$16,I$16,$G785=$G$17,I$17,$G785=$G$18,I$18,$G785=$G$19,I$19,$G785=$G$20,I$20,$G785=$G$21,I$21,$G785=$G$22,I$22,$G785=$G$25,I$25,$G785=$G$26,I$26,$G785=$G$27,I$27,$G785=$G$29,I$29,$G785=$G$31,I$31,$G785=$G$32,I$150,$G785=$G$248,I$248,$G785=$G$250,I$250)</f>
        <v>2.1569609999999999</v>
      </c>
      <c r="J785" s="48" cm="1">
        <f t="array" ref="J785">_xlfn.IFS($G785=$G$5,J$5,$G785=$G$6,J$6,$G785=$G$7,J$7,$G785=$G$8,J$8,$G785=$G$9,J$9,$G785=$G$10,J$10,$G785=$G$11,J$11,$G785=$G$12,J$12,$G785=$G$13,J$13,$G785=$G$15,J$15,$G785=$G$16,J$16,$G785=$G$17,J$17,$G785=$G$18,J$18,$G785=$G$19,J$19,$G785=$G$20,J$20,$G785=$G$21,J$21,$G785=$G$22,J$22,$G785=$G$25,J$25,$G785=$G$26,J$26,$G785=$G$27,J$27,$G785=$G$29,J$29,$G785=$G$31,J$31,$G785=$G$32,J$150,$G785=$G$248,J$248,$G785=$G$250,J$250)</f>
        <v>91</v>
      </c>
      <c r="K785" s="48" t="str" cm="1">
        <f t="array" ref="K785">_xlfn.IFS($G785=$G$5,K$5,$G785=$G$6,K$6,$G785=$G$7,K$7,$G785=$G$8,K$8,$G785=$G$9,K$9,$G785=$G$10,K$10,$G785=$G$11,K$11,$G785=$G$12,K$12,$G785=$G$13,K$13,$G785=$G$15,K$15,$G785=$G$16,K$16,$G785=$G$17,K$17,$G785=$G$18,K$18,$G785=$G$19,K$19,$G785=$G$20,K$20,$G785=$G$21,K$21,$G785=$G$22,K$22,$G785=$G$25,K$25,$G785=$G$26,K$26,$G785=$G$27,K$27,$G785=$G$29,K$29,$G785=$G$31,K$31,$G785=$G$32,K$150,$G785=$G$248,K$248,$G785=$G$250,K$250)</f>
        <v>BG sentinel + BG lure7</v>
      </c>
      <c r="L785" s="48"/>
      <c r="M785" s="48"/>
      <c r="O785" s="45" t="str">
        <f t="shared" si="54"/>
        <v>A_SP_BCN_11_210923</v>
      </c>
      <c r="P785" s="64">
        <v>44462</v>
      </c>
      <c r="R785" s="72"/>
      <c r="S785" s="64">
        <v>44469</v>
      </c>
      <c r="U785" s="72"/>
      <c r="V785" s="54" t="s">
        <v>66</v>
      </c>
      <c r="X785" s="45">
        <f t="shared" si="55"/>
        <v>7</v>
      </c>
      <c r="Z785" s="45" t="s">
        <v>70</v>
      </c>
      <c r="AA785" s="45">
        <f t="shared" si="65"/>
        <v>1</v>
      </c>
      <c r="AB785" t="str">
        <f t="shared" si="63"/>
        <v>Adult</v>
      </c>
      <c r="AC785" s="69">
        <v>0</v>
      </c>
      <c r="AD785" s="69">
        <v>1</v>
      </c>
      <c r="AE785" s="45" t="str">
        <f t="shared" si="64"/>
        <v>Morphological</v>
      </c>
      <c r="AF785" s="56">
        <v>4</v>
      </c>
    </row>
    <row r="786" spans="1:32" ht="18" customHeight="1" x14ac:dyDescent="0.25">
      <c r="A786" s="45">
        <v>782</v>
      </c>
      <c r="B786" s="45" t="s">
        <v>60</v>
      </c>
      <c r="C786" s="45" t="s">
        <v>61</v>
      </c>
      <c r="D786" s="45" t="s">
        <v>62</v>
      </c>
      <c r="E786" s="45" t="s">
        <v>62</v>
      </c>
      <c r="F786" s="46" cm="1">
        <f t="array" ref="F786">_xlfn.IFS($G786=$G$5,F$5,$G786=$G$6,F$6,$G786=$G$7,F$7,$G786=$G$8,F$8,$G786=$G$9,F$9,$G786=$G$10,F$10,$G786=$G$11,F$11,$G786=$G$12,F$12,$G786=$G$13,F$13,$G786=$G$15,F$15,$G786=$G$16,F$16,$G786=$G$17,F$17,$G786=$G$18,F$18,$G786=$G$19,F$19,$G786=$G$20,F$20,$G786=$G$21,F$21,$G786=$G$22,F$22,$G786=$G$25,F$25,$G786=$G$26,F$26,$G786=$G$27,F$27,$G786=$G$29,F$29,$G786=$G$31,F$31,$G786=$G$32,F$32,$G786=$G$248,F$248,$G786=$G$250,F$250)</f>
        <v>8038</v>
      </c>
      <c r="G786" t="s">
        <v>84</v>
      </c>
      <c r="H786" s="67" cm="1">
        <f t="array" ref="H786">_xlfn.IFS($G786=$G$5,H$5,$G786=$G$6,H$6,$G786=$G$7,H$7,$G786=$G$8,H$8,$G786=$G$9,H$9,$G786=$G$10,H$10,$G786=$G$11,H$11,$G786=$G$12,H$12,$G786=$G$13,H$13,$G786=$G$15,H$15,$G786=$G$16,H$16,$G786=$G$17,H$17,$G786=$G$18,H$18,$G786=$G$19,H$19,$G786=$G$20,H$20,$G786=$G$21,H$21,$G786=$G$22,H$22,$G786=$G$25,H$25,$G786=$G$26,H$26,$G786=$G$27,H$27,$G786=$G$29,H$29,$G786=$G$31,H$31,$G786=$G$32,H$150,$G786=$G$248,H$248,$G786=$G$250,H$250)</f>
        <v>41.363377999999997</v>
      </c>
      <c r="I786" s="67" cm="1">
        <f t="array" ref="I786">_xlfn.IFS($G786=$G$5,I$5,$G786=$G$6,I$6,$G786=$G$7,I$7,$G786=$G$8,I$8,$G786=$G$9,I$9,$G786=$G$10,I$10,$G786=$G$11,I$11,$G786=$G$12,I$12,$G786=$G$13,I$13,$G786=$G$15,I$15,$G786=$G$16,I$16,$G786=$G$17,I$17,$G786=$G$18,I$18,$G786=$G$19,I$19,$G786=$G$20,I$20,$G786=$G$21,I$21,$G786=$G$22,I$22,$G786=$G$25,I$25,$G786=$G$26,I$26,$G786=$G$27,I$27,$G786=$G$29,I$29,$G786=$G$31,I$31,$G786=$G$32,I$150,$G786=$G$248,I$248,$G786=$G$250,I$250)</f>
        <v>2.164879</v>
      </c>
      <c r="J786" s="48" cm="1">
        <f t="array" ref="J786">_xlfn.IFS($G786=$G$5,J$5,$G786=$G$6,J$6,$G786=$G$7,J$7,$G786=$G$8,J$8,$G786=$G$9,J$9,$G786=$G$10,J$10,$G786=$G$11,J$11,$G786=$G$12,J$12,$G786=$G$13,J$13,$G786=$G$15,J$15,$G786=$G$16,J$16,$G786=$G$17,J$17,$G786=$G$18,J$18,$G786=$G$19,J$19,$G786=$G$20,J$20,$G786=$G$21,J$21,$G786=$G$22,J$22,$G786=$G$25,J$25,$G786=$G$26,J$26,$G786=$G$27,J$27,$G786=$G$29,J$29,$G786=$G$31,J$31,$G786=$G$32,J$150,$G786=$G$248,J$248,$G786=$G$250,J$250)</f>
        <v>185</v>
      </c>
      <c r="K786" s="48" t="str" cm="1">
        <f t="array" ref="K786">_xlfn.IFS($G786=$G$5,K$5,$G786=$G$6,K$6,$G786=$G$7,K$7,$G786=$G$8,K$8,$G786=$G$9,K$9,$G786=$G$10,K$10,$G786=$G$11,K$11,$G786=$G$12,K$12,$G786=$G$13,K$13,$G786=$G$15,K$15,$G786=$G$16,K$16,$G786=$G$17,K$17,$G786=$G$18,K$18,$G786=$G$19,K$19,$G786=$G$20,K$20,$G786=$G$21,K$21,$G786=$G$22,K$22,$G786=$G$25,K$25,$G786=$G$26,K$26,$G786=$G$27,K$27,$G786=$G$29,K$29,$G786=$G$31,K$31,$G786=$G$32,K$150,$G786=$G$248,K$248,$G786=$G$250,K$250)</f>
        <v>BG sentinel + BG lure7</v>
      </c>
      <c r="L786" s="48"/>
      <c r="M786" s="48"/>
      <c r="O786" s="45" t="str">
        <f t="shared" si="54"/>
        <v>A_SP_BCN_12_210923</v>
      </c>
      <c r="P786" s="64">
        <v>44462</v>
      </c>
      <c r="R786" s="72"/>
      <c r="S786" s="64">
        <v>44469</v>
      </c>
      <c r="U786" s="72"/>
      <c r="V786" s="54" t="s">
        <v>66</v>
      </c>
      <c r="X786" s="45">
        <f t="shared" si="55"/>
        <v>7</v>
      </c>
      <c r="Z786" s="69" t="s">
        <v>69</v>
      </c>
      <c r="AA786" s="45">
        <f t="shared" si="65"/>
        <v>36</v>
      </c>
      <c r="AB786" t="str">
        <f t="shared" si="63"/>
        <v>Adult</v>
      </c>
      <c r="AC786" s="69">
        <v>32</v>
      </c>
      <c r="AD786" s="69">
        <v>4</v>
      </c>
      <c r="AE786" s="45" t="str">
        <f t="shared" si="64"/>
        <v>Morphological</v>
      </c>
      <c r="AF786" s="56">
        <v>4</v>
      </c>
    </row>
    <row r="787" spans="1:32" ht="18" customHeight="1" x14ac:dyDescent="0.25">
      <c r="A787" s="45">
        <v>783</v>
      </c>
      <c r="B787" s="45" t="s">
        <v>60</v>
      </c>
      <c r="C787" s="45" t="s">
        <v>61</v>
      </c>
      <c r="D787" s="45" t="s">
        <v>62</v>
      </c>
      <c r="E787" s="45" t="s">
        <v>62</v>
      </c>
      <c r="F787" s="46" cm="1">
        <f t="array" ref="F787">_xlfn.IFS($G787=$G$5,F$5,$G787=$G$6,F$6,$G787=$G$7,F$7,$G787=$G$8,F$8,$G787=$G$9,F$9,$G787=$G$10,F$10,$G787=$G$11,F$11,$G787=$G$12,F$12,$G787=$G$13,F$13,$G787=$G$15,F$15,$G787=$G$16,F$16,$G787=$G$17,F$17,$G787=$G$18,F$18,$G787=$G$19,F$19,$G787=$G$20,F$20,$G787=$G$21,F$21,$G787=$G$22,F$22,$G787=$G$25,F$25,$G787=$G$26,F$26,$G787=$G$27,F$27,$G787=$G$29,F$29,$G787=$G$31,F$31,$G787=$G$32,F$32,$G787=$G$248,F$248,$G787=$G$250,F$250)</f>
        <v>8038</v>
      </c>
      <c r="G787" t="s">
        <v>84</v>
      </c>
      <c r="H787" s="67" cm="1">
        <f t="array" ref="H787">_xlfn.IFS($G787=$G$5,H$5,$G787=$G$6,H$6,$G787=$G$7,H$7,$G787=$G$8,H$8,$G787=$G$9,H$9,$G787=$G$10,H$10,$G787=$G$11,H$11,$G787=$G$12,H$12,$G787=$G$13,H$13,$G787=$G$15,H$15,$G787=$G$16,H$16,$G787=$G$17,H$17,$G787=$G$18,H$18,$G787=$G$19,H$19,$G787=$G$20,H$20,$G787=$G$21,H$21,$G787=$G$22,H$22,$G787=$G$25,H$25,$G787=$G$26,H$26,$G787=$G$27,H$27,$G787=$G$29,H$29,$G787=$G$31,H$31,$G787=$G$32,H$150,$G787=$G$248,H$248,$G787=$G$250,H$250)</f>
        <v>41.363377999999997</v>
      </c>
      <c r="I787" s="67" cm="1">
        <f t="array" ref="I787">_xlfn.IFS($G787=$G$5,I$5,$G787=$G$6,I$6,$G787=$G$7,I$7,$G787=$G$8,I$8,$G787=$G$9,I$9,$G787=$G$10,I$10,$G787=$G$11,I$11,$G787=$G$12,I$12,$G787=$G$13,I$13,$G787=$G$15,I$15,$G787=$G$16,I$16,$G787=$G$17,I$17,$G787=$G$18,I$18,$G787=$G$19,I$19,$G787=$G$20,I$20,$G787=$G$21,I$21,$G787=$G$22,I$22,$G787=$G$25,I$25,$G787=$G$26,I$26,$G787=$G$27,I$27,$G787=$G$29,I$29,$G787=$G$31,I$31,$G787=$G$32,I$150,$G787=$G$248,I$248,$G787=$G$250,I$250)</f>
        <v>2.164879</v>
      </c>
      <c r="J787" s="48" cm="1">
        <f t="array" ref="J787">_xlfn.IFS($G787=$G$5,J$5,$G787=$G$6,J$6,$G787=$G$7,J$7,$G787=$G$8,J$8,$G787=$G$9,J$9,$G787=$G$10,J$10,$G787=$G$11,J$11,$G787=$G$12,J$12,$G787=$G$13,J$13,$G787=$G$15,J$15,$G787=$G$16,J$16,$G787=$G$17,J$17,$G787=$G$18,J$18,$G787=$G$19,J$19,$G787=$G$20,J$20,$G787=$G$21,J$21,$G787=$G$22,J$22,$G787=$G$25,J$25,$G787=$G$26,J$26,$G787=$G$27,J$27,$G787=$G$29,J$29,$G787=$G$31,J$31,$G787=$G$32,J$150,$G787=$G$248,J$248,$G787=$G$250,J$250)</f>
        <v>185</v>
      </c>
      <c r="K787" s="48" t="str" cm="1">
        <f t="array" ref="K787">_xlfn.IFS($G787=$G$5,K$5,$G787=$G$6,K$6,$G787=$G$7,K$7,$G787=$G$8,K$8,$G787=$G$9,K$9,$G787=$G$10,K$10,$G787=$G$11,K$11,$G787=$G$12,K$12,$G787=$G$13,K$13,$G787=$G$15,K$15,$G787=$G$16,K$16,$G787=$G$17,K$17,$G787=$G$18,K$18,$G787=$G$19,K$19,$G787=$G$20,K$20,$G787=$G$21,K$21,$G787=$G$22,K$22,$G787=$G$25,K$25,$G787=$G$26,K$26,$G787=$G$27,K$27,$G787=$G$29,K$29,$G787=$G$31,K$31,$G787=$G$32,K$150,$G787=$G$248,K$248,$G787=$G$250,K$250)</f>
        <v>BG sentinel + BG lure7</v>
      </c>
      <c r="L787" s="48"/>
      <c r="M787" s="48"/>
      <c r="O787" s="45" t="str">
        <f t="shared" si="54"/>
        <v>A_SP_BCN_12_210923</v>
      </c>
      <c r="P787" s="64">
        <v>44462</v>
      </c>
      <c r="R787" s="72"/>
      <c r="S787" s="64">
        <v>44469</v>
      </c>
      <c r="U787" s="72"/>
      <c r="V787" s="54" t="s">
        <v>66</v>
      </c>
      <c r="X787" s="45">
        <f t="shared" si="55"/>
        <v>7</v>
      </c>
      <c r="Z787" s="45" t="s">
        <v>70</v>
      </c>
      <c r="AA787" s="45">
        <f t="shared" si="65"/>
        <v>131</v>
      </c>
      <c r="AB787" t="str">
        <f t="shared" si="63"/>
        <v>Adult</v>
      </c>
      <c r="AC787" s="69">
        <v>122</v>
      </c>
      <c r="AD787" s="69">
        <v>9</v>
      </c>
      <c r="AE787" s="45" t="str">
        <f t="shared" si="64"/>
        <v>Morphological</v>
      </c>
      <c r="AF787" s="56">
        <v>4</v>
      </c>
    </row>
    <row r="788" spans="1:32" ht="18" customHeight="1" x14ac:dyDescent="0.25">
      <c r="A788" s="45">
        <v>784</v>
      </c>
      <c r="B788" s="45" t="s">
        <v>60</v>
      </c>
      <c r="C788" s="45" t="s">
        <v>61</v>
      </c>
      <c r="D788" s="45" t="s">
        <v>62</v>
      </c>
      <c r="E788" s="45" t="s">
        <v>62</v>
      </c>
      <c r="F788" s="46" cm="1">
        <f t="array" ref="F788">_xlfn.IFS($G788=$G$5,F$5,$G788=$G$6,F$6,$G788=$G$7,F$7,$G788=$G$8,F$8,$G788=$G$9,F$9,$G788=$G$10,F$10,$G788=$G$11,F$11,$G788=$G$12,F$12,$G788=$G$13,F$13,$G788=$G$15,F$15,$G788=$G$16,F$16,$G788=$G$17,F$17,$G788=$G$18,F$18,$G788=$G$19,F$19,$G788=$G$20,F$20,$G788=$G$21,F$21,$G788=$G$22,F$22,$G788=$G$25,F$25,$G788=$G$26,F$26,$G788=$G$27,F$27,$G788=$G$29,F$29,$G788=$G$31,F$31,$G788=$G$32,F$32,$G788=$G$248,F$248,$G788=$G$250,F$250)</f>
        <v>8035</v>
      </c>
      <c r="G788" t="s">
        <v>85</v>
      </c>
      <c r="H788" s="67" cm="1">
        <f t="array" ref="H788">_xlfn.IFS($G788=$G$5,H$5,$G788=$G$6,H$6,$G788=$G$7,H$7,$G788=$G$8,H$8,$G788=$G$9,H$9,$G788=$G$10,H$10,$G788=$G$11,H$11,$G788=$G$12,H$12,$G788=$G$13,H$13,$G788=$G$15,H$15,$G788=$G$16,H$16,$G788=$G$17,H$17,$G788=$G$18,H$18,$G788=$G$19,H$19,$G788=$G$20,H$20,$G788=$G$21,H$21,$G788=$G$22,H$22,$G788=$G$25,H$25,$G788=$G$26,H$26,$G788=$G$27,H$27,$G788=$G$29,H$29,$G788=$G$31,H$31,$G788=$G$32,H$150,$G788=$G$248,H$248,$G788=$G$250,H$250)</f>
        <v>41.434472</v>
      </c>
      <c r="I788" s="67" cm="1">
        <f t="array" ref="I788">_xlfn.IFS($G788=$G$5,I$5,$G788=$G$6,I$6,$G788=$G$7,I$7,$G788=$G$8,I$8,$G788=$G$9,I$9,$G788=$G$10,I$10,$G788=$G$11,I$11,$G788=$G$12,I$12,$G788=$G$13,I$13,$G788=$G$15,I$15,$G788=$G$16,I$16,$G788=$G$17,I$17,$G788=$G$18,I$18,$G788=$G$19,I$19,$G788=$G$20,I$20,$G788=$G$21,I$21,$G788=$G$22,I$22,$G788=$G$25,I$25,$G788=$G$26,I$26,$G788=$G$27,I$27,$G788=$G$29,I$29,$G788=$G$31,I$31,$G788=$G$32,I$150,$G788=$G$248,I$248,$G788=$G$250,I$250)</f>
        <v>2.1315789999999999</v>
      </c>
      <c r="J788" s="48" cm="1">
        <f t="array" ref="J788">_xlfn.IFS($G788=$G$5,J$5,$G788=$G$6,J$6,$G788=$G$7,J$7,$G788=$G$8,J$8,$G788=$G$9,J$9,$G788=$G$10,J$10,$G788=$G$11,J$11,$G788=$G$12,J$12,$G788=$G$13,J$13,$G788=$G$15,J$15,$G788=$G$16,J$16,$G788=$G$17,J$17,$G788=$G$18,J$18,$G788=$G$19,J$19,$G788=$G$20,J$20,$G788=$G$21,J$21,$G788=$G$22,J$22,$G788=$G$25,J$25,$G788=$G$26,J$26,$G788=$G$27,J$27,$G788=$G$29,J$29,$G788=$G$31,J$31,$G788=$G$32,J$150,$G788=$G$248,J$248,$G788=$G$250,J$250)</f>
        <v>365</v>
      </c>
      <c r="K788" s="48" t="str" cm="1">
        <f t="array" ref="K788">_xlfn.IFS($G788=$G$5,K$5,$G788=$G$6,K$6,$G788=$G$7,K$7,$G788=$G$8,K$8,$G788=$G$9,K$9,$G788=$G$10,K$10,$G788=$G$11,K$11,$G788=$G$12,K$12,$G788=$G$13,K$13,$G788=$G$15,K$15,$G788=$G$16,K$16,$G788=$G$17,K$17,$G788=$G$18,K$18,$G788=$G$19,K$19,$G788=$G$20,K$20,$G788=$G$21,K$21,$G788=$G$22,K$22,$G788=$G$25,K$25,$G788=$G$26,K$26,$G788=$G$27,K$27,$G788=$G$29,K$29,$G788=$G$31,K$31,$G788=$G$32,K$150,$G788=$G$248,K$248,$G788=$G$250,K$250)</f>
        <v>BG sentinel + BG lure7</v>
      </c>
      <c r="L788" s="48"/>
      <c r="M788" s="48"/>
      <c r="O788" s="45" t="str">
        <f t="shared" si="54"/>
        <v>A_SP_BCN_13_210922</v>
      </c>
      <c r="P788" s="64">
        <v>44461</v>
      </c>
      <c r="R788" s="72"/>
      <c r="S788" s="64">
        <v>44468</v>
      </c>
      <c r="U788" s="72"/>
      <c r="V788" s="79" t="s">
        <v>159</v>
      </c>
      <c r="X788" s="45">
        <f t="shared" si="55"/>
        <v>7</v>
      </c>
      <c r="Z788" s="69" t="s">
        <v>69</v>
      </c>
      <c r="AA788" s="45">
        <f t="shared" si="65"/>
        <v>1</v>
      </c>
      <c r="AB788" t="str">
        <f t="shared" si="63"/>
        <v>Adult</v>
      </c>
      <c r="AC788" s="69">
        <v>1</v>
      </c>
      <c r="AD788" s="69">
        <v>0</v>
      </c>
      <c r="AE788" s="45" t="str">
        <f t="shared" si="64"/>
        <v>Morphological</v>
      </c>
      <c r="AF788" s="56">
        <v>1</v>
      </c>
    </row>
    <row r="789" spans="1:32" ht="18" customHeight="1" x14ac:dyDescent="0.25">
      <c r="A789" s="45">
        <v>785</v>
      </c>
      <c r="B789" s="45" t="s">
        <v>60</v>
      </c>
      <c r="C789" s="45" t="s">
        <v>61</v>
      </c>
      <c r="D789" s="45" t="s">
        <v>62</v>
      </c>
      <c r="E789" s="45" t="s">
        <v>62</v>
      </c>
      <c r="F789" s="46" cm="1">
        <f t="array" ref="F789">_xlfn.IFS($G789=$G$5,F$5,$G789=$G$6,F$6,$G789=$G$7,F$7,$G789=$G$8,F$8,$G789=$G$9,F$9,$G789=$G$10,F$10,$G789=$G$11,F$11,$G789=$G$12,F$12,$G789=$G$13,F$13,$G789=$G$15,F$15,$G789=$G$16,F$16,$G789=$G$17,F$17,$G789=$G$18,F$18,$G789=$G$19,F$19,$G789=$G$20,F$20,$G789=$G$21,F$21,$G789=$G$22,F$22,$G789=$G$25,F$25,$G789=$G$26,F$26,$G789=$G$27,F$27,$G789=$G$29,F$29,$G789=$G$31,F$31,$G789=$G$32,F$32,$G789=$G$248,F$248,$G789=$G$250,F$250)</f>
        <v>8035</v>
      </c>
      <c r="G789" t="s">
        <v>85</v>
      </c>
      <c r="H789" s="67" cm="1">
        <f t="array" ref="H789">_xlfn.IFS($G789=$G$5,H$5,$G789=$G$6,H$6,$G789=$G$7,H$7,$G789=$G$8,H$8,$G789=$G$9,H$9,$G789=$G$10,H$10,$G789=$G$11,H$11,$G789=$G$12,H$12,$G789=$G$13,H$13,$G789=$G$15,H$15,$G789=$G$16,H$16,$G789=$G$17,H$17,$G789=$G$18,H$18,$G789=$G$19,H$19,$G789=$G$20,H$20,$G789=$G$21,H$21,$G789=$G$22,H$22,$G789=$G$25,H$25,$G789=$G$26,H$26,$G789=$G$27,H$27,$G789=$G$29,H$29,$G789=$G$31,H$31,$G789=$G$32,H$150,$G789=$G$248,H$248,$G789=$G$250,H$250)</f>
        <v>41.434472</v>
      </c>
      <c r="I789" s="67" cm="1">
        <f t="array" ref="I789">_xlfn.IFS($G789=$G$5,I$5,$G789=$G$6,I$6,$G789=$G$7,I$7,$G789=$G$8,I$8,$G789=$G$9,I$9,$G789=$G$10,I$10,$G789=$G$11,I$11,$G789=$G$12,I$12,$G789=$G$13,I$13,$G789=$G$15,I$15,$G789=$G$16,I$16,$G789=$G$17,I$17,$G789=$G$18,I$18,$G789=$G$19,I$19,$G789=$G$20,I$20,$G789=$G$21,I$21,$G789=$G$22,I$22,$G789=$G$25,I$25,$G789=$G$26,I$26,$G789=$G$27,I$27,$G789=$G$29,I$29,$G789=$G$31,I$31,$G789=$G$32,I$150,$G789=$G$248,I$248,$G789=$G$250,I$250)</f>
        <v>2.1315789999999999</v>
      </c>
      <c r="J789" s="48" cm="1">
        <f t="array" ref="J789">_xlfn.IFS($G789=$G$5,J$5,$G789=$G$6,J$6,$G789=$G$7,J$7,$G789=$G$8,J$8,$G789=$G$9,J$9,$G789=$G$10,J$10,$G789=$G$11,J$11,$G789=$G$12,J$12,$G789=$G$13,J$13,$G789=$G$15,J$15,$G789=$G$16,J$16,$G789=$G$17,J$17,$G789=$G$18,J$18,$G789=$G$19,J$19,$G789=$G$20,J$20,$G789=$G$21,J$21,$G789=$G$22,J$22,$G789=$G$25,J$25,$G789=$G$26,J$26,$G789=$G$27,J$27,$G789=$G$29,J$29,$G789=$G$31,J$31,$G789=$G$32,J$150,$G789=$G$248,J$248,$G789=$G$250,J$250)</f>
        <v>365</v>
      </c>
      <c r="K789" s="48" t="str" cm="1">
        <f t="array" ref="K789">_xlfn.IFS($G789=$G$5,K$5,$G789=$G$6,K$6,$G789=$G$7,K$7,$G789=$G$8,K$8,$G789=$G$9,K$9,$G789=$G$10,K$10,$G789=$G$11,K$11,$G789=$G$12,K$12,$G789=$G$13,K$13,$G789=$G$15,K$15,$G789=$G$16,K$16,$G789=$G$17,K$17,$G789=$G$18,K$18,$G789=$G$19,K$19,$G789=$G$20,K$20,$G789=$G$21,K$21,$G789=$G$22,K$22,$G789=$G$25,K$25,$G789=$G$26,K$26,$G789=$G$27,K$27,$G789=$G$29,K$29,$G789=$G$31,K$31,$G789=$G$32,K$150,$G789=$G$248,K$248,$G789=$G$250,K$250)</f>
        <v>BG sentinel + BG lure7</v>
      </c>
      <c r="L789" s="48" t="str" cm="1">
        <f t="array" ref="L789">_xlfn.IFS($G789=$G$5,L$5,$G789=$G$6,L$6,$G789=$G$7,L$7,$G789=$G$8,L$8,$G789=$G$9,L$9,$G789=$G$10,L$10,$G789=$G$11,L$11,$G789=$G$12,L$12,$G789=$G$13,L$13,$G789=$G$15,L$15,$G789=$G$16,L$16,$G789=$G$17,L$17,$G789=$G$18,L$18,$G789=$G$19,L$19,$G789=$G$20,L$20,$G789=$G$21,L$21,$G789=$G$22,L$22,$G789=$G$25,L$25,$G789=$G$26,L$26,$G789=$G$27,L$27,$G789=$G$29,L$29,$G789=$G$31,L$31,$G789=$G$32,L$32,$G789=$G$248,L$248,$G789=$G$250,L$250)</f>
        <v>Other</v>
      </c>
      <c r="M789" s="48"/>
      <c r="O789" s="45" t="str">
        <f t="shared" si="54"/>
        <v>A_SP_BCN_13_210922</v>
      </c>
      <c r="P789" s="64">
        <v>44461</v>
      </c>
      <c r="R789" s="72"/>
      <c r="S789" s="64">
        <v>44468</v>
      </c>
      <c r="U789" s="72"/>
      <c r="V789" s="79" t="s">
        <v>159</v>
      </c>
      <c r="X789" s="45">
        <f t="shared" si="55"/>
        <v>7</v>
      </c>
      <c r="Z789" s="45" t="s">
        <v>70</v>
      </c>
      <c r="AA789" s="45">
        <f t="shared" si="65"/>
        <v>1</v>
      </c>
      <c r="AB789" t="str">
        <f t="shared" si="63"/>
        <v>Adult</v>
      </c>
      <c r="AC789" s="69">
        <v>1</v>
      </c>
      <c r="AD789" s="69">
        <v>0</v>
      </c>
      <c r="AE789" s="45" t="str">
        <f t="shared" si="64"/>
        <v>Morphological</v>
      </c>
      <c r="AF789" s="56">
        <v>1</v>
      </c>
    </row>
    <row r="790" spans="1:32" ht="18" customHeight="1" x14ac:dyDescent="0.25">
      <c r="A790" s="45">
        <v>786</v>
      </c>
      <c r="B790" s="45" t="s">
        <v>60</v>
      </c>
      <c r="C790" s="45" t="s">
        <v>61</v>
      </c>
      <c r="D790" s="45" t="s">
        <v>62</v>
      </c>
      <c r="E790" s="45" t="s">
        <v>62</v>
      </c>
      <c r="F790" s="46" cm="1">
        <f t="array" ref="F790">_xlfn.IFS($G790=$G$5,F$5,$G790=$G$6,F$6,$G790=$G$7,F$7,$G790=$G$8,F$8,$G790=$G$9,F$9,$G790=$G$10,F$10,$G790=$G$11,F$11,$G790=$G$12,F$12,$G790=$G$13,F$13,$G790=$G$15,F$15,$G790=$G$16,F$16,$G790=$G$17,F$17,$G790=$G$18,F$18,$G790=$G$19,F$19,$G790=$G$20,F$20,$G790=$G$21,F$21,$G790=$G$22,F$22,$G790=$G$25,F$25,$G790=$G$26,F$26,$G790=$G$27,F$27,$G790=$G$29,F$29,$G790=$G$31,F$31,$G790=$G$32,F$32,$G790=$G$248,F$248,$G790=$G$250,F$250)</f>
        <v>8017</v>
      </c>
      <c r="G790" t="s">
        <v>86</v>
      </c>
      <c r="H790" s="67" cm="1">
        <f t="array" ref="H790">_xlfn.IFS($G790=$G$5,H$5,$G790=$G$6,H$6,$G790=$G$7,H$7,$G790=$G$8,H$8,$G790=$G$9,H$9,$G790=$G$10,H$10,$G790=$G$11,H$11,$G790=$G$12,H$12,$G790=$G$13,H$13,$G790=$G$15,H$15,$G790=$G$16,H$16,$G790=$G$17,H$17,$G790=$G$18,H$18,$G790=$G$19,H$19,$G790=$G$20,H$20,$G790=$G$21,H$21,$G790=$G$22,H$22,$G790=$G$25,H$25,$G790=$G$26,H$26,$G790=$G$27,H$27,$G790=$G$29,H$29,$G790=$G$31,H$31,$G790=$G$32,H$150,$G790=$G$248,H$248,$G790=$G$250,H$250)</f>
        <v>41.428533999999999</v>
      </c>
      <c r="I790" s="67" cm="1">
        <f t="array" ref="I790">_xlfn.IFS($G790=$G$5,I$5,$G790=$G$6,I$6,$G790=$G$7,I$7,$G790=$G$8,I$8,$G790=$G$9,I$9,$G790=$G$10,I$10,$G790=$G$11,I$11,$G790=$G$12,I$12,$G790=$G$13,I$13,$G790=$G$15,I$15,$G790=$G$16,I$16,$G790=$G$17,I$17,$G790=$G$18,I$18,$G790=$G$19,I$19,$G790=$G$20,I$20,$G790=$G$21,I$21,$G790=$G$22,I$22,$G790=$G$25,I$25,$G790=$G$26,I$26,$G790=$G$27,I$27,$G790=$G$29,I$29,$G790=$G$31,I$31,$G790=$G$32,I$150,$G790=$G$248,I$248,$G790=$G$250,I$250)</f>
        <v>2.090954</v>
      </c>
      <c r="J790" s="48" cm="1">
        <f t="array" ref="J790">_xlfn.IFS($G790=$G$5,J$5,$G790=$G$6,J$6,$G790=$G$7,J$7,$G790=$G$8,J$8,$G790=$G$9,J$9,$G790=$G$10,J$10,$G790=$G$11,J$11,$G790=$G$12,J$12,$G790=$G$13,J$13,$G790=$G$15,J$15,$G790=$G$16,J$16,$G790=$G$17,J$17,$G790=$G$18,J$18,$G790=$G$19,J$19,$G790=$G$20,J$20,$G790=$G$21,J$21,$G790=$G$22,J$22,$G790=$G$25,J$25,$G790=$G$26,J$26,$G790=$G$27,J$27,$G790=$G$29,J$29,$G790=$G$31,J$31,$G790=$G$32,J$150,$G790=$G$248,J$248,$G790=$G$250,J$250)</f>
        <v>215</v>
      </c>
      <c r="K790" s="48" t="str" cm="1">
        <f t="array" ref="K790">_xlfn.IFS($G790=$G$5,K$5,$G790=$G$6,K$6,$G790=$G$7,K$7,$G790=$G$8,K$8,$G790=$G$9,K$9,$G790=$G$10,K$10,$G790=$G$11,K$11,$G790=$G$12,K$12,$G790=$G$13,K$13,$G790=$G$15,K$15,$G790=$G$16,K$16,$G790=$G$17,K$17,$G790=$G$18,K$18,$G790=$G$19,K$19,$G790=$G$20,K$20,$G790=$G$21,K$21,$G790=$G$22,K$22,$G790=$G$25,K$25,$G790=$G$26,K$26,$G790=$G$27,K$27,$G790=$G$29,K$29,$G790=$G$31,K$31,$G790=$G$32,K$150,$G790=$G$248,K$248,$G790=$G$250,K$250)</f>
        <v>BG sentinel + BG lure7</v>
      </c>
      <c r="L790" s="48"/>
      <c r="M790" s="48"/>
      <c r="O790" s="45" t="str">
        <f t="shared" si="54"/>
        <v>A_SP_BCN_14_210922</v>
      </c>
      <c r="P790" s="64">
        <v>44461</v>
      </c>
      <c r="R790" s="72"/>
      <c r="S790" s="64">
        <v>44468</v>
      </c>
      <c r="U790" s="72"/>
      <c r="V790" s="54" t="s">
        <v>66</v>
      </c>
      <c r="X790" s="45">
        <f t="shared" si="55"/>
        <v>7</v>
      </c>
      <c r="Z790" s="69" t="s">
        <v>69</v>
      </c>
      <c r="AA790" s="45">
        <f t="shared" si="65"/>
        <v>11</v>
      </c>
      <c r="AB790" t="str">
        <f t="shared" si="63"/>
        <v>Adult</v>
      </c>
      <c r="AC790" s="69">
        <v>10</v>
      </c>
      <c r="AD790" s="69">
        <v>1</v>
      </c>
      <c r="AE790" s="45" t="str">
        <f t="shared" si="64"/>
        <v>Morphological</v>
      </c>
      <c r="AF790" s="56">
        <v>4</v>
      </c>
    </row>
    <row r="791" spans="1:32" ht="18" customHeight="1" x14ac:dyDescent="0.25">
      <c r="A791" s="45">
        <v>787</v>
      </c>
      <c r="B791" s="45" t="s">
        <v>60</v>
      </c>
      <c r="C791" s="45" t="s">
        <v>61</v>
      </c>
      <c r="D791" s="45" t="s">
        <v>62</v>
      </c>
      <c r="E791" s="45" t="s">
        <v>62</v>
      </c>
      <c r="F791" s="46" cm="1">
        <f t="array" ref="F791">_xlfn.IFS($G791=$G$5,F$5,$G791=$G$6,F$6,$G791=$G$7,F$7,$G791=$G$8,F$8,$G791=$G$9,F$9,$G791=$G$10,F$10,$G791=$G$11,F$11,$G791=$G$12,F$12,$G791=$G$13,F$13,$G791=$G$15,F$15,$G791=$G$16,F$16,$G791=$G$17,F$17,$G791=$G$18,F$18,$G791=$G$19,F$19,$G791=$G$20,F$20,$G791=$G$21,F$21,$G791=$G$22,F$22,$G791=$G$25,F$25,$G791=$G$26,F$26,$G791=$G$27,F$27,$G791=$G$29,F$29,$G791=$G$31,F$31,$G791=$G$32,F$32,$G791=$G$248,F$248,$G791=$G$250,F$250)</f>
        <v>8017</v>
      </c>
      <c r="G791" t="s">
        <v>86</v>
      </c>
      <c r="H791" s="67" cm="1">
        <f t="array" ref="H791">_xlfn.IFS($G791=$G$5,H$5,$G791=$G$6,H$6,$G791=$G$7,H$7,$G791=$G$8,H$8,$G791=$G$9,H$9,$G791=$G$10,H$10,$G791=$G$11,H$11,$G791=$G$12,H$12,$G791=$G$13,H$13,$G791=$G$15,H$15,$G791=$G$16,H$16,$G791=$G$17,H$17,$G791=$G$18,H$18,$G791=$G$19,H$19,$G791=$G$20,H$20,$G791=$G$21,H$21,$G791=$G$22,H$22,$G791=$G$25,H$25,$G791=$G$26,H$26,$G791=$G$27,H$27,$G791=$G$29,H$29,$G791=$G$31,H$31,$G791=$G$32,H$150,$G791=$G$248,H$248,$G791=$G$250,H$250)</f>
        <v>41.428533999999999</v>
      </c>
      <c r="I791" s="67" cm="1">
        <f t="array" ref="I791">_xlfn.IFS($G791=$G$5,I$5,$G791=$G$6,I$6,$G791=$G$7,I$7,$G791=$G$8,I$8,$G791=$G$9,I$9,$G791=$G$10,I$10,$G791=$G$11,I$11,$G791=$G$12,I$12,$G791=$G$13,I$13,$G791=$G$15,I$15,$G791=$G$16,I$16,$G791=$G$17,I$17,$G791=$G$18,I$18,$G791=$G$19,I$19,$G791=$G$20,I$20,$G791=$G$21,I$21,$G791=$G$22,I$22,$G791=$G$25,I$25,$G791=$G$26,I$26,$G791=$G$27,I$27,$G791=$G$29,I$29,$G791=$G$31,I$31,$G791=$G$32,I$150,$G791=$G$248,I$248,$G791=$G$250,I$250)</f>
        <v>2.090954</v>
      </c>
      <c r="J791" s="48" cm="1">
        <f t="array" ref="J791">_xlfn.IFS($G791=$G$5,J$5,$G791=$G$6,J$6,$G791=$G$7,J$7,$G791=$G$8,J$8,$G791=$G$9,J$9,$G791=$G$10,J$10,$G791=$G$11,J$11,$G791=$G$12,J$12,$G791=$G$13,J$13,$G791=$G$15,J$15,$G791=$G$16,J$16,$G791=$G$17,J$17,$G791=$G$18,J$18,$G791=$G$19,J$19,$G791=$G$20,J$20,$G791=$G$21,J$21,$G791=$G$22,J$22,$G791=$G$25,J$25,$G791=$G$26,J$26,$G791=$G$27,J$27,$G791=$G$29,J$29,$G791=$G$31,J$31,$G791=$G$32,J$150,$G791=$G$248,J$248,$G791=$G$250,J$250)</f>
        <v>215</v>
      </c>
      <c r="K791" s="48" t="str" cm="1">
        <f t="array" ref="K791">_xlfn.IFS($G791=$G$5,K$5,$G791=$G$6,K$6,$G791=$G$7,K$7,$G791=$G$8,K$8,$G791=$G$9,K$9,$G791=$G$10,K$10,$G791=$G$11,K$11,$G791=$G$12,K$12,$G791=$G$13,K$13,$G791=$G$15,K$15,$G791=$G$16,K$16,$G791=$G$17,K$17,$G791=$G$18,K$18,$G791=$G$19,K$19,$G791=$G$20,K$20,$G791=$G$21,K$21,$G791=$G$22,K$22,$G791=$G$25,K$25,$G791=$G$26,K$26,$G791=$G$27,K$27,$G791=$G$29,K$29,$G791=$G$31,K$31,$G791=$G$32,K$150,$G791=$G$248,K$248,$G791=$G$250,K$250)</f>
        <v>BG sentinel + BG lure7</v>
      </c>
      <c r="L791" s="48"/>
      <c r="M791" s="48"/>
      <c r="O791" s="45" t="str">
        <f t="shared" si="54"/>
        <v>A_SP_BCN_14_210922</v>
      </c>
      <c r="P791" s="64">
        <v>44461</v>
      </c>
      <c r="R791" s="72"/>
      <c r="S791" s="64">
        <v>44468</v>
      </c>
      <c r="U791" s="72"/>
      <c r="V791" s="54" t="s">
        <v>66</v>
      </c>
      <c r="X791" s="45">
        <f t="shared" si="55"/>
        <v>7</v>
      </c>
      <c r="Z791" s="45" t="s">
        <v>70</v>
      </c>
      <c r="AA791" s="45">
        <f t="shared" si="65"/>
        <v>8</v>
      </c>
      <c r="AB791" t="str">
        <f t="shared" si="63"/>
        <v>Adult</v>
      </c>
      <c r="AC791" s="69">
        <v>8</v>
      </c>
      <c r="AD791" s="69">
        <v>0</v>
      </c>
      <c r="AE791" s="45" t="str">
        <f t="shared" si="64"/>
        <v>Morphological</v>
      </c>
      <c r="AF791" s="56">
        <v>4</v>
      </c>
    </row>
    <row r="792" spans="1:32" ht="18" customHeight="1" x14ac:dyDescent="0.25">
      <c r="A792" s="45">
        <v>788</v>
      </c>
      <c r="B792" s="45" t="s">
        <v>60</v>
      </c>
      <c r="C792" s="45" t="s">
        <v>61</v>
      </c>
      <c r="D792" s="45" t="s">
        <v>62</v>
      </c>
      <c r="E792" s="45" t="s">
        <v>62</v>
      </c>
      <c r="F792" s="46" cm="1">
        <f t="array" ref="F792">_xlfn.IFS($G792=$G$5,F$5,$G792=$G$6,F$6,$G792=$G$7,F$7,$G792=$G$8,F$8,$G792=$G$9,F$9,$G792=$G$10,F$10,$G792=$G$11,F$11,$G792=$G$12,F$12,$G792=$G$13,F$13,$G792=$G$15,F$15,$G792=$G$16,F$16,$G792=$G$17,F$17,$G792=$G$18,F$18,$G792=$G$19,F$19,$G792=$G$20,F$20,$G792=$G$21,F$21,$G792=$G$22,F$22,$G792=$G$25,F$25,$G792=$G$26,F$26,$G792=$G$27,F$27,$G792=$G$29,F$29,$G792=$G$31,F$31,$G792=$G$32,F$32,$G792=$G$248,F$248,$G792=$G$250,F$250)</f>
        <v>8017</v>
      </c>
      <c r="G792" t="s">
        <v>87</v>
      </c>
      <c r="H792" s="67" cm="1">
        <f t="array" ref="H792">_xlfn.IFS($G792=$G$5,H$5,$G792=$G$6,H$6,$G792=$G$7,H$7,$G792=$G$8,H$8,$G792=$G$9,H$9,$G792=$G$10,H$10,$G792=$G$11,H$11,$G792=$G$12,H$12,$G792=$G$13,H$13,$G792=$G$15,H$15,$G792=$G$16,H$16,$G792=$G$17,H$17,$G792=$G$18,H$18,$G792=$G$19,H$19,$G792=$G$20,H$20,$G792=$G$21,H$21,$G792=$G$22,H$22,$G792=$G$25,H$25,$G792=$G$26,H$26,$G792=$G$27,H$27,$G792=$G$29,H$29,$G792=$G$31,H$31,$G792=$G$32,H$150,$G792=$G$248,H$248,$G792=$G$250,H$250)</f>
        <v>41.419471000000001</v>
      </c>
      <c r="I792" s="67" cm="1">
        <f t="array" ref="I792">_xlfn.IFS($G792=$G$5,I$5,$G792=$G$6,I$6,$G792=$G$7,I$7,$G792=$G$8,I$8,$G792=$G$9,I$9,$G792=$G$10,I$10,$G792=$G$11,I$11,$G792=$G$12,I$12,$G792=$G$13,I$13,$G792=$G$15,I$15,$G792=$G$16,I$16,$G792=$G$17,I$17,$G792=$G$18,I$18,$G792=$G$19,I$19,$G792=$G$20,I$20,$G792=$G$21,I$21,$G792=$G$22,I$22,$G792=$G$25,I$25,$G792=$G$26,I$26,$G792=$G$27,I$27,$G792=$G$29,I$29,$G792=$G$31,I$31,$G792=$G$32,I$150,$G792=$G$248,I$248,$G792=$G$250,I$250)</f>
        <v>2.1010149999999999</v>
      </c>
      <c r="J792" s="48" cm="1">
        <f t="array" ref="J792">_xlfn.IFS($G792=$G$5,J$5,$G792=$G$6,J$6,$G792=$G$7,J$7,$G792=$G$8,J$8,$G792=$G$9,J$9,$G792=$G$10,J$10,$G792=$G$11,J$11,$G792=$G$12,J$12,$G792=$G$13,J$13,$G792=$G$15,J$15,$G792=$G$16,J$16,$G792=$G$17,J$17,$G792=$G$18,J$18,$G792=$G$19,J$19,$G792=$G$20,J$20,$G792=$G$21,J$21,$G792=$G$22,J$22,$G792=$G$25,J$25,$G792=$G$26,J$26,$G792=$G$27,J$27,$G792=$G$29,J$29,$G792=$G$31,J$31,$G792=$G$32,J$150,$G792=$G$248,J$248,$G792=$G$250,J$250)</f>
        <v>284</v>
      </c>
      <c r="K792" s="48" t="str" cm="1">
        <f t="array" ref="K792">_xlfn.IFS($G792=$G$5,K$5,$G792=$G$6,K$6,$G792=$G$7,K$7,$G792=$G$8,K$8,$G792=$G$9,K$9,$G792=$G$10,K$10,$G792=$G$11,K$11,$G792=$G$12,K$12,$G792=$G$13,K$13,$G792=$G$15,K$15,$G792=$G$16,K$16,$G792=$G$17,K$17,$G792=$G$18,K$18,$G792=$G$19,K$19,$G792=$G$20,K$20,$G792=$G$21,K$21,$G792=$G$22,K$22,$G792=$G$25,K$25,$G792=$G$26,K$26,$G792=$G$27,K$27,$G792=$G$29,K$29,$G792=$G$31,K$31,$G792=$G$32,K$150,$G792=$G$248,K$248,$G792=$G$250,K$250)</f>
        <v>BG sentinel + BG lure7</v>
      </c>
      <c r="L792" s="48"/>
      <c r="M792" s="48"/>
      <c r="O792" s="45" t="str">
        <f t="shared" si="54"/>
        <v>A_SP_BCN_15_210922</v>
      </c>
      <c r="P792" s="64">
        <v>44461</v>
      </c>
      <c r="R792" s="72"/>
      <c r="S792" s="64">
        <v>44468</v>
      </c>
      <c r="U792" s="72"/>
      <c r="V792" s="54" t="s">
        <v>66</v>
      </c>
      <c r="X792" s="45">
        <f t="shared" si="55"/>
        <v>7</v>
      </c>
      <c r="Z792" s="69" t="s">
        <v>69</v>
      </c>
      <c r="AA792" s="45">
        <f t="shared" si="65"/>
        <v>20</v>
      </c>
      <c r="AB792" t="str">
        <f t="shared" si="63"/>
        <v>Adult</v>
      </c>
      <c r="AC792" s="69">
        <v>20</v>
      </c>
      <c r="AD792" s="69">
        <v>0</v>
      </c>
      <c r="AE792" s="45" t="str">
        <f t="shared" si="64"/>
        <v>Morphological</v>
      </c>
      <c r="AF792" s="56">
        <v>4</v>
      </c>
    </row>
    <row r="793" spans="1:32" ht="18" customHeight="1" x14ac:dyDescent="0.25">
      <c r="A793" s="45">
        <v>789</v>
      </c>
      <c r="B793" s="45" t="s">
        <v>60</v>
      </c>
      <c r="C793" s="45" t="s">
        <v>61</v>
      </c>
      <c r="D793" s="45" t="s">
        <v>62</v>
      </c>
      <c r="E793" s="45" t="s">
        <v>62</v>
      </c>
      <c r="F793" s="46" cm="1">
        <f t="array" ref="F793">_xlfn.IFS($G793=$G$5,F$5,$G793=$G$6,F$6,$G793=$G$7,F$7,$G793=$G$8,F$8,$G793=$G$9,F$9,$G793=$G$10,F$10,$G793=$G$11,F$11,$G793=$G$12,F$12,$G793=$G$13,F$13,$G793=$G$15,F$15,$G793=$G$16,F$16,$G793=$G$17,F$17,$G793=$G$18,F$18,$G793=$G$19,F$19,$G793=$G$20,F$20,$G793=$G$21,F$21,$G793=$G$22,F$22,$G793=$G$25,F$25,$G793=$G$26,F$26,$G793=$G$27,F$27,$G793=$G$29,F$29,$G793=$G$31,F$31,$G793=$G$32,F$32,$G793=$G$248,F$248,$G793=$G$250,F$250)</f>
        <v>8017</v>
      </c>
      <c r="G793" t="s">
        <v>88</v>
      </c>
      <c r="H793" s="67" cm="1">
        <f t="array" ref="H793">_xlfn.IFS($G793=$G$5,H$5,$G793=$G$6,H$6,$G793=$G$7,H$7,$G793=$G$8,H$8,$G793=$G$9,H$9,$G793=$G$10,H$10,$G793=$G$11,H$11,$G793=$G$12,H$12,$G793=$G$13,H$13,$G793=$G$15,H$15,$G793=$G$16,H$16,$G793=$G$17,H$17,$G793=$G$18,H$18,$G793=$G$19,H$19,$G793=$G$20,H$20,$G793=$G$21,H$21,$G793=$G$22,H$22,$G793=$G$25,H$25,$G793=$G$26,H$26,$G793=$G$27,H$27,$G793=$G$29,H$29,$G793=$G$31,H$31,$G793=$G$32,H$150,$G793=$G$248,H$248,$G793=$G$250,H$250)</f>
        <v>41.398387</v>
      </c>
      <c r="I793" s="67" cm="1">
        <f t="array" ref="I793">_xlfn.IFS($G793=$G$5,I$5,$G793=$G$6,I$6,$G793=$G$7,I$7,$G793=$G$8,I$8,$G793=$G$9,I$9,$G793=$G$10,I$10,$G793=$G$11,I$11,$G793=$G$12,I$12,$G793=$G$13,I$13,$G793=$G$15,I$15,$G793=$G$16,I$16,$G793=$G$17,I$17,$G793=$G$18,I$18,$G793=$G$19,I$19,$G793=$G$20,I$20,$G793=$G$21,I$21,$G793=$G$22,I$22,$G793=$G$25,I$25,$G793=$G$26,I$26,$G793=$G$27,I$27,$G793=$G$29,I$29,$G793=$G$31,I$31,$G793=$G$32,I$150,$G793=$G$248,I$248,$G793=$G$250,I$250)</f>
        <v>2.1244429999999999</v>
      </c>
      <c r="J793" s="48" cm="1">
        <f t="array" ref="J793">_xlfn.IFS($G793=$G$5,J$5,$G793=$G$6,J$6,$G793=$G$7,J$7,$G793=$G$8,J$8,$G793=$G$9,J$9,$G793=$G$10,J$10,$G793=$G$11,J$11,$G793=$G$12,J$12,$G793=$G$13,J$13,$G793=$G$15,J$15,$G793=$G$16,J$16,$G793=$G$17,J$17,$G793=$G$18,J$18,$G793=$G$19,J$19,$G793=$G$20,J$20,$G793=$G$21,J$21,$G793=$G$22,J$22,$G793=$G$25,J$25,$G793=$G$26,J$26,$G793=$G$27,J$27,$G793=$G$29,J$29,$G793=$G$31,J$31,$G793=$G$32,J$150,$G793=$G$248,J$248,$G793=$G$250,J$250)</f>
        <v>106</v>
      </c>
      <c r="K793" s="48" t="str" cm="1">
        <f t="array" ref="K793">_xlfn.IFS($G793=$G$5,K$5,$G793=$G$6,K$6,$G793=$G$7,K$7,$G793=$G$8,K$8,$G793=$G$9,K$9,$G793=$G$10,K$10,$G793=$G$11,K$11,$G793=$G$12,K$12,$G793=$G$13,K$13,$G793=$G$15,K$15,$G793=$G$16,K$16,$G793=$G$17,K$17,$G793=$G$18,K$18,$G793=$G$19,K$19,$G793=$G$20,K$20,$G793=$G$21,K$21,$G793=$G$22,K$22,$G793=$G$25,K$25,$G793=$G$26,K$26,$G793=$G$27,K$27,$G793=$G$29,K$29,$G793=$G$31,K$31,$G793=$G$32,K$150,$G793=$G$248,K$248,$G793=$G$250,K$250)</f>
        <v>BG sentinel + BG lure7</v>
      </c>
      <c r="L793" s="48"/>
      <c r="M793" s="48"/>
      <c r="O793" s="45" t="str">
        <f t="shared" si="54"/>
        <v>A_SP_BCN_16_210922</v>
      </c>
      <c r="P793" s="64">
        <v>44461</v>
      </c>
      <c r="R793" s="72"/>
      <c r="S793" s="64">
        <v>44468</v>
      </c>
      <c r="U793" s="72"/>
      <c r="V793" s="54" t="s">
        <v>66</v>
      </c>
      <c r="W793" t="s">
        <v>135</v>
      </c>
      <c r="X793" s="45">
        <f t="shared" si="55"/>
        <v>7</v>
      </c>
      <c r="Z793" s="69" t="s">
        <v>69</v>
      </c>
      <c r="AA793" s="45">
        <f t="shared" si="65"/>
        <v>62</v>
      </c>
      <c r="AB793" t="str">
        <f t="shared" si="63"/>
        <v>Adult</v>
      </c>
      <c r="AC793" s="69">
        <v>36</v>
      </c>
      <c r="AD793" s="69">
        <v>26</v>
      </c>
      <c r="AE793" s="45" t="str">
        <f t="shared" si="64"/>
        <v>Morphological</v>
      </c>
      <c r="AF793" s="56">
        <v>3</v>
      </c>
    </row>
    <row r="794" spans="1:32" ht="18" customHeight="1" x14ac:dyDescent="0.25">
      <c r="A794" s="45">
        <v>790</v>
      </c>
      <c r="B794" s="45" t="s">
        <v>60</v>
      </c>
      <c r="C794" s="45" t="s">
        <v>61</v>
      </c>
      <c r="D794" s="45" t="s">
        <v>62</v>
      </c>
      <c r="E794" s="45" t="s">
        <v>62</v>
      </c>
      <c r="F794" s="46" cm="1">
        <f t="array" ref="F794">_xlfn.IFS($G794=$G$5,F$5,$G794=$G$6,F$6,$G794=$G$7,F$7,$G794=$G$8,F$8,$G794=$G$9,F$9,$G794=$G$10,F$10,$G794=$G$11,F$11,$G794=$G$12,F$12,$G794=$G$13,F$13,$G794=$G$15,F$15,$G794=$G$16,F$16,$G794=$G$17,F$17,$G794=$G$18,F$18,$G794=$G$19,F$19,$G794=$G$20,F$20,$G794=$G$21,F$21,$G794=$G$22,F$22,$G794=$G$25,F$25,$G794=$G$26,F$26,$G794=$G$27,F$27,$G794=$G$29,F$29,$G794=$G$31,F$31,$G794=$G$32,F$32,$G794=$G$248,F$248,$G794=$G$250,F$250)</f>
        <v>8017</v>
      </c>
      <c r="G794" t="s">
        <v>88</v>
      </c>
      <c r="H794" s="67" cm="1">
        <f t="array" ref="H794">_xlfn.IFS($G794=$G$5,H$5,$G794=$G$6,H$6,$G794=$G$7,H$7,$G794=$G$8,H$8,$G794=$G$9,H$9,$G794=$G$10,H$10,$G794=$G$11,H$11,$G794=$G$12,H$12,$G794=$G$13,H$13,$G794=$G$15,H$15,$G794=$G$16,H$16,$G794=$G$17,H$17,$G794=$G$18,H$18,$G794=$G$19,H$19,$G794=$G$20,H$20,$G794=$G$21,H$21,$G794=$G$22,H$22,$G794=$G$25,H$25,$G794=$G$26,H$26,$G794=$G$27,H$27,$G794=$G$29,H$29,$G794=$G$31,H$31,$G794=$G$32,H$150,$G794=$G$248,H$248,$G794=$G$250,H$250)</f>
        <v>41.398387</v>
      </c>
      <c r="I794" s="67" cm="1">
        <f t="array" ref="I794">_xlfn.IFS($G794=$G$5,I$5,$G794=$G$6,I$6,$G794=$G$7,I$7,$G794=$G$8,I$8,$G794=$G$9,I$9,$G794=$G$10,I$10,$G794=$G$11,I$11,$G794=$G$12,I$12,$G794=$G$13,I$13,$G794=$G$15,I$15,$G794=$G$16,I$16,$G794=$G$17,I$17,$G794=$G$18,I$18,$G794=$G$19,I$19,$G794=$G$20,I$20,$G794=$G$21,I$21,$G794=$G$22,I$22,$G794=$G$25,I$25,$G794=$G$26,I$26,$G794=$G$27,I$27,$G794=$G$29,I$29,$G794=$G$31,I$31,$G794=$G$32,I$150,$G794=$G$248,I$248,$G794=$G$250,I$250)</f>
        <v>2.1244429999999999</v>
      </c>
      <c r="J794" s="48" cm="1">
        <f t="array" ref="J794">_xlfn.IFS($G794=$G$5,J$5,$G794=$G$6,J$6,$G794=$G$7,J$7,$G794=$G$8,J$8,$G794=$G$9,J$9,$G794=$G$10,J$10,$G794=$G$11,J$11,$G794=$G$12,J$12,$G794=$G$13,J$13,$G794=$G$15,J$15,$G794=$G$16,J$16,$G794=$G$17,J$17,$G794=$G$18,J$18,$G794=$G$19,J$19,$G794=$G$20,J$20,$G794=$G$21,J$21,$G794=$G$22,J$22,$G794=$G$25,J$25,$G794=$G$26,J$26,$G794=$G$27,J$27,$G794=$G$29,J$29,$G794=$G$31,J$31,$G794=$G$32,J$150,$G794=$G$248,J$248,$G794=$G$250,J$250)</f>
        <v>106</v>
      </c>
      <c r="K794" s="48" t="str" cm="1">
        <f t="array" ref="K794">_xlfn.IFS($G794=$G$5,K$5,$G794=$G$6,K$6,$G794=$G$7,K$7,$G794=$G$8,K$8,$G794=$G$9,K$9,$G794=$G$10,K$10,$G794=$G$11,K$11,$G794=$G$12,K$12,$G794=$G$13,K$13,$G794=$G$15,K$15,$G794=$G$16,K$16,$G794=$G$17,K$17,$G794=$G$18,K$18,$G794=$G$19,K$19,$G794=$G$20,K$20,$G794=$G$21,K$21,$G794=$G$22,K$22,$G794=$G$25,K$25,$G794=$G$26,K$26,$G794=$G$27,K$27,$G794=$G$29,K$29,$G794=$G$31,K$31,$G794=$G$32,K$150,$G794=$G$248,K$248,$G794=$G$250,K$250)</f>
        <v>BG sentinel + BG lure7</v>
      </c>
      <c r="L794" s="48"/>
      <c r="M794" s="48"/>
      <c r="O794" s="45" t="str">
        <f t="shared" si="54"/>
        <v>A_SP_BCN_16_210922</v>
      </c>
      <c r="P794" s="64">
        <v>44461</v>
      </c>
      <c r="R794" s="72"/>
      <c r="S794" s="64">
        <v>44468</v>
      </c>
      <c r="U794" s="72"/>
      <c r="V794" s="54" t="s">
        <v>66</v>
      </c>
      <c r="W794" t="s">
        <v>135</v>
      </c>
      <c r="X794" s="45">
        <f t="shared" si="55"/>
        <v>7</v>
      </c>
      <c r="Z794" s="45" t="s">
        <v>70</v>
      </c>
      <c r="AA794" s="45">
        <f t="shared" si="65"/>
        <v>106</v>
      </c>
      <c r="AB794" t="str">
        <f t="shared" si="63"/>
        <v>Adult</v>
      </c>
      <c r="AC794" s="69">
        <v>38</v>
      </c>
      <c r="AD794" s="69">
        <v>68</v>
      </c>
      <c r="AE794" s="45" t="str">
        <f t="shared" si="64"/>
        <v>Morphological</v>
      </c>
      <c r="AF794" s="56">
        <v>3</v>
      </c>
    </row>
    <row r="795" spans="1:32" ht="18" customHeight="1" x14ac:dyDescent="0.25">
      <c r="A795" s="45">
        <v>791</v>
      </c>
      <c r="B795" s="45" t="s">
        <v>60</v>
      </c>
      <c r="C795" s="45" t="s">
        <v>61</v>
      </c>
      <c r="D795" s="45" t="s">
        <v>62</v>
      </c>
      <c r="E795" s="45" t="s">
        <v>62</v>
      </c>
      <c r="F795" s="46" cm="1">
        <f t="array" ref="F795">_xlfn.IFS($G795=$G$5,F$5,$G795=$G$6,F$6,$G795=$G$7,F$7,$G795=$G$8,F$8,$G795=$G$9,F$9,$G795=$G$10,F$10,$G795=$G$11,F$11,$G795=$G$12,F$12,$G795=$G$13,F$13,$G795=$G$15,F$15,$G795=$G$16,F$16,$G795=$G$17,F$17,$G795=$G$18,F$18,$G795=$G$19,F$19,$G795=$G$20,F$20,$G795=$G$21,F$21,$G795=$G$22,F$22,$G795=$G$25,F$25,$G795=$G$26,F$26,$G795=$G$27,F$27,$G795=$G$29,F$29,$G795=$G$31,F$31,$G795=$G$32,F$32,$G795=$G$248,F$248,$G795=$G$250,F$250)</f>
        <v>8023</v>
      </c>
      <c r="G795" t="s">
        <v>89</v>
      </c>
      <c r="H795" s="67" cm="1">
        <f t="array" ref="H795">_xlfn.IFS($G795=$G$5,H$5,$G795=$G$6,H$6,$G795=$G$7,H$7,$G795=$G$8,H$8,$G795=$G$9,H$9,$G795=$G$10,H$10,$G795=$G$11,H$11,$G795=$G$12,H$12,$G795=$G$13,H$13,$G795=$G$15,H$15,$G795=$G$16,H$16,$G795=$G$17,H$17,$G795=$G$18,H$18,$G795=$G$19,H$19,$G795=$G$20,H$20,$G795=$G$21,H$21,$G795=$G$22,H$22,$G795=$G$25,H$25,$G795=$G$26,H$26,$G795=$G$27,H$27,$G795=$G$29,H$29,$G795=$G$31,H$31,$G795=$G$32,H$150,$G795=$G$248,H$248,$G795=$G$250,H$250)</f>
        <v>41.417256000000002</v>
      </c>
      <c r="I795" s="67" cm="1">
        <f t="array" ref="I795">_xlfn.IFS($G795=$G$5,I$5,$G795=$G$6,I$6,$G795=$G$7,I$7,$G795=$G$8,I$8,$G795=$G$9,I$9,$G795=$G$10,I$10,$G795=$G$11,I$11,$G795=$G$12,I$12,$G795=$G$13,I$13,$G795=$G$15,I$15,$G795=$G$16,I$16,$G795=$G$17,I$17,$G795=$G$18,I$18,$G795=$G$19,I$19,$G795=$G$20,I$20,$G795=$G$21,I$21,$G795=$G$22,I$22,$G795=$G$25,I$25,$G795=$G$26,I$26,$G795=$G$27,I$27,$G795=$G$29,I$29,$G795=$G$31,I$31,$G795=$G$32,I$150,$G795=$G$248,I$248,$G795=$G$250,I$250)</f>
        <v>2.1455709999999999</v>
      </c>
      <c r="J795" s="48" cm="1">
        <f t="array" ref="J795">_xlfn.IFS($G795=$G$5,J$5,$G795=$G$6,J$6,$G795=$G$7,J$7,$G795=$G$8,J$8,$G795=$G$9,J$9,$G795=$G$10,J$10,$G795=$G$11,J$11,$G795=$G$12,J$12,$G795=$G$13,J$13,$G795=$G$15,J$15,$G795=$G$16,J$16,$G795=$G$17,J$17,$G795=$G$18,J$18,$G795=$G$19,J$19,$G795=$G$20,J$20,$G795=$G$21,J$21,$G795=$G$22,J$22,$G795=$G$25,J$25,$G795=$G$26,J$26,$G795=$G$27,J$27,$G795=$G$29,J$29,$G795=$G$31,J$31,$G795=$G$32,J$150,$G795=$G$248,J$248,$G795=$G$250,J$250)</f>
        <v>186</v>
      </c>
      <c r="K795" s="48" t="str" cm="1">
        <f t="array" ref="K795">_xlfn.IFS($G795=$G$5,K$5,$G795=$G$6,K$6,$G795=$G$7,K$7,$G795=$G$8,K$8,$G795=$G$9,K$9,$G795=$G$10,K$10,$G795=$G$11,K$11,$G795=$G$12,K$12,$G795=$G$13,K$13,$G795=$G$15,K$15,$G795=$G$16,K$16,$G795=$G$17,K$17,$G795=$G$18,K$18,$G795=$G$19,K$19,$G795=$G$20,K$20,$G795=$G$21,K$21,$G795=$G$22,K$22,$G795=$G$25,K$25,$G795=$G$26,K$26,$G795=$G$27,K$27,$G795=$G$29,K$29,$G795=$G$31,K$31,$G795=$G$32,K$150,$G795=$G$248,K$248,$G795=$G$250,K$250)</f>
        <v>BG sentinel + BG lure7</v>
      </c>
      <c r="L795" s="48"/>
      <c r="M795" s="48"/>
      <c r="O795" s="45" t="str">
        <f t="shared" si="54"/>
        <v>A_SP_BCN_17_210922</v>
      </c>
      <c r="P795" s="64">
        <v>44461</v>
      </c>
      <c r="R795" s="72"/>
      <c r="S795" s="64">
        <v>44468</v>
      </c>
      <c r="U795" s="72"/>
      <c r="V795" s="54" t="s">
        <v>66</v>
      </c>
      <c r="X795" s="45">
        <f t="shared" si="55"/>
        <v>7</v>
      </c>
      <c r="Z795" s="69" t="s">
        <v>69</v>
      </c>
      <c r="AA795" s="45">
        <f t="shared" ref="AA795:AA812" si="66">SUM(AC795:AD795)</f>
        <v>1</v>
      </c>
      <c r="AB795" t="str">
        <f t="shared" si="63"/>
        <v>Adult</v>
      </c>
      <c r="AC795" s="69">
        <v>1</v>
      </c>
      <c r="AD795" s="69">
        <v>0</v>
      </c>
      <c r="AE795" s="45" t="str">
        <f t="shared" si="64"/>
        <v>Morphological</v>
      </c>
      <c r="AF795" s="56">
        <v>4</v>
      </c>
    </row>
    <row r="796" spans="1:32" ht="18" customHeight="1" x14ac:dyDescent="0.25">
      <c r="A796" s="45">
        <v>792</v>
      </c>
      <c r="B796" s="45" t="s">
        <v>60</v>
      </c>
      <c r="C796" s="45" t="s">
        <v>61</v>
      </c>
      <c r="D796" s="45" t="s">
        <v>62</v>
      </c>
      <c r="E796" s="45" t="s">
        <v>62</v>
      </c>
      <c r="F796" s="46" cm="1">
        <f t="array" ref="F796">_xlfn.IFS($G796=$G$5,F$5,$G796=$G$6,F$6,$G796=$G$7,F$7,$G796=$G$8,F$8,$G796=$G$9,F$9,$G796=$G$10,F$10,$G796=$G$11,F$11,$G796=$G$12,F$12,$G796=$G$13,F$13,$G796=$G$15,F$15,$G796=$G$16,F$16,$G796=$G$17,F$17,$G796=$G$18,F$18,$G796=$G$19,F$19,$G796=$G$20,F$20,$G796=$G$21,F$21,$G796=$G$22,F$22,$G796=$G$25,F$25,$G796=$G$26,F$26,$G796=$G$27,F$27,$G796=$G$29,F$29,$G796=$G$31,F$31,$G796=$G$32,F$32,$G796=$G$248,F$248,$G796=$G$250,F$250)</f>
        <v>8031</v>
      </c>
      <c r="G796" t="s">
        <v>92</v>
      </c>
      <c r="H796" s="67" cm="1">
        <f t="array" ref="H796">_xlfn.IFS($G796=$G$5,H$5,$G796=$G$6,H$6,$G796=$G$7,H$7,$G796=$G$8,H$8,$G796=$G$9,H$9,$G796=$G$10,H$10,$G796=$G$11,H$11,$G796=$G$12,H$12,$G796=$G$13,H$13,$G796=$G$15,H$15,$G796=$G$16,H$16,$G796=$G$17,H$17,$G796=$G$18,H$18,$G796=$G$19,H$19,$G796=$G$20,H$20,$G796=$G$21,H$21,$G796=$G$22,H$22,$G796=$G$25,H$25,$G796=$G$26,H$26,$G796=$G$27,H$27,$G796=$G$29,H$29,$G796=$G$31,H$31,$G796=$G$32,H$150,$G796=$G$248,H$248,$G796=$G$250,H$250)</f>
        <v>41.433618000000003</v>
      </c>
      <c r="I796" s="67" cm="1">
        <f t="array" ref="I796">_xlfn.IFS($G796=$G$5,I$5,$G796=$G$6,I$6,$G796=$G$7,I$7,$G796=$G$8,I$8,$G796=$G$9,I$9,$G796=$G$10,I$10,$G796=$G$11,I$11,$G796=$G$12,I$12,$G796=$G$13,I$13,$G796=$G$15,I$15,$G796=$G$16,I$16,$G796=$G$17,I$17,$G796=$G$18,I$18,$G796=$G$19,I$19,$G796=$G$20,I$20,$G796=$G$21,I$21,$G796=$G$22,I$22,$G796=$G$25,I$25,$G796=$G$26,I$26,$G796=$G$27,I$27,$G796=$G$29,I$29,$G796=$G$31,I$31,$G796=$G$32,I$150,$G796=$G$248,I$248,$G796=$G$250,I$250)</f>
        <v>2.1677469999999999</v>
      </c>
      <c r="J796" s="48" cm="1">
        <f t="array" ref="J796">_xlfn.IFS($G796=$G$5,J$5,$G796=$G$6,J$6,$G796=$G$7,J$7,$G796=$G$8,J$8,$G796=$G$9,J$9,$G796=$G$10,J$10,$G796=$G$11,J$11,$G796=$G$12,J$12,$G796=$G$13,J$13,$G796=$G$15,J$15,$G796=$G$16,J$16,$G796=$G$17,J$17,$G796=$G$18,J$18,$G796=$G$19,J$19,$G796=$G$20,J$20,$G796=$G$21,J$21,$G796=$G$22,J$22,$G796=$G$25,J$25,$G796=$G$26,J$26,$G796=$G$27,J$27,$G796=$G$29,J$29,$G796=$G$31,J$31,$G796=$G$32,J$150,$G796=$G$248,J$248,$G796=$G$250,J$250)</f>
        <v>96.85</v>
      </c>
      <c r="K796" s="48" t="str" cm="1">
        <f t="array" ref="K796">_xlfn.IFS($G796=$G$5,K$5,$G796=$G$6,K$6,$G796=$G$7,K$7,$G796=$G$8,K$8,$G796=$G$9,K$9,$G796=$G$10,K$10,$G796=$G$11,K$11,$G796=$G$12,K$12,$G796=$G$13,K$13,$G796=$G$15,K$15,$G796=$G$16,K$16,$G796=$G$17,K$17,$G796=$G$18,K$18,$G796=$G$19,K$19,$G796=$G$20,K$20,$G796=$G$21,K$21,$G796=$G$22,K$22,$G796=$G$25,K$25,$G796=$G$26,K$26,$G796=$G$27,K$27,$G796=$G$29,K$29,$G796=$G$31,K$31,$G796=$G$32,K$150,$G796=$G$248,K$248,$G796=$G$250,K$250)</f>
        <v>BG sentinel + BG lure7</v>
      </c>
      <c r="L796" s="48"/>
      <c r="M796" s="48"/>
      <c r="O796" s="45" t="str">
        <f t="shared" si="54"/>
        <v>A_SP_BCN_18_210922</v>
      </c>
      <c r="P796" s="64">
        <v>44461</v>
      </c>
      <c r="R796" s="72"/>
      <c r="S796" s="64">
        <v>44468</v>
      </c>
      <c r="U796" s="72"/>
      <c r="V796" s="54" t="s">
        <v>66</v>
      </c>
      <c r="W796" t="s">
        <v>160</v>
      </c>
      <c r="X796" s="45">
        <f t="shared" si="55"/>
        <v>7</v>
      </c>
      <c r="Z796" s="69" t="s">
        <v>69</v>
      </c>
      <c r="AA796" s="45">
        <f t="shared" si="66"/>
        <v>9</v>
      </c>
      <c r="AB796" t="str">
        <f t="shared" si="63"/>
        <v>Adult</v>
      </c>
      <c r="AC796" s="69">
        <v>8</v>
      </c>
      <c r="AD796" s="69">
        <v>1</v>
      </c>
      <c r="AE796" s="45" t="str">
        <f t="shared" si="64"/>
        <v>Morphological</v>
      </c>
      <c r="AF796" s="56">
        <v>3</v>
      </c>
    </row>
    <row r="797" spans="1:32" ht="18" customHeight="1" x14ac:dyDescent="0.25">
      <c r="A797" s="45">
        <v>793</v>
      </c>
      <c r="B797" s="45" t="s">
        <v>60</v>
      </c>
      <c r="C797" s="45" t="s">
        <v>61</v>
      </c>
      <c r="D797" s="45" t="s">
        <v>62</v>
      </c>
      <c r="E797" s="45" t="s">
        <v>62</v>
      </c>
      <c r="F797" s="46" cm="1">
        <f t="array" ref="F797">_xlfn.IFS($G797=$G$5,F$5,$G797=$G$6,F$6,$G797=$G$7,F$7,$G797=$G$8,F$8,$G797=$G$9,F$9,$G797=$G$10,F$10,$G797=$G$11,F$11,$G797=$G$12,F$12,$G797=$G$13,F$13,$G797=$G$15,F$15,$G797=$G$16,F$16,$G797=$G$17,F$17,$G797=$G$18,F$18,$G797=$G$19,F$19,$G797=$G$20,F$20,$G797=$G$21,F$21,$G797=$G$22,F$22,$G797=$G$25,F$25,$G797=$G$26,F$26,$G797=$G$27,F$27,$G797=$G$29,F$29,$G797=$G$31,F$31,$G797=$G$32,F$32,$G797=$G$248,F$248,$G797=$G$250,F$250)</f>
        <v>8031</v>
      </c>
      <c r="G797" t="s">
        <v>92</v>
      </c>
      <c r="H797" s="67" cm="1">
        <f t="array" ref="H797">_xlfn.IFS($G797=$G$5,H$5,$G797=$G$6,H$6,$G797=$G$7,H$7,$G797=$G$8,H$8,$G797=$G$9,H$9,$G797=$G$10,H$10,$G797=$G$11,H$11,$G797=$G$12,H$12,$G797=$G$13,H$13,$G797=$G$15,H$15,$G797=$G$16,H$16,$G797=$G$17,H$17,$G797=$G$18,H$18,$G797=$G$19,H$19,$G797=$G$20,H$20,$G797=$G$21,H$21,$G797=$G$22,H$22,$G797=$G$25,H$25,$G797=$G$26,H$26,$G797=$G$27,H$27,$G797=$G$29,H$29,$G797=$G$31,H$31,$G797=$G$32,H$150,$G797=$G$248,H$248,$G797=$G$250,H$250)</f>
        <v>41.433618000000003</v>
      </c>
      <c r="I797" s="67" cm="1">
        <f t="array" ref="I797">_xlfn.IFS($G797=$G$5,I$5,$G797=$G$6,I$6,$G797=$G$7,I$7,$G797=$G$8,I$8,$G797=$G$9,I$9,$G797=$G$10,I$10,$G797=$G$11,I$11,$G797=$G$12,I$12,$G797=$G$13,I$13,$G797=$G$15,I$15,$G797=$G$16,I$16,$G797=$G$17,I$17,$G797=$G$18,I$18,$G797=$G$19,I$19,$G797=$G$20,I$20,$G797=$G$21,I$21,$G797=$G$22,I$22,$G797=$G$25,I$25,$G797=$G$26,I$26,$G797=$G$27,I$27,$G797=$G$29,I$29,$G797=$G$31,I$31,$G797=$G$32,I$150,$G797=$G$248,I$248,$G797=$G$250,I$250)</f>
        <v>2.1677469999999999</v>
      </c>
      <c r="J797" s="48" cm="1">
        <f t="array" ref="J797">_xlfn.IFS($G797=$G$5,J$5,$G797=$G$6,J$6,$G797=$G$7,J$7,$G797=$G$8,J$8,$G797=$G$9,J$9,$G797=$G$10,J$10,$G797=$G$11,J$11,$G797=$G$12,J$12,$G797=$G$13,J$13,$G797=$G$15,J$15,$G797=$G$16,J$16,$G797=$G$17,J$17,$G797=$G$18,J$18,$G797=$G$19,J$19,$G797=$G$20,J$20,$G797=$G$21,J$21,$G797=$G$22,J$22,$G797=$G$25,J$25,$G797=$G$26,J$26,$G797=$G$27,J$27,$G797=$G$29,J$29,$G797=$G$31,J$31,$G797=$G$32,J$150,$G797=$G$248,J$248,$G797=$G$250,J$250)</f>
        <v>96.85</v>
      </c>
      <c r="K797" s="48" t="str" cm="1">
        <f t="array" ref="K797">_xlfn.IFS($G797=$G$5,K$5,$G797=$G$6,K$6,$G797=$G$7,K$7,$G797=$G$8,K$8,$G797=$G$9,K$9,$G797=$G$10,K$10,$G797=$G$11,K$11,$G797=$G$12,K$12,$G797=$G$13,K$13,$G797=$G$15,K$15,$G797=$G$16,K$16,$G797=$G$17,K$17,$G797=$G$18,K$18,$G797=$G$19,K$19,$G797=$G$20,K$20,$G797=$G$21,K$21,$G797=$G$22,K$22,$G797=$G$25,K$25,$G797=$G$26,K$26,$G797=$G$27,K$27,$G797=$G$29,K$29,$G797=$G$31,K$31,$G797=$G$32,K$150,$G797=$G$248,K$248,$G797=$G$250,K$250)</f>
        <v>BG sentinel + BG lure7</v>
      </c>
      <c r="L797" s="48"/>
      <c r="M797" s="48"/>
      <c r="O797" s="45" t="str">
        <f t="shared" si="54"/>
        <v>A_SP_BCN_18_210922</v>
      </c>
      <c r="P797" s="64">
        <v>44461</v>
      </c>
      <c r="R797" s="72"/>
      <c r="S797" s="64">
        <v>44468</v>
      </c>
      <c r="U797" s="72"/>
      <c r="V797" s="54" t="s">
        <v>66</v>
      </c>
      <c r="W797" t="s">
        <v>160</v>
      </c>
      <c r="X797" s="45">
        <f t="shared" si="55"/>
        <v>7</v>
      </c>
      <c r="Z797" s="45" t="s">
        <v>70</v>
      </c>
      <c r="AA797" s="45">
        <f t="shared" si="66"/>
        <v>1</v>
      </c>
      <c r="AB797" t="str">
        <f t="shared" si="63"/>
        <v>Adult</v>
      </c>
      <c r="AC797" s="69">
        <v>1</v>
      </c>
      <c r="AD797" s="69">
        <v>0</v>
      </c>
      <c r="AE797" s="45" t="str">
        <f t="shared" si="64"/>
        <v>Morphological</v>
      </c>
      <c r="AF797" s="56">
        <v>3</v>
      </c>
    </row>
    <row r="798" spans="1:32" ht="18" customHeight="1" x14ac:dyDescent="0.25">
      <c r="A798" s="45">
        <v>794</v>
      </c>
      <c r="B798" s="45" t="s">
        <v>60</v>
      </c>
      <c r="C798" s="45" t="s">
        <v>61</v>
      </c>
      <c r="D798" s="45" t="s">
        <v>62</v>
      </c>
      <c r="E798" s="45" t="s">
        <v>62</v>
      </c>
      <c r="F798" s="46" cm="1">
        <f t="array" ref="F798">_xlfn.IFS($G798=$G$5,F$5,$G798=$G$6,F$6,$G798=$G$7,F$7,$G798=$G$8,F$8,$G798=$G$9,F$9,$G798=$G$10,F$10,$G798=$G$11,F$11,$G798=$G$12,F$12,$G798=$G$13,F$13,$G798=$G$15,F$15,$G798=$G$16,F$16,$G798=$G$17,F$17,$G798=$G$18,F$18,$G798=$G$19,F$19,$G798=$G$20,F$20,$G798=$G$21,F$21,$G798=$G$22,F$22,$G798=$G$25,F$25,$G798=$G$26,F$26,$G798=$G$27,F$27,$G798=$G$29,F$29,$G798=$G$31,F$31,$G798=$G$32,F$32,$G798=$G$248,F$248,$G798=$G$250,F$250)</f>
        <v>8038</v>
      </c>
      <c r="G798" t="s">
        <v>93</v>
      </c>
      <c r="H798" s="67" cm="1">
        <f t="array" ref="H798">_xlfn.IFS($G798=$G$5,H$5,$G798=$G$6,H$6,$G798=$G$7,H$7,$G798=$G$8,H$8,$G798=$G$9,H$9,$G798=$G$10,H$10,$G798=$G$11,H$11,$G798=$G$12,H$12,$G798=$G$13,H$13,$G798=$G$15,H$15,$G798=$G$16,H$16,$G798=$G$17,H$17,$G798=$G$18,H$18,$G798=$G$19,H$19,$G798=$G$20,H$20,$G798=$G$21,H$21,$G798=$G$22,H$22,$G798=$G$25,H$25,$G798=$G$26,H$26,$G798=$G$27,H$27,$G798=$G$29,H$29,$G798=$G$31,H$31,$G798=$G$32,H$150,$G798=$G$248,H$248,$G798=$G$250,H$250)</f>
        <v>41.359864999999999</v>
      </c>
      <c r="I798" s="67" cm="1">
        <f t="array" ref="I798">_xlfn.IFS($G798=$G$5,I$5,$G798=$G$6,I$6,$G798=$G$7,I$7,$G798=$G$8,I$8,$G798=$G$9,I$9,$G798=$G$10,I$10,$G798=$G$11,I$11,$G798=$G$12,I$12,$G798=$G$13,I$13,$G798=$G$15,I$15,$G798=$G$16,I$16,$G798=$G$17,I$17,$G798=$G$18,I$18,$G798=$G$19,I$19,$G798=$G$20,I$20,$G798=$G$21,I$21,$G798=$G$22,I$22,$G798=$G$25,I$25,$G798=$G$26,I$26,$G798=$G$27,I$27,$G798=$G$29,I$29,$G798=$G$31,I$31,$G798=$G$32,I$150,$G798=$G$248,I$248,$G798=$G$250,I$250)</f>
        <v>2.1445430000000001</v>
      </c>
      <c r="J798" s="48" cm="1">
        <f t="array" ref="J798">_xlfn.IFS($G798=$G$5,J$5,$G798=$G$6,J$6,$G798=$G$7,J$7,$G798=$G$8,J$8,$G798=$G$9,J$9,$G798=$G$10,J$10,$G798=$G$11,J$11,$G798=$G$12,J$12,$G798=$G$13,J$13,$G798=$G$15,J$15,$G798=$G$16,J$16,$G798=$G$17,J$17,$G798=$G$18,J$18,$G798=$G$19,J$19,$G798=$G$20,J$20,$G798=$G$21,J$21,$G798=$G$22,J$22,$G798=$G$25,J$25,$G798=$G$26,J$26,$G798=$G$27,J$27,$G798=$G$29,J$29,$G798=$G$31,J$31,$G798=$G$32,J$150,$G798=$G$248,J$248,$G798=$G$250,J$250)</f>
        <v>11.4</v>
      </c>
      <c r="K798" s="48" t="str" cm="1">
        <f t="array" ref="K798">_xlfn.IFS($G798=$G$5,K$5,$G798=$G$6,K$6,$G798=$G$7,K$7,$G798=$G$8,K$8,$G798=$G$9,K$9,$G798=$G$10,K$10,$G798=$G$11,K$11,$G798=$G$12,K$12,$G798=$G$13,K$13,$G798=$G$15,K$15,$G798=$G$16,K$16,$G798=$G$17,K$17,$G798=$G$18,K$18,$G798=$G$19,K$19,$G798=$G$20,K$20,$G798=$G$21,K$21,$G798=$G$22,K$22,$G798=$G$25,K$25,$G798=$G$26,K$26,$G798=$G$27,K$27,$G798=$G$29,K$29,$G798=$G$31,K$31,$G798=$G$32,K$150,$G798=$G$248,K$248,$G798=$G$250,K$250)</f>
        <v>BG sentinel + BG lure7</v>
      </c>
      <c r="L798" s="48"/>
      <c r="M798" s="48"/>
      <c r="O798" s="45" t="str">
        <f t="shared" si="54"/>
        <v>A_SP_BCN_19_210923</v>
      </c>
      <c r="P798" s="64">
        <v>44462</v>
      </c>
      <c r="R798" s="72"/>
      <c r="S798" s="64">
        <v>44469</v>
      </c>
      <c r="U798" s="72"/>
      <c r="V798" s="54" t="s">
        <v>66</v>
      </c>
      <c r="X798" s="45">
        <f t="shared" si="55"/>
        <v>7</v>
      </c>
      <c r="Z798" s="69" t="s">
        <v>69</v>
      </c>
      <c r="AA798" s="45">
        <f t="shared" si="66"/>
        <v>45</v>
      </c>
      <c r="AB798" t="str">
        <f t="shared" si="63"/>
        <v>Adult</v>
      </c>
      <c r="AC798" s="69">
        <v>34</v>
      </c>
      <c r="AD798" s="69">
        <v>11</v>
      </c>
      <c r="AE798" s="45" t="str">
        <f t="shared" si="64"/>
        <v>Morphological</v>
      </c>
      <c r="AF798" s="56">
        <v>4</v>
      </c>
    </row>
    <row r="799" spans="1:32" ht="18" customHeight="1" x14ac:dyDescent="0.25">
      <c r="A799" s="45">
        <v>795</v>
      </c>
      <c r="B799" s="45" t="s">
        <v>60</v>
      </c>
      <c r="C799" s="45" t="s">
        <v>61</v>
      </c>
      <c r="D799" s="45" t="s">
        <v>62</v>
      </c>
      <c r="E799" s="45" t="s">
        <v>62</v>
      </c>
      <c r="F799" s="46" cm="1">
        <f t="array" ref="F799">_xlfn.IFS($G799=$G$5,F$5,$G799=$G$6,F$6,$G799=$G$7,F$7,$G799=$G$8,F$8,$G799=$G$9,F$9,$G799=$G$10,F$10,$G799=$G$11,F$11,$G799=$G$12,F$12,$G799=$G$13,F$13,$G799=$G$15,F$15,$G799=$G$16,F$16,$G799=$G$17,F$17,$G799=$G$18,F$18,$G799=$G$19,F$19,$G799=$G$20,F$20,$G799=$G$21,F$21,$G799=$G$22,F$22,$G799=$G$25,F$25,$G799=$G$26,F$26,$G799=$G$27,F$27,$G799=$G$29,F$29,$G799=$G$31,F$31,$G799=$G$32,F$32,$G799=$G$248,F$248,$G799=$G$250,F$250)</f>
        <v>8038</v>
      </c>
      <c r="G799" t="s">
        <v>93</v>
      </c>
      <c r="H799" s="67" cm="1">
        <f t="array" ref="H799">_xlfn.IFS($G799=$G$5,H$5,$G799=$G$6,H$6,$G799=$G$7,H$7,$G799=$G$8,H$8,$G799=$G$9,H$9,$G799=$G$10,H$10,$G799=$G$11,H$11,$G799=$G$12,H$12,$G799=$G$13,H$13,$G799=$G$15,H$15,$G799=$G$16,H$16,$G799=$G$17,H$17,$G799=$G$18,H$18,$G799=$G$19,H$19,$G799=$G$20,H$20,$G799=$G$21,H$21,$G799=$G$22,H$22,$G799=$G$25,H$25,$G799=$G$26,H$26,$G799=$G$27,H$27,$G799=$G$29,H$29,$G799=$G$31,H$31,$G799=$G$32,H$150,$G799=$G$248,H$248,$G799=$G$250,H$250)</f>
        <v>41.359864999999999</v>
      </c>
      <c r="I799" s="67" cm="1">
        <f t="array" ref="I799">_xlfn.IFS($G799=$G$5,I$5,$G799=$G$6,I$6,$G799=$G$7,I$7,$G799=$G$8,I$8,$G799=$G$9,I$9,$G799=$G$10,I$10,$G799=$G$11,I$11,$G799=$G$12,I$12,$G799=$G$13,I$13,$G799=$G$15,I$15,$G799=$G$16,I$16,$G799=$G$17,I$17,$G799=$G$18,I$18,$G799=$G$19,I$19,$G799=$G$20,I$20,$G799=$G$21,I$21,$G799=$G$22,I$22,$G799=$G$25,I$25,$G799=$G$26,I$26,$G799=$G$27,I$27,$G799=$G$29,I$29,$G799=$G$31,I$31,$G799=$G$32,I$150,$G799=$G$248,I$248,$G799=$G$250,I$250)</f>
        <v>2.1445430000000001</v>
      </c>
      <c r="J799" s="48" cm="1">
        <f t="array" ref="J799">_xlfn.IFS($G799=$G$5,J$5,$G799=$G$6,J$6,$G799=$G$7,J$7,$G799=$G$8,J$8,$G799=$G$9,J$9,$G799=$G$10,J$10,$G799=$G$11,J$11,$G799=$G$12,J$12,$G799=$G$13,J$13,$G799=$G$15,J$15,$G799=$G$16,J$16,$G799=$G$17,J$17,$G799=$G$18,J$18,$G799=$G$19,J$19,$G799=$G$20,J$20,$G799=$G$21,J$21,$G799=$G$22,J$22,$G799=$G$25,J$25,$G799=$G$26,J$26,$G799=$G$27,J$27,$G799=$G$29,J$29,$G799=$G$31,J$31,$G799=$G$32,J$150,$G799=$G$248,J$248,$G799=$G$250,J$250)</f>
        <v>11.4</v>
      </c>
      <c r="K799" s="48" t="str" cm="1">
        <f t="array" ref="K799">_xlfn.IFS($G799=$G$5,K$5,$G799=$G$6,K$6,$G799=$G$7,K$7,$G799=$G$8,K$8,$G799=$G$9,K$9,$G799=$G$10,K$10,$G799=$G$11,K$11,$G799=$G$12,K$12,$G799=$G$13,K$13,$G799=$G$15,K$15,$G799=$G$16,K$16,$G799=$G$17,K$17,$G799=$G$18,K$18,$G799=$G$19,K$19,$G799=$G$20,K$20,$G799=$G$21,K$21,$G799=$G$22,K$22,$G799=$G$25,K$25,$G799=$G$26,K$26,$G799=$G$27,K$27,$G799=$G$29,K$29,$G799=$G$31,K$31,$G799=$G$32,K$150,$G799=$G$248,K$248,$G799=$G$250,K$250)</f>
        <v>BG sentinel + BG lure7</v>
      </c>
      <c r="L799" s="48"/>
      <c r="M799" s="48"/>
      <c r="O799" s="45" t="str">
        <f t="shared" si="54"/>
        <v>A_SP_BCN_19_210923</v>
      </c>
      <c r="P799" s="64">
        <v>44462</v>
      </c>
      <c r="R799" s="72"/>
      <c r="S799" s="64">
        <v>44469</v>
      </c>
      <c r="U799" s="72"/>
      <c r="V799" s="54" t="s">
        <v>66</v>
      </c>
      <c r="X799" s="45">
        <f t="shared" si="55"/>
        <v>7</v>
      </c>
      <c r="Z799" s="45" t="s">
        <v>70</v>
      </c>
      <c r="AA799" s="45">
        <f t="shared" si="66"/>
        <v>74</v>
      </c>
      <c r="AB799" t="str">
        <f t="shared" si="63"/>
        <v>Adult</v>
      </c>
      <c r="AC799" s="69">
        <v>71</v>
      </c>
      <c r="AD799" s="69">
        <v>3</v>
      </c>
      <c r="AE799" s="45" t="str">
        <f t="shared" si="64"/>
        <v>Morphological</v>
      </c>
      <c r="AF799" s="56">
        <v>4</v>
      </c>
    </row>
    <row r="800" spans="1:32" ht="18" customHeight="1" x14ac:dyDescent="0.25">
      <c r="A800" s="45">
        <v>796</v>
      </c>
      <c r="B800" s="45" t="s">
        <v>60</v>
      </c>
      <c r="C800" s="45" t="s">
        <v>61</v>
      </c>
      <c r="D800" s="45" t="s">
        <v>62</v>
      </c>
      <c r="E800" s="45" t="s">
        <v>62</v>
      </c>
      <c r="F800" s="46" cm="1">
        <f t="array" ref="F800">_xlfn.IFS($G800=$G$5,F$5,$G800=$G$6,F$6,$G800=$G$7,F$7,$G800=$G$8,F$8,$G800=$G$9,F$9,$G800=$G$10,F$10,$G800=$G$11,F$11,$G800=$G$12,F$12,$G800=$G$13,F$13,$G800=$G$15,F$15,$G800=$G$16,F$16,$G800=$G$17,F$17,$G800=$G$18,F$18,$G800=$G$19,F$19,$G800=$G$20,F$20,$G800=$G$21,F$21,$G800=$G$22,F$22,$G800=$G$25,F$25,$G800=$G$26,F$26,$G800=$G$27,F$27,$G800=$G$29,F$29,$G800=$G$31,F$31,$G800=$G$32,F$32,$G800=$G$248,F$248,$G800=$G$250,F$250)</f>
        <v>8002</v>
      </c>
      <c r="G800" t="s">
        <v>94</v>
      </c>
      <c r="H800" s="67" cm="1">
        <f t="array" ref="H800">_xlfn.IFS($G800=$G$5,H$5,$G800=$G$6,H$6,$G800=$G$7,H$7,$G800=$G$8,H$8,$G800=$G$9,H$9,$G800=$G$10,H$10,$G800=$G$11,H$11,$G800=$G$12,H$12,$G800=$G$13,H$13,$G800=$G$15,H$15,$G800=$G$16,H$16,$G800=$G$17,H$17,$G800=$G$18,H$18,$G800=$G$19,H$19,$G800=$G$20,H$20,$G800=$G$21,H$21,$G800=$G$22,H$22,$G800=$G$25,H$25,$G800=$G$26,H$26,$G800=$G$27,H$27,$G800=$G$29,H$29,$G800=$G$31,H$31,$G800=$G$32,H$150,$G800=$G$248,H$248,$G800=$G$250,H$250)</f>
        <v>41.385213</v>
      </c>
      <c r="I800" s="67" cm="1">
        <f t="array" ref="I800">_xlfn.IFS($G800=$G$5,I$5,$G800=$G$6,I$6,$G800=$G$7,I$7,$G800=$G$8,I$8,$G800=$G$9,I$9,$G800=$G$10,I$10,$G800=$G$11,I$11,$G800=$G$12,I$12,$G800=$G$13,I$13,$G800=$G$15,I$15,$G800=$G$16,I$16,$G800=$G$17,I$17,$G800=$G$18,I$18,$G800=$G$19,I$19,$G800=$G$20,I$20,$G800=$G$21,I$21,$G800=$G$22,I$22,$G800=$G$25,I$25,$G800=$G$26,I$26,$G800=$G$27,I$27,$G800=$G$29,I$29,$G800=$G$31,I$31,$G800=$G$32,I$150,$G800=$G$248,I$248,$G800=$G$250,I$250)</f>
        <v>2.174852</v>
      </c>
      <c r="J800" s="48" cm="1">
        <f t="array" ref="J800">_xlfn.IFS($G800=$G$5,J$5,$G800=$G$6,J$6,$G800=$G$7,J$7,$G800=$G$8,J$8,$G800=$G$9,J$9,$G800=$G$10,J$10,$G800=$G$11,J$11,$G800=$G$12,J$12,$G800=$G$13,J$13,$G800=$G$15,J$15,$G800=$G$16,J$16,$G800=$G$17,J$17,$G800=$G$18,J$18,$G800=$G$19,J$19,$G800=$G$20,J$20,$G800=$G$21,J$21,$G800=$G$22,J$22,$G800=$G$25,J$25,$G800=$G$26,J$26,$G800=$G$27,J$27,$G800=$G$29,J$29,$G800=$G$31,J$31,$G800=$G$32,J$150,$G800=$G$248,J$248,$G800=$G$250,J$250)</f>
        <v>14</v>
      </c>
      <c r="K800" s="48" t="str" cm="1">
        <f t="array" ref="K800">_xlfn.IFS($G800=$G$5,K$5,$G800=$G$6,K$6,$G800=$G$7,K$7,$G800=$G$8,K$8,$G800=$G$9,K$9,$G800=$G$10,K$10,$G800=$G$11,K$11,$G800=$G$12,K$12,$G800=$G$13,K$13,$G800=$G$15,K$15,$G800=$G$16,K$16,$G800=$G$17,K$17,$G800=$G$18,K$18,$G800=$G$19,K$19,$G800=$G$20,K$20,$G800=$G$21,K$21,$G800=$G$22,K$22,$G800=$G$25,K$25,$G800=$G$26,K$26,$G800=$G$27,K$27,$G800=$G$29,K$29,$G800=$G$31,K$31,$G800=$G$32,K$150,$G800=$G$248,K$248,$G800=$G$250,K$250)</f>
        <v>BG sentinel + BG lure7</v>
      </c>
      <c r="L800" s="48"/>
      <c r="M800" s="48"/>
      <c r="O800" s="45" t="str">
        <f t="shared" si="54"/>
        <v>A_SP_BCN_20_210923</v>
      </c>
      <c r="P800" s="64">
        <v>44462</v>
      </c>
      <c r="R800" s="72"/>
      <c r="S800" s="64">
        <v>44469</v>
      </c>
      <c r="U800" s="72"/>
      <c r="V800" s="54" t="s">
        <v>66</v>
      </c>
      <c r="X800" s="45">
        <f t="shared" si="55"/>
        <v>7</v>
      </c>
      <c r="Z800" s="69" t="s">
        <v>69</v>
      </c>
      <c r="AA800" s="45">
        <f t="shared" si="66"/>
        <v>16</v>
      </c>
      <c r="AB800" t="str">
        <f t="shared" si="63"/>
        <v>Adult</v>
      </c>
      <c r="AC800" s="69">
        <v>12</v>
      </c>
      <c r="AD800" s="69">
        <v>4</v>
      </c>
      <c r="AE800" s="45" t="str">
        <f t="shared" si="64"/>
        <v>Morphological</v>
      </c>
      <c r="AF800" s="56">
        <v>4</v>
      </c>
    </row>
    <row r="801" spans="1:32" ht="18" customHeight="1" x14ac:dyDescent="0.25">
      <c r="A801" s="45">
        <v>797</v>
      </c>
      <c r="B801" s="45" t="s">
        <v>60</v>
      </c>
      <c r="C801" s="45" t="s">
        <v>61</v>
      </c>
      <c r="D801" s="45" t="s">
        <v>62</v>
      </c>
      <c r="E801" s="45" t="s">
        <v>62</v>
      </c>
      <c r="F801" s="46" cm="1">
        <f t="array" ref="F801">_xlfn.IFS($G801=$G$5,F$5,$G801=$G$6,F$6,$G801=$G$7,F$7,$G801=$G$8,F$8,$G801=$G$9,F$9,$G801=$G$10,F$10,$G801=$G$11,F$11,$G801=$G$12,F$12,$G801=$G$13,F$13,$G801=$G$15,F$15,$G801=$G$16,F$16,$G801=$G$17,F$17,$G801=$G$18,F$18,$G801=$G$19,F$19,$G801=$G$20,F$20,$G801=$G$21,F$21,$G801=$G$22,F$22,$G801=$G$25,F$25,$G801=$G$26,F$26,$G801=$G$27,F$27,$G801=$G$29,F$29,$G801=$G$31,F$31,$G801=$G$32,F$32,$G801=$G$248,F$248,$G801=$G$250,F$250)</f>
        <v>8002</v>
      </c>
      <c r="G801" t="s">
        <v>94</v>
      </c>
      <c r="H801" s="67" cm="1">
        <f t="array" ref="H801">_xlfn.IFS($G801=$G$5,H$5,$G801=$G$6,H$6,$G801=$G$7,H$7,$G801=$G$8,H$8,$G801=$G$9,H$9,$G801=$G$10,H$10,$G801=$G$11,H$11,$G801=$G$12,H$12,$G801=$G$13,H$13,$G801=$G$15,H$15,$G801=$G$16,H$16,$G801=$G$17,H$17,$G801=$G$18,H$18,$G801=$G$19,H$19,$G801=$G$20,H$20,$G801=$G$21,H$21,$G801=$G$22,H$22,$G801=$G$25,H$25,$G801=$G$26,H$26,$G801=$G$27,H$27,$G801=$G$29,H$29,$G801=$G$31,H$31,$G801=$G$32,H$150,$G801=$G$248,H$248,$G801=$G$250,H$250)</f>
        <v>41.385213</v>
      </c>
      <c r="I801" s="67" cm="1">
        <f t="array" ref="I801">_xlfn.IFS($G801=$G$5,I$5,$G801=$G$6,I$6,$G801=$G$7,I$7,$G801=$G$8,I$8,$G801=$G$9,I$9,$G801=$G$10,I$10,$G801=$G$11,I$11,$G801=$G$12,I$12,$G801=$G$13,I$13,$G801=$G$15,I$15,$G801=$G$16,I$16,$G801=$G$17,I$17,$G801=$G$18,I$18,$G801=$G$19,I$19,$G801=$G$20,I$20,$G801=$G$21,I$21,$G801=$G$22,I$22,$G801=$G$25,I$25,$G801=$G$26,I$26,$G801=$G$27,I$27,$G801=$G$29,I$29,$G801=$G$31,I$31,$G801=$G$32,I$150,$G801=$G$248,I$248,$G801=$G$250,I$250)</f>
        <v>2.174852</v>
      </c>
      <c r="J801" s="48" cm="1">
        <f t="array" ref="J801">_xlfn.IFS($G801=$G$5,J$5,$G801=$G$6,J$6,$G801=$G$7,J$7,$G801=$G$8,J$8,$G801=$G$9,J$9,$G801=$G$10,J$10,$G801=$G$11,J$11,$G801=$G$12,J$12,$G801=$G$13,J$13,$G801=$G$15,J$15,$G801=$G$16,J$16,$G801=$G$17,J$17,$G801=$G$18,J$18,$G801=$G$19,J$19,$G801=$G$20,J$20,$G801=$G$21,J$21,$G801=$G$22,J$22,$G801=$G$25,J$25,$G801=$G$26,J$26,$G801=$G$27,J$27,$G801=$G$29,J$29,$G801=$G$31,J$31,$G801=$G$32,J$150,$G801=$G$248,J$248,$G801=$G$250,J$250)</f>
        <v>14</v>
      </c>
      <c r="K801" s="48" t="str" cm="1">
        <f t="array" ref="K801">_xlfn.IFS($G801=$G$5,K$5,$G801=$G$6,K$6,$G801=$G$7,K$7,$G801=$G$8,K$8,$G801=$G$9,K$9,$G801=$G$10,K$10,$G801=$G$11,K$11,$G801=$G$12,K$12,$G801=$G$13,K$13,$G801=$G$15,K$15,$G801=$G$16,K$16,$G801=$G$17,K$17,$G801=$G$18,K$18,$G801=$G$19,K$19,$G801=$G$20,K$20,$G801=$G$21,K$21,$G801=$G$22,K$22,$G801=$G$25,K$25,$G801=$G$26,K$26,$G801=$G$27,K$27,$G801=$G$29,K$29,$G801=$G$31,K$31,$G801=$G$32,K$150,$G801=$G$248,K$248,$G801=$G$250,K$250)</f>
        <v>BG sentinel + BG lure7</v>
      </c>
      <c r="L801" s="48"/>
      <c r="M801" s="48"/>
      <c r="O801" s="45" t="str">
        <f t="shared" si="54"/>
        <v>A_SP_BCN_20_210923</v>
      </c>
      <c r="P801" s="64">
        <v>44462</v>
      </c>
      <c r="R801" s="72"/>
      <c r="S801" s="64">
        <v>44469</v>
      </c>
      <c r="U801" s="72"/>
      <c r="V801" s="54" t="s">
        <v>66</v>
      </c>
      <c r="X801" s="45">
        <f t="shared" si="55"/>
        <v>7</v>
      </c>
      <c r="Z801" s="45" t="s">
        <v>70</v>
      </c>
      <c r="AA801" s="45">
        <f t="shared" si="66"/>
        <v>10</v>
      </c>
      <c r="AB801" t="str">
        <f t="shared" si="63"/>
        <v>Adult</v>
      </c>
      <c r="AC801" s="69">
        <v>8</v>
      </c>
      <c r="AD801" s="69">
        <v>2</v>
      </c>
      <c r="AE801" s="45" t="str">
        <f t="shared" si="64"/>
        <v>Morphological</v>
      </c>
      <c r="AF801" s="56">
        <v>4</v>
      </c>
    </row>
    <row r="802" spans="1:32" ht="18" customHeight="1" x14ac:dyDescent="0.25">
      <c r="A802" s="45">
        <v>798</v>
      </c>
      <c r="B802" s="45" t="s">
        <v>60</v>
      </c>
      <c r="C802" s="45" t="s">
        <v>61</v>
      </c>
      <c r="D802" s="45" t="s">
        <v>62</v>
      </c>
      <c r="E802" s="45" t="s">
        <v>62</v>
      </c>
      <c r="F802" s="46" cm="1">
        <f t="array" ref="F802">_xlfn.IFS($G802=$G$5,F$5,$G802=$G$6,F$6,$G802=$G$7,F$7,$G802=$G$8,F$8,$G802=$G$9,F$9,$G802=$G$10,F$10,$G802=$G$11,F$11,$G802=$G$12,F$12,$G802=$G$13,F$13,$G802=$G$15,F$15,$G802=$G$16,F$16,$G802=$G$17,F$17,$G802=$G$18,F$18,$G802=$G$19,F$19,$G802=$G$20,F$20,$G802=$G$21,F$21,$G802=$G$22,F$22,$G802=$G$25,F$25,$G802=$G$26,F$26,$G802=$G$27,F$27,$G802=$G$29,F$29,$G802=$G$31,F$31,$G802=$G$32,F$32,$G802=$G$248,F$248,$G802=$G$250,F$250)</f>
        <v>8002</v>
      </c>
      <c r="G802" t="s">
        <v>94</v>
      </c>
      <c r="H802" s="67" cm="1">
        <f t="array" ref="H802">_xlfn.IFS($G802=$G$5,H$5,$G802=$G$6,H$6,$G802=$G$7,H$7,$G802=$G$8,H$8,$G802=$G$9,H$9,$G802=$G$10,H$10,$G802=$G$11,H$11,$G802=$G$12,H$12,$G802=$G$13,H$13,$G802=$G$15,H$15,$G802=$G$16,H$16,$G802=$G$17,H$17,$G802=$G$18,H$18,$G802=$G$19,H$19,$G802=$G$20,H$20,$G802=$G$21,H$21,$G802=$G$22,H$22,$G802=$G$25,H$25,$G802=$G$26,H$26,$G802=$G$27,H$27,$G802=$G$29,H$29,$G802=$G$31,H$31,$G802=$G$32,H$150,$G802=$G$248,H$248,$G802=$G$250,H$250)</f>
        <v>41.385213</v>
      </c>
      <c r="I802" s="67" cm="1">
        <f t="array" ref="I802">_xlfn.IFS($G802=$G$5,I$5,$G802=$G$6,I$6,$G802=$G$7,I$7,$G802=$G$8,I$8,$G802=$G$9,I$9,$G802=$G$10,I$10,$G802=$G$11,I$11,$G802=$G$12,I$12,$G802=$G$13,I$13,$G802=$G$15,I$15,$G802=$G$16,I$16,$G802=$G$17,I$17,$G802=$G$18,I$18,$G802=$G$19,I$19,$G802=$G$20,I$20,$G802=$G$21,I$21,$G802=$G$22,I$22,$G802=$G$25,I$25,$G802=$G$26,I$26,$G802=$G$27,I$27,$G802=$G$29,I$29,$G802=$G$31,I$31,$G802=$G$32,I$150,$G802=$G$248,I$248,$G802=$G$250,I$250)</f>
        <v>2.174852</v>
      </c>
      <c r="J802" s="48" cm="1">
        <f t="array" ref="J802">_xlfn.IFS($G802=$G$5,J$5,$G802=$G$6,J$6,$G802=$G$7,J$7,$G802=$G$8,J$8,$G802=$G$9,J$9,$G802=$G$10,J$10,$G802=$G$11,J$11,$G802=$G$12,J$12,$G802=$G$13,J$13,$G802=$G$15,J$15,$G802=$G$16,J$16,$G802=$G$17,J$17,$G802=$G$18,J$18,$G802=$G$19,J$19,$G802=$G$20,J$20,$G802=$G$21,J$21,$G802=$G$22,J$22,$G802=$G$25,J$25,$G802=$G$26,J$26,$G802=$G$27,J$27,$G802=$G$29,J$29,$G802=$G$31,J$31,$G802=$G$32,J$150,$G802=$G$248,J$248,$G802=$G$250,J$250)</f>
        <v>14</v>
      </c>
      <c r="K802" s="48" t="str" cm="1">
        <f t="array" ref="K802">_xlfn.IFS($G802=$G$5,K$5,$G802=$G$6,K$6,$G802=$G$7,K$7,$G802=$G$8,K$8,$G802=$G$9,K$9,$G802=$G$10,K$10,$G802=$G$11,K$11,$G802=$G$12,K$12,$G802=$G$13,K$13,$G802=$G$15,K$15,$G802=$G$16,K$16,$G802=$G$17,K$17,$G802=$G$18,K$18,$G802=$G$19,K$19,$G802=$G$20,K$20,$G802=$G$21,K$21,$G802=$G$22,K$22,$G802=$G$25,K$25,$G802=$G$26,K$26,$G802=$G$27,K$27,$G802=$G$29,K$29,$G802=$G$31,K$31,$G802=$G$32,K$150,$G802=$G$248,K$248,$G802=$G$250,K$250)</f>
        <v>BG sentinel + BG lure7</v>
      </c>
      <c r="L802" s="48"/>
      <c r="M802" s="48"/>
      <c r="O802" s="45" t="str">
        <f t="shared" si="54"/>
        <v>A_SP_BCN_20_210923</v>
      </c>
      <c r="P802" s="64">
        <v>44462</v>
      </c>
      <c r="R802" s="72"/>
      <c r="S802" s="64">
        <v>44469</v>
      </c>
      <c r="U802" s="72"/>
      <c r="V802" s="54" t="s">
        <v>66</v>
      </c>
      <c r="X802" s="45">
        <f t="shared" si="55"/>
        <v>7</v>
      </c>
      <c r="Z802" s="45" t="s">
        <v>80</v>
      </c>
      <c r="AA802" s="45">
        <f t="shared" si="66"/>
        <v>1</v>
      </c>
      <c r="AB802" t="str">
        <f t="shared" si="63"/>
        <v>Adult</v>
      </c>
      <c r="AC802" s="69">
        <v>0</v>
      </c>
      <c r="AD802" s="69">
        <v>1</v>
      </c>
      <c r="AE802" s="45" t="str">
        <f t="shared" si="64"/>
        <v>Morphological</v>
      </c>
      <c r="AF802" s="56">
        <v>4</v>
      </c>
    </row>
    <row r="803" spans="1:32" ht="18" customHeight="1" x14ac:dyDescent="0.25">
      <c r="A803" s="45">
        <v>799</v>
      </c>
      <c r="B803" s="45" t="s">
        <v>60</v>
      </c>
      <c r="C803" s="45" t="s">
        <v>61</v>
      </c>
      <c r="D803" s="45" t="s">
        <v>62</v>
      </c>
      <c r="E803" s="45" t="s">
        <v>62</v>
      </c>
      <c r="F803" s="46" cm="1">
        <f t="array" ref="F803">_xlfn.IFS($G803=$G$5,F$5,$G803=$G$6,F$6,$G803=$G$7,F$7,$G803=$G$8,F$8,$G803=$G$9,F$9,$G803=$G$10,F$10,$G803=$G$11,F$11,$G803=$G$12,F$12,$G803=$G$13,F$13,$G803=$G$15,F$15,$G803=$G$16,F$16,$G803=$G$17,F$17,$G803=$G$18,F$18,$G803=$G$19,F$19,$G803=$G$20,F$20,$G803=$G$21,F$21,$G803=$G$22,F$22,$G803=$G$25,F$25,$G803=$G$26,F$26,$G803=$G$27,F$27,$G803=$G$29,F$29,$G803=$G$31,F$31,$G803=$G$32,F$32,$G803=$G$248,F$248,$G803=$G$250,F$250)</f>
        <v>8017</v>
      </c>
      <c r="G803" t="s">
        <v>98</v>
      </c>
      <c r="H803" s="67" cm="1">
        <f t="array" ref="H803">_xlfn.IFS($G803=$G$5,H$5,$G803=$G$6,H$6,$G803=$G$7,H$7,$G803=$G$8,H$8,$G803=$G$9,H$9,$G803=$G$10,H$10,$G803=$G$11,H$11,$G803=$G$12,H$12,$G803=$G$13,H$13,$G803=$G$15,H$15,$G803=$G$16,H$16,$G803=$G$17,H$17,$G803=$G$18,H$18,$G803=$G$19,H$19,$G803=$G$20,H$20,$G803=$G$21,H$21,$G803=$G$22,H$22,$G803=$G$25,H$25,$G803=$G$26,H$26,$G803=$G$27,H$27,$G803=$G$29,H$29,$G803=$G$31,H$31,$G803=$G$32,H$150,$G803=$G$248,H$248,$G803=$G$250,H$250)</f>
        <v>41.430315999999998</v>
      </c>
      <c r="I803" s="67" cm="1">
        <f t="array" ref="I803">_xlfn.IFS($G803=$G$5,I$5,$G803=$G$6,I$6,$G803=$G$7,I$7,$G803=$G$8,I$8,$G803=$G$9,I$9,$G803=$G$10,I$10,$G803=$G$11,I$11,$G803=$G$12,I$12,$G803=$G$13,I$13,$G803=$G$15,I$15,$G803=$G$16,I$16,$G803=$G$17,I$17,$G803=$G$18,I$18,$G803=$G$19,I$19,$G803=$G$20,I$20,$G803=$G$21,I$21,$G803=$G$22,I$22,$G803=$G$25,I$25,$G803=$G$26,I$26,$G803=$G$27,I$27,$G803=$G$29,I$29,$G803=$G$31,I$31,$G803=$G$32,I$150,$G803=$G$248,I$248,$G803=$G$250,I$250)</f>
        <v>2.077556</v>
      </c>
      <c r="J803" s="48" cm="1">
        <f t="array" ref="J803">_xlfn.IFS($G803=$G$5,J$5,$G803=$G$6,J$6,$G803=$G$7,J$7,$G803=$G$8,J$8,$G803=$G$9,J$9,$G803=$G$10,J$10,$G803=$G$11,J$11,$G803=$G$12,J$12,$G803=$G$13,J$13,$G803=$G$15,J$15,$G803=$G$16,J$16,$G803=$G$17,J$17,$G803=$G$18,J$18,$G803=$G$19,J$19,$G803=$G$20,J$20,$G803=$G$21,J$21,$G803=$G$22,J$22,$G803=$G$25,J$25,$G803=$G$26,J$26,$G803=$G$27,J$27,$G803=$G$29,J$29,$G803=$G$31,J$31,$G803=$G$32,J$150,$G803=$G$248,J$248,$G803=$G$250,J$250)</f>
        <v>243.3</v>
      </c>
      <c r="K803" s="48" t="str" cm="1">
        <f t="array" ref="K803">_xlfn.IFS($G803=$G$5,K$5,$G803=$G$6,K$6,$G803=$G$7,K$7,$G803=$G$8,K$8,$G803=$G$9,K$9,$G803=$G$10,K$10,$G803=$G$11,K$11,$G803=$G$12,K$12,$G803=$G$13,K$13,$G803=$G$15,K$15,$G803=$G$16,K$16,$G803=$G$17,K$17,$G803=$G$18,K$18,$G803=$G$19,K$19,$G803=$G$20,K$20,$G803=$G$21,K$21,$G803=$G$22,K$22,$G803=$G$25,K$25,$G803=$G$26,K$26,$G803=$G$27,K$27,$G803=$G$29,K$29,$G803=$G$31,K$31,$G803=$G$32,K$150,$G803=$G$248,K$248,$G803=$G$250,K$250)</f>
        <v>BG sentinel + BG lure7</v>
      </c>
      <c r="L803" s="48"/>
      <c r="M803" s="48"/>
      <c r="O803" s="45" t="str">
        <f t="shared" si="54"/>
        <v>A_SP_BCN_22_210922</v>
      </c>
      <c r="P803" s="64">
        <v>44461</v>
      </c>
      <c r="R803" s="72"/>
      <c r="S803" s="64">
        <v>44468</v>
      </c>
      <c r="U803" s="72"/>
      <c r="V803" s="54" t="s">
        <v>66</v>
      </c>
      <c r="X803" s="45">
        <f t="shared" si="55"/>
        <v>7</v>
      </c>
      <c r="Z803" s="69" t="s">
        <v>69</v>
      </c>
      <c r="AA803" s="45">
        <f t="shared" si="66"/>
        <v>28</v>
      </c>
      <c r="AB803" t="str">
        <f t="shared" si="63"/>
        <v>Adult</v>
      </c>
      <c r="AC803" s="69">
        <v>27</v>
      </c>
      <c r="AD803" s="69">
        <v>1</v>
      </c>
      <c r="AE803" s="45" t="str">
        <f t="shared" si="64"/>
        <v>Morphological</v>
      </c>
      <c r="AF803" s="56">
        <v>4</v>
      </c>
    </row>
    <row r="804" spans="1:32" ht="18" customHeight="1" x14ac:dyDescent="0.25">
      <c r="A804" s="45">
        <v>800</v>
      </c>
      <c r="B804" s="45" t="s">
        <v>60</v>
      </c>
      <c r="C804" s="45" t="s">
        <v>61</v>
      </c>
      <c r="D804" s="45" t="s">
        <v>62</v>
      </c>
      <c r="E804" s="45" t="s">
        <v>62</v>
      </c>
      <c r="F804" s="46" cm="1">
        <f t="array" ref="F804">_xlfn.IFS($G804=$G$5,F$5,$G804=$G$6,F$6,$G804=$G$7,F$7,$G804=$G$8,F$8,$G804=$G$9,F$9,$G804=$G$10,F$10,$G804=$G$11,F$11,$G804=$G$12,F$12,$G804=$G$13,F$13,$G804=$G$15,F$15,$G804=$G$16,F$16,$G804=$G$17,F$17,$G804=$G$18,F$18,$G804=$G$19,F$19,$G804=$G$20,F$20,$G804=$G$21,F$21,$G804=$G$22,F$22,$G804=$G$25,F$25,$G804=$G$26,F$26,$G804=$G$27,F$27,$G804=$G$29,F$29,$G804=$G$31,F$31,$G804=$G$32,F$32,$G804=$G$248,F$248,$G804=$G$250,F$250)</f>
        <v>8017</v>
      </c>
      <c r="G804" t="s">
        <v>98</v>
      </c>
      <c r="H804" s="67" cm="1">
        <f t="array" ref="H804">_xlfn.IFS($G804=$G$5,H$5,$G804=$G$6,H$6,$G804=$G$7,H$7,$G804=$G$8,H$8,$G804=$G$9,H$9,$G804=$G$10,H$10,$G804=$G$11,H$11,$G804=$G$12,H$12,$G804=$G$13,H$13,$G804=$G$15,H$15,$G804=$G$16,H$16,$G804=$G$17,H$17,$G804=$G$18,H$18,$G804=$G$19,H$19,$G804=$G$20,H$20,$G804=$G$21,H$21,$G804=$G$22,H$22,$G804=$G$25,H$25,$G804=$G$26,H$26,$G804=$G$27,H$27,$G804=$G$29,H$29,$G804=$G$31,H$31,$G804=$G$32,H$150,$G804=$G$248,H$248,$G804=$G$250,H$250)</f>
        <v>41.430315999999998</v>
      </c>
      <c r="I804" s="67" cm="1">
        <f t="array" ref="I804">_xlfn.IFS($G804=$G$5,I$5,$G804=$G$6,I$6,$G804=$G$7,I$7,$G804=$G$8,I$8,$G804=$G$9,I$9,$G804=$G$10,I$10,$G804=$G$11,I$11,$G804=$G$12,I$12,$G804=$G$13,I$13,$G804=$G$15,I$15,$G804=$G$16,I$16,$G804=$G$17,I$17,$G804=$G$18,I$18,$G804=$G$19,I$19,$G804=$G$20,I$20,$G804=$G$21,I$21,$G804=$G$22,I$22,$G804=$G$25,I$25,$G804=$G$26,I$26,$G804=$G$27,I$27,$G804=$G$29,I$29,$G804=$G$31,I$31,$G804=$G$32,I$150,$G804=$G$248,I$248,$G804=$G$250,I$250)</f>
        <v>2.077556</v>
      </c>
      <c r="J804" s="48" cm="1">
        <f t="array" ref="J804">_xlfn.IFS($G804=$G$5,J$5,$G804=$G$6,J$6,$G804=$G$7,J$7,$G804=$G$8,J$8,$G804=$G$9,J$9,$G804=$G$10,J$10,$G804=$G$11,J$11,$G804=$G$12,J$12,$G804=$G$13,J$13,$G804=$G$15,J$15,$G804=$G$16,J$16,$G804=$G$17,J$17,$G804=$G$18,J$18,$G804=$G$19,J$19,$G804=$G$20,J$20,$G804=$G$21,J$21,$G804=$G$22,J$22,$G804=$G$25,J$25,$G804=$G$26,J$26,$G804=$G$27,J$27,$G804=$G$29,J$29,$G804=$G$31,J$31,$G804=$G$32,J$150,$G804=$G$248,J$248,$G804=$G$250,J$250)</f>
        <v>243.3</v>
      </c>
      <c r="K804" s="48" t="str" cm="1">
        <f t="array" ref="K804">_xlfn.IFS($G804=$G$5,K$5,$G804=$G$6,K$6,$G804=$G$7,K$7,$G804=$G$8,K$8,$G804=$G$9,K$9,$G804=$G$10,K$10,$G804=$G$11,K$11,$G804=$G$12,K$12,$G804=$G$13,K$13,$G804=$G$15,K$15,$G804=$G$16,K$16,$G804=$G$17,K$17,$G804=$G$18,K$18,$G804=$G$19,K$19,$G804=$G$20,K$20,$G804=$G$21,K$21,$G804=$G$22,K$22,$G804=$G$25,K$25,$G804=$G$26,K$26,$G804=$G$27,K$27,$G804=$G$29,K$29,$G804=$G$31,K$31,$G804=$G$32,K$150,$G804=$G$248,K$248,$G804=$G$250,K$250)</f>
        <v>BG sentinel + BG lure7</v>
      </c>
      <c r="L804" s="48"/>
      <c r="M804" s="48"/>
      <c r="O804" s="45" t="str">
        <f t="shared" si="54"/>
        <v>A_SP_BCN_22_210922</v>
      </c>
      <c r="P804" s="64">
        <v>44461</v>
      </c>
      <c r="R804" s="72"/>
      <c r="S804" s="64">
        <v>44468</v>
      </c>
      <c r="U804" s="72"/>
      <c r="V804" s="54" t="s">
        <v>66</v>
      </c>
      <c r="X804" s="45">
        <f t="shared" si="55"/>
        <v>7</v>
      </c>
      <c r="Z804" s="45" t="s">
        <v>70</v>
      </c>
      <c r="AA804" s="45">
        <f t="shared" si="66"/>
        <v>12</v>
      </c>
      <c r="AB804" t="str">
        <f t="shared" si="63"/>
        <v>Adult</v>
      </c>
      <c r="AC804" s="69">
        <v>5</v>
      </c>
      <c r="AD804" s="69">
        <v>7</v>
      </c>
      <c r="AE804" s="45" t="str">
        <f t="shared" si="64"/>
        <v>Morphological</v>
      </c>
      <c r="AF804" s="56">
        <v>4</v>
      </c>
    </row>
    <row r="805" spans="1:32" ht="18" customHeight="1" x14ac:dyDescent="0.25">
      <c r="A805" s="45">
        <v>801</v>
      </c>
      <c r="B805" s="45" t="s">
        <v>60</v>
      </c>
      <c r="C805" s="45" t="s">
        <v>61</v>
      </c>
      <c r="D805" s="45" t="s">
        <v>62</v>
      </c>
      <c r="E805" s="45" t="s">
        <v>62</v>
      </c>
      <c r="F805" s="46" cm="1">
        <f t="array" ref="F805">_xlfn.IFS($G805=$G$5,F$5,$G805=$G$6,F$6,$G805=$G$7,F$7,$G805=$G$8,F$8,$G805=$G$9,F$9,$G805=$G$10,F$10,$G805=$G$11,F$11,$G805=$G$12,F$12,$G805=$G$13,F$13,$G805=$G$15,F$15,$G805=$G$16,F$16,$G805=$G$17,F$17,$G805=$G$18,F$18,$G805=$G$19,F$19,$G805=$G$20,F$20,$G805=$G$21,F$21,$G805=$G$22,F$22,$G805=$G$25,F$25,$G805=$G$26,F$26,$G805=$G$27,F$27,$G805=$G$29,F$29,$G805=$G$31,F$31,$G805=$G$32,F$32,$G805=$G$248,F$248,$G805=$G$250,F$250)</f>
        <v>8017</v>
      </c>
      <c r="G805" t="s">
        <v>98</v>
      </c>
      <c r="H805" s="67" cm="1">
        <f t="array" ref="H805">_xlfn.IFS($G805=$G$5,H$5,$G805=$G$6,H$6,$G805=$G$7,H$7,$G805=$G$8,H$8,$G805=$G$9,H$9,$G805=$G$10,H$10,$G805=$G$11,H$11,$G805=$G$12,H$12,$G805=$G$13,H$13,$G805=$G$15,H$15,$G805=$G$16,H$16,$G805=$G$17,H$17,$G805=$G$18,H$18,$G805=$G$19,H$19,$G805=$G$20,H$20,$G805=$G$21,H$21,$G805=$G$22,H$22,$G805=$G$25,H$25,$G805=$G$26,H$26,$G805=$G$27,H$27,$G805=$G$29,H$29,$G805=$G$31,H$31,$G805=$G$32,H$150,$G805=$G$248,H$248,$G805=$G$250,H$250)</f>
        <v>41.430315999999998</v>
      </c>
      <c r="I805" s="67" cm="1">
        <f t="array" ref="I805">_xlfn.IFS($G805=$G$5,I$5,$G805=$G$6,I$6,$G805=$G$7,I$7,$G805=$G$8,I$8,$G805=$G$9,I$9,$G805=$G$10,I$10,$G805=$G$11,I$11,$G805=$G$12,I$12,$G805=$G$13,I$13,$G805=$G$15,I$15,$G805=$G$16,I$16,$G805=$G$17,I$17,$G805=$G$18,I$18,$G805=$G$19,I$19,$G805=$G$20,I$20,$G805=$G$21,I$21,$G805=$G$22,I$22,$G805=$G$25,I$25,$G805=$G$26,I$26,$G805=$G$27,I$27,$G805=$G$29,I$29,$G805=$G$31,I$31,$G805=$G$32,I$150,$G805=$G$248,I$248,$G805=$G$250,I$250)</f>
        <v>2.077556</v>
      </c>
      <c r="J805" s="48" cm="1">
        <f t="array" ref="J805">_xlfn.IFS($G805=$G$5,J$5,$G805=$G$6,J$6,$G805=$G$7,J$7,$G805=$G$8,J$8,$G805=$G$9,J$9,$G805=$G$10,J$10,$G805=$G$11,J$11,$G805=$G$12,J$12,$G805=$G$13,J$13,$G805=$G$15,J$15,$G805=$G$16,J$16,$G805=$G$17,J$17,$G805=$G$18,J$18,$G805=$G$19,J$19,$G805=$G$20,J$20,$G805=$G$21,J$21,$G805=$G$22,J$22,$G805=$G$25,J$25,$G805=$G$26,J$26,$G805=$G$27,J$27,$G805=$G$29,J$29,$G805=$G$31,J$31,$G805=$G$32,J$150,$G805=$G$248,J$248,$G805=$G$250,J$250)</f>
        <v>243.3</v>
      </c>
      <c r="K805" s="48" t="str" cm="1">
        <f t="array" ref="K805">_xlfn.IFS($G805=$G$5,K$5,$G805=$G$6,K$6,$G805=$G$7,K$7,$G805=$G$8,K$8,$G805=$G$9,K$9,$G805=$G$10,K$10,$G805=$G$11,K$11,$G805=$G$12,K$12,$G805=$G$13,K$13,$G805=$G$15,K$15,$G805=$G$16,K$16,$G805=$G$17,K$17,$G805=$G$18,K$18,$G805=$G$19,K$19,$G805=$G$20,K$20,$G805=$G$21,K$21,$G805=$G$22,K$22,$G805=$G$25,K$25,$G805=$G$26,K$26,$G805=$G$27,K$27,$G805=$G$29,K$29,$G805=$G$31,K$31,$G805=$G$32,K$150,$G805=$G$248,K$248,$G805=$G$250,K$250)</f>
        <v>BG sentinel + BG lure7</v>
      </c>
      <c r="L805" s="48"/>
      <c r="M805" s="48"/>
      <c r="O805" s="45" t="str">
        <f t="shared" si="54"/>
        <v>A_SP_BCN_22_210922</v>
      </c>
      <c r="P805" s="64">
        <v>44461</v>
      </c>
      <c r="R805" s="72"/>
      <c r="S805" s="64">
        <v>44468</v>
      </c>
      <c r="U805" s="72"/>
      <c r="V805" s="54" t="s">
        <v>66</v>
      </c>
      <c r="X805" s="45">
        <f t="shared" si="55"/>
        <v>7</v>
      </c>
      <c r="Z805" s="45" t="s">
        <v>80</v>
      </c>
      <c r="AA805" s="45">
        <f t="shared" si="66"/>
        <v>1</v>
      </c>
      <c r="AB805" t="str">
        <f t="shared" si="63"/>
        <v>Adult</v>
      </c>
      <c r="AC805" s="69">
        <v>0</v>
      </c>
      <c r="AD805" s="69">
        <v>1</v>
      </c>
      <c r="AE805" s="45" t="str">
        <f t="shared" si="64"/>
        <v>Morphological</v>
      </c>
      <c r="AF805" s="56">
        <v>4</v>
      </c>
    </row>
    <row r="806" spans="1:32" ht="18" customHeight="1" x14ac:dyDescent="0.25">
      <c r="A806" s="45">
        <v>802</v>
      </c>
      <c r="B806" s="45" t="s">
        <v>60</v>
      </c>
      <c r="C806" s="45" t="s">
        <v>61</v>
      </c>
      <c r="D806" s="45" t="s">
        <v>62</v>
      </c>
      <c r="E806" s="45" t="s">
        <v>62</v>
      </c>
      <c r="F806" s="46" cm="1">
        <f t="array" ref="F806">_xlfn.IFS($G806=$G$5,F$5,$G806=$G$6,F$6,$G806=$G$7,F$7,$G806=$G$8,F$8,$G806=$G$9,F$9,$G806=$G$10,F$10,$G806=$G$11,F$11,$G806=$G$12,F$12,$G806=$G$13,F$13,$G806=$G$15,F$15,$G806=$G$16,F$16,$G806=$G$17,F$17,$G806=$G$18,F$18,$G806=$G$19,F$19,$G806=$G$20,F$20,$G806=$G$21,F$21,$G806=$G$22,F$22,$G806=$G$25,F$25,$G806=$G$26,F$26,$G806=$G$27,F$27,$G806=$G$29,F$29,$G806=$G$31,F$31,$G806=$G$32,F$32,$G806=$G$248,F$248,$G806=$G$250,F$250)</f>
        <v>8038</v>
      </c>
      <c r="G806" t="s">
        <v>103</v>
      </c>
      <c r="H806" s="67" cm="1">
        <f t="array" ref="H806">_xlfn.IFS($G806=$G$5,H$5,$G806=$G$6,H$6,$G806=$G$7,H$7,$G806=$G$8,H$8,$G806=$G$9,H$9,$G806=$G$10,H$10,$G806=$G$11,H$11,$G806=$G$12,H$12,$G806=$G$13,H$13,$G806=$G$15,H$15,$G806=$G$16,H$16,$G806=$G$17,H$17,$G806=$G$18,H$18,$G806=$G$19,H$19,$G806=$G$20,H$20,$G806=$G$21,H$21,$G806=$G$22,H$22,$G806=$G$25,H$25,$G806=$G$26,H$26,$G806=$G$27,H$27,$G806=$G$29,H$29,$G806=$G$31,H$31,$G806=$G$32,H$150,$G806=$G$248,H$248,$G806=$G$250,H$250)</f>
        <v>41.367100000000001</v>
      </c>
      <c r="I806" s="67" cm="1">
        <f t="array" ref="I806">_xlfn.IFS($G806=$G$5,I$5,$G806=$G$6,I$6,$G806=$G$7,I$7,$G806=$G$8,I$8,$G806=$G$9,I$9,$G806=$G$10,I$10,$G806=$G$11,I$11,$G806=$G$12,I$12,$G806=$G$13,I$13,$G806=$G$15,I$15,$G806=$G$16,I$16,$G806=$G$17,I$17,$G806=$G$18,I$18,$G806=$G$19,I$19,$G806=$G$20,I$20,$G806=$G$21,I$21,$G806=$G$22,I$22,$G806=$G$25,I$25,$G806=$G$26,I$26,$G806=$G$27,I$27,$G806=$G$29,I$29,$G806=$G$31,I$31,$G806=$G$32,I$150,$G806=$G$248,I$248,$G806=$G$250,I$250)</f>
        <v>2.1539079999999999</v>
      </c>
      <c r="J806" s="48" cm="1">
        <f t="array" ref="J806">_xlfn.IFS($G806=$G$5,J$5,$G806=$G$6,J$6,$G806=$G$7,J$7,$G806=$G$8,J$8,$G806=$G$9,J$9,$G806=$G$10,J$10,$G806=$G$11,J$11,$G806=$G$12,J$12,$G806=$G$13,J$13,$G806=$G$15,J$15,$G806=$G$16,J$16,$G806=$G$17,J$17,$G806=$G$18,J$18,$G806=$G$19,J$19,$G806=$G$20,J$20,$G806=$G$21,J$21,$G806=$G$22,J$22,$G806=$G$25,J$25,$G806=$G$26,J$26,$G806=$G$27,J$27,$G806=$G$29,J$29,$G806=$G$31,J$31,$G806=$G$32,J$150,$G806=$G$248,J$248,$G806=$G$250,J$250)</f>
        <v>68</v>
      </c>
      <c r="K806" s="48" t="str" cm="1">
        <f t="array" ref="K806">_xlfn.IFS($G806=$G$5,K$5,$G806=$G$6,K$6,$G806=$G$7,K$7,$G806=$G$8,K$8,$G806=$G$9,K$9,$G806=$G$10,K$10,$G806=$G$11,K$11,$G806=$G$12,K$12,$G806=$G$13,K$13,$G806=$G$15,K$15,$G806=$G$16,K$16,$G806=$G$17,K$17,$G806=$G$18,K$18,$G806=$G$19,K$19,$G806=$G$20,K$20,$G806=$G$21,K$21,$G806=$G$22,K$22,$G806=$G$25,K$25,$G806=$G$26,K$26,$G806=$G$27,K$27,$G806=$G$29,K$29,$G806=$G$31,K$31,$G806=$G$32,K$150,$G806=$G$248,K$248,$G806=$G$250,K$250)</f>
        <v>BG sentinel + BG lure7</v>
      </c>
      <c r="L806" s="48"/>
      <c r="M806" s="48"/>
      <c r="O806" s="45" t="str">
        <f t="shared" si="54"/>
        <v>A_SP_BCN_23_210923</v>
      </c>
      <c r="P806" s="64">
        <v>44462</v>
      </c>
      <c r="R806" s="72"/>
      <c r="S806" s="64">
        <v>44469</v>
      </c>
      <c r="U806" s="72"/>
      <c r="V806" s="54" t="s">
        <v>66</v>
      </c>
      <c r="W806" t="s">
        <v>130</v>
      </c>
      <c r="X806" s="45">
        <f t="shared" si="55"/>
        <v>7</v>
      </c>
      <c r="Z806" s="69" t="s">
        <v>69</v>
      </c>
      <c r="AA806" s="45">
        <f t="shared" si="66"/>
        <v>17</v>
      </c>
      <c r="AB806" t="str">
        <f t="shared" si="63"/>
        <v>Adult</v>
      </c>
      <c r="AC806" s="69">
        <v>16</v>
      </c>
      <c r="AD806" s="69">
        <v>1</v>
      </c>
      <c r="AE806" s="45" t="str">
        <f t="shared" si="64"/>
        <v>Morphological</v>
      </c>
      <c r="AF806" s="56">
        <v>3</v>
      </c>
    </row>
    <row r="807" spans="1:32" ht="18" customHeight="1" x14ac:dyDescent="0.25">
      <c r="A807" s="45">
        <v>803</v>
      </c>
      <c r="B807" s="45" t="s">
        <v>60</v>
      </c>
      <c r="C807" s="45" t="s">
        <v>61</v>
      </c>
      <c r="D807" s="45" t="s">
        <v>62</v>
      </c>
      <c r="E807" s="45" t="s">
        <v>62</v>
      </c>
      <c r="F807" s="46" cm="1">
        <f t="array" ref="F807">_xlfn.IFS($G807=$G$5,F$5,$G807=$G$6,F$6,$G807=$G$7,F$7,$G807=$G$8,F$8,$G807=$G$9,F$9,$G807=$G$10,F$10,$G807=$G$11,F$11,$G807=$G$12,F$12,$G807=$G$13,F$13,$G807=$G$15,F$15,$G807=$G$16,F$16,$G807=$G$17,F$17,$G807=$G$18,F$18,$G807=$G$19,F$19,$G807=$G$20,F$20,$G807=$G$21,F$21,$G807=$G$22,F$22,$G807=$G$25,F$25,$G807=$G$26,F$26,$G807=$G$27,F$27,$G807=$G$29,F$29,$G807=$G$31,F$31,$G807=$G$32,F$32,$G807=$G$248,F$248,$G807=$G$250,F$250)</f>
        <v>8015</v>
      </c>
      <c r="G807" t="s">
        <v>109</v>
      </c>
      <c r="H807" s="67" cm="1">
        <f t="array" ref="H807">_xlfn.IFS($G807=$G$5,H$5,$G807=$G$6,H$6,$G807=$G$7,H$7,$G807=$G$8,H$8,$G807=$G$9,H$9,$G807=$G$10,H$10,$G807=$G$11,H$11,$G807=$G$12,H$12,$G807=$G$13,H$13,$G807=$G$15,H$15,$G807=$G$16,H$16,$G807=$G$17,H$17,$G807=$G$18,H$18,$G807=$G$19,H$19,$G807=$G$20,H$20,$G807=$G$21,H$21,$G807=$G$22,H$22,$G807=$G$25,H$25,$G807=$G$26,H$26,$G807=$G$27,H$27,$G807=$G$29,H$29,$G807=$G$31,H$31,$G807=$G$32,H$150,$G807=$G$248,H$248,$G807=$G$250,H$250)</f>
        <v>41.381725000000003</v>
      </c>
      <c r="I807" s="67" cm="1">
        <f t="array" ref="I807">_xlfn.IFS($G807=$G$5,I$5,$G807=$G$6,I$6,$G807=$G$7,I$7,$G807=$G$8,I$8,$G807=$G$9,I$9,$G807=$G$10,I$10,$G807=$G$11,I$11,$G807=$G$12,I$12,$G807=$G$13,I$13,$G807=$G$15,I$15,$G807=$G$16,I$16,$G807=$G$17,I$17,$G807=$G$18,I$18,$G807=$G$19,I$19,$G807=$G$20,I$20,$G807=$G$21,I$21,$G807=$G$22,I$22,$G807=$G$25,I$25,$G807=$G$26,I$26,$G807=$G$27,I$27,$G807=$G$29,I$29,$G807=$G$31,I$31,$G807=$G$32,I$150,$G807=$G$248,I$248,$G807=$G$250,I$250)</f>
        <v>2.1543679999999998</v>
      </c>
      <c r="J807" s="48" cm="1">
        <f t="array" ref="J807">_xlfn.IFS($G807=$G$5,J$5,$G807=$G$6,J$6,$G807=$G$7,J$7,$G807=$G$8,J$8,$G807=$G$9,J$9,$G807=$G$10,J$10,$G807=$G$11,J$11,$G807=$G$12,J$12,$G807=$G$13,J$13,$G807=$G$15,J$15,$G807=$G$16,J$16,$G807=$G$17,J$17,$G807=$G$18,J$18,$G807=$G$19,J$19,$G807=$G$20,J$20,$G807=$G$21,J$21,$G807=$G$22,J$22,$G807=$G$25,J$25,$G807=$G$26,J$26,$G807=$G$27,J$27,$G807=$G$29,J$29,$G807=$G$31,J$31,$G807=$G$32,J$150,$G807=$G$248,J$248,$G807=$G$250,J$250)</f>
        <v>20.7</v>
      </c>
      <c r="K807" s="48" t="str" cm="1">
        <f t="array" ref="K807">_xlfn.IFS($G807=$G$5,K$5,$G807=$G$6,K$6,$G807=$G$7,K$7,$G807=$G$8,K$8,$G807=$G$9,K$9,$G807=$G$10,K$10,$G807=$G$11,K$11,$G807=$G$12,K$12,$G807=$G$13,K$13,$G807=$G$15,K$15,$G807=$G$16,K$16,$G807=$G$17,K$17,$G807=$G$18,K$18,$G807=$G$19,K$19,$G807=$G$20,K$20,$G807=$G$21,K$21,$G807=$G$22,K$22,$G807=$G$25,K$25,$G807=$G$26,K$26,$G807=$G$27,K$27,$G807=$G$29,K$29,$G807=$G$31,K$31,$G807=$G$32,K$150,$G807=$G$248,K$248,$G807=$G$250,K$250)</f>
        <v>BG sentinel + BG lure7</v>
      </c>
      <c r="L807" s="48"/>
      <c r="M807" s="48"/>
      <c r="O807" s="45" t="str">
        <f t="shared" si="54"/>
        <v>A_SP_BCN_24_210923</v>
      </c>
      <c r="P807" s="64">
        <v>44462</v>
      </c>
      <c r="R807" s="72"/>
      <c r="S807" s="64">
        <v>44470</v>
      </c>
      <c r="U807" s="72"/>
      <c r="V807" s="54" t="s">
        <v>66</v>
      </c>
      <c r="X807" s="45">
        <f t="shared" si="55"/>
        <v>8</v>
      </c>
      <c r="Z807" s="69" t="s">
        <v>69</v>
      </c>
      <c r="AA807" s="45">
        <f t="shared" si="66"/>
        <v>61</v>
      </c>
      <c r="AB807" t="str">
        <f t="shared" si="63"/>
        <v>Adult</v>
      </c>
      <c r="AC807" s="69">
        <v>25</v>
      </c>
      <c r="AD807" s="69">
        <v>36</v>
      </c>
      <c r="AE807" s="45" t="str">
        <f t="shared" si="64"/>
        <v>Morphological</v>
      </c>
      <c r="AF807" s="56">
        <v>4</v>
      </c>
    </row>
    <row r="808" spans="1:32" ht="18" customHeight="1" x14ac:dyDescent="0.25">
      <c r="A808" s="45">
        <v>804</v>
      </c>
      <c r="B808" s="45" t="s">
        <v>60</v>
      </c>
      <c r="C808" s="45" t="s">
        <v>61</v>
      </c>
      <c r="D808" s="45" t="s">
        <v>62</v>
      </c>
      <c r="E808" s="45" t="s">
        <v>62</v>
      </c>
      <c r="F808" s="46" cm="1">
        <f t="array" ref="F808">_xlfn.IFS($G808=$G$5,F$5,$G808=$G$6,F$6,$G808=$G$7,F$7,$G808=$G$8,F$8,$G808=$G$9,F$9,$G808=$G$10,F$10,$G808=$G$11,F$11,$G808=$G$12,F$12,$G808=$G$13,F$13,$G808=$G$15,F$15,$G808=$G$16,F$16,$G808=$G$17,F$17,$G808=$G$18,F$18,$G808=$G$19,F$19,$G808=$G$20,F$20,$G808=$G$21,F$21,$G808=$G$22,F$22,$G808=$G$25,F$25,$G808=$G$26,F$26,$G808=$G$27,F$27,$G808=$G$29,F$29,$G808=$G$31,F$31,$G808=$G$32,F$32,$G808=$G$248,F$248,$G808=$G$250,F$250)</f>
        <v>8015</v>
      </c>
      <c r="G808" t="s">
        <v>109</v>
      </c>
      <c r="H808" s="67" cm="1">
        <f t="array" ref="H808">_xlfn.IFS($G808=$G$5,H$5,$G808=$G$6,H$6,$G808=$G$7,H$7,$G808=$G$8,H$8,$G808=$G$9,H$9,$G808=$G$10,H$10,$G808=$G$11,H$11,$G808=$G$12,H$12,$G808=$G$13,H$13,$G808=$G$15,H$15,$G808=$G$16,H$16,$G808=$G$17,H$17,$G808=$G$18,H$18,$G808=$G$19,H$19,$G808=$G$20,H$20,$G808=$G$21,H$21,$G808=$G$22,H$22,$G808=$G$25,H$25,$G808=$G$26,H$26,$G808=$G$27,H$27,$G808=$G$29,H$29,$G808=$G$31,H$31,$G808=$G$32,H$150,$G808=$G$248,H$248,$G808=$G$250,H$250)</f>
        <v>41.381725000000003</v>
      </c>
      <c r="I808" s="67" cm="1">
        <f t="array" ref="I808">_xlfn.IFS($G808=$G$5,I$5,$G808=$G$6,I$6,$G808=$G$7,I$7,$G808=$G$8,I$8,$G808=$G$9,I$9,$G808=$G$10,I$10,$G808=$G$11,I$11,$G808=$G$12,I$12,$G808=$G$13,I$13,$G808=$G$15,I$15,$G808=$G$16,I$16,$G808=$G$17,I$17,$G808=$G$18,I$18,$G808=$G$19,I$19,$G808=$G$20,I$20,$G808=$G$21,I$21,$G808=$G$22,I$22,$G808=$G$25,I$25,$G808=$G$26,I$26,$G808=$G$27,I$27,$G808=$G$29,I$29,$G808=$G$31,I$31,$G808=$G$32,I$150,$G808=$G$248,I$248,$G808=$G$250,I$250)</f>
        <v>2.1543679999999998</v>
      </c>
      <c r="J808" s="48" cm="1">
        <f t="array" ref="J808">_xlfn.IFS($G808=$G$5,J$5,$G808=$G$6,J$6,$G808=$G$7,J$7,$G808=$G$8,J$8,$G808=$G$9,J$9,$G808=$G$10,J$10,$G808=$G$11,J$11,$G808=$G$12,J$12,$G808=$G$13,J$13,$G808=$G$15,J$15,$G808=$G$16,J$16,$G808=$G$17,J$17,$G808=$G$18,J$18,$G808=$G$19,J$19,$G808=$G$20,J$20,$G808=$G$21,J$21,$G808=$G$22,J$22,$G808=$G$25,J$25,$G808=$G$26,J$26,$G808=$G$27,J$27,$G808=$G$29,J$29,$G808=$G$31,J$31,$G808=$G$32,J$150,$G808=$G$248,J$248,$G808=$G$250,J$250)</f>
        <v>20.7</v>
      </c>
      <c r="K808" s="48" t="str" cm="1">
        <f t="array" ref="K808">_xlfn.IFS($G808=$G$5,K$5,$G808=$G$6,K$6,$G808=$G$7,K$7,$G808=$G$8,K$8,$G808=$G$9,K$9,$G808=$G$10,K$10,$G808=$G$11,K$11,$G808=$G$12,K$12,$G808=$G$13,K$13,$G808=$G$15,K$15,$G808=$G$16,K$16,$G808=$G$17,K$17,$G808=$G$18,K$18,$G808=$G$19,K$19,$G808=$G$20,K$20,$G808=$G$21,K$21,$G808=$G$22,K$22,$G808=$G$25,K$25,$G808=$G$26,K$26,$G808=$G$27,K$27,$G808=$G$29,K$29,$G808=$G$31,K$31,$G808=$G$32,K$150,$G808=$G$248,K$248,$G808=$G$250,K$250)</f>
        <v>BG sentinel + BG lure7</v>
      </c>
      <c r="L808" s="48"/>
      <c r="M808" s="48"/>
      <c r="O808" s="45" t="str">
        <f t="shared" si="54"/>
        <v>A_SP_BCN_24_210923</v>
      </c>
      <c r="P808" s="64">
        <v>44462</v>
      </c>
      <c r="R808" s="72"/>
      <c r="S808" s="64">
        <v>44470</v>
      </c>
      <c r="U808" s="72"/>
      <c r="V808" s="54" t="s">
        <v>66</v>
      </c>
      <c r="X808" s="45">
        <f t="shared" si="55"/>
        <v>8</v>
      </c>
      <c r="Z808" s="45" t="s">
        <v>70</v>
      </c>
      <c r="AA808" s="45">
        <f t="shared" si="66"/>
        <v>5</v>
      </c>
      <c r="AB808" t="str">
        <f t="shared" si="63"/>
        <v>Adult</v>
      </c>
      <c r="AC808" s="69">
        <v>3</v>
      </c>
      <c r="AD808" s="69">
        <v>2</v>
      </c>
      <c r="AE808" s="45" t="str">
        <f t="shared" si="64"/>
        <v>Morphological</v>
      </c>
      <c r="AF808" s="56">
        <v>4</v>
      </c>
    </row>
    <row r="809" spans="1:32" ht="18" customHeight="1" x14ac:dyDescent="0.25">
      <c r="A809" s="45">
        <v>805</v>
      </c>
      <c r="B809" s="45" t="s">
        <v>60</v>
      </c>
      <c r="C809" s="45" t="s">
        <v>61</v>
      </c>
      <c r="D809" s="45" t="s">
        <v>62</v>
      </c>
      <c r="E809" s="45" t="s">
        <v>62</v>
      </c>
      <c r="F809" s="46" cm="1">
        <f t="array" ref="F809">_xlfn.IFS($G809=$G$5,F$5,$G809=$G$6,F$6,$G809=$G$7,F$7,$G809=$G$8,F$8,$G809=$G$9,F$9,$G809=$G$10,F$10,$G809=$G$11,F$11,$G809=$G$12,F$12,$G809=$G$13,F$13,$G809=$G$15,F$15,$G809=$G$16,F$16,$G809=$G$17,F$17,$G809=$G$18,F$18,$G809=$G$19,F$19,$G809=$G$20,F$20,$G809=$G$21,F$21,$G809=$G$22,F$22,$G809=$G$25,F$25,$G809=$G$26,F$26,$G809=$G$27,F$27,$G809=$G$29,F$29,$G809=$G$31,F$31,$G809=$G$32,F$32,$G809=$G$248,F$248,$G809=$G$250,F$250)</f>
        <v>8015</v>
      </c>
      <c r="G809" t="s">
        <v>109</v>
      </c>
      <c r="H809" s="67" cm="1">
        <f t="array" ref="H809">_xlfn.IFS($G809=$G$5,H$5,$G809=$G$6,H$6,$G809=$G$7,H$7,$G809=$G$8,H$8,$G809=$G$9,H$9,$G809=$G$10,H$10,$G809=$G$11,H$11,$G809=$G$12,H$12,$G809=$G$13,H$13,$G809=$G$15,H$15,$G809=$G$16,H$16,$G809=$G$17,H$17,$G809=$G$18,H$18,$G809=$G$19,H$19,$G809=$G$20,H$20,$G809=$G$21,H$21,$G809=$G$22,H$22,$G809=$G$25,H$25,$G809=$G$26,H$26,$G809=$G$27,H$27,$G809=$G$29,H$29,$G809=$G$31,H$31,$G809=$G$32,H$150,$G809=$G$248,H$248,$G809=$G$250,H$250)</f>
        <v>41.381725000000003</v>
      </c>
      <c r="I809" s="67" cm="1">
        <f t="array" ref="I809">_xlfn.IFS($G809=$G$5,I$5,$G809=$G$6,I$6,$G809=$G$7,I$7,$G809=$G$8,I$8,$G809=$G$9,I$9,$G809=$G$10,I$10,$G809=$G$11,I$11,$G809=$G$12,I$12,$G809=$G$13,I$13,$G809=$G$15,I$15,$G809=$G$16,I$16,$G809=$G$17,I$17,$G809=$G$18,I$18,$G809=$G$19,I$19,$G809=$G$20,I$20,$G809=$G$21,I$21,$G809=$G$22,I$22,$G809=$G$25,I$25,$G809=$G$26,I$26,$G809=$G$27,I$27,$G809=$G$29,I$29,$G809=$G$31,I$31,$G809=$G$32,I$150,$G809=$G$248,I$248,$G809=$G$250,I$250)</f>
        <v>2.1543679999999998</v>
      </c>
      <c r="J809" s="48" cm="1">
        <f t="array" ref="J809">_xlfn.IFS($G809=$G$5,J$5,$G809=$G$6,J$6,$G809=$G$7,J$7,$G809=$G$8,J$8,$G809=$G$9,J$9,$G809=$G$10,J$10,$G809=$G$11,J$11,$G809=$G$12,J$12,$G809=$G$13,J$13,$G809=$G$15,J$15,$G809=$G$16,J$16,$G809=$G$17,J$17,$G809=$G$18,J$18,$G809=$G$19,J$19,$G809=$G$20,J$20,$G809=$G$21,J$21,$G809=$G$22,J$22,$G809=$G$25,J$25,$G809=$G$26,J$26,$G809=$G$27,J$27,$G809=$G$29,J$29,$G809=$G$31,J$31,$G809=$G$32,J$150,$G809=$G$248,J$248,$G809=$G$250,J$250)</f>
        <v>20.7</v>
      </c>
      <c r="K809" s="48" t="str" cm="1">
        <f t="array" ref="K809">_xlfn.IFS($G809=$G$5,K$5,$G809=$G$6,K$6,$G809=$G$7,K$7,$G809=$G$8,K$8,$G809=$G$9,K$9,$G809=$G$10,K$10,$G809=$G$11,K$11,$G809=$G$12,K$12,$G809=$G$13,K$13,$G809=$G$15,K$15,$G809=$G$16,K$16,$G809=$G$17,K$17,$G809=$G$18,K$18,$G809=$G$19,K$19,$G809=$G$20,K$20,$G809=$G$21,K$21,$G809=$G$22,K$22,$G809=$G$25,K$25,$G809=$G$26,K$26,$G809=$G$27,K$27,$G809=$G$29,K$29,$G809=$G$31,K$31,$G809=$G$32,K$150,$G809=$G$248,K$248,$G809=$G$250,K$250)</f>
        <v>BG sentinel + BG lure7</v>
      </c>
      <c r="L809" s="48"/>
      <c r="M809" s="48"/>
      <c r="O809" s="45" t="str">
        <f t="shared" si="54"/>
        <v>A_SP_BCN_24_210923</v>
      </c>
      <c r="P809" s="64">
        <v>44462</v>
      </c>
      <c r="R809" s="72"/>
      <c r="S809" s="64">
        <v>44470</v>
      </c>
      <c r="U809" s="72"/>
      <c r="V809" s="54" t="s">
        <v>66</v>
      </c>
      <c r="X809" s="45">
        <f t="shared" si="55"/>
        <v>8</v>
      </c>
      <c r="Z809" s="45" t="s">
        <v>80</v>
      </c>
      <c r="AA809" s="45">
        <f t="shared" si="66"/>
        <v>3</v>
      </c>
      <c r="AB809" t="str">
        <f t="shared" si="63"/>
        <v>Adult</v>
      </c>
      <c r="AC809" s="69">
        <v>0</v>
      </c>
      <c r="AD809" s="69">
        <v>3</v>
      </c>
      <c r="AE809" s="45" t="str">
        <f t="shared" si="64"/>
        <v>Morphological</v>
      </c>
      <c r="AF809" s="56">
        <v>4</v>
      </c>
    </row>
    <row r="810" spans="1:32" ht="18" customHeight="1" x14ac:dyDescent="0.25">
      <c r="A810" s="45">
        <v>806</v>
      </c>
      <c r="B810" s="45" t="s">
        <v>60</v>
      </c>
      <c r="C810" s="45" t="s">
        <v>61</v>
      </c>
      <c r="D810" s="45" t="s">
        <v>62</v>
      </c>
      <c r="E810" s="45" t="s">
        <v>62</v>
      </c>
      <c r="F810" s="46" cm="1">
        <f t="array" ref="F810">_xlfn.IFS($G810=$G$5,F$5,$G810=$G$6,F$6,$G810=$G$7,F$7,$G810=$G$8,F$8,$G810=$G$9,F$9,$G810=$G$10,F$10,$G810=$G$11,F$11,$G810=$G$12,F$12,$G810=$G$13,F$13,$G810=$G$15,F$15,$G810=$G$16,F$16,$G810=$G$17,F$17,$G810=$G$18,F$18,$G810=$G$19,F$19,$G810=$G$20,F$20,$G810=$G$21,F$21,$G810=$G$22,F$22,$G810=$G$25,F$25,$G810=$G$26,F$26,$G810=$G$27,F$27,$G810=$G$29,F$29,$G810=$G$31,F$31,$G810=$G$32,F$32,$G810=$G$248,F$248,$G810=$G$250,F$250)</f>
        <v>8024</v>
      </c>
      <c r="G810" t="s">
        <v>63</v>
      </c>
      <c r="H810" s="67" cm="1">
        <f t="array" ref="H810">_xlfn.IFS($G810=$G$5,H$5,$G810=$G$6,H$6,$G810=$G$7,H$7,$G810=$G$8,H$8,$G810=$G$9,H$9,$G810=$G$10,H$10,$G810=$G$11,H$11,$G810=$G$12,H$12,$G810=$G$13,H$13,$G810=$G$15,H$15,$G810=$G$16,H$16,$G810=$G$17,H$17,$G810=$G$18,H$18,$G810=$G$19,H$19,$G810=$G$20,H$20,$G810=$G$21,H$21,$G810=$G$22,H$22,$G810=$G$25,H$25,$G810=$G$26,H$26,$G810=$G$27,H$27,$G810=$G$29,H$29,$G810=$G$31,H$31,$G810=$G$32,H$150,$G810=$G$248,H$248,$G810=$G$250,H$250)</f>
        <v>41.413573999999997</v>
      </c>
      <c r="I810" s="67" cm="1">
        <f t="array" ref="I810">_xlfn.IFS($G810=$G$5,I$5,$G810=$G$6,I$6,$G810=$G$7,I$7,$G810=$G$8,I$8,$G810=$G$9,I$9,$G810=$G$10,I$10,$G810=$G$11,I$11,$G810=$G$12,I$12,$G810=$G$13,I$13,$G810=$G$15,I$15,$G810=$G$16,I$16,$G810=$G$17,I$17,$G810=$G$18,I$18,$G810=$G$19,I$19,$G810=$G$20,I$20,$G810=$G$21,I$21,$G810=$G$22,I$22,$G810=$G$25,I$25,$G810=$G$26,I$26,$G810=$G$27,I$27,$G810=$G$29,I$29,$G810=$G$31,I$31,$G810=$G$32,I$150,$G810=$G$248,I$248,$G810=$G$250,I$250)</f>
        <v>2.1520730000000001</v>
      </c>
      <c r="J810" s="48" cm="1">
        <f t="array" ref="J810">_xlfn.IFS($G810=$G$5,J$5,$G810=$G$6,J$6,$G810=$G$7,J$7,$G810=$G$8,J$8,$G810=$G$9,J$9,$G810=$G$10,J$10,$G810=$G$11,J$11,$G810=$G$12,J$12,$G810=$G$13,J$13,$G810=$G$15,J$15,$G810=$G$16,J$16,$G810=$G$17,J$17,$G810=$G$18,J$18,$G810=$G$19,J$19,$G810=$G$20,J$20,$G810=$G$21,J$21,$G810=$G$22,J$22,$G810=$G$25,J$25,$G810=$G$26,J$26,$G810=$G$27,J$27,$G810=$G$29,J$29,$G810=$G$31,J$31,$G810=$G$32,J$150,$G810=$G$248,J$248,$G810=$G$250,J$250)</f>
        <v>141</v>
      </c>
      <c r="K810" s="48" t="str" cm="1">
        <f t="array" ref="K810">_xlfn.IFS($G810=$G$5,K$5,$G810=$G$6,K$6,$G810=$G$7,K$7,$G810=$G$8,K$8,$G810=$G$9,K$9,$G810=$G$10,K$10,$G810=$G$11,K$11,$G810=$G$12,K$12,$G810=$G$13,K$13,$G810=$G$15,K$15,$G810=$G$16,K$16,$G810=$G$17,K$17,$G810=$G$18,K$18,$G810=$G$19,K$19,$G810=$G$20,K$20,$G810=$G$21,K$21,$G810=$G$22,K$22,$G810=$G$25,K$25,$G810=$G$26,K$26,$G810=$G$27,K$27,$G810=$G$29,K$29,$G810=$G$31,K$31,$G810=$G$32,K$150,$G810=$G$248,K$248,$G810=$G$250,K$250)</f>
        <v>BG sentinel + BG lure7</v>
      </c>
      <c r="L810" s="48"/>
      <c r="M810" s="48"/>
      <c r="O810" s="45" t="str">
        <f t="shared" si="54"/>
        <v>A_SP_BCN_1_210929</v>
      </c>
      <c r="P810" s="64">
        <v>44468</v>
      </c>
      <c r="R810" s="72"/>
      <c r="S810" s="64">
        <v>44475</v>
      </c>
      <c r="U810" s="72"/>
      <c r="V810" s="54" t="s">
        <v>66</v>
      </c>
      <c r="X810" s="45">
        <f t="shared" si="55"/>
        <v>7</v>
      </c>
      <c r="Z810" s="69" t="s">
        <v>69</v>
      </c>
      <c r="AA810" s="45">
        <f t="shared" si="66"/>
        <v>53</v>
      </c>
      <c r="AB810" t="str">
        <f t="shared" si="63"/>
        <v>Adult</v>
      </c>
      <c r="AC810" s="69">
        <v>38</v>
      </c>
      <c r="AD810" s="69">
        <v>15</v>
      </c>
      <c r="AE810" s="45" t="str">
        <f t="shared" si="64"/>
        <v>Morphological</v>
      </c>
      <c r="AF810" s="56">
        <v>4</v>
      </c>
    </row>
    <row r="811" spans="1:32" ht="18" customHeight="1" x14ac:dyDescent="0.25">
      <c r="A811" s="45">
        <v>807</v>
      </c>
      <c r="B811" s="45" t="s">
        <v>60</v>
      </c>
      <c r="C811" s="45" t="s">
        <v>61</v>
      </c>
      <c r="D811" s="45" t="s">
        <v>62</v>
      </c>
      <c r="E811" s="45" t="s">
        <v>62</v>
      </c>
      <c r="F811" s="46" cm="1">
        <f t="array" ref="F811">_xlfn.IFS($G811=$G$5,F$5,$G811=$G$6,F$6,$G811=$G$7,F$7,$G811=$G$8,F$8,$G811=$G$9,F$9,$G811=$G$10,F$10,$G811=$G$11,F$11,$G811=$G$12,F$12,$G811=$G$13,F$13,$G811=$G$15,F$15,$G811=$G$16,F$16,$G811=$G$17,F$17,$G811=$G$18,F$18,$G811=$G$19,F$19,$G811=$G$20,F$20,$G811=$G$21,F$21,$G811=$G$22,F$22,$G811=$G$25,F$25,$G811=$G$26,F$26,$G811=$G$27,F$27,$G811=$G$29,F$29,$G811=$G$31,F$31,$G811=$G$32,F$32,$G811=$G$248,F$248,$G811=$G$250,F$250)</f>
        <v>8024</v>
      </c>
      <c r="G811" t="s">
        <v>63</v>
      </c>
      <c r="H811" s="67" cm="1">
        <f t="array" ref="H811">_xlfn.IFS($G811=$G$5,H$5,$G811=$G$6,H$6,$G811=$G$7,H$7,$G811=$G$8,H$8,$G811=$G$9,H$9,$G811=$G$10,H$10,$G811=$G$11,H$11,$G811=$G$12,H$12,$G811=$G$13,H$13,$G811=$G$15,H$15,$G811=$G$16,H$16,$G811=$G$17,H$17,$G811=$G$18,H$18,$G811=$G$19,H$19,$G811=$G$20,H$20,$G811=$G$21,H$21,$G811=$G$22,H$22,$G811=$G$25,H$25,$G811=$G$26,H$26,$G811=$G$27,H$27,$G811=$G$29,H$29,$G811=$G$31,H$31,$G811=$G$32,H$150,$G811=$G$248,H$248,$G811=$G$250,H$250)</f>
        <v>41.413573999999997</v>
      </c>
      <c r="I811" s="67" cm="1">
        <f t="array" ref="I811">_xlfn.IFS($G811=$G$5,I$5,$G811=$G$6,I$6,$G811=$G$7,I$7,$G811=$G$8,I$8,$G811=$G$9,I$9,$G811=$G$10,I$10,$G811=$G$11,I$11,$G811=$G$12,I$12,$G811=$G$13,I$13,$G811=$G$15,I$15,$G811=$G$16,I$16,$G811=$G$17,I$17,$G811=$G$18,I$18,$G811=$G$19,I$19,$G811=$G$20,I$20,$G811=$G$21,I$21,$G811=$G$22,I$22,$G811=$G$25,I$25,$G811=$G$26,I$26,$G811=$G$27,I$27,$G811=$G$29,I$29,$G811=$G$31,I$31,$G811=$G$32,I$150,$G811=$G$248,I$248,$G811=$G$250,I$250)</f>
        <v>2.1520730000000001</v>
      </c>
      <c r="J811" s="48" cm="1">
        <f t="array" ref="J811">_xlfn.IFS($G811=$G$5,J$5,$G811=$G$6,J$6,$G811=$G$7,J$7,$G811=$G$8,J$8,$G811=$G$9,J$9,$G811=$G$10,J$10,$G811=$G$11,J$11,$G811=$G$12,J$12,$G811=$G$13,J$13,$G811=$G$15,J$15,$G811=$G$16,J$16,$G811=$G$17,J$17,$G811=$G$18,J$18,$G811=$G$19,J$19,$G811=$G$20,J$20,$G811=$G$21,J$21,$G811=$G$22,J$22,$G811=$G$25,J$25,$G811=$G$26,J$26,$G811=$G$27,J$27,$G811=$G$29,J$29,$G811=$G$31,J$31,$G811=$G$32,J$150,$G811=$G$248,J$248,$G811=$G$250,J$250)</f>
        <v>141</v>
      </c>
      <c r="K811" s="48" t="str" cm="1">
        <f t="array" ref="K811">_xlfn.IFS($G811=$G$5,K$5,$G811=$G$6,K$6,$G811=$G$7,K$7,$G811=$G$8,K$8,$G811=$G$9,K$9,$G811=$G$10,K$10,$G811=$G$11,K$11,$G811=$G$12,K$12,$G811=$G$13,K$13,$G811=$G$15,K$15,$G811=$G$16,K$16,$G811=$G$17,K$17,$G811=$G$18,K$18,$G811=$G$19,K$19,$G811=$G$20,K$20,$G811=$G$21,K$21,$G811=$G$22,K$22,$G811=$G$25,K$25,$G811=$G$26,K$26,$G811=$G$27,K$27,$G811=$G$29,K$29,$G811=$G$31,K$31,$G811=$G$32,K$150,$G811=$G$248,K$248,$G811=$G$250,K$250)</f>
        <v>BG sentinel + BG lure7</v>
      </c>
      <c r="L811" s="48"/>
      <c r="M811" s="48"/>
      <c r="O811" s="45" t="str">
        <f t="shared" si="54"/>
        <v>A_SP_BCN_1_210929</v>
      </c>
      <c r="P811" s="64">
        <v>44468</v>
      </c>
      <c r="R811" s="72"/>
      <c r="S811" s="64">
        <v>44475</v>
      </c>
      <c r="U811" s="72"/>
      <c r="V811" s="54" t="s">
        <v>66</v>
      </c>
      <c r="W811" t="s">
        <v>161</v>
      </c>
      <c r="X811" s="45">
        <f t="shared" si="55"/>
        <v>7</v>
      </c>
      <c r="Z811" s="45" t="s">
        <v>80</v>
      </c>
      <c r="AA811" s="45">
        <f t="shared" si="66"/>
        <v>1</v>
      </c>
      <c r="AB811" t="str">
        <f t="shared" si="63"/>
        <v>Adult</v>
      </c>
      <c r="AC811" s="69">
        <v>1</v>
      </c>
      <c r="AD811" s="69">
        <v>0</v>
      </c>
      <c r="AE811" s="45" t="str">
        <f t="shared" si="64"/>
        <v>Morphological</v>
      </c>
      <c r="AF811" s="56">
        <v>4</v>
      </c>
    </row>
    <row r="812" spans="1:32" ht="18" customHeight="1" x14ac:dyDescent="0.25">
      <c r="A812" s="45">
        <v>808</v>
      </c>
      <c r="B812" s="45" t="s">
        <v>60</v>
      </c>
      <c r="C812" s="45" t="s">
        <v>61</v>
      </c>
      <c r="D812" s="45" t="s">
        <v>62</v>
      </c>
      <c r="E812" s="45" t="s">
        <v>62</v>
      </c>
      <c r="F812" s="46" cm="1">
        <f t="array" ref="F812">_xlfn.IFS($G812=$G$5,F$5,$G812=$G$6,F$6,$G812=$G$7,F$7,$G812=$G$8,F$8,$G812=$G$9,F$9,$G812=$G$10,F$10,$G812=$G$11,F$11,$G812=$G$12,F$12,$G812=$G$13,F$13,$G812=$G$15,F$15,$G812=$G$16,F$16,$G812=$G$17,F$17,$G812=$G$18,F$18,$G812=$G$19,F$19,$G812=$G$20,F$20,$G812=$G$21,F$21,$G812=$G$22,F$22,$G812=$G$25,F$25,$G812=$G$26,F$26,$G812=$G$27,F$27,$G812=$G$29,F$29,$G812=$G$31,F$31,$G812=$G$32,F$32,$G812=$G$248,F$248,$G812=$G$250,F$250)</f>
        <v>8035</v>
      </c>
      <c r="G812" t="s">
        <v>67</v>
      </c>
      <c r="H812" s="67" cm="1">
        <f t="array" ref="H812">_xlfn.IFS($G812=$G$5,H$5,$G812=$G$6,H$6,$G812=$G$7,H$7,$G812=$G$8,H$8,$G812=$G$9,H$9,$G812=$G$10,H$10,$G812=$G$11,H$11,$G812=$G$12,H$12,$G812=$G$13,H$13,$G812=$G$15,H$15,$G812=$G$16,H$16,$G812=$G$17,H$17,$G812=$G$18,H$18,$G812=$G$19,H$19,$G812=$G$20,H$20,$G812=$G$21,H$21,$G812=$G$22,H$22,$G812=$G$25,H$25,$G812=$G$26,H$26,$G812=$G$27,H$27,$G812=$G$29,H$29,$G812=$G$31,H$31,$G812=$G$32,H$150,$G812=$G$248,H$248,$G812=$G$250,H$250)</f>
        <v>41.424387000000003</v>
      </c>
      <c r="I812" s="67" cm="1">
        <f t="array" ref="I812">_xlfn.IFS($G812=$G$5,I$5,$G812=$G$6,I$6,$G812=$G$7,I$7,$G812=$G$8,I$8,$G812=$G$9,I$9,$G812=$G$10,I$10,$G812=$G$11,I$11,$G812=$G$12,I$12,$G812=$G$13,I$13,$G812=$G$15,I$15,$G812=$G$16,I$16,$G812=$G$17,I$17,$G812=$G$18,I$18,$G812=$G$19,I$19,$G812=$G$20,I$20,$G812=$G$21,I$21,$G812=$G$22,I$22,$G812=$G$25,I$25,$G812=$G$26,I$26,$G812=$G$27,I$27,$G812=$G$29,I$29,$G812=$G$31,I$31,$G812=$G$32,I$150,$G812=$G$248,I$248,$G812=$G$250,I$250)</f>
        <v>2.1431439999999999</v>
      </c>
      <c r="J812" s="48" cm="1">
        <f t="array" ref="J812">_xlfn.IFS($G812=$G$5,J$5,$G812=$G$6,J$6,$G812=$G$7,J$7,$G812=$G$8,J$8,$G812=$G$9,J$9,$G812=$G$10,J$10,$G812=$G$11,J$11,$G812=$G$12,J$12,$G812=$G$13,J$13,$G812=$G$15,J$15,$G812=$G$16,J$16,$G812=$G$17,J$17,$G812=$G$18,J$18,$G812=$G$19,J$19,$G812=$G$20,J$20,$G812=$G$21,J$21,$G812=$G$22,J$22,$G812=$G$25,J$25,$G812=$G$26,J$26,$G812=$G$27,J$27,$G812=$G$29,J$29,$G812=$G$31,J$31,$G812=$G$32,J$150,$G812=$G$248,J$248,$G812=$G$250,J$250)</f>
        <v>160</v>
      </c>
      <c r="K812" s="48" t="str" cm="1">
        <f t="array" ref="K812">_xlfn.IFS($G812=$G$5,K$5,$G812=$G$6,K$6,$G812=$G$7,K$7,$G812=$G$8,K$8,$G812=$G$9,K$9,$G812=$G$10,K$10,$G812=$G$11,K$11,$G812=$G$12,K$12,$G812=$G$13,K$13,$G812=$G$15,K$15,$G812=$G$16,K$16,$G812=$G$17,K$17,$G812=$G$18,K$18,$G812=$G$19,K$19,$G812=$G$20,K$20,$G812=$G$21,K$21,$G812=$G$22,K$22,$G812=$G$25,K$25,$G812=$G$26,K$26,$G812=$G$27,K$27,$G812=$G$29,K$29,$G812=$G$31,K$31,$G812=$G$32,K$150,$G812=$G$248,K$248,$G812=$G$250,K$250)</f>
        <v>BG sentinel + BG lure7</v>
      </c>
      <c r="L812" s="48"/>
      <c r="M812" s="48"/>
      <c r="O812" s="45" t="str">
        <f t="shared" si="54"/>
        <v>A_SP_BCN_2_210929</v>
      </c>
      <c r="P812" s="64">
        <v>44468</v>
      </c>
      <c r="R812" s="72"/>
      <c r="S812" s="64">
        <v>44475</v>
      </c>
      <c r="U812" s="72"/>
      <c r="V812" s="54" t="s">
        <v>66</v>
      </c>
      <c r="X812" s="45">
        <f t="shared" si="55"/>
        <v>7</v>
      </c>
      <c r="Z812" s="69" t="s">
        <v>69</v>
      </c>
      <c r="AA812" s="45">
        <f t="shared" si="66"/>
        <v>6</v>
      </c>
      <c r="AB812" t="str">
        <f t="shared" si="63"/>
        <v>Adult</v>
      </c>
      <c r="AC812" s="69">
        <v>6</v>
      </c>
      <c r="AD812" s="69">
        <v>0</v>
      </c>
      <c r="AE812" s="45" t="str">
        <f t="shared" si="64"/>
        <v>Morphological</v>
      </c>
      <c r="AF812" s="56">
        <v>4</v>
      </c>
    </row>
    <row r="813" spans="1:32" ht="18" customHeight="1" x14ac:dyDescent="0.25">
      <c r="A813" s="45">
        <v>809</v>
      </c>
      <c r="B813" s="45" t="s">
        <v>60</v>
      </c>
      <c r="C813" s="45" t="s">
        <v>61</v>
      </c>
      <c r="D813" s="45" t="s">
        <v>62</v>
      </c>
      <c r="E813" s="45" t="s">
        <v>62</v>
      </c>
      <c r="F813" s="46" cm="1">
        <f t="array" ref="F813">_xlfn.IFS($G813=$G$5,F$5,$G813=$G$6,F$6,$G813=$G$7,F$7,$G813=$G$8,F$8,$G813=$G$9,F$9,$G813=$G$10,F$10,$G813=$G$11,F$11,$G813=$G$12,F$12,$G813=$G$13,F$13,$G813=$G$15,F$15,$G813=$G$16,F$16,$G813=$G$17,F$17,$G813=$G$18,F$18,$G813=$G$19,F$19,$G813=$G$20,F$20,$G813=$G$21,F$21,$G813=$G$22,F$22,$G813=$G$25,F$25,$G813=$G$26,F$26,$G813=$G$27,F$27,$G813=$G$29,F$29,$G813=$G$31,F$31,$G813=$G$32,F$32,$G813=$G$248,F$248,$G813=$G$250,F$250)</f>
        <v>8016</v>
      </c>
      <c r="G813" t="s">
        <v>68</v>
      </c>
      <c r="H813" s="67" cm="1">
        <f t="array" ref="H813">_xlfn.IFS($G813=$G$5,H$5,$G813=$G$6,H$6,$G813=$G$7,H$7,$G813=$G$8,H$8,$G813=$G$9,H$9,$G813=$G$10,H$10,$G813=$G$11,H$11,$G813=$G$12,H$12,$G813=$G$13,H$13,$G813=$G$15,H$15,$G813=$G$16,H$16,$G813=$G$17,H$17,$G813=$G$18,H$18,$G813=$G$19,H$19,$G813=$G$20,H$20,$G813=$G$21,H$21,$G813=$G$22,H$22,$G813=$G$25,H$25,$G813=$G$26,H$26,$G813=$G$27,H$27,$G813=$G$29,H$29,$G813=$G$31,H$31,$G813=$G$32,H$150,$G813=$G$248,H$248,$G813=$G$250,H$250)</f>
        <v>41.437435000000001</v>
      </c>
      <c r="I813" s="67" cm="1">
        <f t="array" ref="I813">_xlfn.IFS($G813=$G$5,I$5,$G813=$G$6,I$6,$G813=$G$7,I$7,$G813=$G$8,I$8,$G813=$G$9,I$9,$G813=$G$10,I$10,$G813=$G$11,I$11,$G813=$G$12,I$12,$G813=$G$13,I$13,$G813=$G$15,I$15,$G813=$G$16,I$16,$G813=$G$17,I$17,$G813=$G$18,I$18,$G813=$G$19,I$19,$G813=$G$20,I$20,$G813=$G$21,I$21,$G813=$G$22,I$22,$G813=$G$25,I$25,$G813=$G$26,I$26,$G813=$G$27,I$27,$G813=$G$29,I$29,$G813=$G$31,I$31,$G813=$G$32,I$150,$G813=$G$248,I$248,$G813=$G$250,I$250)</f>
        <v>2.1812779999999998</v>
      </c>
      <c r="J813" s="48" cm="1">
        <f t="array" ref="J813">_xlfn.IFS($G813=$G$5,J$5,$G813=$G$6,J$6,$G813=$G$7,J$7,$G813=$G$8,J$8,$G813=$G$9,J$9,$G813=$G$10,J$10,$G813=$G$11,J$11,$G813=$G$12,J$12,$G813=$G$13,J$13,$G813=$G$15,J$15,$G813=$G$16,J$16,$G813=$G$17,J$17,$G813=$G$18,J$18,$G813=$G$19,J$19,$G813=$G$20,J$20,$G813=$G$21,J$21,$G813=$G$22,J$22,$G813=$G$25,J$25,$G813=$G$26,J$26,$G813=$G$27,J$27,$G813=$G$29,J$29,$G813=$G$31,J$31,$G813=$G$32,J$150,$G813=$G$248,J$248,$G813=$G$250,J$250)</f>
        <v>47</v>
      </c>
      <c r="K813" s="48" t="str" cm="1">
        <f t="array" ref="K813">_xlfn.IFS($G813=$G$5,K$5,$G813=$G$6,K$6,$G813=$G$7,K$7,$G813=$G$8,K$8,$G813=$G$9,K$9,$G813=$G$10,K$10,$G813=$G$11,K$11,$G813=$G$12,K$12,$G813=$G$13,K$13,$G813=$G$15,K$15,$G813=$G$16,K$16,$G813=$G$17,K$17,$G813=$G$18,K$18,$G813=$G$19,K$19,$G813=$G$20,K$20,$G813=$G$21,K$21,$G813=$G$22,K$22,$G813=$G$25,K$25,$G813=$G$26,K$26,$G813=$G$27,K$27,$G813=$G$29,K$29,$G813=$G$31,K$31,$G813=$G$32,K$150,$G813=$G$248,K$248,$G813=$G$250,K$250)</f>
        <v>BG sentinel + BG lure7</v>
      </c>
      <c r="L813" s="48"/>
      <c r="M813" s="48"/>
      <c r="O813" s="45" t="str">
        <f t="shared" si="54"/>
        <v>A_SP_BCN_3_210929</v>
      </c>
      <c r="P813" s="64">
        <v>44468</v>
      </c>
      <c r="R813" s="72"/>
      <c r="S813" s="64">
        <v>44475</v>
      </c>
      <c r="U813" s="72"/>
      <c r="V813" s="54" t="s">
        <v>162</v>
      </c>
      <c r="X813" s="45">
        <f t="shared" si="55"/>
        <v>7</v>
      </c>
      <c r="AA813" s="45"/>
      <c r="AB813" t="str">
        <f t="shared" si="63"/>
        <v/>
      </c>
      <c r="AE813" s="45" t="str">
        <f t="shared" si="64"/>
        <v/>
      </c>
      <c r="AF813" s="56">
        <v>1</v>
      </c>
    </row>
    <row r="814" spans="1:32" ht="18" customHeight="1" x14ac:dyDescent="0.25">
      <c r="A814" s="45">
        <v>810</v>
      </c>
      <c r="B814" s="45" t="s">
        <v>60</v>
      </c>
      <c r="C814" s="45" t="s">
        <v>61</v>
      </c>
      <c r="D814" s="45" t="s">
        <v>62</v>
      </c>
      <c r="E814" s="45" t="s">
        <v>62</v>
      </c>
      <c r="F814" s="46" cm="1">
        <f t="array" ref="F814">_xlfn.IFS($G814=$G$5,F$5,$G814=$G$6,F$6,$G814=$G$7,F$7,$G814=$G$8,F$8,$G814=$G$9,F$9,$G814=$G$10,F$10,$G814=$G$11,F$11,$G814=$G$12,F$12,$G814=$G$13,F$13,$G814=$G$15,F$15,$G814=$G$16,F$16,$G814=$G$17,F$17,$G814=$G$18,F$18,$G814=$G$19,F$19,$G814=$G$20,F$20,$G814=$G$21,F$21,$G814=$G$22,F$22,$G814=$G$25,F$25,$G814=$G$26,F$26,$G814=$G$27,F$27,$G814=$G$29,F$29,$G814=$G$31,F$31,$G814=$G$32,F$32,$G814=$G$248,F$248,$G814=$G$250,F$250)</f>
        <v>8018</v>
      </c>
      <c r="G814" t="s">
        <v>71</v>
      </c>
      <c r="H814" s="67" cm="1">
        <f t="array" ref="H814">_xlfn.IFS($G814=$G$5,H$5,$G814=$G$6,H$6,$G814=$G$7,H$7,$G814=$G$8,H$8,$G814=$G$9,H$9,$G814=$G$10,H$10,$G814=$G$11,H$11,$G814=$G$12,H$12,$G814=$G$13,H$13,$G814=$G$15,H$15,$G814=$G$16,H$16,$G814=$G$17,H$17,$G814=$G$18,H$18,$G814=$G$19,H$19,$G814=$G$20,H$20,$G814=$G$21,H$21,$G814=$G$22,H$22,$G814=$G$25,H$25,$G814=$G$26,H$26,$G814=$G$27,H$27,$G814=$G$29,H$29,$G814=$G$31,H$31,$G814=$G$32,H$150,$G814=$G$248,H$248,$G814=$G$250,H$250)</f>
        <v>41.410684000000003</v>
      </c>
      <c r="I814" s="67" cm="1">
        <f t="array" ref="I814">_xlfn.IFS($G814=$G$5,I$5,$G814=$G$6,I$6,$G814=$G$7,I$7,$G814=$G$8,I$8,$G814=$G$9,I$9,$G814=$G$10,I$10,$G814=$G$11,I$11,$G814=$G$12,I$12,$G814=$G$13,I$13,$G814=$G$15,I$15,$G814=$G$16,I$16,$G814=$G$17,I$17,$G814=$G$18,I$18,$G814=$G$19,I$19,$G814=$G$20,I$20,$G814=$G$21,I$21,$G814=$G$22,I$22,$G814=$G$25,I$25,$G814=$G$26,I$26,$G814=$G$27,I$27,$G814=$G$29,I$29,$G814=$G$31,I$31,$G814=$G$32,I$150,$G814=$G$248,I$248,$G814=$G$250,I$250)</f>
        <v>2.2208019999999999</v>
      </c>
      <c r="J814" s="48" cm="1">
        <f t="array" ref="J814">_xlfn.IFS($G814=$G$5,J$5,$G814=$G$6,J$6,$G814=$G$7,J$7,$G814=$G$8,J$8,$G814=$G$9,J$9,$G814=$G$10,J$10,$G814=$G$11,J$11,$G814=$G$12,J$12,$G814=$G$13,J$13,$G814=$G$15,J$15,$G814=$G$16,J$16,$G814=$G$17,J$17,$G814=$G$18,J$18,$G814=$G$19,J$19,$G814=$G$20,J$20,$G814=$G$21,J$21,$G814=$G$22,J$22,$G814=$G$25,J$25,$G814=$G$26,J$26,$G814=$G$27,J$27,$G814=$G$29,J$29,$G814=$G$31,J$31,$G814=$G$32,J$150,$G814=$G$248,J$248,$G814=$G$250,J$250)</f>
        <v>4</v>
      </c>
      <c r="K814" s="48" t="str" cm="1">
        <f t="array" ref="K814">_xlfn.IFS($G814=$G$5,K$5,$G814=$G$6,K$6,$G814=$G$7,K$7,$G814=$G$8,K$8,$G814=$G$9,K$9,$G814=$G$10,K$10,$G814=$G$11,K$11,$G814=$G$12,K$12,$G814=$G$13,K$13,$G814=$G$15,K$15,$G814=$G$16,K$16,$G814=$G$17,K$17,$G814=$G$18,K$18,$G814=$G$19,K$19,$G814=$G$20,K$20,$G814=$G$21,K$21,$G814=$G$22,K$22,$G814=$G$25,K$25,$G814=$G$26,K$26,$G814=$G$27,K$27,$G814=$G$29,K$29,$G814=$G$31,K$31,$G814=$G$32,K$150,$G814=$G$248,K$248,$G814=$G$250,K$250)</f>
        <v>BG sentinel + BG lure7</v>
      </c>
      <c r="L814" s="48"/>
      <c r="M814" s="48"/>
      <c r="O814" s="45" t="str">
        <f t="shared" si="54"/>
        <v>A_SP_BCN_4_210930</v>
      </c>
      <c r="P814" s="64">
        <v>44469</v>
      </c>
      <c r="R814" s="72"/>
      <c r="S814" s="64">
        <v>44476</v>
      </c>
      <c r="U814" s="72"/>
      <c r="V814" s="54" t="s">
        <v>66</v>
      </c>
      <c r="X814" s="45">
        <f t="shared" si="55"/>
        <v>7</v>
      </c>
      <c r="Z814" s="69" t="s">
        <v>69</v>
      </c>
      <c r="AA814" s="45">
        <f t="shared" ref="AA814:AA831" si="67">SUM(AC814:AD814)</f>
        <v>6</v>
      </c>
      <c r="AB814" t="str">
        <f t="shared" si="63"/>
        <v>Adult</v>
      </c>
      <c r="AC814" s="69">
        <v>4</v>
      </c>
      <c r="AD814" s="69">
        <v>2</v>
      </c>
      <c r="AE814" s="45" t="str">
        <f t="shared" si="64"/>
        <v>Morphological</v>
      </c>
      <c r="AF814" s="56">
        <v>4</v>
      </c>
    </row>
    <row r="815" spans="1:32" ht="18" customHeight="1" x14ac:dyDescent="0.25">
      <c r="A815" s="45">
        <v>811</v>
      </c>
      <c r="B815" s="45" t="s">
        <v>60</v>
      </c>
      <c r="C815" s="45" t="s">
        <v>61</v>
      </c>
      <c r="D815" s="45" t="s">
        <v>62</v>
      </c>
      <c r="E815" s="45" t="s">
        <v>62</v>
      </c>
      <c r="F815" s="46" cm="1">
        <f t="array" ref="F815">_xlfn.IFS($G815=$G$5,F$5,$G815=$G$6,F$6,$G815=$G$7,F$7,$G815=$G$8,F$8,$G815=$G$9,F$9,$G815=$G$10,F$10,$G815=$G$11,F$11,$G815=$G$12,F$12,$G815=$G$13,F$13,$G815=$G$15,F$15,$G815=$G$16,F$16,$G815=$G$17,F$17,$G815=$G$18,F$18,$G815=$G$19,F$19,$G815=$G$20,F$20,$G815=$G$21,F$21,$G815=$G$22,F$22,$G815=$G$25,F$25,$G815=$G$26,F$26,$G815=$G$27,F$27,$G815=$G$29,F$29,$G815=$G$31,F$31,$G815=$G$32,F$32,$G815=$G$248,F$248,$G815=$G$250,F$250)</f>
        <v>8018</v>
      </c>
      <c r="G815" t="s">
        <v>71</v>
      </c>
      <c r="H815" s="67" cm="1">
        <f t="array" ref="H815">_xlfn.IFS($G815=$G$5,H$5,$G815=$G$6,H$6,$G815=$G$7,H$7,$G815=$G$8,H$8,$G815=$G$9,H$9,$G815=$G$10,H$10,$G815=$G$11,H$11,$G815=$G$12,H$12,$G815=$G$13,H$13,$G815=$G$15,H$15,$G815=$G$16,H$16,$G815=$G$17,H$17,$G815=$G$18,H$18,$G815=$G$19,H$19,$G815=$G$20,H$20,$G815=$G$21,H$21,$G815=$G$22,H$22,$G815=$G$25,H$25,$G815=$G$26,H$26,$G815=$G$27,H$27,$G815=$G$29,H$29,$G815=$G$31,H$31,$G815=$G$32,H$150,$G815=$G$248,H$248,$G815=$G$250,H$250)</f>
        <v>41.410684000000003</v>
      </c>
      <c r="I815" s="67" cm="1">
        <f t="array" ref="I815">_xlfn.IFS($G815=$G$5,I$5,$G815=$G$6,I$6,$G815=$G$7,I$7,$G815=$G$8,I$8,$G815=$G$9,I$9,$G815=$G$10,I$10,$G815=$G$11,I$11,$G815=$G$12,I$12,$G815=$G$13,I$13,$G815=$G$15,I$15,$G815=$G$16,I$16,$G815=$G$17,I$17,$G815=$G$18,I$18,$G815=$G$19,I$19,$G815=$G$20,I$20,$G815=$G$21,I$21,$G815=$G$22,I$22,$G815=$G$25,I$25,$G815=$G$26,I$26,$G815=$G$27,I$27,$G815=$G$29,I$29,$G815=$G$31,I$31,$G815=$G$32,I$150,$G815=$G$248,I$248,$G815=$G$250,I$250)</f>
        <v>2.2208019999999999</v>
      </c>
      <c r="J815" s="48" cm="1">
        <f t="array" ref="J815">_xlfn.IFS($G815=$G$5,J$5,$G815=$G$6,J$6,$G815=$G$7,J$7,$G815=$G$8,J$8,$G815=$G$9,J$9,$G815=$G$10,J$10,$G815=$G$11,J$11,$G815=$G$12,J$12,$G815=$G$13,J$13,$G815=$G$15,J$15,$G815=$G$16,J$16,$G815=$G$17,J$17,$G815=$G$18,J$18,$G815=$G$19,J$19,$G815=$G$20,J$20,$G815=$G$21,J$21,$G815=$G$22,J$22,$G815=$G$25,J$25,$G815=$G$26,J$26,$G815=$G$27,J$27,$G815=$G$29,J$29,$G815=$G$31,J$31,$G815=$G$32,J$150,$G815=$G$248,J$248,$G815=$G$250,J$250)</f>
        <v>4</v>
      </c>
      <c r="K815" s="48" t="str" cm="1">
        <f t="array" ref="K815">_xlfn.IFS($G815=$G$5,K$5,$G815=$G$6,K$6,$G815=$G$7,K$7,$G815=$G$8,K$8,$G815=$G$9,K$9,$G815=$G$10,K$10,$G815=$G$11,K$11,$G815=$G$12,K$12,$G815=$G$13,K$13,$G815=$G$15,K$15,$G815=$G$16,K$16,$G815=$G$17,K$17,$G815=$G$18,K$18,$G815=$G$19,K$19,$G815=$G$20,K$20,$G815=$G$21,K$21,$G815=$G$22,K$22,$G815=$G$25,K$25,$G815=$G$26,K$26,$G815=$G$27,K$27,$G815=$G$29,K$29,$G815=$G$31,K$31,$G815=$G$32,K$150,$G815=$G$248,K$248,$G815=$G$250,K$250)</f>
        <v>BG sentinel + BG lure7</v>
      </c>
      <c r="L815" s="48"/>
      <c r="M815" s="48"/>
      <c r="O815" s="45" t="str">
        <f t="shared" si="54"/>
        <v>A_SP_BCN_4_210930</v>
      </c>
      <c r="P815" s="64">
        <v>44469</v>
      </c>
      <c r="R815" s="72"/>
      <c r="S815" s="64">
        <v>44476</v>
      </c>
      <c r="U815" s="72"/>
      <c r="V815" s="54" t="s">
        <v>66</v>
      </c>
      <c r="X815" s="45">
        <f t="shared" si="55"/>
        <v>7</v>
      </c>
      <c r="Z815" s="45" t="s">
        <v>70</v>
      </c>
      <c r="AA815" s="45">
        <f t="shared" si="67"/>
        <v>1</v>
      </c>
      <c r="AB815" t="str">
        <f t="shared" ref="AB815:AB878" si="68">IF(AA815=0,"",IF(AA815="","",IF(AA815&gt;0,"Adult")))</f>
        <v>Adult</v>
      </c>
      <c r="AC815" s="69">
        <v>0</v>
      </c>
      <c r="AD815" s="69">
        <v>1</v>
      </c>
      <c r="AE815" s="45" t="str">
        <f t="shared" si="64"/>
        <v>Morphological</v>
      </c>
      <c r="AF815" s="56">
        <v>4</v>
      </c>
    </row>
    <row r="816" spans="1:32" ht="18" customHeight="1" x14ac:dyDescent="0.25">
      <c r="A816" s="45">
        <v>812</v>
      </c>
      <c r="B816" s="45" t="s">
        <v>60</v>
      </c>
      <c r="C816" s="45" t="s">
        <v>61</v>
      </c>
      <c r="D816" s="45" t="s">
        <v>62</v>
      </c>
      <c r="E816" s="45" t="s">
        <v>62</v>
      </c>
      <c r="F816" s="46" cm="1">
        <f t="array" ref="F816">_xlfn.IFS($G816=$G$5,F$5,$G816=$G$6,F$6,$G816=$G$7,F$7,$G816=$G$8,F$8,$G816=$G$9,F$9,$G816=$G$10,F$10,$G816=$G$11,F$11,$G816=$G$12,F$12,$G816=$G$13,F$13,$G816=$G$15,F$15,$G816=$G$16,F$16,$G816=$G$17,F$17,$G816=$G$18,F$18,$G816=$G$19,F$19,$G816=$G$20,F$20,$G816=$G$21,F$21,$G816=$G$22,F$22,$G816=$G$25,F$25,$G816=$G$26,F$26,$G816=$G$27,F$27,$G816=$G$29,F$29,$G816=$G$31,F$31,$G816=$G$32,F$32,$G816=$G$248,F$248,$G816=$G$250,F$250)</f>
        <v>8019</v>
      </c>
      <c r="G816" t="s">
        <v>72</v>
      </c>
      <c r="H816" s="67" cm="1">
        <f t="array" ref="H816">_xlfn.IFS($G816=$G$5,H$5,$G816=$G$6,H$6,$G816=$G$7,H$7,$G816=$G$8,H$8,$G816=$G$9,H$9,$G816=$G$10,H$10,$G816=$G$11,H$11,$G816=$G$12,H$12,$G816=$G$13,H$13,$G816=$G$15,H$15,$G816=$G$16,H$16,$G816=$G$17,H$17,$G816=$G$18,H$18,$G816=$G$19,H$19,$G816=$G$20,H$20,$G816=$G$21,H$21,$G816=$G$22,H$22,$G816=$G$25,H$25,$G816=$G$26,H$26,$G816=$G$27,H$27,$G816=$G$29,H$29,$G816=$G$31,H$31,$G816=$G$32,H$150,$G816=$G$248,H$248,$G816=$G$250,H$250)</f>
        <v>41.382339999999999</v>
      </c>
      <c r="I816" s="67" cm="1">
        <f t="array" ref="I816">_xlfn.IFS($G816=$G$5,I$5,$G816=$G$6,I$6,$G816=$G$7,I$7,$G816=$G$8,I$8,$G816=$G$9,I$9,$G816=$G$10,I$10,$G816=$G$11,I$11,$G816=$G$12,I$12,$G816=$G$13,I$13,$G816=$G$15,I$15,$G816=$G$16,I$16,$G816=$G$17,I$17,$G816=$G$18,I$18,$G816=$G$19,I$19,$G816=$G$20,I$20,$G816=$G$21,I$21,$G816=$G$22,I$22,$G816=$G$25,I$25,$G816=$G$26,I$26,$G816=$G$27,I$27,$G816=$G$29,I$29,$G816=$G$31,I$31,$G816=$G$32,I$150,$G816=$G$248,I$248,$G816=$G$250,I$250)</f>
        <v>2.1714790000000002</v>
      </c>
      <c r="J816" s="48" cm="1">
        <f t="array" ref="J816">_xlfn.IFS($G816=$G$5,J$5,$G816=$G$6,J$6,$G816=$G$7,J$7,$G816=$G$8,J$8,$G816=$G$9,J$9,$G816=$G$10,J$10,$G816=$G$11,J$11,$G816=$G$12,J$12,$G816=$G$13,J$13,$G816=$G$15,J$15,$G816=$G$16,J$16,$G816=$G$17,J$17,$G816=$G$18,J$18,$G816=$G$19,J$19,$G816=$G$20,J$20,$G816=$G$21,J$21,$G816=$G$22,J$22,$G816=$G$25,J$25,$G816=$G$26,J$26,$G816=$G$27,J$27,$G816=$G$29,J$29,$G816=$G$31,J$31,$G816=$G$32,J$150,$G816=$G$248,J$248,$G816=$G$250,J$250)</f>
        <v>18</v>
      </c>
      <c r="K816" s="48" t="str" cm="1">
        <f t="array" ref="K816">_xlfn.IFS($G816=$G$5,K$5,$G816=$G$6,K$6,$G816=$G$7,K$7,$G816=$G$8,K$8,$G816=$G$9,K$9,$G816=$G$10,K$10,$G816=$G$11,K$11,$G816=$G$12,K$12,$G816=$G$13,K$13,$G816=$G$15,K$15,$G816=$G$16,K$16,$G816=$G$17,K$17,$G816=$G$18,K$18,$G816=$G$19,K$19,$G816=$G$20,K$20,$G816=$G$21,K$21,$G816=$G$22,K$22,$G816=$G$25,K$25,$G816=$G$26,K$26,$G816=$G$27,K$27,$G816=$G$29,K$29,$G816=$G$31,K$31,$G816=$G$32,K$150,$G816=$G$248,K$248,$G816=$G$250,K$250)</f>
        <v>BG sentinel + BG lure7</v>
      </c>
      <c r="L816" s="48"/>
      <c r="M816" s="48"/>
      <c r="O816" s="45" t="str">
        <f t="shared" si="54"/>
        <v>A_SP_BCN_5_210930</v>
      </c>
      <c r="P816" s="64">
        <v>44469</v>
      </c>
      <c r="R816" s="72"/>
      <c r="S816" s="64">
        <v>44476</v>
      </c>
      <c r="U816" s="72"/>
      <c r="V816" s="54" t="s">
        <v>66</v>
      </c>
      <c r="X816" s="45">
        <f t="shared" si="55"/>
        <v>7</v>
      </c>
      <c r="AA816" s="45">
        <f t="shared" si="67"/>
        <v>0</v>
      </c>
      <c r="AB816" t="str">
        <f t="shared" si="68"/>
        <v/>
      </c>
      <c r="AE816" s="45" t="str">
        <f t="shared" ref="AE816:AE880" si="69">IF(AA816=0,"",IF(AA816="","",IF(AA816&gt;0,"Morphological")))</f>
        <v/>
      </c>
      <c r="AF816" s="56">
        <v>4</v>
      </c>
    </row>
    <row r="817" spans="1:32" ht="18" customHeight="1" x14ac:dyDescent="0.25">
      <c r="A817" s="45">
        <v>813</v>
      </c>
      <c r="B817" s="45" t="s">
        <v>60</v>
      </c>
      <c r="C817" s="45" t="s">
        <v>61</v>
      </c>
      <c r="D817" s="45" t="s">
        <v>62</v>
      </c>
      <c r="E817" s="45" t="s">
        <v>62</v>
      </c>
      <c r="F817" s="46" cm="1">
        <f t="array" ref="F817">_xlfn.IFS($G817=$G$5,F$5,$G817=$G$6,F$6,$G817=$G$7,F$7,$G817=$G$8,F$8,$G817=$G$9,F$9,$G817=$G$10,F$10,$G817=$G$11,F$11,$G817=$G$12,F$12,$G817=$G$13,F$13,$G817=$G$15,F$15,$G817=$G$16,F$16,$G817=$G$17,F$17,$G817=$G$18,F$18,$G817=$G$19,F$19,$G817=$G$20,F$20,$G817=$G$21,F$21,$G817=$G$22,F$22,$G817=$G$25,F$25,$G817=$G$26,F$26,$G817=$G$27,F$27,$G817=$G$29,F$29,$G817=$G$31,F$31,$G817=$G$32,F$32,$G817=$G$248,F$248,$G817=$G$250,F$250)</f>
        <v>8002</v>
      </c>
      <c r="G817" t="s">
        <v>73</v>
      </c>
      <c r="H817" s="67" cm="1">
        <f t="array" ref="H817">_xlfn.IFS($G817=$G$5,H$5,$G817=$G$6,H$6,$G817=$G$7,H$7,$G817=$G$8,H$8,$G817=$G$9,H$9,$G817=$G$10,H$10,$G817=$G$11,H$11,$G817=$G$12,H$12,$G817=$G$13,H$13,$G817=$G$15,H$15,$G817=$G$16,H$16,$G817=$G$17,H$17,$G817=$G$18,H$18,$G817=$G$19,H$19,$G817=$G$20,H$20,$G817=$G$21,H$21,$G817=$G$22,H$22,$G817=$G$25,H$25,$G817=$G$26,H$26,$G817=$G$27,H$27,$G817=$G$29,H$29,$G817=$G$31,H$31,$G817=$G$32,H$150,$G817=$G$248,H$248,$G817=$G$250,H$250)</f>
        <v>41.371864000000002</v>
      </c>
      <c r="I817" s="67" cm="1">
        <f t="array" ref="I817">_xlfn.IFS($G817=$G$5,I$5,$G817=$G$6,I$6,$G817=$G$7,I$7,$G817=$G$8,I$8,$G817=$G$9,I$9,$G817=$G$10,I$10,$G817=$G$11,I$11,$G817=$G$12,I$12,$G817=$G$13,I$13,$G817=$G$15,I$15,$G817=$G$16,I$16,$G817=$G$17,I$17,$G817=$G$18,I$18,$G817=$G$19,I$19,$G817=$G$20,I$20,$G817=$G$21,I$21,$G817=$G$22,I$22,$G817=$G$25,I$25,$G817=$G$26,I$26,$G817=$G$27,I$27,$G817=$G$29,I$29,$G817=$G$31,I$31,$G817=$G$32,I$150,$G817=$G$248,I$248,$G817=$G$250,I$250)</f>
        <v>2.173899</v>
      </c>
      <c r="J817" s="48" cm="1">
        <f t="array" ref="J817">_xlfn.IFS($G817=$G$5,J$5,$G817=$G$6,J$6,$G817=$G$7,J$7,$G817=$G$8,J$8,$G817=$G$9,J$9,$G817=$G$10,J$10,$G817=$G$11,J$11,$G817=$G$12,J$12,$G817=$G$13,J$13,$G817=$G$15,J$15,$G817=$G$16,J$16,$G817=$G$17,J$17,$G817=$G$18,J$18,$G817=$G$19,J$19,$G817=$G$20,J$20,$G817=$G$21,J$21,$G817=$G$22,J$22,$G817=$G$25,J$25,$G817=$G$26,J$26,$G817=$G$27,J$27,$G817=$G$29,J$29,$G817=$G$31,J$31,$G817=$G$32,J$150,$G817=$G$248,J$248,$G817=$G$250,J$250)</f>
        <v>19</v>
      </c>
      <c r="K817" s="48" t="str" cm="1">
        <f t="array" ref="K817">_xlfn.IFS($G817=$G$5,K$5,$G817=$G$6,K$6,$G817=$G$7,K$7,$G817=$G$8,K$8,$G817=$G$9,K$9,$G817=$G$10,K$10,$G817=$G$11,K$11,$G817=$G$12,K$12,$G817=$G$13,K$13,$G817=$G$15,K$15,$G817=$G$16,K$16,$G817=$G$17,K$17,$G817=$G$18,K$18,$G817=$G$19,K$19,$G817=$G$20,K$20,$G817=$G$21,K$21,$G817=$G$22,K$22,$G817=$G$25,K$25,$G817=$G$26,K$26,$G817=$G$27,K$27,$G817=$G$29,K$29,$G817=$G$31,K$31,$G817=$G$32,K$150,$G817=$G$248,K$248,$G817=$G$250,K$250)</f>
        <v>BG sentinel + BG lure7</v>
      </c>
      <c r="L817" s="48"/>
      <c r="M817" s="48"/>
      <c r="O817" s="45" t="str">
        <f t="shared" si="54"/>
        <v>A_SP_BCN_6_210930</v>
      </c>
      <c r="P817" s="64">
        <v>44469</v>
      </c>
      <c r="R817" s="72"/>
      <c r="S817" s="64">
        <v>44476</v>
      </c>
      <c r="U817" s="72"/>
      <c r="V817" s="54" t="s">
        <v>66</v>
      </c>
      <c r="X817" s="45">
        <f t="shared" si="55"/>
        <v>7</v>
      </c>
      <c r="Z817" s="69" t="s">
        <v>69</v>
      </c>
      <c r="AA817" s="45">
        <f t="shared" si="67"/>
        <v>2</v>
      </c>
      <c r="AB817" t="str">
        <f t="shared" si="68"/>
        <v>Adult</v>
      </c>
      <c r="AC817" s="69">
        <v>2</v>
      </c>
      <c r="AD817" s="69">
        <v>0</v>
      </c>
      <c r="AE817" s="45" t="str">
        <f t="shared" si="69"/>
        <v>Morphological</v>
      </c>
      <c r="AF817" s="56">
        <v>4</v>
      </c>
    </row>
    <row r="818" spans="1:32" ht="18" customHeight="1" x14ac:dyDescent="0.25">
      <c r="A818" s="45">
        <v>814</v>
      </c>
      <c r="B818" s="45" t="s">
        <v>60</v>
      </c>
      <c r="C818" s="45" t="s">
        <v>61</v>
      </c>
      <c r="D818" s="45" t="s">
        <v>62</v>
      </c>
      <c r="E818" s="45" t="s">
        <v>62</v>
      </c>
      <c r="F818" s="46" cm="1">
        <f t="array" ref="F818">_xlfn.IFS($G818=$G$5,F$5,$G818=$G$6,F$6,$G818=$G$7,F$7,$G818=$G$8,F$8,$G818=$G$9,F$9,$G818=$G$10,F$10,$G818=$G$11,F$11,$G818=$G$12,F$12,$G818=$G$13,F$13,$G818=$G$15,F$15,$G818=$G$16,F$16,$G818=$G$17,F$17,$G818=$G$18,F$18,$G818=$G$19,F$19,$G818=$G$20,F$20,$G818=$G$21,F$21,$G818=$G$22,F$22,$G818=$G$25,F$25,$G818=$G$26,F$26,$G818=$G$27,F$27,$G818=$G$29,F$29,$G818=$G$31,F$31,$G818=$G$32,F$32,$G818=$G$248,F$248,$G818=$G$250,F$250)</f>
        <v>8038</v>
      </c>
      <c r="G818" t="s">
        <v>74</v>
      </c>
      <c r="H818" s="67" cm="1">
        <f t="array" ref="H818">_xlfn.IFS($G818=$G$5,H$5,$G818=$G$6,H$6,$G818=$G$7,H$7,$G818=$G$8,H$8,$G818=$G$9,H$9,$G818=$G$10,H$10,$G818=$G$11,H$11,$G818=$G$12,H$12,$G818=$G$13,H$13,$G818=$G$15,H$15,$G818=$G$16,H$16,$G818=$G$17,H$17,$G818=$G$18,H$18,$G818=$G$19,H$19,$G818=$G$20,H$20,$G818=$G$21,H$21,$G818=$G$22,H$22,$G818=$G$25,H$25,$G818=$G$26,H$26,$G818=$G$27,H$27,$G818=$G$29,H$29,$G818=$G$31,H$31,$G818=$G$32,H$150,$G818=$G$248,H$248,$G818=$G$250,H$250)</f>
        <v>41.371864000000002</v>
      </c>
      <c r="I818" s="67" cm="1">
        <f t="array" ref="I818">_xlfn.IFS($G818=$G$5,I$5,$G818=$G$6,I$6,$G818=$G$7,I$7,$G818=$G$8,I$8,$G818=$G$9,I$9,$G818=$G$10,I$10,$G818=$G$11,I$11,$G818=$G$12,I$12,$G818=$G$13,I$13,$G818=$G$15,I$15,$G818=$G$16,I$16,$G818=$G$17,I$17,$G818=$G$18,I$18,$G818=$G$19,I$19,$G818=$G$20,I$20,$G818=$G$21,I$21,$G818=$G$22,I$22,$G818=$G$25,I$25,$G818=$G$26,I$26,$G818=$G$27,I$27,$G818=$G$29,I$29,$G818=$G$31,I$31,$G818=$G$32,I$150,$G818=$G$248,I$248,$G818=$G$250,I$250)</f>
        <v>2.173899</v>
      </c>
      <c r="J818" s="48" cm="1">
        <f t="array" ref="J818">_xlfn.IFS($G818=$G$5,J$5,$G818=$G$6,J$6,$G818=$G$7,J$7,$G818=$G$8,J$8,$G818=$G$9,J$9,$G818=$G$10,J$10,$G818=$G$11,J$11,$G818=$G$12,J$12,$G818=$G$13,J$13,$G818=$G$15,J$15,$G818=$G$16,J$16,$G818=$G$17,J$17,$G818=$G$18,J$18,$G818=$G$19,J$19,$G818=$G$20,J$20,$G818=$G$21,J$21,$G818=$G$22,J$22,$G818=$G$25,J$25,$G818=$G$26,J$26,$G818=$G$27,J$27,$G818=$G$29,J$29,$G818=$G$31,J$31,$G818=$G$32,J$150,$G818=$G$248,J$248,$G818=$G$250,J$250)</f>
        <v>5</v>
      </c>
      <c r="K818" s="48" t="str" cm="1">
        <f t="array" ref="K818">_xlfn.IFS($G818=$G$5,K$5,$G818=$G$6,K$6,$G818=$G$7,K$7,$G818=$G$8,K$8,$G818=$G$9,K$9,$G818=$G$10,K$10,$G818=$G$11,K$11,$G818=$G$12,K$12,$G818=$G$13,K$13,$G818=$G$15,K$15,$G818=$G$16,K$16,$G818=$G$17,K$17,$G818=$G$18,K$18,$G818=$G$19,K$19,$G818=$G$20,K$20,$G818=$G$21,K$21,$G818=$G$22,K$22,$G818=$G$25,K$25,$G818=$G$26,K$26,$G818=$G$27,K$27,$G818=$G$29,K$29,$G818=$G$31,K$31,$G818=$G$32,K$150,$G818=$G$248,K$248,$G818=$G$250,K$250)</f>
        <v>BG sentinel + BG lure7</v>
      </c>
      <c r="L818" s="48"/>
      <c r="M818" s="48"/>
      <c r="O818" s="45" t="str">
        <f t="shared" si="54"/>
        <v>A_SP_BCN_7_210930</v>
      </c>
      <c r="P818" s="64">
        <v>44469</v>
      </c>
      <c r="R818" s="72"/>
      <c r="S818" s="64">
        <v>44476</v>
      </c>
      <c r="U818" s="72"/>
      <c r="V818" s="54" t="s">
        <v>66</v>
      </c>
      <c r="X818" s="45">
        <f t="shared" si="55"/>
        <v>7</v>
      </c>
      <c r="Z818" s="69" t="s">
        <v>69</v>
      </c>
      <c r="AA818" s="45">
        <f t="shared" si="67"/>
        <v>7</v>
      </c>
      <c r="AB818" t="str">
        <f t="shared" si="68"/>
        <v>Adult</v>
      </c>
      <c r="AC818" s="69">
        <v>6</v>
      </c>
      <c r="AD818" s="69">
        <v>1</v>
      </c>
      <c r="AE818" s="45" t="str">
        <f t="shared" si="69"/>
        <v>Morphological</v>
      </c>
      <c r="AF818" s="56">
        <v>4</v>
      </c>
    </row>
    <row r="819" spans="1:32" ht="18" customHeight="1" x14ac:dyDescent="0.25">
      <c r="A819" s="45">
        <v>815</v>
      </c>
      <c r="B819" s="45" t="s">
        <v>60</v>
      </c>
      <c r="C819" s="45" t="s">
        <v>61</v>
      </c>
      <c r="D819" s="45" t="s">
        <v>62</v>
      </c>
      <c r="E819" s="45" t="s">
        <v>62</v>
      </c>
      <c r="F819" s="46" cm="1">
        <f t="array" ref="F819">_xlfn.IFS($G819=$G$5,F$5,$G819=$G$6,F$6,$G819=$G$7,F$7,$G819=$G$8,F$8,$G819=$G$9,F$9,$G819=$G$10,F$10,$G819=$G$11,F$11,$G819=$G$12,F$12,$G819=$G$13,F$13,$G819=$G$15,F$15,$G819=$G$16,F$16,$G819=$G$17,F$17,$G819=$G$18,F$18,$G819=$G$19,F$19,$G819=$G$20,F$20,$G819=$G$21,F$21,$G819=$G$22,F$22,$G819=$G$25,F$25,$G819=$G$26,F$26,$G819=$G$27,F$27,$G819=$G$29,F$29,$G819=$G$31,F$31,$G819=$G$32,F$32,$G819=$G$248,F$248,$G819=$G$250,F$250)</f>
        <v>8038</v>
      </c>
      <c r="G819" t="s">
        <v>74</v>
      </c>
      <c r="H819" s="67" cm="1">
        <f t="array" ref="H819">_xlfn.IFS($G819=$G$5,H$5,$G819=$G$6,H$6,$G819=$G$7,H$7,$G819=$G$8,H$8,$G819=$G$9,H$9,$G819=$G$10,H$10,$G819=$G$11,H$11,$G819=$G$12,H$12,$G819=$G$13,H$13,$G819=$G$15,H$15,$G819=$G$16,H$16,$G819=$G$17,H$17,$G819=$G$18,H$18,$G819=$G$19,H$19,$G819=$G$20,H$20,$G819=$G$21,H$21,$G819=$G$22,H$22,$G819=$G$25,H$25,$G819=$G$26,H$26,$G819=$G$27,H$27,$G819=$G$29,H$29,$G819=$G$31,H$31,$G819=$G$32,H$150,$G819=$G$248,H$248,$G819=$G$250,H$250)</f>
        <v>41.371864000000002</v>
      </c>
      <c r="I819" s="67" cm="1">
        <f t="array" ref="I819">_xlfn.IFS($G819=$G$5,I$5,$G819=$G$6,I$6,$G819=$G$7,I$7,$G819=$G$8,I$8,$G819=$G$9,I$9,$G819=$G$10,I$10,$G819=$G$11,I$11,$G819=$G$12,I$12,$G819=$G$13,I$13,$G819=$G$15,I$15,$G819=$G$16,I$16,$G819=$G$17,I$17,$G819=$G$18,I$18,$G819=$G$19,I$19,$G819=$G$20,I$20,$G819=$G$21,I$21,$G819=$G$22,I$22,$G819=$G$25,I$25,$G819=$G$26,I$26,$G819=$G$27,I$27,$G819=$G$29,I$29,$G819=$G$31,I$31,$G819=$G$32,I$150,$G819=$G$248,I$248,$G819=$G$250,I$250)</f>
        <v>2.173899</v>
      </c>
      <c r="J819" s="48" cm="1">
        <f t="array" ref="J819">_xlfn.IFS($G819=$G$5,J$5,$G819=$G$6,J$6,$G819=$G$7,J$7,$G819=$G$8,J$8,$G819=$G$9,J$9,$G819=$G$10,J$10,$G819=$G$11,J$11,$G819=$G$12,J$12,$G819=$G$13,J$13,$G819=$G$15,J$15,$G819=$G$16,J$16,$G819=$G$17,J$17,$G819=$G$18,J$18,$G819=$G$19,J$19,$G819=$G$20,J$20,$G819=$G$21,J$21,$G819=$G$22,J$22,$G819=$G$25,J$25,$G819=$G$26,J$26,$G819=$G$27,J$27,$G819=$G$29,J$29,$G819=$G$31,J$31,$G819=$G$32,J$150,$G819=$G$248,J$248,$G819=$G$250,J$250)</f>
        <v>5</v>
      </c>
      <c r="K819" s="48" t="str" cm="1">
        <f t="array" ref="K819">_xlfn.IFS($G819=$G$5,K$5,$G819=$G$6,K$6,$G819=$G$7,K$7,$G819=$G$8,K$8,$G819=$G$9,K$9,$G819=$G$10,K$10,$G819=$G$11,K$11,$G819=$G$12,K$12,$G819=$G$13,K$13,$G819=$G$15,K$15,$G819=$G$16,K$16,$G819=$G$17,K$17,$G819=$G$18,K$18,$G819=$G$19,K$19,$G819=$G$20,K$20,$G819=$G$21,K$21,$G819=$G$22,K$22,$G819=$G$25,K$25,$G819=$G$26,K$26,$G819=$G$27,K$27,$G819=$G$29,K$29,$G819=$G$31,K$31,$G819=$G$32,K$150,$G819=$G$248,K$248,$G819=$G$250,K$250)</f>
        <v>BG sentinel + BG lure7</v>
      </c>
      <c r="L819" s="48"/>
      <c r="M819" s="48"/>
      <c r="O819" s="45" t="str">
        <f t="shared" si="54"/>
        <v>A_SP_BCN_7_210930</v>
      </c>
      <c r="P819" s="64">
        <v>44469</v>
      </c>
      <c r="R819" s="72"/>
      <c r="S819" s="64">
        <v>44476</v>
      </c>
      <c r="U819" s="72"/>
      <c r="V819" s="54" t="s">
        <v>66</v>
      </c>
      <c r="X819" s="45">
        <f t="shared" si="55"/>
        <v>7</v>
      </c>
      <c r="Z819" s="45" t="s">
        <v>70</v>
      </c>
      <c r="AA819" s="45">
        <f t="shared" si="67"/>
        <v>1</v>
      </c>
      <c r="AB819" t="str">
        <f t="shared" si="68"/>
        <v>Adult</v>
      </c>
      <c r="AC819" s="69">
        <v>1</v>
      </c>
      <c r="AD819" s="69">
        <v>0</v>
      </c>
      <c r="AE819" s="45" t="str">
        <f t="shared" si="69"/>
        <v>Morphological</v>
      </c>
      <c r="AF819" s="56">
        <v>4</v>
      </c>
    </row>
    <row r="820" spans="1:32" ht="18" customHeight="1" x14ac:dyDescent="0.25">
      <c r="A820" s="45">
        <v>816</v>
      </c>
      <c r="B820" s="45" t="s">
        <v>60</v>
      </c>
      <c r="C820" s="45" t="s">
        <v>61</v>
      </c>
      <c r="D820" s="45" t="s">
        <v>62</v>
      </c>
      <c r="E820" s="45" t="s">
        <v>62</v>
      </c>
      <c r="F820" s="46" cm="1">
        <f t="array" ref="F820">_xlfn.IFS($G820=$G$5,F$5,$G820=$G$6,F$6,$G820=$G$7,F$7,$G820=$G$8,F$8,$G820=$G$9,F$9,$G820=$G$10,F$10,$G820=$G$11,F$11,$G820=$G$12,F$12,$G820=$G$13,F$13,$G820=$G$15,F$15,$G820=$G$16,F$16,$G820=$G$17,F$17,$G820=$G$18,F$18,$G820=$G$19,F$19,$G820=$G$20,F$20,$G820=$G$21,F$21,$G820=$G$22,F$22,$G820=$G$25,F$25,$G820=$G$26,F$26,$G820=$G$27,F$27,$G820=$G$29,F$29,$G820=$G$31,F$31,$G820=$G$32,F$32,$G820=$G$248,F$248,$G820=$G$250,F$250)</f>
        <v>8038</v>
      </c>
      <c r="G820" t="s">
        <v>75</v>
      </c>
      <c r="H820" s="67" cm="1">
        <f t="array" ref="H820">_xlfn.IFS($G820=$G$5,H$5,$G820=$G$6,H$6,$G820=$G$7,H$7,$G820=$G$8,H$8,$G820=$G$9,H$9,$G820=$G$10,H$10,$G820=$G$11,H$11,$G820=$G$12,H$12,$G820=$G$13,H$13,$G820=$G$15,H$15,$G820=$G$16,H$16,$G820=$G$17,H$17,$G820=$G$18,H$18,$G820=$G$19,H$19,$G820=$G$20,H$20,$G820=$G$21,H$21,$G820=$G$22,H$22,$G820=$G$25,H$25,$G820=$G$26,H$26,$G820=$G$27,H$27,$G820=$G$29,H$29,$G820=$G$31,H$31,$G820=$G$32,H$150,$G820=$G$248,H$248,$G820=$G$250,H$250)</f>
        <v>41.368589</v>
      </c>
      <c r="I820" s="67" cm="1">
        <f t="array" ref="I820">_xlfn.IFS($G820=$G$5,I$5,$G820=$G$6,I$6,$G820=$G$7,I$7,$G820=$G$8,I$8,$G820=$G$9,I$9,$G820=$G$10,I$10,$G820=$G$11,I$11,$G820=$G$12,I$12,$G820=$G$13,I$13,$G820=$G$15,I$15,$G820=$G$16,I$16,$G820=$G$17,I$17,$G820=$G$18,I$18,$G820=$G$19,I$19,$G820=$G$20,I$20,$G820=$G$21,I$21,$G820=$G$22,I$22,$G820=$G$25,I$25,$G820=$G$26,I$26,$G820=$G$27,I$27,$G820=$G$29,I$29,$G820=$G$31,I$31,$G820=$G$32,I$150,$G820=$G$248,I$248,$G820=$G$250,I$250)</f>
        <v>2.1620900000000001</v>
      </c>
      <c r="J820" s="48" cm="1">
        <f t="array" ref="J820">_xlfn.IFS($G820=$G$5,J$5,$G820=$G$6,J$6,$G820=$G$7,J$7,$G820=$G$8,J$8,$G820=$G$9,J$9,$G820=$G$10,J$10,$G820=$G$11,J$11,$G820=$G$12,J$12,$G820=$G$13,J$13,$G820=$G$15,J$15,$G820=$G$16,J$16,$G820=$G$17,J$17,$G820=$G$18,J$18,$G820=$G$19,J$19,$G820=$G$20,J$20,$G820=$G$21,J$21,$G820=$G$22,J$22,$G820=$G$25,J$25,$G820=$G$26,J$26,$G820=$G$27,J$27,$G820=$G$29,J$29,$G820=$G$31,J$31,$G820=$G$32,J$150,$G820=$G$248,J$248,$G820=$G$250,J$250)</f>
        <v>95</v>
      </c>
      <c r="K820" s="48" t="str" cm="1">
        <f t="array" ref="K820">_xlfn.IFS($G820=$G$5,K$5,$G820=$G$6,K$6,$G820=$G$7,K$7,$G820=$G$8,K$8,$G820=$G$9,K$9,$G820=$G$10,K$10,$G820=$G$11,K$11,$G820=$G$12,K$12,$G820=$G$13,K$13,$G820=$G$15,K$15,$G820=$G$16,K$16,$G820=$G$17,K$17,$G820=$G$18,K$18,$G820=$G$19,K$19,$G820=$G$20,K$20,$G820=$G$21,K$21,$G820=$G$22,K$22,$G820=$G$25,K$25,$G820=$G$26,K$26,$G820=$G$27,K$27,$G820=$G$29,K$29,$G820=$G$31,K$31,$G820=$G$32,K$150,$G820=$G$248,K$248,$G820=$G$250,K$250)</f>
        <v>BG sentinel + BG lure7</v>
      </c>
      <c r="L820" s="48"/>
      <c r="M820" s="48"/>
      <c r="O820" s="45" t="str">
        <f t="shared" si="54"/>
        <v>A_SP_BCN_8_210930</v>
      </c>
      <c r="P820" s="64">
        <v>44469</v>
      </c>
      <c r="R820" s="72"/>
      <c r="S820" s="64">
        <v>44476</v>
      </c>
      <c r="U820" s="72"/>
      <c r="V820" s="54" t="s">
        <v>66</v>
      </c>
      <c r="X820" s="45">
        <f t="shared" si="55"/>
        <v>7</v>
      </c>
      <c r="Z820" s="69" t="s">
        <v>69</v>
      </c>
      <c r="AA820" s="45">
        <f t="shared" si="67"/>
        <v>43</v>
      </c>
      <c r="AB820" t="str">
        <f t="shared" si="68"/>
        <v>Adult</v>
      </c>
      <c r="AC820" s="69">
        <v>41</v>
      </c>
      <c r="AD820" s="69">
        <v>2</v>
      </c>
      <c r="AE820" s="45" t="str">
        <f t="shared" si="69"/>
        <v>Morphological</v>
      </c>
      <c r="AF820" s="56">
        <v>4</v>
      </c>
    </row>
    <row r="821" spans="1:32" ht="18" customHeight="1" x14ac:dyDescent="0.25">
      <c r="A821" s="45">
        <v>817</v>
      </c>
      <c r="B821" s="45" t="s">
        <v>60</v>
      </c>
      <c r="C821" s="45" t="s">
        <v>61</v>
      </c>
      <c r="D821" s="45" t="s">
        <v>62</v>
      </c>
      <c r="E821" s="45" t="s">
        <v>62</v>
      </c>
      <c r="F821" s="46" cm="1">
        <f t="array" ref="F821">_xlfn.IFS($G821=$G$5,F$5,$G821=$G$6,F$6,$G821=$G$7,F$7,$G821=$G$8,F$8,$G821=$G$9,F$9,$G821=$G$10,F$10,$G821=$G$11,F$11,$G821=$G$12,F$12,$G821=$G$13,F$13,$G821=$G$15,F$15,$G821=$G$16,F$16,$G821=$G$17,F$17,$G821=$G$18,F$18,$G821=$G$19,F$19,$G821=$G$20,F$20,$G821=$G$21,F$21,$G821=$G$22,F$22,$G821=$G$25,F$25,$G821=$G$26,F$26,$G821=$G$27,F$27,$G821=$G$29,F$29,$G821=$G$31,F$31,$G821=$G$32,F$32,$G821=$G$248,F$248,$G821=$G$250,F$250)</f>
        <v>8038</v>
      </c>
      <c r="G821" t="s">
        <v>75</v>
      </c>
      <c r="H821" s="67" cm="1">
        <f t="array" ref="H821">_xlfn.IFS($G821=$G$5,H$5,$G821=$G$6,H$6,$G821=$G$7,H$7,$G821=$G$8,H$8,$G821=$G$9,H$9,$G821=$G$10,H$10,$G821=$G$11,H$11,$G821=$G$12,H$12,$G821=$G$13,H$13,$G821=$G$15,H$15,$G821=$G$16,H$16,$G821=$G$17,H$17,$G821=$G$18,H$18,$G821=$G$19,H$19,$G821=$G$20,H$20,$G821=$G$21,H$21,$G821=$G$22,H$22,$G821=$G$25,H$25,$G821=$G$26,H$26,$G821=$G$27,H$27,$G821=$G$29,H$29,$G821=$G$31,H$31,$G821=$G$32,H$150,$G821=$G$248,H$248,$G821=$G$250,H$250)</f>
        <v>41.368589</v>
      </c>
      <c r="I821" s="67" cm="1">
        <f t="array" ref="I821">_xlfn.IFS($G821=$G$5,I$5,$G821=$G$6,I$6,$G821=$G$7,I$7,$G821=$G$8,I$8,$G821=$G$9,I$9,$G821=$G$10,I$10,$G821=$G$11,I$11,$G821=$G$12,I$12,$G821=$G$13,I$13,$G821=$G$15,I$15,$G821=$G$16,I$16,$G821=$G$17,I$17,$G821=$G$18,I$18,$G821=$G$19,I$19,$G821=$G$20,I$20,$G821=$G$21,I$21,$G821=$G$22,I$22,$G821=$G$25,I$25,$G821=$G$26,I$26,$G821=$G$27,I$27,$G821=$G$29,I$29,$G821=$G$31,I$31,$G821=$G$32,I$150,$G821=$G$248,I$248,$G821=$G$250,I$250)</f>
        <v>2.1620900000000001</v>
      </c>
      <c r="J821" s="48" cm="1">
        <f t="array" ref="J821">_xlfn.IFS($G821=$G$5,J$5,$G821=$G$6,J$6,$G821=$G$7,J$7,$G821=$G$8,J$8,$G821=$G$9,J$9,$G821=$G$10,J$10,$G821=$G$11,J$11,$G821=$G$12,J$12,$G821=$G$13,J$13,$G821=$G$15,J$15,$G821=$G$16,J$16,$G821=$G$17,J$17,$G821=$G$18,J$18,$G821=$G$19,J$19,$G821=$G$20,J$20,$G821=$G$21,J$21,$G821=$G$22,J$22,$G821=$G$25,J$25,$G821=$G$26,J$26,$G821=$G$27,J$27,$G821=$G$29,J$29,$G821=$G$31,J$31,$G821=$G$32,J$150,$G821=$G$248,J$248,$G821=$G$250,J$250)</f>
        <v>95</v>
      </c>
      <c r="K821" s="48" t="str" cm="1">
        <f t="array" ref="K821">_xlfn.IFS($G821=$G$5,K$5,$G821=$G$6,K$6,$G821=$G$7,K$7,$G821=$G$8,K$8,$G821=$G$9,K$9,$G821=$G$10,K$10,$G821=$G$11,K$11,$G821=$G$12,K$12,$G821=$G$13,K$13,$G821=$G$15,K$15,$G821=$G$16,K$16,$G821=$G$17,K$17,$G821=$G$18,K$18,$G821=$G$19,K$19,$G821=$G$20,K$20,$G821=$G$21,K$21,$G821=$G$22,K$22,$G821=$G$25,K$25,$G821=$G$26,K$26,$G821=$G$27,K$27,$G821=$G$29,K$29,$G821=$G$31,K$31,$G821=$G$32,K$150,$G821=$G$248,K$248,$G821=$G$250,K$250)</f>
        <v>BG sentinel + BG lure7</v>
      </c>
      <c r="L821" s="48"/>
      <c r="M821" s="48"/>
      <c r="O821" s="45" t="str">
        <f t="shared" si="54"/>
        <v>A_SP_BCN_8_210930</v>
      </c>
      <c r="P821" s="64">
        <v>44469</v>
      </c>
      <c r="R821" s="72"/>
      <c r="S821" s="64">
        <v>44476</v>
      </c>
      <c r="U821" s="72"/>
      <c r="V821" s="54" t="s">
        <v>66</v>
      </c>
      <c r="X821" s="45">
        <f t="shared" si="55"/>
        <v>7</v>
      </c>
      <c r="Z821" s="45" t="s">
        <v>70</v>
      </c>
      <c r="AA821" s="45">
        <f t="shared" si="67"/>
        <v>2</v>
      </c>
      <c r="AB821" t="str">
        <f t="shared" si="68"/>
        <v>Adult</v>
      </c>
      <c r="AC821" s="69">
        <v>2</v>
      </c>
      <c r="AD821" s="69">
        <v>0</v>
      </c>
      <c r="AE821" s="45" t="str">
        <f t="shared" si="69"/>
        <v>Morphological</v>
      </c>
      <c r="AF821" s="56">
        <v>4</v>
      </c>
    </row>
    <row r="822" spans="1:32" ht="18" customHeight="1" x14ac:dyDescent="0.25">
      <c r="A822" s="45">
        <v>818</v>
      </c>
      <c r="B822" s="45" t="s">
        <v>60</v>
      </c>
      <c r="C822" s="45" t="s">
        <v>61</v>
      </c>
      <c r="D822" s="45" t="s">
        <v>62</v>
      </c>
      <c r="E822" s="45" t="s">
        <v>62</v>
      </c>
      <c r="F822" s="46" cm="1">
        <f t="array" ref="F822">_xlfn.IFS($G822=$G$5,F$5,$G822=$G$6,F$6,$G822=$G$7,F$7,$G822=$G$8,F$8,$G822=$G$9,F$9,$G822=$G$10,F$10,$G822=$G$11,F$11,$G822=$G$12,F$12,$G822=$G$13,F$13,$G822=$G$15,F$15,$G822=$G$16,F$16,$G822=$G$17,F$17,$G822=$G$18,F$18,$G822=$G$19,F$19,$G822=$G$20,F$20,$G822=$G$21,F$21,$G822=$G$22,F$22,$G822=$G$25,F$25,$G822=$G$26,F$26,$G822=$G$27,F$27,$G822=$G$29,F$29,$G822=$G$31,F$31,$G822=$G$32,F$32,$G822=$G$248,F$248,$G822=$G$250,F$250)</f>
        <v>8034</v>
      </c>
      <c r="G822" t="s">
        <v>78</v>
      </c>
      <c r="H822" s="67" cm="1">
        <f t="array" ref="H822">_xlfn.IFS($G822=$G$5,H$5,$G822=$G$6,H$6,$G822=$G$7,H$7,$G822=$G$8,H$8,$G822=$G$9,H$9,$G822=$G$10,H$10,$G822=$G$11,H$11,$G822=$G$12,H$12,$G822=$G$13,H$13,$G822=$G$15,H$15,$G822=$G$16,H$16,$G822=$G$17,H$17,$G822=$G$18,H$18,$G822=$G$19,H$19,$G822=$G$20,H$20,$G822=$G$21,H$21,$G822=$G$22,H$22,$G822=$G$25,H$25,$G822=$G$26,H$26,$G822=$G$27,H$27,$G822=$G$29,H$29,$G822=$G$31,H$31,$G822=$G$32,H$150,$G822=$G$248,H$248,$G822=$G$250,H$250)</f>
        <v>41.393644999999999</v>
      </c>
      <c r="I822" s="67" cm="1">
        <f t="array" ref="I822">_xlfn.IFS($G822=$G$5,I$5,$G822=$G$6,I$6,$G822=$G$7,I$7,$G822=$G$8,I$8,$G822=$G$9,I$9,$G822=$G$10,I$10,$G822=$G$11,I$11,$G822=$G$12,I$12,$G822=$G$13,I$13,$G822=$G$15,I$15,$G822=$G$16,I$16,$G822=$G$17,I$17,$G822=$G$18,I$18,$G822=$G$19,I$19,$G822=$G$20,I$20,$G822=$G$21,I$21,$G822=$G$22,I$22,$G822=$G$25,I$25,$G822=$G$26,I$26,$G822=$G$27,I$27,$G822=$G$29,I$29,$G822=$G$31,I$31,$G822=$G$32,I$150,$G822=$G$248,I$248,$G822=$G$250,I$250)</f>
        <v>2.1216780000000002</v>
      </c>
      <c r="J822" s="48" cm="1">
        <f t="array" ref="J822">_xlfn.IFS($G822=$G$5,J$5,$G822=$G$6,J$6,$G822=$G$7,J$7,$G822=$G$8,J$8,$G822=$G$9,J$9,$G822=$G$10,J$10,$G822=$G$11,J$11,$G822=$G$12,J$12,$G822=$G$13,J$13,$G822=$G$15,J$15,$G822=$G$16,J$16,$G822=$G$17,J$17,$G822=$G$18,J$18,$G822=$G$19,J$19,$G822=$G$20,J$20,$G822=$G$21,J$21,$G822=$G$22,J$22,$G822=$G$25,J$25,$G822=$G$26,J$26,$G822=$G$27,J$27,$G822=$G$29,J$29,$G822=$G$31,J$31,$G822=$G$32,J$150,$G822=$G$248,J$248,$G822=$G$250,J$250)</f>
        <v>98</v>
      </c>
      <c r="K822" s="48" t="str" cm="1">
        <f t="array" ref="K822">_xlfn.IFS($G822=$G$5,K$5,$G822=$G$6,K$6,$G822=$G$7,K$7,$G822=$G$8,K$8,$G822=$G$9,K$9,$G822=$G$10,K$10,$G822=$G$11,K$11,$G822=$G$12,K$12,$G822=$G$13,K$13,$G822=$G$15,K$15,$G822=$G$16,K$16,$G822=$G$17,K$17,$G822=$G$18,K$18,$G822=$G$19,K$19,$G822=$G$20,K$20,$G822=$G$21,K$21,$G822=$G$22,K$22,$G822=$G$25,K$25,$G822=$G$26,K$26,$G822=$G$27,K$27,$G822=$G$29,K$29,$G822=$G$31,K$31,$G822=$G$32,K$150,$G822=$G$248,K$248,$G822=$G$250,K$250)</f>
        <v>BG sentinel + BG lure7</v>
      </c>
      <c r="L822" s="48" t="str" cm="1">
        <f t="array" ref="L822">_xlfn.IFS($G822=$G$5,L$5,$G822=$G$6,L$6,$G822=$G$7,L$7,$G822=$G$8,L$8,$G822=$G$9,L$9,$G822=$G$10,L$10,$G822=$G$11,L$11,$G822=$G$12,L$12,$G822=$G$13,L$13,$G822=$G$15,L$15,$G822=$G$16,L$16,$G822=$G$17,L$17,$G822=$G$18,L$18,$G822=$G$19,L$19,$G822=$G$20,L$20,$G822=$G$21,L$21,$G822=$G$22,L$22,$G822=$G$25,L$25,$G822=$G$26,L$26,$G822=$G$27,L$27,$G822=$G$29,L$29,$G822=$G$31,L$31,$G822=$G$32,L$32,$G822=$G$248,L$248,$G822=$G$250,L$250)</f>
        <v>Other</v>
      </c>
      <c r="M822" s="48"/>
      <c r="O822" s="45" t="str">
        <f t="shared" si="54"/>
        <v>A_SP_BCN_9_210929</v>
      </c>
      <c r="P822" s="64">
        <v>44468</v>
      </c>
      <c r="R822" s="72"/>
      <c r="S822" s="64">
        <v>44475</v>
      </c>
      <c r="U822" s="72"/>
      <c r="V822" s="54" t="s">
        <v>66</v>
      </c>
      <c r="X822" s="45">
        <f t="shared" si="55"/>
        <v>7</v>
      </c>
      <c r="Z822" s="69" t="s">
        <v>69</v>
      </c>
      <c r="AA822" s="45">
        <f t="shared" si="67"/>
        <v>3</v>
      </c>
      <c r="AB822" t="str">
        <f t="shared" si="68"/>
        <v>Adult</v>
      </c>
      <c r="AC822" s="69">
        <v>3</v>
      </c>
      <c r="AD822" s="81">
        <v>0</v>
      </c>
      <c r="AE822" s="45" t="str">
        <f t="shared" si="69"/>
        <v>Morphological</v>
      </c>
      <c r="AF822" s="56">
        <v>4</v>
      </c>
    </row>
    <row r="823" spans="1:32" ht="18" customHeight="1" x14ac:dyDescent="0.25">
      <c r="A823" s="45">
        <v>819</v>
      </c>
      <c r="B823" s="45" t="s">
        <v>60</v>
      </c>
      <c r="C823" s="45" t="s">
        <v>61</v>
      </c>
      <c r="D823" s="45" t="s">
        <v>62</v>
      </c>
      <c r="E823" s="45" t="s">
        <v>62</v>
      </c>
      <c r="F823" s="46" cm="1">
        <f t="array" ref="F823">_xlfn.IFS($G823=$G$5,F$5,$G823=$G$6,F$6,$G823=$G$7,F$7,$G823=$G$8,F$8,$G823=$G$9,F$9,$G823=$G$10,F$10,$G823=$G$11,F$11,$G823=$G$12,F$12,$G823=$G$13,F$13,$G823=$G$15,F$15,$G823=$G$16,F$16,$G823=$G$17,F$17,$G823=$G$18,F$18,$G823=$G$19,F$19,$G823=$G$20,F$20,$G823=$G$21,F$21,$G823=$G$22,F$22,$G823=$G$25,F$25,$G823=$G$26,F$26,$G823=$G$27,F$27,$G823=$G$29,F$29,$G823=$G$31,F$31,$G823=$G$32,F$32,$G823=$G$248,F$248,$G823=$G$250,F$250)</f>
        <v>8034</v>
      </c>
      <c r="G823" t="s">
        <v>78</v>
      </c>
      <c r="H823" s="67" cm="1">
        <f t="array" ref="H823">_xlfn.IFS($G823=$G$5,H$5,$G823=$G$6,H$6,$G823=$G$7,H$7,$G823=$G$8,H$8,$G823=$G$9,H$9,$G823=$G$10,H$10,$G823=$G$11,H$11,$G823=$G$12,H$12,$G823=$G$13,H$13,$G823=$G$15,H$15,$G823=$G$16,H$16,$G823=$G$17,H$17,$G823=$G$18,H$18,$G823=$G$19,H$19,$G823=$G$20,H$20,$G823=$G$21,H$21,$G823=$G$22,H$22,$G823=$G$25,H$25,$G823=$G$26,H$26,$G823=$G$27,H$27,$G823=$G$29,H$29,$G823=$G$31,H$31,$G823=$G$32,H$150,$G823=$G$248,H$248,$G823=$G$250,H$250)</f>
        <v>41.393644999999999</v>
      </c>
      <c r="I823" s="67" cm="1">
        <f t="array" ref="I823">_xlfn.IFS($G823=$G$5,I$5,$G823=$G$6,I$6,$G823=$G$7,I$7,$G823=$G$8,I$8,$G823=$G$9,I$9,$G823=$G$10,I$10,$G823=$G$11,I$11,$G823=$G$12,I$12,$G823=$G$13,I$13,$G823=$G$15,I$15,$G823=$G$16,I$16,$G823=$G$17,I$17,$G823=$G$18,I$18,$G823=$G$19,I$19,$G823=$G$20,I$20,$G823=$G$21,I$21,$G823=$G$22,I$22,$G823=$G$25,I$25,$G823=$G$26,I$26,$G823=$G$27,I$27,$G823=$G$29,I$29,$G823=$G$31,I$31,$G823=$G$32,I$150,$G823=$G$248,I$248,$G823=$G$250,I$250)</f>
        <v>2.1216780000000002</v>
      </c>
      <c r="J823" s="48" cm="1">
        <f t="array" ref="J823">_xlfn.IFS($G823=$G$5,J$5,$G823=$G$6,J$6,$G823=$G$7,J$7,$G823=$G$8,J$8,$G823=$G$9,J$9,$G823=$G$10,J$10,$G823=$G$11,J$11,$G823=$G$12,J$12,$G823=$G$13,J$13,$G823=$G$15,J$15,$G823=$G$16,J$16,$G823=$G$17,J$17,$G823=$G$18,J$18,$G823=$G$19,J$19,$G823=$G$20,J$20,$G823=$G$21,J$21,$G823=$G$22,J$22,$G823=$G$25,J$25,$G823=$G$26,J$26,$G823=$G$27,J$27,$G823=$G$29,J$29,$G823=$G$31,J$31,$G823=$G$32,J$150,$G823=$G$248,J$248,$G823=$G$250,J$250)</f>
        <v>98</v>
      </c>
      <c r="K823" s="48" t="str" cm="1">
        <f t="array" ref="K823">_xlfn.IFS($G823=$G$5,K$5,$G823=$G$6,K$6,$G823=$G$7,K$7,$G823=$G$8,K$8,$G823=$G$9,K$9,$G823=$G$10,K$10,$G823=$G$11,K$11,$G823=$G$12,K$12,$G823=$G$13,K$13,$G823=$G$15,K$15,$G823=$G$16,K$16,$G823=$G$17,K$17,$G823=$G$18,K$18,$G823=$G$19,K$19,$G823=$G$20,K$20,$G823=$G$21,K$21,$G823=$G$22,K$22,$G823=$G$25,K$25,$G823=$G$26,K$26,$G823=$G$27,K$27,$G823=$G$29,K$29,$G823=$G$31,K$31,$G823=$G$32,K$150,$G823=$G$248,K$248,$G823=$G$250,K$250)</f>
        <v>BG sentinel + BG lure7</v>
      </c>
      <c r="L823" s="48" t="str" cm="1">
        <f t="array" ref="L823">_xlfn.IFS($G823=$G$5,L$5,$G823=$G$6,L$6,$G823=$G$7,L$7,$G823=$G$8,L$8,$G823=$G$9,L$9,$G823=$G$10,L$10,$G823=$G$11,L$11,$G823=$G$12,L$12,$G823=$G$13,L$13,$G823=$G$15,L$15,$G823=$G$16,L$16,$G823=$G$17,L$17,$G823=$G$18,L$18,$G823=$G$19,L$19,$G823=$G$20,L$20,$G823=$G$21,L$21,$G823=$G$22,L$22,$G823=$G$25,L$25,$G823=$G$26,L$26,$G823=$G$27,L$27,$G823=$G$29,L$29,$G823=$G$31,L$31,$G823=$G$32,L$32,$G823=$G$248,L$248,$G823=$G$250,L$250)</f>
        <v>Other</v>
      </c>
      <c r="M823" s="48"/>
      <c r="O823" s="45" t="str">
        <f t="shared" si="54"/>
        <v>A_SP_BCN_9_210929</v>
      </c>
      <c r="P823" s="64">
        <v>44468</v>
      </c>
      <c r="R823" s="72"/>
      <c r="S823" s="64">
        <v>44475</v>
      </c>
      <c r="U823" s="72"/>
      <c r="V823" s="54" t="s">
        <v>66</v>
      </c>
      <c r="X823" s="45">
        <f t="shared" si="55"/>
        <v>7</v>
      </c>
      <c r="Z823" s="45" t="s">
        <v>80</v>
      </c>
      <c r="AA823" s="45">
        <f t="shared" si="67"/>
        <v>1</v>
      </c>
      <c r="AB823" t="str">
        <f t="shared" si="68"/>
        <v>Adult</v>
      </c>
      <c r="AC823" s="69">
        <v>1</v>
      </c>
      <c r="AD823" s="81">
        <v>0</v>
      </c>
      <c r="AE823" s="45" t="str">
        <f t="shared" si="69"/>
        <v>Morphological</v>
      </c>
      <c r="AF823" s="56">
        <v>4</v>
      </c>
    </row>
    <row r="824" spans="1:32" ht="18" customHeight="1" x14ac:dyDescent="0.25">
      <c r="A824" s="45">
        <v>820</v>
      </c>
      <c r="B824" s="45" t="s">
        <v>60</v>
      </c>
      <c r="C824" s="45" t="s">
        <v>61</v>
      </c>
      <c r="D824" s="45" t="s">
        <v>62</v>
      </c>
      <c r="E824" s="45" t="s">
        <v>62</v>
      </c>
      <c r="F824" s="46" cm="1">
        <f t="array" ref="F824">_xlfn.IFS($G824=$G$5,F$5,$G824=$G$6,F$6,$G824=$G$7,F$7,$G824=$G$8,F$8,$G824=$G$9,F$9,$G824=$G$10,F$10,$G824=$G$11,F$11,$G824=$G$12,F$12,$G824=$G$13,F$13,$G824=$G$15,F$15,$G824=$G$16,F$16,$G824=$G$17,F$17,$G824=$G$18,F$18,$G824=$G$19,F$19,$G824=$G$20,F$20,$G824=$G$21,F$21,$G824=$G$22,F$22,$G824=$G$25,F$25,$G824=$G$26,F$26,$G824=$G$27,F$27,$G824=$G$29,F$29,$G824=$G$31,F$31,$G824=$G$32,F$32,$G824=$G$248,F$248,$G824=$G$250,F$250)</f>
        <v>8040</v>
      </c>
      <c r="G824" t="s">
        <v>81</v>
      </c>
      <c r="H824" s="67" cm="1">
        <f t="array" ref="H824">_xlfn.IFS($G824=$G$5,H$5,$G824=$G$6,H$6,$G824=$G$7,H$7,$G824=$G$8,H$8,$G824=$G$9,H$9,$G824=$G$10,H$10,$G824=$G$11,H$11,$G824=$G$12,H$12,$G824=$G$13,H$13,$G824=$G$15,H$15,$G824=$G$16,H$16,$G824=$G$17,H$17,$G824=$G$18,H$18,$G824=$G$19,H$19,$G824=$G$20,H$20,$G824=$G$21,H$21,$G824=$G$22,H$22,$G824=$G$25,H$25,$G824=$G$26,H$26,$G824=$G$27,H$27,$G824=$G$29,H$29,$G824=$G$31,H$31,$G824=$G$32,H$150,$G824=$G$248,H$248,$G824=$G$250,H$250)</f>
        <v>41.343685000000001</v>
      </c>
      <c r="I824" s="67" cm="1">
        <f t="array" ref="I824">_xlfn.IFS($G824=$G$5,I$5,$G824=$G$6,I$6,$G824=$G$7,I$7,$G824=$G$8,I$8,$G824=$G$9,I$9,$G824=$G$10,I$10,$G824=$G$11,I$11,$G824=$G$12,I$12,$G824=$G$13,I$13,$G824=$G$15,I$15,$G824=$G$16,I$16,$G824=$G$17,I$17,$G824=$G$18,I$18,$G824=$G$19,I$19,$G824=$G$20,I$20,$G824=$G$21,I$21,$G824=$G$22,I$22,$G824=$G$25,I$25,$G824=$G$26,I$26,$G824=$G$27,I$27,$G824=$G$29,I$29,$G824=$G$31,I$31,$G824=$G$32,I$150,$G824=$G$248,I$248,$G824=$G$250,I$250)</f>
        <v>2.1441490000000001</v>
      </c>
      <c r="J824" s="48" cm="1">
        <f t="array" ref="J824">_xlfn.IFS($G824=$G$5,J$5,$G824=$G$6,J$6,$G824=$G$7,J$7,$G824=$G$8,J$8,$G824=$G$9,J$9,$G824=$G$10,J$10,$G824=$G$11,J$11,$G824=$G$12,J$12,$G824=$G$13,J$13,$G824=$G$15,J$15,$G824=$G$16,J$16,$G824=$G$17,J$17,$G824=$G$18,J$18,$G824=$G$19,J$19,$G824=$G$20,J$20,$G824=$G$21,J$21,$G824=$G$22,J$22,$G824=$G$25,J$25,$G824=$G$26,J$26,$G824=$G$27,J$27,$G824=$G$29,J$29,$G824=$G$31,J$31,$G824=$G$32,J$150,$G824=$G$248,J$248,$G824=$G$250,J$250)</f>
        <v>4</v>
      </c>
      <c r="K824" s="48" t="str" cm="1">
        <f t="array" ref="K824">_xlfn.IFS($G824=$G$5,K$5,$G824=$G$6,K$6,$G824=$G$7,K$7,$G824=$G$8,K$8,$G824=$G$9,K$9,$G824=$G$10,K$10,$G824=$G$11,K$11,$G824=$G$12,K$12,$G824=$G$13,K$13,$G824=$G$15,K$15,$G824=$G$16,K$16,$G824=$G$17,K$17,$G824=$G$18,K$18,$G824=$G$19,K$19,$G824=$G$20,K$20,$G824=$G$21,K$21,$G824=$G$22,K$22,$G824=$G$25,K$25,$G824=$G$26,K$26,$G824=$G$27,K$27,$G824=$G$29,K$29,$G824=$G$31,K$31,$G824=$G$32,K$150,$G824=$G$248,K$248,$G824=$G$250,K$250)</f>
        <v>BG sentinel + BG lure7</v>
      </c>
      <c r="L824" s="48"/>
      <c r="M824" s="48"/>
      <c r="O824" s="45" t="str">
        <f t="shared" si="54"/>
        <v>A_SP_BCN_10_210930</v>
      </c>
      <c r="P824" s="64">
        <v>44469</v>
      </c>
      <c r="R824" s="72"/>
      <c r="S824" s="64">
        <v>44476</v>
      </c>
      <c r="U824" s="72"/>
      <c r="V824" s="54" t="s">
        <v>66</v>
      </c>
      <c r="X824" s="45">
        <f t="shared" si="55"/>
        <v>7</v>
      </c>
      <c r="Z824" s="69" t="s">
        <v>69</v>
      </c>
      <c r="AA824" s="45">
        <f t="shared" si="67"/>
        <v>12</v>
      </c>
      <c r="AB824" t="str">
        <f t="shared" si="68"/>
        <v>Adult</v>
      </c>
      <c r="AC824" s="69">
        <v>8</v>
      </c>
      <c r="AD824" s="69">
        <v>4</v>
      </c>
      <c r="AE824" s="45" t="str">
        <f t="shared" si="69"/>
        <v>Morphological</v>
      </c>
      <c r="AF824" s="56">
        <v>4</v>
      </c>
    </row>
    <row r="825" spans="1:32" ht="18" customHeight="1" x14ac:dyDescent="0.25">
      <c r="A825" s="45">
        <v>821</v>
      </c>
      <c r="B825" s="45" t="s">
        <v>60</v>
      </c>
      <c r="C825" s="45" t="s">
        <v>61</v>
      </c>
      <c r="D825" s="45" t="s">
        <v>62</v>
      </c>
      <c r="E825" s="45" t="s">
        <v>62</v>
      </c>
      <c r="F825" s="46" cm="1">
        <f t="array" ref="F825">_xlfn.IFS($G825=$G$5,F$5,$G825=$G$6,F$6,$G825=$G$7,F$7,$G825=$G$8,F$8,$G825=$G$9,F$9,$G825=$G$10,F$10,$G825=$G$11,F$11,$G825=$G$12,F$12,$G825=$G$13,F$13,$G825=$G$15,F$15,$G825=$G$16,F$16,$G825=$G$17,F$17,$G825=$G$18,F$18,$G825=$G$19,F$19,$G825=$G$20,F$20,$G825=$G$21,F$21,$G825=$G$22,F$22,$G825=$G$25,F$25,$G825=$G$26,F$26,$G825=$G$27,F$27,$G825=$G$29,F$29,$G825=$G$31,F$31,$G825=$G$32,F$32,$G825=$G$248,F$248,$G825=$G$250,F$250)</f>
        <v>8040</v>
      </c>
      <c r="G825" t="s">
        <v>81</v>
      </c>
      <c r="H825" s="67" cm="1">
        <f t="array" ref="H825">_xlfn.IFS($G825=$G$5,H$5,$G825=$G$6,H$6,$G825=$G$7,H$7,$G825=$G$8,H$8,$G825=$G$9,H$9,$G825=$G$10,H$10,$G825=$G$11,H$11,$G825=$G$12,H$12,$G825=$G$13,H$13,$G825=$G$15,H$15,$G825=$G$16,H$16,$G825=$G$17,H$17,$G825=$G$18,H$18,$G825=$G$19,H$19,$G825=$G$20,H$20,$G825=$G$21,H$21,$G825=$G$22,H$22,$G825=$G$25,H$25,$G825=$G$26,H$26,$G825=$G$27,H$27,$G825=$G$29,H$29,$G825=$G$31,H$31,$G825=$G$32,H$150,$G825=$G$248,H$248,$G825=$G$250,H$250)</f>
        <v>41.343685000000001</v>
      </c>
      <c r="I825" s="67" cm="1">
        <f t="array" ref="I825">_xlfn.IFS($G825=$G$5,I$5,$G825=$G$6,I$6,$G825=$G$7,I$7,$G825=$G$8,I$8,$G825=$G$9,I$9,$G825=$G$10,I$10,$G825=$G$11,I$11,$G825=$G$12,I$12,$G825=$G$13,I$13,$G825=$G$15,I$15,$G825=$G$16,I$16,$G825=$G$17,I$17,$G825=$G$18,I$18,$G825=$G$19,I$19,$G825=$G$20,I$20,$G825=$G$21,I$21,$G825=$G$22,I$22,$G825=$G$25,I$25,$G825=$G$26,I$26,$G825=$G$27,I$27,$G825=$G$29,I$29,$G825=$G$31,I$31,$G825=$G$32,I$150,$G825=$G$248,I$248,$G825=$G$250,I$250)</f>
        <v>2.1441490000000001</v>
      </c>
      <c r="J825" s="48" cm="1">
        <f t="array" ref="J825">_xlfn.IFS($G825=$G$5,J$5,$G825=$G$6,J$6,$G825=$G$7,J$7,$G825=$G$8,J$8,$G825=$G$9,J$9,$G825=$G$10,J$10,$G825=$G$11,J$11,$G825=$G$12,J$12,$G825=$G$13,J$13,$G825=$G$15,J$15,$G825=$G$16,J$16,$G825=$G$17,J$17,$G825=$G$18,J$18,$G825=$G$19,J$19,$G825=$G$20,J$20,$G825=$G$21,J$21,$G825=$G$22,J$22,$G825=$G$25,J$25,$G825=$G$26,J$26,$G825=$G$27,J$27,$G825=$G$29,J$29,$G825=$G$31,J$31,$G825=$G$32,J$150,$G825=$G$248,J$248,$G825=$G$250,J$250)</f>
        <v>4</v>
      </c>
      <c r="K825" s="48" t="str" cm="1">
        <f t="array" ref="K825">_xlfn.IFS($G825=$G$5,K$5,$G825=$G$6,K$6,$G825=$G$7,K$7,$G825=$G$8,K$8,$G825=$G$9,K$9,$G825=$G$10,K$10,$G825=$G$11,K$11,$G825=$G$12,K$12,$G825=$G$13,K$13,$G825=$G$15,K$15,$G825=$G$16,K$16,$G825=$G$17,K$17,$G825=$G$18,K$18,$G825=$G$19,K$19,$G825=$G$20,K$20,$G825=$G$21,K$21,$G825=$G$22,K$22,$G825=$G$25,K$25,$G825=$G$26,K$26,$G825=$G$27,K$27,$G825=$G$29,K$29,$G825=$G$31,K$31,$G825=$G$32,K$150,$G825=$G$248,K$248,$G825=$G$250,K$250)</f>
        <v>BG sentinel + BG lure7</v>
      </c>
      <c r="L825" s="48"/>
      <c r="M825" s="48"/>
      <c r="O825" s="45" t="str">
        <f t="shared" si="54"/>
        <v>A_SP_BCN_10_210930</v>
      </c>
      <c r="P825" s="64">
        <v>44469</v>
      </c>
      <c r="R825" s="72"/>
      <c r="S825" s="64">
        <v>44476</v>
      </c>
      <c r="U825" s="72"/>
      <c r="V825" s="54" t="s">
        <v>66</v>
      </c>
      <c r="X825" s="45">
        <f t="shared" si="55"/>
        <v>7</v>
      </c>
      <c r="Z825" s="45" t="s">
        <v>70</v>
      </c>
      <c r="AA825" s="45">
        <f t="shared" si="67"/>
        <v>2</v>
      </c>
      <c r="AB825" t="str">
        <f t="shared" si="68"/>
        <v>Adult</v>
      </c>
      <c r="AC825" s="69">
        <v>1</v>
      </c>
      <c r="AD825" s="69">
        <v>1</v>
      </c>
      <c r="AE825" s="45" t="str">
        <f t="shared" si="69"/>
        <v>Morphological</v>
      </c>
      <c r="AF825" s="56">
        <v>4</v>
      </c>
    </row>
    <row r="826" spans="1:32" ht="18" customHeight="1" x14ac:dyDescent="0.25">
      <c r="A826" s="45">
        <v>822</v>
      </c>
      <c r="B826" s="45" t="s">
        <v>60</v>
      </c>
      <c r="C826" s="45" t="s">
        <v>61</v>
      </c>
      <c r="D826" s="45" t="s">
        <v>62</v>
      </c>
      <c r="E826" s="45" t="s">
        <v>62</v>
      </c>
      <c r="F826" s="46" cm="1">
        <f t="array" ref="F826">_xlfn.IFS($G826=$G$5,F$5,$G826=$G$6,F$6,$G826=$G$7,F$7,$G826=$G$8,F$8,$G826=$G$9,F$9,$G826=$G$10,F$10,$G826=$G$11,F$11,$G826=$G$12,F$12,$G826=$G$13,F$13,$G826=$G$15,F$15,$G826=$G$16,F$16,$G826=$G$17,F$17,$G826=$G$18,F$18,$G826=$G$19,F$19,$G826=$G$20,F$20,$G826=$G$21,F$21,$G826=$G$22,F$22,$G826=$G$25,F$25,$G826=$G$26,F$26,$G826=$G$27,F$27,$G826=$G$29,F$29,$G826=$G$31,F$31,$G826=$G$32,F$32,$G826=$G$248,F$248,$G826=$G$250,F$250)</f>
        <v>8038</v>
      </c>
      <c r="G826" t="s">
        <v>82</v>
      </c>
      <c r="H826" s="67" cm="1">
        <f t="array" ref="H826">_xlfn.IFS($G826=$G$5,H$5,$G826=$G$6,H$6,$G826=$G$7,H$7,$G826=$G$8,H$8,$G826=$G$9,H$9,$G826=$G$10,H$10,$G826=$G$11,H$11,$G826=$G$12,H$12,$G826=$G$13,H$13,$G826=$G$15,H$15,$G826=$G$16,H$16,$G826=$G$17,H$17,$G826=$G$18,H$18,$G826=$G$19,H$19,$G826=$G$20,H$20,$G826=$G$21,H$21,$G826=$G$22,H$22,$G826=$G$25,H$25,$G826=$G$26,H$26,$G826=$G$27,H$27,$G826=$G$29,H$29,$G826=$G$31,H$31,$G826=$G$32,H$150,$G826=$G$248,H$248,$G826=$G$250,H$250)</f>
        <v>41.367429999999999</v>
      </c>
      <c r="I826" s="67" cm="1">
        <f t="array" ref="I826">_xlfn.IFS($G826=$G$5,I$5,$G826=$G$6,I$6,$G826=$G$7,I$7,$G826=$G$8,I$8,$G826=$G$9,I$9,$G826=$G$10,I$10,$G826=$G$11,I$11,$G826=$G$12,I$12,$G826=$G$13,I$13,$G826=$G$15,I$15,$G826=$G$16,I$16,$G826=$G$17,I$17,$G826=$G$18,I$18,$G826=$G$19,I$19,$G826=$G$20,I$20,$G826=$G$21,I$21,$G826=$G$22,I$22,$G826=$G$25,I$25,$G826=$G$26,I$26,$G826=$G$27,I$27,$G826=$G$29,I$29,$G826=$G$31,I$31,$G826=$G$32,I$150,$G826=$G$248,I$248,$G826=$G$250,I$250)</f>
        <v>2.1569609999999999</v>
      </c>
      <c r="J826" s="48" cm="1">
        <f t="array" ref="J826">_xlfn.IFS($G826=$G$5,J$5,$G826=$G$6,J$6,$G826=$G$7,J$7,$G826=$G$8,J$8,$G826=$G$9,J$9,$G826=$G$10,J$10,$G826=$G$11,J$11,$G826=$G$12,J$12,$G826=$G$13,J$13,$G826=$G$15,J$15,$G826=$G$16,J$16,$G826=$G$17,J$17,$G826=$G$18,J$18,$G826=$G$19,J$19,$G826=$G$20,J$20,$G826=$G$21,J$21,$G826=$G$22,J$22,$G826=$G$25,J$25,$G826=$G$26,J$26,$G826=$G$27,J$27,$G826=$G$29,J$29,$G826=$G$31,J$31,$G826=$G$32,J$150,$G826=$G$248,J$248,$G826=$G$250,J$250)</f>
        <v>91</v>
      </c>
      <c r="K826" s="48" t="str" cm="1">
        <f t="array" ref="K826">_xlfn.IFS($G826=$G$5,K$5,$G826=$G$6,K$6,$G826=$G$7,K$7,$G826=$G$8,K$8,$G826=$G$9,K$9,$G826=$G$10,K$10,$G826=$G$11,K$11,$G826=$G$12,K$12,$G826=$G$13,K$13,$G826=$G$15,K$15,$G826=$G$16,K$16,$G826=$G$17,K$17,$G826=$G$18,K$18,$G826=$G$19,K$19,$G826=$G$20,K$20,$G826=$G$21,K$21,$G826=$G$22,K$22,$G826=$G$25,K$25,$G826=$G$26,K$26,$G826=$G$27,K$27,$G826=$G$29,K$29,$G826=$G$31,K$31,$G826=$G$32,K$150,$G826=$G$248,K$248,$G826=$G$250,K$250)</f>
        <v>BG sentinel + BG lure7</v>
      </c>
      <c r="L826" s="48"/>
      <c r="M826" s="48"/>
      <c r="O826" s="45" t="str">
        <f t="shared" si="54"/>
        <v>A_SP_BCN_11_210930</v>
      </c>
      <c r="P826" s="64">
        <v>44469</v>
      </c>
      <c r="R826" s="72"/>
      <c r="S826" s="64">
        <v>44476</v>
      </c>
      <c r="U826" s="72"/>
      <c r="V826" s="54" t="s">
        <v>66</v>
      </c>
      <c r="X826" s="45">
        <f t="shared" si="55"/>
        <v>7</v>
      </c>
      <c r="Z826" s="69" t="s">
        <v>69</v>
      </c>
      <c r="AA826" s="45">
        <f t="shared" si="67"/>
        <v>16</v>
      </c>
      <c r="AB826" t="str">
        <f t="shared" si="68"/>
        <v>Adult</v>
      </c>
      <c r="AC826" s="69">
        <v>13</v>
      </c>
      <c r="AD826" s="69">
        <v>3</v>
      </c>
      <c r="AE826" s="45" t="str">
        <f t="shared" si="69"/>
        <v>Morphological</v>
      </c>
      <c r="AF826" s="56">
        <v>4</v>
      </c>
    </row>
    <row r="827" spans="1:32" ht="18" customHeight="1" x14ac:dyDescent="0.25">
      <c r="A827" s="45">
        <v>823</v>
      </c>
      <c r="B827" s="45" t="s">
        <v>60</v>
      </c>
      <c r="C827" s="45" t="s">
        <v>61</v>
      </c>
      <c r="D827" s="45" t="s">
        <v>62</v>
      </c>
      <c r="E827" s="45" t="s">
        <v>62</v>
      </c>
      <c r="F827" s="46" cm="1">
        <f t="array" ref="F827">_xlfn.IFS($G827=$G$5,F$5,$G827=$G$6,F$6,$G827=$G$7,F$7,$G827=$G$8,F$8,$G827=$G$9,F$9,$G827=$G$10,F$10,$G827=$G$11,F$11,$G827=$G$12,F$12,$G827=$G$13,F$13,$G827=$G$15,F$15,$G827=$G$16,F$16,$G827=$G$17,F$17,$G827=$G$18,F$18,$G827=$G$19,F$19,$G827=$G$20,F$20,$G827=$G$21,F$21,$G827=$G$22,F$22,$G827=$G$25,F$25,$G827=$G$26,F$26,$G827=$G$27,F$27,$G827=$G$29,F$29,$G827=$G$31,F$31,$G827=$G$32,F$32,$G827=$G$248,F$248,$G827=$G$250,F$250)</f>
        <v>8038</v>
      </c>
      <c r="G827" t="s">
        <v>84</v>
      </c>
      <c r="H827" s="67" cm="1">
        <f t="array" ref="H827">_xlfn.IFS($G827=$G$5,H$5,$G827=$G$6,H$6,$G827=$G$7,H$7,$G827=$G$8,H$8,$G827=$G$9,H$9,$G827=$G$10,H$10,$G827=$G$11,H$11,$G827=$G$12,H$12,$G827=$G$13,H$13,$G827=$G$15,H$15,$G827=$G$16,H$16,$G827=$G$17,H$17,$G827=$G$18,H$18,$G827=$G$19,H$19,$G827=$G$20,H$20,$G827=$G$21,H$21,$G827=$G$22,H$22,$G827=$G$25,H$25,$G827=$G$26,H$26,$G827=$G$27,H$27,$G827=$G$29,H$29,$G827=$G$31,H$31,$G827=$G$32,H$150,$G827=$G$248,H$248,$G827=$G$250,H$250)</f>
        <v>41.363377999999997</v>
      </c>
      <c r="I827" s="67" cm="1">
        <f t="array" ref="I827">_xlfn.IFS($G827=$G$5,I$5,$G827=$G$6,I$6,$G827=$G$7,I$7,$G827=$G$8,I$8,$G827=$G$9,I$9,$G827=$G$10,I$10,$G827=$G$11,I$11,$G827=$G$12,I$12,$G827=$G$13,I$13,$G827=$G$15,I$15,$G827=$G$16,I$16,$G827=$G$17,I$17,$G827=$G$18,I$18,$G827=$G$19,I$19,$G827=$G$20,I$20,$G827=$G$21,I$21,$G827=$G$22,I$22,$G827=$G$25,I$25,$G827=$G$26,I$26,$G827=$G$27,I$27,$G827=$G$29,I$29,$G827=$G$31,I$31,$G827=$G$32,I$150,$G827=$G$248,I$248,$G827=$G$250,I$250)</f>
        <v>2.164879</v>
      </c>
      <c r="J827" s="48" cm="1">
        <f t="array" ref="J827">_xlfn.IFS($G827=$G$5,J$5,$G827=$G$6,J$6,$G827=$G$7,J$7,$G827=$G$8,J$8,$G827=$G$9,J$9,$G827=$G$10,J$10,$G827=$G$11,J$11,$G827=$G$12,J$12,$G827=$G$13,J$13,$G827=$G$15,J$15,$G827=$G$16,J$16,$G827=$G$17,J$17,$G827=$G$18,J$18,$G827=$G$19,J$19,$G827=$G$20,J$20,$G827=$G$21,J$21,$G827=$G$22,J$22,$G827=$G$25,J$25,$G827=$G$26,J$26,$G827=$G$27,J$27,$G827=$G$29,J$29,$G827=$G$31,J$31,$G827=$G$32,J$150,$G827=$G$248,J$248,$G827=$G$250,J$250)</f>
        <v>185</v>
      </c>
      <c r="K827" s="48" t="str" cm="1">
        <f t="array" ref="K827">_xlfn.IFS($G827=$G$5,K$5,$G827=$G$6,K$6,$G827=$G$7,K$7,$G827=$G$8,K$8,$G827=$G$9,K$9,$G827=$G$10,K$10,$G827=$G$11,K$11,$G827=$G$12,K$12,$G827=$G$13,K$13,$G827=$G$15,K$15,$G827=$G$16,K$16,$G827=$G$17,K$17,$G827=$G$18,K$18,$G827=$G$19,K$19,$G827=$G$20,K$20,$G827=$G$21,K$21,$G827=$G$22,K$22,$G827=$G$25,K$25,$G827=$G$26,K$26,$G827=$G$27,K$27,$G827=$G$29,K$29,$G827=$G$31,K$31,$G827=$G$32,K$150,$G827=$G$248,K$248,$G827=$G$250,K$250)</f>
        <v>BG sentinel + BG lure7</v>
      </c>
      <c r="L827" s="48"/>
      <c r="M827" s="48"/>
      <c r="O827" s="45" t="str">
        <f t="shared" si="54"/>
        <v>A_SP_BCN_12_210930</v>
      </c>
      <c r="P827" s="64">
        <v>44469</v>
      </c>
      <c r="R827" s="72"/>
      <c r="S827" s="64">
        <v>44476</v>
      </c>
      <c r="U827" s="72"/>
      <c r="V827" s="54" t="s">
        <v>66</v>
      </c>
      <c r="X827" s="45">
        <f t="shared" si="55"/>
        <v>7</v>
      </c>
      <c r="Z827" s="69" t="s">
        <v>69</v>
      </c>
      <c r="AA827" s="45">
        <f t="shared" si="67"/>
        <v>7</v>
      </c>
      <c r="AB827" t="str">
        <f t="shared" si="68"/>
        <v>Adult</v>
      </c>
      <c r="AC827" s="69">
        <v>6</v>
      </c>
      <c r="AD827" s="69">
        <v>1</v>
      </c>
      <c r="AE827" s="45" t="str">
        <f t="shared" si="69"/>
        <v>Morphological</v>
      </c>
      <c r="AF827" s="56">
        <v>4</v>
      </c>
    </row>
    <row r="828" spans="1:32" ht="18" customHeight="1" x14ac:dyDescent="0.25">
      <c r="A828" s="45">
        <v>824</v>
      </c>
      <c r="B828" s="45" t="s">
        <v>60</v>
      </c>
      <c r="C828" s="45" t="s">
        <v>61</v>
      </c>
      <c r="D828" s="45" t="s">
        <v>62</v>
      </c>
      <c r="E828" s="45" t="s">
        <v>62</v>
      </c>
      <c r="F828" s="46" cm="1">
        <f t="array" ref="F828">_xlfn.IFS($G828=$G$5,F$5,$G828=$G$6,F$6,$G828=$G$7,F$7,$G828=$G$8,F$8,$G828=$G$9,F$9,$G828=$G$10,F$10,$G828=$G$11,F$11,$G828=$G$12,F$12,$G828=$G$13,F$13,$G828=$G$15,F$15,$G828=$G$16,F$16,$G828=$G$17,F$17,$G828=$G$18,F$18,$G828=$G$19,F$19,$G828=$G$20,F$20,$G828=$G$21,F$21,$G828=$G$22,F$22,$G828=$G$25,F$25,$G828=$G$26,F$26,$G828=$G$27,F$27,$G828=$G$29,F$29,$G828=$G$31,F$31,$G828=$G$32,F$32,$G828=$G$248,F$248,$G828=$G$250,F$250)</f>
        <v>8038</v>
      </c>
      <c r="G828" t="s">
        <v>84</v>
      </c>
      <c r="H828" s="67" cm="1">
        <f t="array" ref="H828">_xlfn.IFS($G828=$G$5,H$5,$G828=$G$6,H$6,$G828=$G$7,H$7,$G828=$G$8,H$8,$G828=$G$9,H$9,$G828=$G$10,H$10,$G828=$G$11,H$11,$G828=$G$12,H$12,$G828=$G$13,H$13,$G828=$G$15,H$15,$G828=$G$16,H$16,$G828=$G$17,H$17,$G828=$G$18,H$18,$G828=$G$19,H$19,$G828=$G$20,H$20,$G828=$G$21,H$21,$G828=$G$22,H$22,$G828=$G$25,H$25,$G828=$G$26,H$26,$G828=$G$27,H$27,$G828=$G$29,H$29,$G828=$G$31,H$31,$G828=$G$32,H$150,$G828=$G$248,H$248,$G828=$G$250,H$250)</f>
        <v>41.363377999999997</v>
      </c>
      <c r="I828" s="67" cm="1">
        <f t="array" ref="I828">_xlfn.IFS($G828=$G$5,I$5,$G828=$G$6,I$6,$G828=$G$7,I$7,$G828=$G$8,I$8,$G828=$G$9,I$9,$G828=$G$10,I$10,$G828=$G$11,I$11,$G828=$G$12,I$12,$G828=$G$13,I$13,$G828=$G$15,I$15,$G828=$G$16,I$16,$G828=$G$17,I$17,$G828=$G$18,I$18,$G828=$G$19,I$19,$G828=$G$20,I$20,$G828=$G$21,I$21,$G828=$G$22,I$22,$G828=$G$25,I$25,$G828=$G$26,I$26,$G828=$G$27,I$27,$G828=$G$29,I$29,$G828=$G$31,I$31,$G828=$G$32,I$150,$G828=$G$248,I$248,$G828=$G$250,I$250)</f>
        <v>2.164879</v>
      </c>
      <c r="J828" s="48" cm="1">
        <f t="array" ref="J828">_xlfn.IFS($G828=$G$5,J$5,$G828=$G$6,J$6,$G828=$G$7,J$7,$G828=$G$8,J$8,$G828=$G$9,J$9,$G828=$G$10,J$10,$G828=$G$11,J$11,$G828=$G$12,J$12,$G828=$G$13,J$13,$G828=$G$15,J$15,$G828=$G$16,J$16,$G828=$G$17,J$17,$G828=$G$18,J$18,$G828=$G$19,J$19,$G828=$G$20,J$20,$G828=$G$21,J$21,$G828=$G$22,J$22,$G828=$G$25,J$25,$G828=$G$26,J$26,$G828=$G$27,J$27,$G828=$G$29,J$29,$G828=$G$31,J$31,$G828=$G$32,J$150,$G828=$G$248,J$248,$G828=$G$250,J$250)</f>
        <v>185</v>
      </c>
      <c r="K828" s="48" t="str" cm="1">
        <f t="array" ref="K828">_xlfn.IFS($G828=$G$5,K$5,$G828=$G$6,K$6,$G828=$G$7,K$7,$G828=$G$8,K$8,$G828=$G$9,K$9,$G828=$G$10,K$10,$G828=$G$11,K$11,$G828=$G$12,K$12,$G828=$G$13,K$13,$G828=$G$15,K$15,$G828=$G$16,K$16,$G828=$G$17,K$17,$G828=$G$18,K$18,$G828=$G$19,K$19,$G828=$G$20,K$20,$G828=$G$21,K$21,$G828=$G$22,K$22,$G828=$G$25,K$25,$G828=$G$26,K$26,$G828=$G$27,K$27,$G828=$G$29,K$29,$G828=$G$31,K$31,$G828=$G$32,K$150,$G828=$G$248,K$248,$G828=$G$250,K$250)</f>
        <v>BG sentinel + BG lure7</v>
      </c>
      <c r="L828" s="48"/>
      <c r="M828" s="48"/>
      <c r="O828" s="45" t="str">
        <f t="shared" si="54"/>
        <v>A_SP_BCN_12_210930</v>
      </c>
      <c r="P828" s="64">
        <v>44469</v>
      </c>
      <c r="R828" s="72"/>
      <c r="S828" s="64">
        <v>44476</v>
      </c>
      <c r="U828" s="72"/>
      <c r="V828" s="54" t="s">
        <v>66</v>
      </c>
      <c r="X828" s="45">
        <f t="shared" si="55"/>
        <v>7</v>
      </c>
      <c r="Z828" s="45" t="s">
        <v>70</v>
      </c>
      <c r="AA828" s="45">
        <f t="shared" si="67"/>
        <v>21</v>
      </c>
      <c r="AB828" t="str">
        <f t="shared" si="68"/>
        <v>Adult</v>
      </c>
      <c r="AC828" s="69">
        <v>19</v>
      </c>
      <c r="AD828" s="69">
        <v>2</v>
      </c>
      <c r="AE828" s="45" t="str">
        <f t="shared" si="69"/>
        <v>Morphological</v>
      </c>
      <c r="AF828" s="56">
        <v>4</v>
      </c>
    </row>
    <row r="829" spans="1:32" ht="18" customHeight="1" x14ac:dyDescent="0.25">
      <c r="A829" s="45">
        <v>825</v>
      </c>
      <c r="B829" s="45" t="s">
        <v>60</v>
      </c>
      <c r="C829" s="45" t="s">
        <v>61</v>
      </c>
      <c r="D829" s="45" t="s">
        <v>62</v>
      </c>
      <c r="E829" s="45" t="s">
        <v>62</v>
      </c>
      <c r="F829" s="46" cm="1">
        <f t="array" ref="F829">_xlfn.IFS($G829=$G$5,F$5,$G829=$G$6,F$6,$G829=$G$7,F$7,$G829=$G$8,F$8,$G829=$G$9,F$9,$G829=$G$10,F$10,$G829=$G$11,F$11,$G829=$G$12,F$12,$G829=$G$13,F$13,$G829=$G$15,F$15,$G829=$G$16,F$16,$G829=$G$17,F$17,$G829=$G$18,F$18,$G829=$G$19,F$19,$G829=$G$20,F$20,$G829=$G$21,F$21,$G829=$G$22,F$22,$G829=$G$25,F$25,$G829=$G$26,F$26,$G829=$G$27,F$27,$G829=$G$29,F$29,$G829=$G$31,F$31,$G829=$G$32,F$32,$G829=$G$248,F$248,$G829=$G$250,F$250)</f>
        <v>8038</v>
      </c>
      <c r="G829" t="s">
        <v>84</v>
      </c>
      <c r="H829" s="67" cm="1">
        <f t="array" ref="H829">_xlfn.IFS($G829=$G$5,H$5,$G829=$G$6,H$6,$G829=$G$7,H$7,$G829=$G$8,H$8,$G829=$G$9,H$9,$G829=$G$10,H$10,$G829=$G$11,H$11,$G829=$G$12,H$12,$G829=$G$13,H$13,$G829=$G$15,H$15,$G829=$G$16,H$16,$G829=$G$17,H$17,$G829=$G$18,H$18,$G829=$G$19,H$19,$G829=$G$20,H$20,$G829=$G$21,H$21,$G829=$G$22,H$22,$G829=$G$25,H$25,$G829=$G$26,H$26,$G829=$G$27,H$27,$G829=$G$29,H$29,$G829=$G$31,H$31,$G829=$G$32,H$150,$G829=$G$248,H$248,$G829=$G$250,H$250)</f>
        <v>41.363377999999997</v>
      </c>
      <c r="I829" s="67" cm="1">
        <f t="array" ref="I829">_xlfn.IFS($G829=$G$5,I$5,$G829=$G$6,I$6,$G829=$G$7,I$7,$G829=$G$8,I$8,$G829=$G$9,I$9,$G829=$G$10,I$10,$G829=$G$11,I$11,$G829=$G$12,I$12,$G829=$G$13,I$13,$G829=$G$15,I$15,$G829=$G$16,I$16,$G829=$G$17,I$17,$G829=$G$18,I$18,$G829=$G$19,I$19,$G829=$G$20,I$20,$G829=$G$21,I$21,$G829=$G$22,I$22,$G829=$G$25,I$25,$G829=$G$26,I$26,$G829=$G$27,I$27,$G829=$G$29,I$29,$G829=$G$31,I$31,$G829=$G$32,I$150,$G829=$G$248,I$248,$G829=$G$250,I$250)</f>
        <v>2.164879</v>
      </c>
      <c r="J829" s="48" cm="1">
        <f t="array" ref="J829">_xlfn.IFS($G829=$G$5,J$5,$G829=$G$6,J$6,$G829=$G$7,J$7,$G829=$G$8,J$8,$G829=$G$9,J$9,$G829=$G$10,J$10,$G829=$G$11,J$11,$G829=$G$12,J$12,$G829=$G$13,J$13,$G829=$G$15,J$15,$G829=$G$16,J$16,$G829=$G$17,J$17,$G829=$G$18,J$18,$G829=$G$19,J$19,$G829=$G$20,J$20,$G829=$G$21,J$21,$G829=$G$22,J$22,$G829=$G$25,J$25,$G829=$G$26,J$26,$G829=$G$27,J$27,$G829=$G$29,J$29,$G829=$G$31,J$31,$G829=$G$32,J$150,$G829=$G$248,J$248,$G829=$G$250,J$250)</f>
        <v>185</v>
      </c>
      <c r="K829" s="48" t="str" cm="1">
        <f t="array" ref="K829">_xlfn.IFS($G829=$G$5,K$5,$G829=$G$6,K$6,$G829=$G$7,K$7,$G829=$G$8,K$8,$G829=$G$9,K$9,$G829=$G$10,K$10,$G829=$G$11,K$11,$G829=$G$12,K$12,$G829=$G$13,K$13,$G829=$G$15,K$15,$G829=$G$16,K$16,$G829=$G$17,K$17,$G829=$G$18,K$18,$G829=$G$19,K$19,$G829=$G$20,K$20,$G829=$G$21,K$21,$G829=$G$22,K$22,$G829=$G$25,K$25,$G829=$G$26,K$26,$G829=$G$27,K$27,$G829=$G$29,K$29,$G829=$G$31,K$31,$G829=$G$32,K$150,$G829=$G$248,K$248,$G829=$G$250,K$250)</f>
        <v>BG sentinel + BG lure7</v>
      </c>
      <c r="L829" s="48"/>
      <c r="M829" s="48"/>
      <c r="O829" s="45" t="str">
        <f t="shared" si="54"/>
        <v>A_SP_BCN_12_210930</v>
      </c>
      <c r="P829" s="64">
        <v>44469</v>
      </c>
      <c r="R829" s="72"/>
      <c r="S829" s="64">
        <v>44476</v>
      </c>
      <c r="U829" s="72"/>
      <c r="V829" s="54" t="s">
        <v>66</v>
      </c>
      <c r="X829" s="45">
        <f t="shared" si="55"/>
        <v>7</v>
      </c>
      <c r="Z829" s="45" t="s">
        <v>80</v>
      </c>
      <c r="AA829" s="45">
        <f t="shared" si="67"/>
        <v>2</v>
      </c>
      <c r="AB829" t="str">
        <f t="shared" si="68"/>
        <v>Adult</v>
      </c>
      <c r="AC829" s="69">
        <v>1</v>
      </c>
      <c r="AD829" s="69">
        <v>1</v>
      </c>
      <c r="AE829" s="45" t="str">
        <f t="shared" si="69"/>
        <v>Morphological</v>
      </c>
      <c r="AF829" s="56">
        <v>4</v>
      </c>
    </row>
    <row r="830" spans="1:32" ht="18" customHeight="1" x14ac:dyDescent="0.25">
      <c r="A830" s="45">
        <v>826</v>
      </c>
      <c r="B830" s="45" t="s">
        <v>60</v>
      </c>
      <c r="C830" s="45" t="s">
        <v>61</v>
      </c>
      <c r="D830" s="45" t="s">
        <v>62</v>
      </c>
      <c r="E830" s="45" t="s">
        <v>62</v>
      </c>
      <c r="F830" s="46" cm="1">
        <f t="array" ref="F830">_xlfn.IFS($G830=$G$5,F$5,$G830=$G$6,F$6,$G830=$G$7,F$7,$G830=$G$8,F$8,$G830=$G$9,F$9,$G830=$G$10,F$10,$G830=$G$11,F$11,$G830=$G$12,F$12,$G830=$G$13,F$13,$G830=$G$15,F$15,$G830=$G$16,F$16,$G830=$G$17,F$17,$G830=$G$18,F$18,$G830=$G$19,F$19,$G830=$G$20,F$20,$G830=$G$21,F$21,$G830=$G$22,F$22,$G830=$G$25,F$25,$G830=$G$26,F$26,$G830=$G$27,F$27,$G830=$G$29,F$29,$G830=$G$31,F$31,$G830=$G$32,F$32,$G830=$G$248,F$248,$G830=$G$250,F$250)</f>
        <v>8035</v>
      </c>
      <c r="G830" t="s">
        <v>85</v>
      </c>
      <c r="H830" s="67" cm="1">
        <f t="array" ref="H830">_xlfn.IFS($G830=$G$5,H$5,$G830=$G$6,H$6,$G830=$G$7,H$7,$G830=$G$8,H$8,$G830=$G$9,H$9,$G830=$G$10,H$10,$G830=$G$11,H$11,$G830=$G$12,H$12,$G830=$G$13,H$13,$G830=$G$15,H$15,$G830=$G$16,H$16,$G830=$G$17,H$17,$G830=$G$18,H$18,$G830=$G$19,H$19,$G830=$G$20,H$20,$G830=$G$21,H$21,$G830=$G$22,H$22,$G830=$G$25,H$25,$G830=$G$26,H$26,$G830=$G$27,H$27,$G830=$G$29,H$29,$G830=$G$31,H$31,$G830=$G$32,H$150,$G830=$G$248,H$248,$G830=$G$250,H$250)</f>
        <v>41.434472</v>
      </c>
      <c r="I830" s="67" cm="1">
        <f t="array" ref="I830">_xlfn.IFS($G830=$G$5,I$5,$G830=$G$6,I$6,$G830=$G$7,I$7,$G830=$G$8,I$8,$G830=$G$9,I$9,$G830=$G$10,I$10,$G830=$G$11,I$11,$G830=$G$12,I$12,$G830=$G$13,I$13,$G830=$G$15,I$15,$G830=$G$16,I$16,$G830=$G$17,I$17,$G830=$G$18,I$18,$G830=$G$19,I$19,$G830=$G$20,I$20,$G830=$G$21,I$21,$G830=$G$22,I$22,$G830=$G$25,I$25,$G830=$G$26,I$26,$G830=$G$27,I$27,$G830=$G$29,I$29,$G830=$G$31,I$31,$G830=$G$32,I$150,$G830=$G$248,I$248,$G830=$G$250,I$250)</f>
        <v>2.1315789999999999</v>
      </c>
      <c r="J830" s="48" cm="1">
        <f t="array" ref="J830">_xlfn.IFS($G830=$G$5,J$5,$G830=$G$6,J$6,$G830=$G$7,J$7,$G830=$G$8,J$8,$G830=$G$9,J$9,$G830=$G$10,J$10,$G830=$G$11,J$11,$G830=$G$12,J$12,$G830=$G$13,J$13,$G830=$G$15,J$15,$G830=$G$16,J$16,$G830=$G$17,J$17,$G830=$G$18,J$18,$G830=$G$19,J$19,$G830=$G$20,J$20,$G830=$G$21,J$21,$G830=$G$22,J$22,$G830=$G$25,J$25,$G830=$G$26,J$26,$G830=$G$27,J$27,$G830=$G$29,J$29,$G830=$G$31,J$31,$G830=$G$32,J$150,$G830=$G$248,J$248,$G830=$G$250,J$250)</f>
        <v>365</v>
      </c>
      <c r="K830" s="48" t="str" cm="1">
        <f t="array" ref="K830">_xlfn.IFS($G830=$G$5,K$5,$G830=$G$6,K$6,$G830=$G$7,K$7,$G830=$G$8,K$8,$G830=$G$9,K$9,$G830=$G$10,K$10,$G830=$G$11,K$11,$G830=$G$12,K$12,$G830=$G$13,K$13,$G830=$G$15,K$15,$G830=$G$16,K$16,$G830=$G$17,K$17,$G830=$G$18,K$18,$G830=$G$19,K$19,$G830=$G$20,K$20,$G830=$G$21,K$21,$G830=$G$22,K$22,$G830=$G$25,K$25,$G830=$G$26,K$26,$G830=$G$27,K$27,$G830=$G$29,K$29,$G830=$G$31,K$31,$G830=$G$32,K$150,$G830=$G$248,K$248,$G830=$G$250,K$250)</f>
        <v>BG sentinel + BG lure7</v>
      </c>
      <c r="L830" s="48" t="str" cm="1">
        <f t="array" ref="L830">_xlfn.IFS($G830=$G$5,L$5,$G830=$G$6,L$6,$G830=$G$7,L$7,$G830=$G$8,L$8,$G830=$G$9,L$9,$G830=$G$10,L$10,$G830=$G$11,L$11,$G830=$G$12,L$12,$G830=$G$13,L$13,$G830=$G$15,L$15,$G830=$G$16,L$16,$G830=$G$17,L$17,$G830=$G$18,L$18,$G830=$G$19,L$19,$G830=$G$20,L$20,$G830=$G$21,L$21,$G830=$G$22,L$22,$G830=$G$25,L$25,$G830=$G$26,L$26,$G830=$G$27,L$27,$G830=$G$29,L$29,$G830=$G$31,L$31,$G830=$G$32,L$32,$G830=$G$248,L$248,$G830=$G$250,L$250)</f>
        <v>Other</v>
      </c>
      <c r="M830" s="48"/>
      <c r="O830" s="45" t="str">
        <f t="shared" si="54"/>
        <v>A_SP_BCN_13_210929</v>
      </c>
      <c r="P830" s="64">
        <v>44468</v>
      </c>
      <c r="R830" s="72"/>
      <c r="S830" s="64">
        <v>44475</v>
      </c>
      <c r="U830" s="72"/>
      <c r="V830" s="54" t="s">
        <v>66</v>
      </c>
      <c r="X830" s="45">
        <f t="shared" si="55"/>
        <v>7</v>
      </c>
      <c r="Z830" s="69" t="s">
        <v>69</v>
      </c>
      <c r="AA830" s="45">
        <f t="shared" si="67"/>
        <v>2</v>
      </c>
      <c r="AB830" t="str">
        <f t="shared" si="68"/>
        <v>Adult</v>
      </c>
      <c r="AC830" s="69">
        <v>2</v>
      </c>
      <c r="AD830" s="69">
        <v>0</v>
      </c>
      <c r="AE830" s="45" t="str">
        <f t="shared" si="69"/>
        <v>Morphological</v>
      </c>
      <c r="AF830" s="56">
        <v>4</v>
      </c>
    </row>
    <row r="831" spans="1:32" ht="18" customHeight="1" x14ac:dyDescent="0.25">
      <c r="A831" s="45">
        <v>827</v>
      </c>
      <c r="B831" s="45" t="s">
        <v>60</v>
      </c>
      <c r="C831" s="45" t="s">
        <v>61</v>
      </c>
      <c r="D831" s="45" t="s">
        <v>62</v>
      </c>
      <c r="E831" s="45" t="s">
        <v>62</v>
      </c>
      <c r="F831" s="46" cm="1">
        <f t="array" ref="F831">_xlfn.IFS($G831=$G$5,F$5,$G831=$G$6,F$6,$G831=$G$7,F$7,$G831=$G$8,F$8,$G831=$G$9,F$9,$G831=$G$10,F$10,$G831=$G$11,F$11,$G831=$G$12,F$12,$G831=$G$13,F$13,$G831=$G$15,F$15,$G831=$G$16,F$16,$G831=$G$17,F$17,$G831=$G$18,F$18,$G831=$G$19,F$19,$G831=$G$20,F$20,$G831=$G$21,F$21,$G831=$G$22,F$22,$G831=$G$25,F$25,$G831=$G$26,F$26,$G831=$G$27,F$27,$G831=$G$29,F$29,$G831=$G$31,F$31,$G831=$G$32,F$32,$G831=$G$248,F$248,$G831=$G$250,F$250)</f>
        <v>8035</v>
      </c>
      <c r="G831" t="s">
        <v>85</v>
      </c>
      <c r="H831" s="67" cm="1">
        <f t="array" ref="H831">_xlfn.IFS($G831=$G$5,H$5,$G831=$G$6,H$6,$G831=$G$7,H$7,$G831=$G$8,H$8,$G831=$G$9,H$9,$G831=$G$10,H$10,$G831=$G$11,H$11,$G831=$G$12,H$12,$G831=$G$13,H$13,$G831=$G$15,H$15,$G831=$G$16,H$16,$G831=$G$17,H$17,$G831=$G$18,H$18,$G831=$G$19,H$19,$G831=$G$20,H$20,$G831=$G$21,H$21,$G831=$G$22,H$22,$G831=$G$25,H$25,$G831=$G$26,H$26,$G831=$G$27,H$27,$G831=$G$29,H$29,$G831=$G$31,H$31,$G831=$G$32,H$150,$G831=$G$248,H$248,$G831=$G$250,H$250)</f>
        <v>41.434472</v>
      </c>
      <c r="I831" s="67" cm="1">
        <f t="array" ref="I831">_xlfn.IFS($G831=$G$5,I$5,$G831=$G$6,I$6,$G831=$G$7,I$7,$G831=$G$8,I$8,$G831=$G$9,I$9,$G831=$G$10,I$10,$G831=$G$11,I$11,$G831=$G$12,I$12,$G831=$G$13,I$13,$G831=$G$15,I$15,$G831=$G$16,I$16,$G831=$G$17,I$17,$G831=$G$18,I$18,$G831=$G$19,I$19,$G831=$G$20,I$20,$G831=$G$21,I$21,$G831=$G$22,I$22,$G831=$G$25,I$25,$G831=$G$26,I$26,$G831=$G$27,I$27,$G831=$G$29,I$29,$G831=$G$31,I$31,$G831=$G$32,I$150,$G831=$G$248,I$248,$G831=$G$250,I$250)</f>
        <v>2.1315789999999999</v>
      </c>
      <c r="J831" s="48" cm="1">
        <f t="array" ref="J831">_xlfn.IFS($G831=$G$5,J$5,$G831=$G$6,J$6,$G831=$G$7,J$7,$G831=$G$8,J$8,$G831=$G$9,J$9,$G831=$G$10,J$10,$G831=$G$11,J$11,$G831=$G$12,J$12,$G831=$G$13,J$13,$G831=$G$15,J$15,$G831=$G$16,J$16,$G831=$G$17,J$17,$G831=$G$18,J$18,$G831=$G$19,J$19,$G831=$G$20,J$20,$G831=$G$21,J$21,$G831=$G$22,J$22,$G831=$G$25,J$25,$G831=$G$26,J$26,$G831=$G$27,J$27,$G831=$G$29,J$29,$G831=$G$31,J$31,$G831=$G$32,J$150,$G831=$G$248,J$248,$G831=$G$250,J$250)</f>
        <v>365</v>
      </c>
      <c r="K831" s="48" t="str" cm="1">
        <f t="array" ref="K831">_xlfn.IFS($G831=$G$5,K$5,$G831=$G$6,K$6,$G831=$G$7,K$7,$G831=$G$8,K$8,$G831=$G$9,K$9,$G831=$G$10,K$10,$G831=$G$11,K$11,$G831=$G$12,K$12,$G831=$G$13,K$13,$G831=$G$15,K$15,$G831=$G$16,K$16,$G831=$G$17,K$17,$G831=$G$18,K$18,$G831=$G$19,K$19,$G831=$G$20,K$20,$G831=$G$21,K$21,$G831=$G$22,K$22,$G831=$G$25,K$25,$G831=$G$26,K$26,$G831=$G$27,K$27,$G831=$G$29,K$29,$G831=$G$31,K$31,$G831=$G$32,K$150,$G831=$G$248,K$248,$G831=$G$250,K$250)</f>
        <v>BG sentinel + BG lure7</v>
      </c>
      <c r="L831" s="48" t="str" cm="1">
        <f t="array" ref="L831">_xlfn.IFS($G831=$G$5,L$5,$G831=$G$6,L$6,$G831=$G$7,L$7,$G831=$G$8,L$8,$G831=$G$9,L$9,$G831=$G$10,L$10,$G831=$G$11,L$11,$G831=$G$12,L$12,$G831=$G$13,L$13,$G831=$G$15,L$15,$G831=$G$16,L$16,$G831=$G$17,L$17,$G831=$G$18,L$18,$G831=$G$19,L$19,$G831=$G$20,L$20,$G831=$G$21,L$21,$G831=$G$22,L$22,$G831=$G$25,L$25,$G831=$G$26,L$26,$G831=$G$27,L$27,$G831=$G$29,L$29,$G831=$G$31,L$31,$G831=$G$32,L$32,$G831=$G$248,L$248,$G831=$G$250,L$250)</f>
        <v>Other</v>
      </c>
      <c r="M831" s="48"/>
      <c r="O831" s="45" t="str">
        <f t="shared" si="54"/>
        <v>A_SP_BCN_13_210929</v>
      </c>
      <c r="P831" s="64">
        <v>44468</v>
      </c>
      <c r="R831" s="72"/>
      <c r="S831" s="64">
        <v>44475</v>
      </c>
      <c r="U831" s="72"/>
      <c r="V831" s="54" t="s">
        <v>66</v>
      </c>
      <c r="X831" s="45">
        <f t="shared" si="55"/>
        <v>7</v>
      </c>
      <c r="Z831" s="45" t="s">
        <v>70</v>
      </c>
      <c r="AA831" s="45">
        <f t="shared" si="67"/>
        <v>1</v>
      </c>
      <c r="AB831" t="str">
        <f t="shared" si="68"/>
        <v>Adult</v>
      </c>
      <c r="AC831" s="69">
        <v>1</v>
      </c>
      <c r="AD831" s="69">
        <v>0</v>
      </c>
      <c r="AE831" s="45" t="str">
        <f t="shared" si="69"/>
        <v>Morphological</v>
      </c>
      <c r="AF831" s="56">
        <v>4</v>
      </c>
    </row>
    <row r="832" spans="1:32" ht="18" customHeight="1" x14ac:dyDescent="0.25">
      <c r="A832" s="45">
        <v>828</v>
      </c>
      <c r="B832" s="45" t="s">
        <v>60</v>
      </c>
      <c r="C832" s="45" t="s">
        <v>61</v>
      </c>
      <c r="D832" s="45" t="s">
        <v>62</v>
      </c>
      <c r="E832" s="45" t="s">
        <v>62</v>
      </c>
      <c r="F832" s="46" cm="1">
        <f t="array" ref="F832">_xlfn.IFS($G832=$G$5,F$5,$G832=$G$6,F$6,$G832=$G$7,F$7,$G832=$G$8,F$8,$G832=$G$9,F$9,$G832=$G$10,F$10,$G832=$G$11,F$11,$G832=$G$12,F$12,$G832=$G$13,F$13,$G832=$G$15,F$15,$G832=$G$16,F$16,$G832=$G$17,F$17,$G832=$G$18,F$18,$G832=$G$19,F$19,$G832=$G$20,F$20,$G832=$G$21,F$21,$G832=$G$22,F$22,$G832=$G$25,F$25,$G832=$G$26,F$26,$G832=$G$27,F$27,$G832=$G$29,F$29,$G832=$G$31,F$31,$G832=$G$32,F$32,$G832=$G$248,F$248,$G832=$G$250,F$250)</f>
        <v>8035</v>
      </c>
      <c r="G832" t="s">
        <v>85</v>
      </c>
      <c r="H832" s="67" cm="1">
        <f t="array" ref="H832">_xlfn.IFS($G832=$G$5,H$5,$G832=$G$6,H$6,$G832=$G$7,H$7,$G832=$G$8,H$8,$G832=$G$9,H$9,$G832=$G$10,H$10,$G832=$G$11,H$11,$G832=$G$12,H$12,$G832=$G$13,H$13,$G832=$G$15,H$15,$G832=$G$16,H$16,$G832=$G$17,H$17,$G832=$G$18,H$18,$G832=$G$19,H$19,$G832=$G$20,H$20,$G832=$G$21,H$21,$G832=$G$22,H$22,$G832=$G$25,H$25,$G832=$G$26,H$26,$G832=$G$27,H$27,$G832=$G$29,H$29,$G832=$G$31,H$31,$G832=$G$32,H$150,$G832=$G$248,H$248,$G832=$G$250,H$250)</f>
        <v>41.434472</v>
      </c>
      <c r="I832" s="67" cm="1">
        <f t="array" ref="I832">_xlfn.IFS($G832=$G$5,I$5,$G832=$G$6,I$6,$G832=$G$7,I$7,$G832=$G$8,I$8,$G832=$G$9,I$9,$G832=$G$10,I$10,$G832=$G$11,I$11,$G832=$G$12,I$12,$G832=$G$13,I$13,$G832=$G$15,I$15,$G832=$G$16,I$16,$G832=$G$17,I$17,$G832=$G$18,I$18,$G832=$G$19,I$19,$G832=$G$20,I$20,$G832=$G$21,I$21,$G832=$G$22,I$22,$G832=$G$25,I$25,$G832=$G$26,I$26,$G832=$G$27,I$27,$G832=$G$29,I$29,$G832=$G$31,I$31,$G832=$G$32,I$150,$G832=$G$248,I$248,$G832=$G$250,I$250)</f>
        <v>2.1315789999999999</v>
      </c>
      <c r="J832" s="48" cm="1">
        <f t="array" ref="J832">_xlfn.IFS($G832=$G$5,J$5,$G832=$G$6,J$6,$G832=$G$7,J$7,$G832=$G$8,J$8,$G832=$G$9,J$9,$G832=$G$10,J$10,$G832=$G$11,J$11,$G832=$G$12,J$12,$G832=$G$13,J$13,$G832=$G$15,J$15,$G832=$G$16,J$16,$G832=$G$17,J$17,$G832=$G$18,J$18,$G832=$G$19,J$19,$G832=$G$20,J$20,$G832=$G$21,J$21,$G832=$G$22,J$22,$G832=$G$25,J$25,$G832=$G$26,J$26,$G832=$G$27,J$27,$G832=$G$29,J$29,$G832=$G$31,J$31,$G832=$G$32,J$150,$G832=$G$248,J$248,$G832=$G$250,J$250)</f>
        <v>365</v>
      </c>
      <c r="K832" s="48" t="str" cm="1">
        <f t="array" ref="K832">_xlfn.IFS($G832=$G$5,K$5,$G832=$G$6,K$6,$G832=$G$7,K$7,$G832=$G$8,K$8,$G832=$G$9,K$9,$G832=$G$10,K$10,$G832=$G$11,K$11,$G832=$G$12,K$12,$G832=$G$13,K$13,$G832=$G$15,K$15,$G832=$G$16,K$16,$G832=$G$17,K$17,$G832=$G$18,K$18,$G832=$G$19,K$19,$G832=$G$20,K$20,$G832=$G$21,K$21,$G832=$G$22,K$22,$G832=$G$25,K$25,$G832=$G$26,K$26,$G832=$G$27,K$27,$G832=$G$29,K$29,$G832=$G$31,K$31,$G832=$G$32,K$150,$G832=$G$248,K$248,$G832=$G$250,K$250)</f>
        <v>BG sentinel + BG lure7</v>
      </c>
      <c r="L832" s="48" t="str" cm="1">
        <f t="array" ref="L832">_xlfn.IFS($G832=$G$5,L$5,$G832=$G$6,L$6,$G832=$G$7,L$7,$G832=$G$8,L$8,$G832=$G$9,L$9,$G832=$G$10,L$10,$G832=$G$11,L$11,$G832=$G$12,L$12,$G832=$G$13,L$13,$G832=$G$15,L$15,$G832=$G$16,L$16,$G832=$G$17,L$17,$G832=$G$18,L$18,$G832=$G$19,L$19,$G832=$G$20,L$20,$G832=$G$21,L$21,$G832=$G$22,L$22,$G832=$G$25,L$25,$G832=$G$26,L$26,$G832=$G$27,L$27,$G832=$G$29,L$29,$G832=$G$31,L$31,$G832=$G$32,L$32,$G832=$G$248,L$248,$G832=$G$250,L$250)</f>
        <v>Other</v>
      </c>
      <c r="M832" s="48"/>
      <c r="O832" s="45" t="str">
        <f t="shared" si="54"/>
        <v>A_SP_BCN_13_210929</v>
      </c>
      <c r="P832" s="64">
        <v>44468</v>
      </c>
      <c r="R832" s="72"/>
      <c r="S832" s="64">
        <v>44475</v>
      </c>
      <c r="U832" s="72"/>
      <c r="V832" s="54" t="s">
        <v>66</v>
      </c>
      <c r="X832" s="45">
        <f t="shared" si="55"/>
        <v>7</v>
      </c>
      <c r="Z832" s="45" t="s">
        <v>80</v>
      </c>
      <c r="AA832" s="45">
        <f t="shared" ref="AA832:AA1167" si="70">SUM(AC832:AD832)</f>
        <v>1</v>
      </c>
      <c r="AB832" t="str">
        <f t="shared" si="68"/>
        <v>Adult</v>
      </c>
      <c r="AC832" s="69">
        <v>1</v>
      </c>
      <c r="AD832" s="69">
        <v>0</v>
      </c>
      <c r="AE832" s="45" t="str">
        <f t="shared" si="69"/>
        <v>Morphological</v>
      </c>
      <c r="AF832" s="56">
        <v>4</v>
      </c>
    </row>
    <row r="833" spans="1:32" ht="18" customHeight="1" x14ac:dyDescent="0.25">
      <c r="A833" s="45">
        <v>829</v>
      </c>
      <c r="B833" s="45" t="s">
        <v>60</v>
      </c>
      <c r="C833" s="45" t="s">
        <v>61</v>
      </c>
      <c r="D833" s="45" t="s">
        <v>62</v>
      </c>
      <c r="E833" s="45" t="s">
        <v>62</v>
      </c>
      <c r="F833" s="46" cm="1">
        <f t="array" ref="F833">_xlfn.IFS($G833=$G$5,F$5,$G833=$G$6,F$6,$G833=$G$7,F$7,$G833=$G$8,F$8,$G833=$G$9,F$9,$G833=$G$10,F$10,$G833=$G$11,F$11,$G833=$G$12,F$12,$G833=$G$13,F$13,$G833=$G$15,F$15,$G833=$G$16,F$16,$G833=$G$17,F$17,$G833=$G$18,F$18,$G833=$G$19,F$19,$G833=$G$20,F$20,$G833=$G$21,F$21,$G833=$G$22,F$22,$G833=$G$25,F$25,$G833=$G$26,F$26,$G833=$G$27,F$27,$G833=$G$29,F$29,$G833=$G$31,F$31,$G833=$G$32,F$32,$G833=$G$248,F$248,$G833=$G$250,F$250)</f>
        <v>8017</v>
      </c>
      <c r="G833" t="s">
        <v>86</v>
      </c>
      <c r="H833" s="67" cm="1">
        <f t="array" ref="H833">_xlfn.IFS($G833=$G$5,H$5,$G833=$G$6,H$6,$G833=$G$7,H$7,$G833=$G$8,H$8,$G833=$G$9,H$9,$G833=$G$10,H$10,$G833=$G$11,H$11,$G833=$G$12,H$12,$G833=$G$13,H$13,$G833=$G$15,H$15,$G833=$G$16,H$16,$G833=$G$17,H$17,$G833=$G$18,H$18,$G833=$G$19,H$19,$G833=$G$20,H$20,$G833=$G$21,H$21,$G833=$G$22,H$22,$G833=$G$25,H$25,$G833=$G$26,H$26,$G833=$G$27,H$27,$G833=$G$29,H$29,$G833=$G$31,H$31,$G833=$G$32,H$150,$G833=$G$248,H$248,$G833=$G$250,H$250)</f>
        <v>41.428533999999999</v>
      </c>
      <c r="I833" s="67" cm="1">
        <f t="array" ref="I833">_xlfn.IFS($G833=$G$5,I$5,$G833=$G$6,I$6,$G833=$G$7,I$7,$G833=$G$8,I$8,$G833=$G$9,I$9,$G833=$G$10,I$10,$G833=$G$11,I$11,$G833=$G$12,I$12,$G833=$G$13,I$13,$G833=$G$15,I$15,$G833=$G$16,I$16,$G833=$G$17,I$17,$G833=$G$18,I$18,$G833=$G$19,I$19,$G833=$G$20,I$20,$G833=$G$21,I$21,$G833=$G$22,I$22,$G833=$G$25,I$25,$G833=$G$26,I$26,$G833=$G$27,I$27,$G833=$G$29,I$29,$G833=$G$31,I$31,$G833=$G$32,I$150,$G833=$G$248,I$248,$G833=$G$250,I$250)</f>
        <v>2.090954</v>
      </c>
      <c r="J833" s="48" cm="1">
        <f t="array" ref="J833">_xlfn.IFS($G833=$G$5,J$5,$G833=$G$6,J$6,$G833=$G$7,J$7,$G833=$G$8,J$8,$G833=$G$9,J$9,$G833=$G$10,J$10,$G833=$G$11,J$11,$G833=$G$12,J$12,$G833=$G$13,J$13,$G833=$G$15,J$15,$G833=$G$16,J$16,$G833=$G$17,J$17,$G833=$G$18,J$18,$G833=$G$19,J$19,$G833=$G$20,J$20,$G833=$G$21,J$21,$G833=$G$22,J$22,$G833=$G$25,J$25,$G833=$G$26,J$26,$G833=$G$27,J$27,$G833=$G$29,J$29,$G833=$G$31,J$31,$G833=$G$32,J$150,$G833=$G$248,J$248,$G833=$G$250,J$250)</f>
        <v>215</v>
      </c>
      <c r="K833" s="48" t="str" cm="1">
        <f t="array" ref="K833">_xlfn.IFS($G833=$G$5,K$5,$G833=$G$6,K$6,$G833=$G$7,K$7,$G833=$G$8,K$8,$G833=$G$9,K$9,$G833=$G$10,K$10,$G833=$G$11,K$11,$G833=$G$12,K$12,$G833=$G$13,K$13,$G833=$G$15,K$15,$G833=$G$16,K$16,$G833=$G$17,K$17,$G833=$G$18,K$18,$G833=$G$19,K$19,$G833=$G$20,K$20,$G833=$G$21,K$21,$G833=$G$22,K$22,$G833=$G$25,K$25,$G833=$G$26,K$26,$G833=$G$27,K$27,$G833=$G$29,K$29,$G833=$G$31,K$31,$G833=$G$32,K$150,$G833=$G$248,K$248,$G833=$G$250,K$250)</f>
        <v>BG sentinel + BG lure7</v>
      </c>
      <c r="L833" s="48"/>
      <c r="M833" s="48"/>
      <c r="O833" s="45" t="str">
        <f t="shared" si="54"/>
        <v>A_SP_BCN_14_210929</v>
      </c>
      <c r="P833" s="64">
        <v>44468</v>
      </c>
      <c r="R833" s="72"/>
      <c r="S833" s="64">
        <v>44475</v>
      </c>
      <c r="U833" s="72"/>
      <c r="V833" s="54" t="s">
        <v>66</v>
      </c>
      <c r="X833" s="45">
        <f t="shared" si="55"/>
        <v>7</v>
      </c>
      <c r="Z833" s="69" t="s">
        <v>69</v>
      </c>
      <c r="AA833" s="45">
        <f t="shared" si="70"/>
        <v>6</v>
      </c>
      <c r="AB833" t="str">
        <f t="shared" si="68"/>
        <v>Adult</v>
      </c>
      <c r="AC833" s="69">
        <v>5</v>
      </c>
      <c r="AD833" s="69">
        <v>1</v>
      </c>
      <c r="AE833" s="45" t="str">
        <f t="shared" si="69"/>
        <v>Morphological</v>
      </c>
      <c r="AF833" s="56">
        <v>4</v>
      </c>
    </row>
    <row r="834" spans="1:32" ht="18" customHeight="1" x14ac:dyDescent="0.25">
      <c r="A834" s="45">
        <v>830</v>
      </c>
      <c r="B834" s="45" t="s">
        <v>60</v>
      </c>
      <c r="C834" s="45" t="s">
        <v>61</v>
      </c>
      <c r="D834" s="45" t="s">
        <v>62</v>
      </c>
      <c r="E834" s="45" t="s">
        <v>62</v>
      </c>
      <c r="F834" s="46" cm="1">
        <f t="array" ref="F834">_xlfn.IFS($G834=$G$5,F$5,$G834=$G$6,F$6,$G834=$G$7,F$7,$G834=$G$8,F$8,$G834=$G$9,F$9,$G834=$G$10,F$10,$G834=$G$11,F$11,$G834=$G$12,F$12,$G834=$G$13,F$13,$G834=$G$15,F$15,$G834=$G$16,F$16,$G834=$G$17,F$17,$G834=$G$18,F$18,$G834=$G$19,F$19,$G834=$G$20,F$20,$G834=$G$21,F$21,$G834=$G$22,F$22,$G834=$G$25,F$25,$G834=$G$26,F$26,$G834=$G$27,F$27,$G834=$G$29,F$29,$G834=$G$31,F$31,$G834=$G$32,F$32,$G834=$G$248,F$248,$G834=$G$250,F$250)</f>
        <v>8017</v>
      </c>
      <c r="G834" t="s">
        <v>86</v>
      </c>
      <c r="H834" s="67" cm="1">
        <f t="array" ref="H834">_xlfn.IFS($G834=$G$5,H$5,$G834=$G$6,H$6,$G834=$G$7,H$7,$G834=$G$8,H$8,$G834=$G$9,H$9,$G834=$G$10,H$10,$G834=$G$11,H$11,$G834=$G$12,H$12,$G834=$G$13,H$13,$G834=$G$15,H$15,$G834=$G$16,H$16,$G834=$G$17,H$17,$G834=$G$18,H$18,$G834=$G$19,H$19,$G834=$G$20,H$20,$G834=$G$21,H$21,$G834=$G$22,H$22,$G834=$G$25,H$25,$G834=$G$26,H$26,$G834=$G$27,H$27,$G834=$G$29,H$29,$G834=$G$31,H$31,$G834=$G$32,H$150,$G834=$G$248,H$248,$G834=$G$250,H$250)</f>
        <v>41.428533999999999</v>
      </c>
      <c r="I834" s="67" cm="1">
        <f t="array" ref="I834">_xlfn.IFS($G834=$G$5,I$5,$G834=$G$6,I$6,$G834=$G$7,I$7,$G834=$G$8,I$8,$G834=$G$9,I$9,$G834=$G$10,I$10,$G834=$G$11,I$11,$G834=$G$12,I$12,$G834=$G$13,I$13,$G834=$G$15,I$15,$G834=$G$16,I$16,$G834=$G$17,I$17,$G834=$G$18,I$18,$G834=$G$19,I$19,$G834=$G$20,I$20,$G834=$G$21,I$21,$G834=$G$22,I$22,$G834=$G$25,I$25,$G834=$G$26,I$26,$G834=$G$27,I$27,$G834=$G$29,I$29,$G834=$G$31,I$31,$G834=$G$32,I$150,$G834=$G$248,I$248,$G834=$G$250,I$250)</f>
        <v>2.090954</v>
      </c>
      <c r="J834" s="48" cm="1">
        <f t="array" ref="J834">_xlfn.IFS($G834=$G$5,J$5,$G834=$G$6,J$6,$G834=$G$7,J$7,$G834=$G$8,J$8,$G834=$G$9,J$9,$G834=$G$10,J$10,$G834=$G$11,J$11,$G834=$G$12,J$12,$G834=$G$13,J$13,$G834=$G$15,J$15,$G834=$G$16,J$16,$G834=$G$17,J$17,$G834=$G$18,J$18,$G834=$G$19,J$19,$G834=$G$20,J$20,$G834=$G$21,J$21,$G834=$G$22,J$22,$G834=$G$25,J$25,$G834=$G$26,J$26,$G834=$G$27,J$27,$G834=$G$29,J$29,$G834=$G$31,J$31,$G834=$G$32,J$150,$G834=$G$248,J$248,$G834=$G$250,J$250)</f>
        <v>215</v>
      </c>
      <c r="K834" s="48" t="str" cm="1">
        <f t="array" ref="K834">_xlfn.IFS($G834=$G$5,K$5,$G834=$G$6,K$6,$G834=$G$7,K$7,$G834=$G$8,K$8,$G834=$G$9,K$9,$G834=$G$10,K$10,$G834=$G$11,K$11,$G834=$G$12,K$12,$G834=$G$13,K$13,$G834=$G$15,K$15,$G834=$G$16,K$16,$G834=$G$17,K$17,$G834=$G$18,K$18,$G834=$G$19,K$19,$G834=$G$20,K$20,$G834=$G$21,K$21,$G834=$G$22,K$22,$G834=$G$25,K$25,$G834=$G$26,K$26,$G834=$G$27,K$27,$G834=$G$29,K$29,$G834=$G$31,K$31,$G834=$G$32,K$150,$G834=$G$248,K$248,$G834=$G$250,K$250)</f>
        <v>BG sentinel + BG lure7</v>
      </c>
      <c r="L834" s="48"/>
      <c r="M834" s="48"/>
      <c r="O834" s="45" t="str">
        <f t="shared" si="54"/>
        <v>A_SP_BCN_14_210929</v>
      </c>
      <c r="P834" s="64">
        <v>44468</v>
      </c>
      <c r="R834" s="72"/>
      <c r="S834" s="64">
        <v>44475</v>
      </c>
      <c r="U834" s="72"/>
      <c r="V834" s="54" t="s">
        <v>66</v>
      </c>
      <c r="X834" s="45">
        <f t="shared" si="55"/>
        <v>7</v>
      </c>
      <c r="Z834" s="45" t="s">
        <v>70</v>
      </c>
      <c r="AA834" s="45">
        <f t="shared" si="70"/>
        <v>5</v>
      </c>
      <c r="AB834" t="str">
        <f t="shared" si="68"/>
        <v>Adult</v>
      </c>
      <c r="AC834" s="69">
        <v>4</v>
      </c>
      <c r="AD834" s="69">
        <v>1</v>
      </c>
      <c r="AE834" s="45" t="str">
        <f t="shared" si="69"/>
        <v>Morphological</v>
      </c>
      <c r="AF834" s="56">
        <v>4</v>
      </c>
    </row>
    <row r="835" spans="1:32" ht="18" customHeight="1" x14ac:dyDescent="0.25">
      <c r="A835" s="45">
        <v>831</v>
      </c>
      <c r="B835" s="45" t="s">
        <v>60</v>
      </c>
      <c r="C835" s="45" t="s">
        <v>61</v>
      </c>
      <c r="D835" s="45" t="s">
        <v>62</v>
      </c>
      <c r="E835" s="45" t="s">
        <v>62</v>
      </c>
      <c r="F835" s="46" cm="1">
        <f t="array" ref="F835">_xlfn.IFS($G835=$G$5,F$5,$G835=$G$6,F$6,$G835=$G$7,F$7,$G835=$G$8,F$8,$G835=$G$9,F$9,$G835=$G$10,F$10,$G835=$G$11,F$11,$G835=$G$12,F$12,$G835=$G$13,F$13,$G835=$G$15,F$15,$G835=$G$16,F$16,$G835=$G$17,F$17,$G835=$G$18,F$18,$G835=$G$19,F$19,$G835=$G$20,F$20,$G835=$G$21,F$21,$G835=$G$22,F$22,$G835=$G$25,F$25,$G835=$G$26,F$26,$G835=$G$27,F$27,$G835=$G$29,F$29,$G835=$G$31,F$31,$G835=$G$32,F$32,$G835=$G$248,F$248,$G835=$G$250,F$250)</f>
        <v>8017</v>
      </c>
      <c r="G835" t="s">
        <v>87</v>
      </c>
      <c r="H835" s="67" cm="1">
        <f t="array" ref="H835">_xlfn.IFS($G835=$G$5,H$5,$G835=$G$6,H$6,$G835=$G$7,H$7,$G835=$G$8,H$8,$G835=$G$9,H$9,$G835=$G$10,H$10,$G835=$G$11,H$11,$G835=$G$12,H$12,$G835=$G$13,H$13,$G835=$G$15,H$15,$G835=$G$16,H$16,$G835=$G$17,H$17,$G835=$G$18,H$18,$G835=$G$19,H$19,$G835=$G$20,H$20,$G835=$G$21,H$21,$G835=$G$22,H$22,$G835=$G$25,H$25,$G835=$G$26,H$26,$G835=$G$27,H$27,$G835=$G$29,H$29,$G835=$G$31,H$31,$G835=$G$32,H$150,$G835=$G$248,H$248,$G835=$G$250,H$250)</f>
        <v>41.419471000000001</v>
      </c>
      <c r="I835" s="67" cm="1">
        <f t="array" ref="I835">_xlfn.IFS($G835=$G$5,I$5,$G835=$G$6,I$6,$G835=$G$7,I$7,$G835=$G$8,I$8,$G835=$G$9,I$9,$G835=$G$10,I$10,$G835=$G$11,I$11,$G835=$G$12,I$12,$G835=$G$13,I$13,$G835=$G$15,I$15,$G835=$G$16,I$16,$G835=$G$17,I$17,$G835=$G$18,I$18,$G835=$G$19,I$19,$G835=$G$20,I$20,$G835=$G$21,I$21,$G835=$G$22,I$22,$G835=$G$25,I$25,$G835=$G$26,I$26,$G835=$G$27,I$27,$G835=$G$29,I$29,$G835=$G$31,I$31,$G835=$G$32,I$150,$G835=$G$248,I$248,$G835=$G$250,I$250)</f>
        <v>2.1010149999999999</v>
      </c>
      <c r="J835" s="48" cm="1">
        <f t="array" ref="J835">_xlfn.IFS($G835=$G$5,J$5,$G835=$G$6,J$6,$G835=$G$7,J$7,$G835=$G$8,J$8,$G835=$G$9,J$9,$G835=$G$10,J$10,$G835=$G$11,J$11,$G835=$G$12,J$12,$G835=$G$13,J$13,$G835=$G$15,J$15,$G835=$G$16,J$16,$G835=$G$17,J$17,$G835=$G$18,J$18,$G835=$G$19,J$19,$G835=$G$20,J$20,$G835=$G$21,J$21,$G835=$G$22,J$22,$G835=$G$25,J$25,$G835=$G$26,J$26,$G835=$G$27,J$27,$G835=$G$29,J$29,$G835=$G$31,J$31,$G835=$G$32,J$150,$G835=$G$248,J$248,$G835=$G$250,J$250)</f>
        <v>284</v>
      </c>
      <c r="K835" s="48" t="str" cm="1">
        <f t="array" ref="K835">_xlfn.IFS($G835=$G$5,K$5,$G835=$G$6,K$6,$G835=$G$7,K$7,$G835=$G$8,K$8,$G835=$G$9,K$9,$G835=$G$10,K$10,$G835=$G$11,K$11,$G835=$G$12,K$12,$G835=$G$13,K$13,$G835=$G$15,K$15,$G835=$G$16,K$16,$G835=$G$17,K$17,$G835=$G$18,K$18,$G835=$G$19,K$19,$G835=$G$20,K$20,$G835=$G$21,K$21,$G835=$G$22,K$22,$G835=$G$25,K$25,$G835=$G$26,K$26,$G835=$G$27,K$27,$G835=$G$29,K$29,$G835=$G$31,K$31,$G835=$G$32,K$150,$G835=$G$248,K$248,$G835=$G$250,K$250)</f>
        <v>BG sentinel + BG lure7</v>
      </c>
      <c r="L835" s="48"/>
      <c r="M835" s="48"/>
      <c r="O835" s="45" t="str">
        <f t="shared" si="54"/>
        <v>A_SP_BCN_15_210929</v>
      </c>
      <c r="P835" s="64">
        <v>44468</v>
      </c>
      <c r="R835" s="72"/>
      <c r="S835" s="64">
        <v>44475</v>
      </c>
      <c r="U835" s="72"/>
      <c r="V835" s="54" t="s">
        <v>66</v>
      </c>
      <c r="X835" s="45">
        <f t="shared" si="55"/>
        <v>7</v>
      </c>
      <c r="Z835" s="69" t="s">
        <v>69</v>
      </c>
      <c r="AA835" s="45">
        <f t="shared" si="70"/>
        <v>4</v>
      </c>
      <c r="AB835" t="str">
        <f t="shared" si="68"/>
        <v>Adult</v>
      </c>
      <c r="AC835" s="69">
        <v>4</v>
      </c>
      <c r="AD835" s="69">
        <v>0</v>
      </c>
      <c r="AE835" s="45" t="str">
        <f t="shared" si="69"/>
        <v>Morphological</v>
      </c>
      <c r="AF835" s="56">
        <v>4</v>
      </c>
    </row>
    <row r="836" spans="1:32" ht="18" customHeight="1" x14ac:dyDescent="0.25">
      <c r="A836" s="45">
        <v>832</v>
      </c>
      <c r="B836" s="45" t="s">
        <v>60</v>
      </c>
      <c r="C836" s="45" t="s">
        <v>61</v>
      </c>
      <c r="D836" s="45" t="s">
        <v>62</v>
      </c>
      <c r="E836" s="45" t="s">
        <v>62</v>
      </c>
      <c r="F836" s="59" cm="1">
        <f t="array" ref="F836">_xlfn.IFS($G836=$G$5,F$5,$G836=$G$6,F$6,$G836=$G$7,F$7,$G836=$G$8,F$8,$G836=$G$9,F$9,$G836=$G$10,F$10,$G836=$G$11,F$11,$G836=$G$12,F$12,$G836=$G$13,F$13,$G836=$G$15,F$15,$G836=$G$16,F$16,$G836=$G$17,F$17,$G836=$G$18,F$18,$G836=$G$19,F$19,$G836=$G$20,F$20,$G836=$G$21,F$21,$G836=$G$22,F$22,$G836=$G$25,F$25,$G836=$G$26,F$26,$G836=$G$27,F$27,$G836=$G$29,F$29,$G836=$G$31,F$31,$G836=$G$32,F$32,$G836=$G$248,F$248,$G836=$G$250,F$250)</f>
        <v>8017</v>
      </c>
      <c r="G836" t="s">
        <v>88</v>
      </c>
      <c r="H836" s="60" cm="1">
        <f t="array" ref="H836">_xlfn.IFS($G836=$G$5,H$5,$G836=$G$6,H$6,$G836=$G$7,H$7,$G836=$G$8,H$8,$G836=$G$9,H$9,$G836=$G$10,H$10,$G836=$G$11,H$11,$G836=$G$12,H$12,$G836=$G$13,H$13,$G836=$G$15,H$15,$G836=$G$16,H$16,$G836=$G$17,H$17,$G836=$G$18,H$18,$G836=$G$19,H$19,$G836=$G$20,H$20,$G836=$G$21,H$21,$G836=$G$22,H$22,$G836=$G$25,H$25,$G836=$G$26,H$26,$G836=$G$27,H$27,$G836=$G$29,H$29,$G836=$G$31,H$31,$G836=$G$32,H$150,$G836=$G$248,H$248,$G836=$G$250,H$250)</f>
        <v>41.398387</v>
      </c>
      <c r="I836" s="60" cm="1">
        <f t="array" ref="I836">_xlfn.IFS($G836=$G$5,I$5,$G836=$G$6,I$6,$G836=$G$7,I$7,$G836=$G$8,I$8,$G836=$G$9,I$9,$G836=$G$10,I$10,$G836=$G$11,I$11,$G836=$G$12,I$12,$G836=$G$13,I$13,$G836=$G$15,I$15,$G836=$G$16,I$16,$G836=$G$17,I$17,$G836=$G$18,I$18,$G836=$G$19,I$19,$G836=$G$20,I$20,$G836=$G$21,I$21,$G836=$G$22,I$22,$G836=$G$25,I$25,$G836=$G$26,I$26,$G836=$G$27,I$27,$G836=$G$29,I$29,$G836=$G$31,I$31,$G836=$G$32,I$150,$G836=$G$248,I$248,$G836=$G$250,I$250)</f>
        <v>2.1244429999999999</v>
      </c>
      <c r="J836" s="61" cm="1">
        <f t="array" ref="J836">_xlfn.IFS($G836=$G$5,J$5,$G836=$G$6,J$6,$G836=$G$7,J$7,$G836=$G$8,J$8,$G836=$G$9,J$9,$G836=$G$10,J$10,$G836=$G$11,J$11,$G836=$G$12,J$12,$G836=$G$13,J$13,$G836=$G$15,J$15,$G836=$G$16,J$16,$G836=$G$17,J$17,$G836=$G$18,J$18,$G836=$G$19,J$19,$G836=$G$20,J$20,$G836=$G$21,J$21,$G836=$G$22,J$22,$G836=$G$25,J$25,$G836=$G$26,J$26,$G836=$G$27,J$27,$G836=$G$29,J$29,$G836=$G$31,J$31,$G836=$G$32,J$150,$G836=$G$248,J$248,$G836=$G$250,J$250)</f>
        <v>106</v>
      </c>
      <c r="K836" s="48" t="str" cm="1">
        <f t="array" ref="K836">_xlfn.IFS($G836=$G$5,K$5,$G836=$G$6,K$6,$G836=$G$7,K$7,$G836=$G$8,K$8,$G836=$G$9,K$9,$G836=$G$10,K$10,$G836=$G$11,K$11,$G836=$G$12,K$12,$G836=$G$13,K$13,$G836=$G$15,K$15,$G836=$G$16,K$16,$G836=$G$17,K$17,$G836=$G$18,K$18,$G836=$G$19,K$19,$G836=$G$20,K$20,$G836=$G$21,K$21,$G836=$G$22,K$22,$G836=$G$25,K$25,$G836=$G$26,K$26,$G836=$G$27,K$27,$G836=$G$29,K$29,$G836=$G$31,K$31,$G836=$G$32,K$150,$G836=$G$248,K$248,$G836=$G$250,K$250)</f>
        <v>BG sentinel + BG lure7</v>
      </c>
      <c r="O836" s="45" t="str">
        <f t="shared" si="54"/>
        <v>A_SP_BCN_16_210929</v>
      </c>
      <c r="P836" s="64">
        <v>44468</v>
      </c>
      <c r="R836" s="72"/>
      <c r="S836" s="64">
        <v>44475</v>
      </c>
      <c r="U836" s="72"/>
      <c r="V836" s="54" t="s">
        <v>66</v>
      </c>
      <c r="X836" s="45">
        <f t="shared" si="55"/>
        <v>7</v>
      </c>
      <c r="Z836" s="69" t="s">
        <v>69</v>
      </c>
      <c r="AA836" s="45">
        <f t="shared" si="70"/>
        <v>29</v>
      </c>
      <c r="AB836" t="str">
        <f t="shared" si="68"/>
        <v>Adult</v>
      </c>
      <c r="AC836" s="69">
        <v>15</v>
      </c>
      <c r="AD836" s="69">
        <v>14</v>
      </c>
      <c r="AE836" s="45" t="str">
        <f t="shared" si="69"/>
        <v>Morphological</v>
      </c>
      <c r="AF836" s="56">
        <v>4</v>
      </c>
    </row>
    <row r="837" spans="1:32" ht="18" customHeight="1" x14ac:dyDescent="0.25">
      <c r="A837" s="45">
        <v>833</v>
      </c>
      <c r="B837" s="45" t="s">
        <v>60</v>
      </c>
      <c r="C837" s="45" t="s">
        <v>61</v>
      </c>
      <c r="D837" s="45" t="s">
        <v>62</v>
      </c>
      <c r="E837" s="45" t="s">
        <v>62</v>
      </c>
      <c r="F837" s="46" cm="1">
        <f t="array" ref="F837">_xlfn.IFS($G837=$G$5,F$5,$G837=$G$6,F$6,$G837=$G$7,F$7,$G837=$G$8,F$8,$G837=$G$9,F$9,$G837=$G$10,F$10,$G837=$G$11,F$11,$G837=$G$12,F$12,$G837=$G$13,F$13,$G837=$G$15,F$15,$G837=$G$16,F$16,$G837=$G$17,F$17,$G837=$G$18,F$18,$G837=$G$19,F$19,$G837=$G$20,F$20,$G837=$G$21,F$21,$G837=$G$22,F$22,$G837=$G$25,F$25,$G837=$G$26,F$26,$G837=$G$27,F$27,$G837=$G$29,F$29,$G837=$G$31,F$31,$G837=$G$32,F$32,$G837=$G$248,F$248,$G837=$G$250,F$250)</f>
        <v>8017</v>
      </c>
      <c r="G837" t="s">
        <v>88</v>
      </c>
      <c r="H837" s="66" cm="1">
        <f t="array" ref="H837">_xlfn.IFS($G837=$G$5,H$5,$G837=$G$6,H$6,$G837=$G$7,H$7,$G837=$G$8,H$8,$G837=$G$9,H$9,$G837=$G$10,H$10,$G837=$G$11,H$11,$G837=$G$12,H$12,$G837=$G$13,H$13,$G837=$G$15,H$15,$G837=$G$16,H$16,$G837=$G$17,H$17,$G837=$G$18,H$18,$G837=$G$19,H$19,$G837=$G$20,H$20,$G837=$G$21,H$21,$G837=$G$22,H$22,$G837=$G$25,H$25,$G837=$G$26,H$26,$G837=$G$27,H$27,$G837=$G$29,H$29,$G837=$G$31,H$31,$G837=$G$32,H$150,$G837=$G$248,H$248,$G837=$G$250,H$250)</f>
        <v>41.398387</v>
      </c>
      <c r="I837" s="60" cm="1">
        <f t="array" ref="I837">_xlfn.IFS($G837=$G$5,I$5,$G837=$G$6,I$6,$G837=$G$7,I$7,$G837=$G$8,I$8,$G837=$G$9,I$9,$G837=$G$10,I$10,$G837=$G$11,I$11,$G837=$G$12,I$12,$G837=$G$13,I$13,$G837=$G$15,I$15,$G837=$G$16,I$16,$G837=$G$17,I$17,$G837=$G$18,I$18,$G837=$G$19,I$19,$G837=$G$20,I$20,$G837=$G$21,I$21,$G837=$G$22,I$22,$G837=$G$25,I$25,$G837=$G$26,I$26,$G837=$G$27,I$27,$G837=$G$29,I$29,$G837=$G$31,I$31,$G837=$G$32,I$150,$G837=$G$248,I$248,$G837=$G$250,I$250)</f>
        <v>2.1244429999999999</v>
      </c>
      <c r="J837" cm="1">
        <f t="array" ref="J837">_xlfn.IFS($G837=$G$5,J$5,$G837=$G$6,J$6,$G837=$G$7,J$7,$G837=$G$8,J$8,$G837=$G$9,J$9,$G837=$G$10,J$10,$G837=$G$11,J$11,$G837=$G$12,J$12,$G837=$G$13,J$13,$G837=$G$15,J$15,$G837=$G$16,J$16,$G837=$G$17,J$17,$G837=$G$18,J$18,$G837=$G$19,J$19,$G837=$G$20,J$20,$G837=$G$21,J$21,$G837=$G$22,J$22,$G837=$G$25,J$25,$G837=$G$26,J$26,$G837=$G$27,J$27,$G837=$G$29,J$29,$G837=$G$31,J$31,$G837=$G$32,J$150,$G837=$G$248,J$248,$G837=$G$250,J$250)</f>
        <v>106</v>
      </c>
      <c r="K837" s="48" t="str" cm="1">
        <f t="array" ref="K837">_xlfn.IFS($G837=$G$5,K$5,$G837=$G$6,K$6,$G837=$G$7,K$7,$G837=$G$8,K$8,$G837=$G$9,K$9,$G837=$G$10,K$10,$G837=$G$11,K$11,$G837=$G$12,K$12,$G837=$G$13,K$13,$G837=$G$15,K$15,$G837=$G$16,K$16,$G837=$G$17,K$17,$G837=$G$18,K$18,$G837=$G$19,K$19,$G837=$G$20,K$20,$G837=$G$21,K$21,$G837=$G$22,K$22,$G837=$G$25,K$25,$G837=$G$26,K$26,$G837=$G$27,K$27,$G837=$G$29,K$29,$G837=$G$31,K$31,$G837=$G$32,K$150,$G837=$G$248,K$248,$G837=$G$250,K$250)</f>
        <v>BG sentinel + BG lure7</v>
      </c>
      <c r="M837" s="48"/>
      <c r="O837" s="45" t="str">
        <f t="shared" si="54"/>
        <v>A_SP_BCN_16_210929</v>
      </c>
      <c r="P837" s="64">
        <v>44468</v>
      </c>
      <c r="R837" s="72"/>
      <c r="S837" s="64">
        <v>44475</v>
      </c>
      <c r="U837" s="72"/>
      <c r="V837" s="54" t="s">
        <v>66</v>
      </c>
      <c r="X837" s="45">
        <f t="shared" si="55"/>
        <v>7</v>
      </c>
      <c r="Z837" s="45" t="s">
        <v>70</v>
      </c>
      <c r="AA837" s="45">
        <f t="shared" si="70"/>
        <v>36</v>
      </c>
      <c r="AB837" t="str">
        <f t="shared" si="68"/>
        <v>Adult</v>
      </c>
      <c r="AC837" s="69">
        <v>26</v>
      </c>
      <c r="AD837" s="69">
        <v>10</v>
      </c>
      <c r="AE837" s="45" t="str">
        <f t="shared" si="69"/>
        <v>Morphological</v>
      </c>
      <c r="AF837" s="56">
        <v>4</v>
      </c>
    </row>
    <row r="838" spans="1:32" ht="18" customHeight="1" x14ac:dyDescent="0.25">
      <c r="A838" s="45">
        <v>834</v>
      </c>
      <c r="B838" s="45" t="s">
        <v>60</v>
      </c>
      <c r="C838" s="45" t="s">
        <v>61</v>
      </c>
      <c r="D838" s="45" t="s">
        <v>62</v>
      </c>
      <c r="E838" s="45" t="s">
        <v>62</v>
      </c>
      <c r="F838" s="46" cm="1">
        <f t="array" ref="F838">_xlfn.IFS($G838=$G$5,F$5,$G838=$G$6,F$6,$G838=$G$7,F$7,$G838=$G$8,F$8,$G838=$G$9,F$9,$G838=$G$10,F$10,$G838=$G$11,F$11,$G838=$G$12,F$12,$G838=$G$13,F$13,$G838=$G$15,F$15,$G838=$G$16,F$16,$G838=$G$17,F$17,$G838=$G$18,F$18,$G838=$G$19,F$19,$G838=$G$20,F$20,$G838=$G$21,F$21,$G838=$G$22,F$22,$G838=$G$25,F$25,$G838=$G$26,F$26,$G838=$G$27,F$27,$G838=$G$29,F$29,$G838=$G$31,F$31,$G838=$G$32,F$32,$G838=$G$248,F$248,$G838=$G$250,F$250)</f>
        <v>8023</v>
      </c>
      <c r="G838" t="s">
        <v>89</v>
      </c>
      <c r="H838" s="66" cm="1">
        <f t="array" ref="H838">_xlfn.IFS($G838=$G$5,H$5,$G838=$G$6,H$6,$G838=$G$7,H$7,$G838=$G$8,H$8,$G838=$G$9,H$9,$G838=$G$10,H$10,$G838=$G$11,H$11,$G838=$G$12,H$12,$G838=$G$13,H$13,$G838=$G$15,H$15,$G838=$G$16,H$16,$G838=$G$17,H$17,$G838=$G$18,H$18,$G838=$G$19,H$19,$G838=$G$20,H$20,$G838=$G$21,H$21,$G838=$G$22,H$22,$G838=$G$25,H$25,$G838=$G$26,H$26,$G838=$G$27,H$27,$G838=$G$29,H$29,$G838=$G$31,H$31,$G838=$G$32,H$150,$G838=$G$248,H$248,$G838=$G$250,H$250)</f>
        <v>41.417256000000002</v>
      </c>
      <c r="I838" s="60" cm="1">
        <f t="array" ref="I838">_xlfn.IFS($G838=$G$5,I$5,$G838=$G$6,I$6,$G838=$G$7,I$7,$G838=$G$8,I$8,$G838=$G$9,I$9,$G838=$G$10,I$10,$G838=$G$11,I$11,$G838=$G$12,I$12,$G838=$G$13,I$13,$G838=$G$15,I$15,$G838=$G$16,I$16,$G838=$G$17,I$17,$G838=$G$18,I$18,$G838=$G$19,I$19,$G838=$G$20,I$20,$G838=$G$21,I$21,$G838=$G$22,I$22,$G838=$G$25,I$25,$G838=$G$26,I$26,$G838=$G$27,I$27,$G838=$G$29,I$29,$G838=$G$31,I$31,$G838=$G$32,I$150,$G838=$G$248,I$248,$G838=$G$250,I$250)</f>
        <v>2.1455709999999999</v>
      </c>
      <c r="J838" s="48" cm="1">
        <f t="array" ref="J838">_xlfn.IFS($G838=$G$5,J$5,$G838=$G$6,J$6,$G838=$G$7,J$7,$G838=$G$8,J$8,$G838=$G$9,J$9,$G838=$G$10,J$10,$G838=$G$11,J$11,$G838=$G$12,J$12,$G838=$G$13,J$13,$G838=$G$15,J$15,$G838=$G$16,J$16,$G838=$G$17,J$17,$G838=$G$18,J$18,$G838=$G$19,J$19,$G838=$G$20,J$20,$G838=$G$21,J$21,$G838=$G$22,J$22,$G838=$G$25,J$25,$G838=$G$26,J$26,$G838=$G$27,J$27,$G838=$G$29,J$29,$G838=$G$31,J$31,$G838=$G$32,J$150,$G838=$G$248,J$248,$G838=$G$250,J$250)</f>
        <v>186</v>
      </c>
      <c r="K838" s="48" t="str" cm="1">
        <f t="array" ref="K838">_xlfn.IFS($G838=$G$5,K$5,$G838=$G$6,K$6,$G838=$G$7,K$7,$G838=$G$8,K$8,$G838=$G$9,K$9,$G838=$G$10,K$10,$G838=$G$11,K$11,$G838=$G$12,K$12,$G838=$G$13,K$13,$G838=$G$15,K$15,$G838=$G$16,K$16,$G838=$G$17,K$17,$G838=$G$18,K$18,$G838=$G$19,K$19,$G838=$G$20,K$20,$G838=$G$21,K$21,$G838=$G$22,K$22,$G838=$G$25,K$25,$G838=$G$26,K$26,$G838=$G$27,K$27,$G838=$G$29,K$29,$G838=$G$31,K$31,$G838=$G$32,K$150,$G838=$G$248,K$248,$G838=$G$250,K$250)</f>
        <v>BG sentinel + BG lure7</v>
      </c>
      <c r="M838" s="48"/>
      <c r="O838" s="45" t="str">
        <f t="shared" si="54"/>
        <v>A_SP_BCN_17_210929</v>
      </c>
      <c r="P838" s="64">
        <v>44468</v>
      </c>
      <c r="R838" s="72"/>
      <c r="S838" s="64">
        <v>44475</v>
      </c>
      <c r="U838" s="72"/>
      <c r="V838" s="54" t="s">
        <v>66</v>
      </c>
      <c r="X838" s="45">
        <f t="shared" si="55"/>
        <v>7</v>
      </c>
      <c r="Z838" s="69" t="s">
        <v>69</v>
      </c>
      <c r="AA838" s="45">
        <f t="shared" si="70"/>
        <v>6</v>
      </c>
      <c r="AB838" t="str">
        <f t="shared" si="68"/>
        <v>Adult</v>
      </c>
      <c r="AC838" s="69">
        <v>5</v>
      </c>
      <c r="AD838" s="69">
        <v>1</v>
      </c>
      <c r="AE838" s="45" t="str">
        <f t="shared" si="69"/>
        <v>Morphological</v>
      </c>
      <c r="AF838" s="56">
        <v>4</v>
      </c>
    </row>
    <row r="839" spans="1:32" ht="18" customHeight="1" x14ac:dyDescent="0.25">
      <c r="A839" s="45">
        <v>835</v>
      </c>
      <c r="B839" s="45" t="s">
        <v>60</v>
      </c>
      <c r="C839" s="45" t="s">
        <v>61</v>
      </c>
      <c r="D839" s="45" t="s">
        <v>62</v>
      </c>
      <c r="E839" s="45" t="s">
        <v>62</v>
      </c>
      <c r="F839" s="46" cm="1">
        <f t="array" ref="F839">_xlfn.IFS($G839=$G$5,F$5,$G839=$G$6,F$6,$G839=$G$7,F$7,$G839=$G$8,F$8,$G839=$G$9,F$9,$G839=$G$10,F$10,$G839=$G$11,F$11,$G839=$G$12,F$12,$G839=$G$13,F$13,$G839=$G$15,F$15,$G839=$G$16,F$16,$G839=$G$17,F$17,$G839=$G$18,F$18,$G839=$G$19,F$19,$G839=$G$20,F$20,$G839=$G$21,F$21,$G839=$G$22,F$22,$G839=$G$25,F$25,$G839=$G$26,F$26,$G839=$G$27,F$27,$G839=$G$29,F$29,$G839=$G$31,F$31,$G839=$G$32,F$32,$G839=$G$248,F$248,$G839=$G$250,F$250)</f>
        <v>8023</v>
      </c>
      <c r="G839" t="s">
        <v>89</v>
      </c>
      <c r="H839" s="66" cm="1">
        <f t="array" ref="H839">_xlfn.IFS($G839=$G$5,H$5,$G839=$G$6,H$6,$G839=$G$7,H$7,$G839=$G$8,H$8,$G839=$G$9,H$9,$G839=$G$10,H$10,$G839=$G$11,H$11,$G839=$G$12,H$12,$G839=$G$13,H$13,$G839=$G$15,H$15,$G839=$G$16,H$16,$G839=$G$17,H$17,$G839=$G$18,H$18,$G839=$G$19,H$19,$G839=$G$20,H$20,$G839=$G$21,H$21,$G839=$G$22,H$22,$G839=$G$25,H$25,$G839=$G$26,H$26,$G839=$G$27,H$27,$G839=$G$29,H$29,$G839=$G$31,H$31,$G839=$G$32,H$150,$G839=$G$248,H$248,$G839=$G$250,H$250)</f>
        <v>41.417256000000002</v>
      </c>
      <c r="I839" s="60" cm="1">
        <f t="array" ref="I839">_xlfn.IFS($G839=$G$5,I$5,$G839=$G$6,I$6,$G839=$G$7,I$7,$G839=$G$8,I$8,$G839=$G$9,I$9,$G839=$G$10,I$10,$G839=$G$11,I$11,$G839=$G$12,I$12,$G839=$G$13,I$13,$G839=$G$15,I$15,$G839=$G$16,I$16,$G839=$G$17,I$17,$G839=$G$18,I$18,$G839=$G$19,I$19,$G839=$G$20,I$20,$G839=$G$21,I$21,$G839=$G$22,I$22,$G839=$G$25,I$25,$G839=$G$26,I$26,$G839=$G$27,I$27,$G839=$G$29,I$29,$G839=$G$31,I$31,$G839=$G$32,I$150,$G839=$G$248,I$248,$G839=$G$250,I$250)</f>
        <v>2.1455709999999999</v>
      </c>
      <c r="J839" cm="1">
        <f t="array" ref="J839">_xlfn.IFS($G839=$G$5,J$5,$G839=$G$6,J$6,$G839=$G$7,J$7,$G839=$G$8,J$8,$G839=$G$9,J$9,$G839=$G$10,J$10,$G839=$G$11,J$11,$G839=$G$12,J$12,$G839=$G$13,J$13,$G839=$G$15,J$15,$G839=$G$16,J$16,$G839=$G$17,J$17,$G839=$G$18,J$18,$G839=$G$19,J$19,$G839=$G$20,J$20,$G839=$G$21,J$21,$G839=$G$22,J$22,$G839=$G$25,J$25,$G839=$G$26,J$26,$G839=$G$27,J$27,$G839=$G$29,J$29,$G839=$G$31,J$31,$G839=$G$32,J$150,$G839=$G$248,J$248,$G839=$G$250,J$250)</f>
        <v>186</v>
      </c>
      <c r="K839" s="48" t="str" cm="1">
        <f t="array" ref="K839">_xlfn.IFS($G839=$G$5,K$5,$G839=$G$6,K$6,$G839=$G$7,K$7,$G839=$G$8,K$8,$G839=$G$9,K$9,$G839=$G$10,K$10,$G839=$G$11,K$11,$G839=$G$12,K$12,$G839=$G$13,K$13,$G839=$G$15,K$15,$G839=$G$16,K$16,$G839=$G$17,K$17,$G839=$G$18,K$18,$G839=$G$19,K$19,$G839=$G$20,K$20,$G839=$G$21,K$21,$G839=$G$22,K$22,$G839=$G$25,K$25,$G839=$G$26,K$26,$G839=$G$27,K$27,$G839=$G$29,K$29,$G839=$G$31,K$31,$G839=$G$32,K$150,$G839=$G$248,K$248,$G839=$G$250,K$250)</f>
        <v>BG sentinel + BG lure7</v>
      </c>
      <c r="M839" s="48"/>
      <c r="O839" s="45" t="str">
        <f t="shared" si="54"/>
        <v>A_SP_BCN_17_210929</v>
      </c>
      <c r="P839" s="64">
        <v>44468</v>
      </c>
      <c r="R839" s="72"/>
      <c r="S839" s="64">
        <v>44475</v>
      </c>
      <c r="U839" s="72"/>
      <c r="V839" s="54" t="s">
        <v>66</v>
      </c>
      <c r="X839" s="45">
        <f t="shared" si="55"/>
        <v>7</v>
      </c>
      <c r="Z839" s="45" t="s">
        <v>70</v>
      </c>
      <c r="AA839" s="45">
        <f t="shared" si="70"/>
        <v>1</v>
      </c>
      <c r="AB839" t="str">
        <f t="shared" si="68"/>
        <v>Adult</v>
      </c>
      <c r="AC839" s="69">
        <v>1</v>
      </c>
      <c r="AD839" s="69">
        <v>0</v>
      </c>
      <c r="AE839" s="45" t="str">
        <f t="shared" si="69"/>
        <v>Morphological</v>
      </c>
      <c r="AF839" s="56">
        <v>4</v>
      </c>
    </row>
    <row r="840" spans="1:32" ht="18" customHeight="1" x14ac:dyDescent="0.25">
      <c r="A840" s="45">
        <v>836</v>
      </c>
      <c r="B840" s="45" t="s">
        <v>60</v>
      </c>
      <c r="C840" s="45" t="s">
        <v>61</v>
      </c>
      <c r="D840" s="45" t="s">
        <v>62</v>
      </c>
      <c r="E840" s="45" t="s">
        <v>62</v>
      </c>
      <c r="F840" s="46" cm="1">
        <f t="array" ref="F840">_xlfn.IFS($G840=$G$5,F$5,$G840=$G$6,F$6,$G840=$G$7,F$7,$G840=$G$8,F$8,$G840=$G$9,F$9,$G840=$G$10,F$10,$G840=$G$11,F$11,$G840=$G$12,F$12,$G840=$G$13,F$13,$G840=$G$15,F$15,$G840=$G$16,F$16,$G840=$G$17,F$17,$G840=$G$18,F$18,$G840=$G$19,F$19,$G840=$G$20,F$20,$G840=$G$21,F$21,$G840=$G$22,F$22,$G840=$G$25,F$25,$G840=$G$26,F$26,$G840=$G$27,F$27,$G840=$G$29,F$29,$G840=$G$31,F$31,$G840=$G$32,F$32,$G840=$G$248,F$248,$G840=$G$250,F$250)</f>
        <v>8031</v>
      </c>
      <c r="G840" t="s">
        <v>92</v>
      </c>
      <c r="H840" s="66" cm="1">
        <f t="array" ref="H840">_xlfn.IFS($G840=$G$5,H$5,$G840=$G$6,H$6,$G840=$G$7,H$7,$G840=$G$8,H$8,$G840=$G$9,H$9,$G840=$G$10,H$10,$G840=$G$11,H$11,$G840=$G$12,H$12,$G840=$G$13,H$13,$G840=$G$15,H$15,$G840=$G$16,H$16,$G840=$G$17,H$17,$G840=$G$18,H$18,$G840=$G$19,H$19,$G840=$G$20,H$20,$G840=$G$21,H$21,$G840=$G$22,H$22,$G840=$G$25,H$25,$G840=$G$26,H$26,$G840=$G$27,H$27,$G840=$G$29,H$29,$G840=$G$31,H$31,$G840=$G$32,H$150,$G840=$G$248,H$248,$G840=$G$250,H$250)</f>
        <v>41.433618000000003</v>
      </c>
      <c r="I840" s="60" cm="1">
        <f t="array" ref="I840">_xlfn.IFS($G840=$G$5,I$5,$G840=$G$6,I$6,$G840=$G$7,I$7,$G840=$G$8,I$8,$G840=$G$9,I$9,$G840=$G$10,I$10,$G840=$G$11,I$11,$G840=$G$12,I$12,$G840=$G$13,I$13,$G840=$G$15,I$15,$G840=$G$16,I$16,$G840=$G$17,I$17,$G840=$G$18,I$18,$G840=$G$19,I$19,$G840=$G$20,I$20,$G840=$G$21,I$21,$G840=$G$22,I$22,$G840=$G$25,I$25,$G840=$G$26,I$26,$G840=$G$27,I$27,$G840=$G$29,I$29,$G840=$G$31,I$31,$G840=$G$32,I$150,$G840=$G$248,I$248,$G840=$G$250,I$250)</f>
        <v>2.1677469999999999</v>
      </c>
      <c r="J840" cm="1">
        <f t="array" ref="J840">_xlfn.IFS($G840=$G$5,J$5,$G840=$G$6,J$6,$G840=$G$7,J$7,$G840=$G$8,J$8,$G840=$G$9,J$9,$G840=$G$10,J$10,$G840=$G$11,J$11,$G840=$G$12,J$12,$G840=$G$13,J$13,$G840=$G$15,J$15,$G840=$G$16,J$16,$G840=$G$17,J$17,$G840=$G$18,J$18,$G840=$G$19,J$19,$G840=$G$20,J$20,$G840=$G$21,J$21,$G840=$G$22,J$22,$G840=$G$25,J$25,$G840=$G$26,J$26,$G840=$G$27,J$27,$G840=$G$29,J$29,$G840=$G$31,J$31,$G840=$G$32,J$150,$G840=$G$248,J$248,$G840=$G$250,J$250)</f>
        <v>96.85</v>
      </c>
      <c r="K840" s="48" t="str" cm="1">
        <f t="array" ref="K840">_xlfn.IFS($G840=$G$5,K$5,$G840=$G$6,K$6,$G840=$G$7,K$7,$G840=$G$8,K$8,$G840=$G$9,K$9,$G840=$G$10,K$10,$G840=$G$11,K$11,$G840=$G$12,K$12,$G840=$G$13,K$13,$G840=$G$15,K$15,$G840=$G$16,K$16,$G840=$G$17,K$17,$G840=$G$18,K$18,$G840=$G$19,K$19,$G840=$G$20,K$20,$G840=$G$21,K$21,$G840=$G$22,K$22,$G840=$G$25,K$25,$G840=$G$26,K$26,$G840=$G$27,K$27,$G840=$G$29,K$29,$G840=$G$31,K$31,$G840=$G$32,K$150,$G840=$G$248,K$248,$G840=$G$250,K$250)</f>
        <v>BG sentinel + BG lure7</v>
      </c>
      <c r="M840" s="48"/>
      <c r="O840" s="45" t="str">
        <f t="shared" si="54"/>
        <v>A_SP_BCN_18_210929</v>
      </c>
      <c r="P840" s="64">
        <v>44468</v>
      </c>
      <c r="R840" s="72"/>
      <c r="S840" s="64">
        <v>44475</v>
      </c>
      <c r="U840" s="72"/>
      <c r="V840" s="54" t="s">
        <v>66</v>
      </c>
      <c r="X840" s="45">
        <f>S840-P840</f>
        <v>7</v>
      </c>
      <c r="Z840" s="69" t="s">
        <v>69</v>
      </c>
      <c r="AA840" s="45">
        <f t="shared" si="70"/>
        <v>6</v>
      </c>
      <c r="AB840" t="str">
        <f t="shared" si="68"/>
        <v>Adult</v>
      </c>
      <c r="AC840" s="69">
        <v>6</v>
      </c>
      <c r="AD840" s="69">
        <v>0</v>
      </c>
      <c r="AE840" s="45" t="str">
        <f t="shared" si="69"/>
        <v>Morphological</v>
      </c>
      <c r="AF840" s="56">
        <v>4</v>
      </c>
    </row>
    <row r="841" spans="1:32" ht="18" customHeight="1" x14ac:dyDescent="0.25">
      <c r="A841" s="45">
        <v>837</v>
      </c>
      <c r="B841" s="45" t="s">
        <v>60</v>
      </c>
      <c r="C841" s="45" t="s">
        <v>61</v>
      </c>
      <c r="D841" s="45" t="s">
        <v>62</v>
      </c>
      <c r="E841" s="45" t="s">
        <v>62</v>
      </c>
      <c r="F841" s="46" cm="1">
        <f t="array" ref="F841">_xlfn.IFS($G841=$G$5,F$5,$G841=$G$6,F$6,$G841=$G$7,F$7,$G841=$G$8,F$8,$G841=$G$9,F$9,$G841=$G$10,F$10,$G841=$G$11,F$11,$G841=$G$12,F$12,$G841=$G$13,F$13,$G841=$G$15,F$15,$G841=$G$16,F$16,$G841=$G$17,F$17,$G841=$G$18,F$18,$G841=$G$19,F$19,$G841=$G$20,F$20,$G841=$G$21,F$21,$G841=$G$22,F$22,$G841=$G$25,F$25,$G841=$G$26,F$26,$G841=$G$27,F$27,$G841=$G$29,F$29,$G841=$G$31,F$31,$G841=$G$32,F$32,$G841=$G$248,F$248,$G841=$G$250,F$250)</f>
        <v>8038</v>
      </c>
      <c r="G841" t="s">
        <v>93</v>
      </c>
      <c r="H841" s="66" cm="1">
        <f t="array" ref="H841">_xlfn.IFS($G841=$G$5,H$5,$G841=$G$6,H$6,$G841=$G$7,H$7,$G841=$G$8,H$8,$G841=$G$9,H$9,$G841=$G$10,H$10,$G841=$G$11,H$11,$G841=$G$12,H$12,$G841=$G$13,H$13,$G841=$G$15,H$15,$G841=$G$16,H$16,$G841=$G$17,H$17,$G841=$G$18,H$18,$G841=$G$19,H$19,$G841=$G$20,H$20,$G841=$G$21,H$21,$G841=$G$22,H$22,$G841=$G$25,H$25,$G841=$G$26,H$26,$G841=$G$27,H$27,$G841=$G$29,H$29,$G841=$G$31,H$31,$G841=$G$32,H$150,$G841=$G$248,H$248,$G841=$G$250,H$250)</f>
        <v>41.359864999999999</v>
      </c>
      <c r="I841" s="60" cm="1">
        <f t="array" ref="I841">_xlfn.IFS($G841=$G$5,I$5,$G841=$G$6,I$6,$G841=$G$7,I$7,$G841=$G$8,I$8,$G841=$G$9,I$9,$G841=$G$10,I$10,$G841=$G$11,I$11,$G841=$G$12,I$12,$G841=$G$13,I$13,$G841=$G$15,I$15,$G841=$G$16,I$16,$G841=$G$17,I$17,$G841=$G$18,I$18,$G841=$G$19,I$19,$G841=$G$20,I$20,$G841=$G$21,I$21,$G841=$G$22,I$22,$G841=$G$25,I$25,$G841=$G$26,I$26,$G841=$G$27,I$27,$G841=$G$29,I$29,$G841=$G$31,I$31,$G841=$G$32,I$150,$G841=$G$248,I$248,$G841=$G$250,I$250)</f>
        <v>2.1445430000000001</v>
      </c>
      <c r="J841" cm="1">
        <f t="array" ref="J841">_xlfn.IFS($G841=$G$5,J$5,$G841=$G$6,J$6,$G841=$G$7,J$7,$G841=$G$8,J$8,$G841=$G$9,J$9,$G841=$G$10,J$10,$G841=$G$11,J$11,$G841=$G$12,J$12,$G841=$G$13,J$13,$G841=$G$15,J$15,$G841=$G$16,J$16,$G841=$G$17,J$17,$G841=$G$18,J$18,$G841=$G$19,J$19,$G841=$G$20,J$20,$G841=$G$21,J$21,$G841=$G$22,J$22,$G841=$G$25,J$25,$G841=$G$26,J$26,$G841=$G$27,J$27,$G841=$G$29,J$29,$G841=$G$31,J$31,$G841=$G$32,J$150,$G841=$G$248,J$248,$G841=$G$250,J$250)</f>
        <v>11.4</v>
      </c>
      <c r="K841" s="48" t="str" cm="1">
        <f t="array" ref="K841">_xlfn.IFS($G841=$G$5,K$5,$G841=$G$6,K$6,$G841=$G$7,K$7,$G841=$G$8,K$8,$G841=$G$9,K$9,$G841=$G$10,K$10,$G841=$G$11,K$11,$G841=$G$12,K$12,$G841=$G$13,K$13,$G841=$G$15,K$15,$G841=$G$16,K$16,$G841=$G$17,K$17,$G841=$G$18,K$18,$G841=$G$19,K$19,$G841=$G$20,K$20,$G841=$G$21,K$21,$G841=$G$22,K$22,$G841=$G$25,K$25,$G841=$G$26,K$26,$G841=$G$27,K$27,$G841=$G$29,K$29,$G841=$G$31,K$31,$G841=$G$32,K$150,$G841=$G$248,K$248,$G841=$G$250,K$250)</f>
        <v>BG sentinel + BG lure7</v>
      </c>
      <c r="M841" s="48"/>
      <c r="O841" s="45" t="str">
        <f t="shared" si="54"/>
        <v>A_SP_BCN_19_210930</v>
      </c>
      <c r="P841" s="64">
        <v>44469</v>
      </c>
      <c r="R841" s="72"/>
      <c r="S841" s="64">
        <v>44476</v>
      </c>
      <c r="U841" s="72"/>
      <c r="V841" s="54" t="s">
        <v>66</v>
      </c>
      <c r="X841" s="45">
        <f t="shared" ref="X841:X904" si="71">S841-P841</f>
        <v>7</v>
      </c>
      <c r="Z841" s="69" t="s">
        <v>69</v>
      </c>
      <c r="AA841" s="45">
        <f t="shared" si="70"/>
        <v>75</v>
      </c>
      <c r="AB841" t="str">
        <f t="shared" si="68"/>
        <v>Adult</v>
      </c>
      <c r="AC841" s="69">
        <v>55</v>
      </c>
      <c r="AD841" s="69">
        <v>20</v>
      </c>
      <c r="AE841" s="45" t="str">
        <f t="shared" si="69"/>
        <v>Morphological</v>
      </c>
      <c r="AF841" s="56">
        <v>4</v>
      </c>
    </row>
    <row r="842" spans="1:32" ht="18" customHeight="1" x14ac:dyDescent="0.25">
      <c r="A842" s="45">
        <v>838</v>
      </c>
      <c r="B842" s="45" t="s">
        <v>60</v>
      </c>
      <c r="C842" s="45" t="s">
        <v>61</v>
      </c>
      <c r="D842" s="45" t="s">
        <v>62</v>
      </c>
      <c r="E842" s="45" t="s">
        <v>62</v>
      </c>
      <c r="F842" s="46" cm="1">
        <f t="array" ref="F842">_xlfn.IFS($G842=$G$5,F$5,$G842=$G$6,F$6,$G842=$G$7,F$7,$G842=$G$8,F$8,$G842=$G$9,F$9,$G842=$G$10,F$10,$G842=$G$11,F$11,$G842=$G$12,F$12,$G842=$G$13,F$13,$G842=$G$15,F$15,$G842=$G$16,F$16,$G842=$G$17,F$17,$G842=$G$18,F$18,$G842=$G$19,F$19,$G842=$G$20,F$20,$G842=$G$21,F$21,$G842=$G$22,F$22,$G842=$G$25,F$25,$G842=$G$26,F$26,$G842=$G$27,F$27,$G842=$G$29,F$29,$G842=$G$31,F$31,$G842=$G$32,F$32,$G842=$G$248,F$248,$G842=$G$250,F$250)</f>
        <v>8038</v>
      </c>
      <c r="G842" t="s">
        <v>93</v>
      </c>
      <c r="H842" s="66" cm="1">
        <f t="array" ref="H842">_xlfn.IFS($G842=$G$5,H$5,$G842=$G$6,H$6,$G842=$G$7,H$7,$G842=$G$8,H$8,$G842=$G$9,H$9,$G842=$G$10,H$10,$G842=$G$11,H$11,$G842=$G$12,H$12,$G842=$G$13,H$13,$G842=$G$15,H$15,$G842=$G$16,H$16,$G842=$G$17,H$17,$G842=$G$18,H$18,$G842=$G$19,H$19,$G842=$G$20,H$20,$G842=$G$21,H$21,$G842=$G$22,H$22,$G842=$G$25,H$25,$G842=$G$26,H$26,$G842=$G$27,H$27,$G842=$G$29,H$29,$G842=$G$31,H$31,$G842=$G$32,H$150,$G842=$G$248,H$248,$G842=$G$250,H$250)</f>
        <v>41.359864999999999</v>
      </c>
      <c r="I842" s="60" cm="1">
        <f t="array" ref="I842">_xlfn.IFS($G842=$G$5,I$5,$G842=$G$6,I$6,$G842=$G$7,I$7,$G842=$G$8,I$8,$G842=$G$9,I$9,$G842=$G$10,I$10,$G842=$G$11,I$11,$G842=$G$12,I$12,$G842=$G$13,I$13,$G842=$G$15,I$15,$G842=$G$16,I$16,$G842=$G$17,I$17,$G842=$G$18,I$18,$G842=$G$19,I$19,$G842=$G$20,I$20,$G842=$G$21,I$21,$G842=$G$22,I$22,$G842=$G$25,I$25,$G842=$G$26,I$26,$G842=$G$27,I$27,$G842=$G$29,I$29,$G842=$G$31,I$31,$G842=$G$32,I$150,$G842=$G$248,I$248,$G842=$G$250,I$250)</f>
        <v>2.1445430000000001</v>
      </c>
      <c r="J842" cm="1">
        <f t="array" ref="J842">_xlfn.IFS($G842=$G$5,J$5,$G842=$G$6,J$6,$G842=$G$7,J$7,$G842=$G$8,J$8,$G842=$G$9,J$9,$G842=$G$10,J$10,$G842=$G$11,J$11,$G842=$G$12,J$12,$G842=$G$13,J$13,$G842=$G$15,J$15,$G842=$G$16,J$16,$G842=$G$17,J$17,$G842=$G$18,J$18,$G842=$G$19,J$19,$G842=$G$20,J$20,$G842=$G$21,J$21,$G842=$G$22,J$22,$G842=$G$25,J$25,$G842=$G$26,J$26,$G842=$G$27,J$27,$G842=$G$29,J$29,$G842=$G$31,J$31,$G842=$G$32,J$150,$G842=$G$248,J$248,$G842=$G$250,J$250)</f>
        <v>11.4</v>
      </c>
      <c r="K842" s="48" t="str" cm="1">
        <f t="array" ref="K842">_xlfn.IFS($G842=$G$5,K$5,$G842=$G$6,K$6,$G842=$G$7,K$7,$G842=$G$8,K$8,$G842=$G$9,K$9,$G842=$G$10,K$10,$G842=$G$11,K$11,$G842=$G$12,K$12,$G842=$G$13,K$13,$G842=$G$15,K$15,$G842=$G$16,K$16,$G842=$G$17,K$17,$G842=$G$18,K$18,$G842=$G$19,K$19,$G842=$G$20,K$20,$G842=$G$21,K$21,$G842=$G$22,K$22,$G842=$G$25,K$25,$G842=$G$26,K$26,$G842=$G$27,K$27,$G842=$G$29,K$29,$G842=$G$31,K$31,$G842=$G$32,K$150,$G842=$G$248,K$248,$G842=$G$250,K$250)</f>
        <v>BG sentinel + BG lure7</v>
      </c>
      <c r="M842" s="48"/>
      <c r="O842" s="45" t="str">
        <f t="shared" si="54"/>
        <v>A_SP_BCN_19_210930</v>
      </c>
      <c r="P842" s="64">
        <v>44469</v>
      </c>
      <c r="R842" s="72"/>
      <c r="S842" s="64">
        <v>44476</v>
      </c>
      <c r="U842" s="72"/>
      <c r="V842" s="54" t="s">
        <v>66</v>
      </c>
      <c r="X842" s="45">
        <f t="shared" si="71"/>
        <v>7</v>
      </c>
      <c r="Z842" s="45" t="s">
        <v>70</v>
      </c>
      <c r="AA842" s="45">
        <f t="shared" si="70"/>
        <v>48</v>
      </c>
      <c r="AB842" t="str">
        <f t="shared" si="68"/>
        <v>Adult</v>
      </c>
      <c r="AC842" s="69">
        <v>45</v>
      </c>
      <c r="AD842" s="69">
        <v>3</v>
      </c>
      <c r="AE842" s="45" t="str">
        <f t="shared" si="69"/>
        <v>Morphological</v>
      </c>
      <c r="AF842" s="56">
        <v>4</v>
      </c>
    </row>
    <row r="843" spans="1:32" ht="18" customHeight="1" x14ac:dyDescent="0.25">
      <c r="A843" s="45">
        <v>839</v>
      </c>
      <c r="B843" s="45" t="s">
        <v>60</v>
      </c>
      <c r="C843" s="45" t="s">
        <v>61</v>
      </c>
      <c r="D843" s="45" t="s">
        <v>62</v>
      </c>
      <c r="E843" s="45" t="s">
        <v>62</v>
      </c>
      <c r="F843" s="46" cm="1">
        <f t="array" ref="F843">_xlfn.IFS($G843=$G$5,F$5,$G843=$G$6,F$6,$G843=$G$7,F$7,$G843=$G$8,F$8,$G843=$G$9,F$9,$G843=$G$10,F$10,$G843=$G$11,F$11,$G843=$G$12,F$12,$G843=$G$13,F$13,$G843=$G$15,F$15,$G843=$G$16,F$16,$G843=$G$17,F$17,$G843=$G$18,F$18,$G843=$G$19,F$19,$G843=$G$20,F$20,$G843=$G$21,F$21,$G843=$G$22,F$22,$G843=$G$25,F$25,$G843=$G$26,F$26,$G843=$G$27,F$27,$G843=$G$29,F$29,$G843=$G$31,F$31,$G843=$G$32,F$32,$G843=$G$248,F$248,$G843=$G$250,F$250)</f>
        <v>8002</v>
      </c>
      <c r="G843" t="s">
        <v>94</v>
      </c>
      <c r="H843" s="66" cm="1">
        <f t="array" ref="H843">_xlfn.IFS($G843=$G$5,H$5,$G843=$G$6,H$6,$G843=$G$7,H$7,$G843=$G$8,H$8,$G843=$G$9,H$9,$G843=$G$10,H$10,$G843=$G$11,H$11,$G843=$G$12,H$12,$G843=$G$13,H$13,$G843=$G$15,H$15,$G843=$G$16,H$16,$G843=$G$17,H$17,$G843=$G$18,H$18,$G843=$G$19,H$19,$G843=$G$20,H$20,$G843=$G$21,H$21,$G843=$G$22,H$22,$G843=$G$25,H$25,$G843=$G$26,H$26,$G843=$G$27,H$27,$G843=$G$29,H$29,$G843=$G$31,H$31,$G843=$G$32,H$150,$G843=$G$248,H$248,$G843=$G$250,H$250)</f>
        <v>41.385213</v>
      </c>
      <c r="I843" s="60" cm="1">
        <f t="array" ref="I843">_xlfn.IFS($G843=$G$5,I$5,$G843=$G$6,I$6,$G843=$G$7,I$7,$G843=$G$8,I$8,$G843=$G$9,I$9,$G843=$G$10,I$10,$G843=$G$11,I$11,$G843=$G$12,I$12,$G843=$G$13,I$13,$G843=$G$15,I$15,$G843=$G$16,I$16,$G843=$G$17,I$17,$G843=$G$18,I$18,$G843=$G$19,I$19,$G843=$G$20,I$20,$G843=$G$21,I$21,$G843=$G$22,I$22,$G843=$G$25,I$25,$G843=$G$26,I$26,$G843=$G$27,I$27,$G843=$G$29,I$29,$G843=$G$31,I$31,$G843=$G$32,I$150,$G843=$G$248,I$248,$G843=$G$250,I$250)</f>
        <v>2.174852</v>
      </c>
      <c r="J843" cm="1">
        <f t="array" ref="J843">_xlfn.IFS($G843=$G$5,J$5,$G843=$G$6,J$6,$G843=$G$7,J$7,$G843=$G$8,J$8,$G843=$G$9,J$9,$G843=$G$10,J$10,$G843=$G$11,J$11,$G843=$G$12,J$12,$G843=$G$13,J$13,$G843=$G$15,J$15,$G843=$G$16,J$16,$G843=$G$17,J$17,$G843=$G$18,J$18,$G843=$G$19,J$19,$G843=$G$20,J$20,$G843=$G$21,J$21,$G843=$G$22,J$22,$G843=$G$25,J$25,$G843=$G$26,J$26,$G843=$G$27,J$27,$G843=$G$29,J$29,$G843=$G$31,J$31,$G843=$G$32,J$150,$G843=$G$248,J$248,$G843=$G$250,J$250)</f>
        <v>14</v>
      </c>
      <c r="K843" s="48" t="str" cm="1">
        <f t="array" ref="K843">_xlfn.IFS($G843=$G$5,K$5,$G843=$G$6,K$6,$G843=$G$7,K$7,$G843=$G$8,K$8,$G843=$G$9,K$9,$G843=$G$10,K$10,$G843=$G$11,K$11,$G843=$G$12,K$12,$G843=$G$13,K$13,$G843=$G$15,K$15,$G843=$G$16,K$16,$G843=$G$17,K$17,$G843=$G$18,K$18,$G843=$G$19,K$19,$G843=$G$20,K$20,$G843=$G$21,K$21,$G843=$G$22,K$22,$G843=$G$25,K$25,$G843=$G$26,K$26,$G843=$G$27,K$27,$G843=$G$29,K$29,$G843=$G$31,K$31,$G843=$G$32,K$150,$G843=$G$248,K$248,$G843=$G$250,K$250)</f>
        <v>BG sentinel + BG lure7</v>
      </c>
      <c r="M843" s="48"/>
      <c r="O843" s="45" t="str">
        <f t="shared" si="54"/>
        <v>A_SP_BCN_20_210930</v>
      </c>
      <c r="P843" s="64">
        <v>44469</v>
      </c>
      <c r="R843" s="72"/>
      <c r="S843" s="64">
        <v>44476</v>
      </c>
      <c r="U843" s="72"/>
      <c r="V843" s="54" t="s">
        <v>66</v>
      </c>
      <c r="X843" s="45">
        <f t="shared" si="71"/>
        <v>7</v>
      </c>
      <c r="Z843" s="69" t="s">
        <v>69</v>
      </c>
      <c r="AA843" s="45">
        <f t="shared" si="70"/>
        <v>17</v>
      </c>
      <c r="AB843" t="str">
        <f t="shared" si="68"/>
        <v>Adult</v>
      </c>
      <c r="AC843" s="69">
        <v>13</v>
      </c>
      <c r="AD843" s="69">
        <v>4</v>
      </c>
      <c r="AE843" s="45" t="str">
        <f t="shared" si="69"/>
        <v>Morphological</v>
      </c>
      <c r="AF843" s="56">
        <v>4</v>
      </c>
    </row>
    <row r="844" spans="1:32" ht="18" customHeight="1" x14ac:dyDescent="0.25">
      <c r="A844" s="45">
        <v>840</v>
      </c>
      <c r="B844" s="45" t="s">
        <v>60</v>
      </c>
      <c r="C844" s="45" t="s">
        <v>61</v>
      </c>
      <c r="D844" s="45" t="s">
        <v>62</v>
      </c>
      <c r="E844" s="45" t="s">
        <v>62</v>
      </c>
      <c r="F844" s="46" cm="1">
        <f t="array" ref="F844">_xlfn.IFS($G844=$G$5,F$5,$G844=$G$6,F$6,$G844=$G$7,F$7,$G844=$G$8,F$8,$G844=$G$9,F$9,$G844=$G$10,F$10,$G844=$G$11,F$11,$G844=$G$12,F$12,$G844=$G$13,F$13,$G844=$G$15,F$15,$G844=$G$16,F$16,$G844=$G$17,F$17,$G844=$G$18,F$18,$G844=$G$19,F$19,$G844=$G$20,F$20,$G844=$G$21,F$21,$G844=$G$22,F$22,$G844=$G$25,F$25,$G844=$G$26,F$26,$G844=$G$27,F$27,$G844=$G$29,F$29,$G844=$G$31,F$31,$G844=$G$32,F$32,$G844=$G$248,F$248,$G844=$G$250,F$250)</f>
        <v>8002</v>
      </c>
      <c r="G844" t="s">
        <v>94</v>
      </c>
      <c r="H844" s="66" cm="1">
        <f t="array" ref="H844">_xlfn.IFS($G844=$G$5,H$5,$G844=$G$6,H$6,$G844=$G$7,H$7,$G844=$G$8,H$8,$G844=$G$9,H$9,$G844=$G$10,H$10,$G844=$G$11,H$11,$G844=$G$12,H$12,$G844=$G$13,H$13,$G844=$G$15,H$15,$G844=$G$16,H$16,$G844=$G$17,H$17,$G844=$G$18,H$18,$G844=$G$19,H$19,$G844=$G$20,H$20,$G844=$G$21,H$21,$G844=$G$22,H$22,$G844=$G$25,H$25,$G844=$G$26,H$26,$G844=$G$27,H$27,$G844=$G$29,H$29,$G844=$G$31,H$31,$G844=$G$32,H$150,$G844=$G$248,H$248,$G844=$G$250,H$250)</f>
        <v>41.385213</v>
      </c>
      <c r="I844" s="60" cm="1">
        <f t="array" ref="I844">_xlfn.IFS($G844=$G$5,I$5,$G844=$G$6,I$6,$G844=$G$7,I$7,$G844=$G$8,I$8,$G844=$G$9,I$9,$G844=$G$10,I$10,$G844=$G$11,I$11,$G844=$G$12,I$12,$G844=$G$13,I$13,$G844=$G$15,I$15,$G844=$G$16,I$16,$G844=$G$17,I$17,$G844=$G$18,I$18,$G844=$G$19,I$19,$G844=$G$20,I$20,$G844=$G$21,I$21,$G844=$G$22,I$22,$G844=$G$25,I$25,$G844=$G$26,I$26,$G844=$G$27,I$27,$G844=$G$29,I$29,$G844=$G$31,I$31,$G844=$G$32,I$150,$G844=$G$248,I$248,$G844=$G$250,I$250)</f>
        <v>2.174852</v>
      </c>
      <c r="J844" cm="1">
        <f t="array" ref="J844">_xlfn.IFS($G844=$G$5,J$5,$G844=$G$6,J$6,$G844=$G$7,J$7,$G844=$G$8,J$8,$G844=$G$9,J$9,$G844=$G$10,J$10,$G844=$G$11,J$11,$G844=$G$12,J$12,$G844=$G$13,J$13,$G844=$G$15,J$15,$G844=$G$16,J$16,$G844=$G$17,J$17,$G844=$G$18,J$18,$G844=$G$19,J$19,$G844=$G$20,J$20,$G844=$G$21,J$21,$G844=$G$22,J$22,$G844=$G$25,J$25,$G844=$G$26,J$26,$G844=$G$27,J$27,$G844=$G$29,J$29,$G844=$G$31,J$31,$G844=$G$32,J$150,$G844=$G$248,J$248,$G844=$G$250,J$250)</f>
        <v>14</v>
      </c>
      <c r="K844" s="48" t="str" cm="1">
        <f t="array" ref="K844">_xlfn.IFS($G844=$G$5,K$5,$G844=$G$6,K$6,$G844=$G$7,K$7,$G844=$G$8,K$8,$G844=$G$9,K$9,$G844=$G$10,K$10,$G844=$G$11,K$11,$G844=$G$12,K$12,$G844=$G$13,K$13,$G844=$G$15,K$15,$G844=$G$16,K$16,$G844=$G$17,K$17,$G844=$G$18,K$18,$G844=$G$19,K$19,$G844=$G$20,K$20,$G844=$G$21,K$21,$G844=$G$22,K$22,$G844=$G$25,K$25,$G844=$G$26,K$26,$G844=$G$27,K$27,$G844=$G$29,K$29,$G844=$G$31,K$31,$G844=$G$32,K$150,$G844=$G$248,K$248,$G844=$G$250,K$250)</f>
        <v>BG sentinel + BG lure7</v>
      </c>
      <c r="M844" s="48"/>
      <c r="O844" s="45" t="str">
        <f t="shared" si="54"/>
        <v>A_SP_BCN_20_210930</v>
      </c>
      <c r="P844" s="64">
        <v>44469</v>
      </c>
      <c r="R844" s="72"/>
      <c r="S844" s="64">
        <v>44476</v>
      </c>
      <c r="U844" s="72"/>
      <c r="V844" s="54" t="s">
        <v>66</v>
      </c>
      <c r="X844" s="45">
        <f t="shared" si="71"/>
        <v>7</v>
      </c>
      <c r="Z844" s="45" t="s">
        <v>70</v>
      </c>
      <c r="AA844" s="45">
        <f t="shared" si="70"/>
        <v>7</v>
      </c>
      <c r="AB844" t="str">
        <f t="shared" si="68"/>
        <v>Adult</v>
      </c>
      <c r="AC844" s="69">
        <v>4</v>
      </c>
      <c r="AD844" s="69">
        <v>3</v>
      </c>
      <c r="AE844" s="45" t="str">
        <f t="shared" si="69"/>
        <v>Morphological</v>
      </c>
      <c r="AF844" s="56">
        <v>4</v>
      </c>
    </row>
    <row r="845" spans="1:32" ht="18" customHeight="1" x14ac:dyDescent="0.25">
      <c r="A845" s="45">
        <v>841</v>
      </c>
      <c r="B845" s="45" t="s">
        <v>60</v>
      </c>
      <c r="C845" s="45" t="s">
        <v>61</v>
      </c>
      <c r="D845" s="45" t="s">
        <v>62</v>
      </c>
      <c r="E845" s="45" t="s">
        <v>62</v>
      </c>
      <c r="F845" s="46" cm="1">
        <f t="array" ref="F845">_xlfn.IFS($G845=$G$5,F$5,$G845=$G$6,F$6,$G845=$G$7,F$7,$G845=$G$8,F$8,$G845=$G$9,F$9,$G845=$G$10,F$10,$G845=$G$11,F$11,$G845=$G$12,F$12,$G845=$G$13,F$13,$G845=$G$15,F$15,$G845=$G$16,F$16,$G845=$G$17,F$17,$G845=$G$18,F$18,$G845=$G$19,F$19,$G845=$G$20,F$20,$G845=$G$21,F$21,$G845=$G$22,F$22,$G845=$G$25,F$25,$G845=$G$26,F$26,$G845=$G$27,F$27,$G845=$G$29,F$29,$G845=$G$31,F$31,$G845=$G$32,F$32,$G845=$G$248,F$248,$G845=$G$250,F$250)</f>
        <v>8002</v>
      </c>
      <c r="G845" t="s">
        <v>94</v>
      </c>
      <c r="H845" s="66" cm="1">
        <f t="array" ref="H845">_xlfn.IFS($G845=$G$5,H$5,$G845=$G$6,H$6,$G845=$G$7,H$7,$G845=$G$8,H$8,$G845=$G$9,H$9,$G845=$G$10,H$10,$G845=$G$11,H$11,$G845=$G$12,H$12,$G845=$G$13,H$13,$G845=$G$15,H$15,$G845=$G$16,H$16,$G845=$G$17,H$17,$G845=$G$18,H$18,$G845=$G$19,H$19,$G845=$G$20,H$20,$G845=$G$21,H$21,$G845=$G$22,H$22,$G845=$G$25,H$25,$G845=$G$26,H$26,$G845=$G$27,H$27,$G845=$G$29,H$29,$G845=$G$31,H$31,$G845=$G$32,H$150,$G845=$G$248,H$248,$G845=$G$250,H$250)</f>
        <v>41.385213</v>
      </c>
      <c r="I845" s="60" cm="1">
        <f t="array" ref="I845">_xlfn.IFS($G845=$G$5,I$5,$G845=$G$6,I$6,$G845=$G$7,I$7,$G845=$G$8,I$8,$G845=$G$9,I$9,$G845=$G$10,I$10,$G845=$G$11,I$11,$G845=$G$12,I$12,$G845=$G$13,I$13,$G845=$G$15,I$15,$G845=$G$16,I$16,$G845=$G$17,I$17,$G845=$G$18,I$18,$G845=$G$19,I$19,$G845=$G$20,I$20,$G845=$G$21,I$21,$G845=$G$22,I$22,$G845=$G$25,I$25,$G845=$G$26,I$26,$G845=$G$27,I$27,$G845=$G$29,I$29,$G845=$G$31,I$31,$G845=$G$32,I$150,$G845=$G$248,I$248,$G845=$G$250,I$250)</f>
        <v>2.174852</v>
      </c>
      <c r="J845" cm="1">
        <f t="array" ref="J845">_xlfn.IFS($G845=$G$5,J$5,$G845=$G$6,J$6,$G845=$G$7,J$7,$G845=$G$8,J$8,$G845=$G$9,J$9,$G845=$G$10,J$10,$G845=$G$11,J$11,$G845=$G$12,J$12,$G845=$G$13,J$13,$G845=$G$15,J$15,$G845=$G$16,J$16,$G845=$G$17,J$17,$G845=$G$18,J$18,$G845=$G$19,J$19,$G845=$G$20,J$20,$G845=$G$21,J$21,$G845=$G$22,J$22,$G845=$G$25,J$25,$G845=$G$26,J$26,$G845=$G$27,J$27,$G845=$G$29,J$29,$G845=$G$31,J$31,$G845=$G$32,J$150,$G845=$G$248,J$248,$G845=$G$250,J$250)</f>
        <v>14</v>
      </c>
      <c r="K845" s="48" t="str" cm="1">
        <f t="array" ref="K845">_xlfn.IFS($G845=$G$5,K$5,$G845=$G$6,K$6,$G845=$G$7,K$7,$G845=$G$8,K$8,$G845=$G$9,K$9,$G845=$G$10,K$10,$G845=$G$11,K$11,$G845=$G$12,K$12,$G845=$G$13,K$13,$G845=$G$15,K$15,$G845=$G$16,K$16,$G845=$G$17,K$17,$G845=$G$18,K$18,$G845=$G$19,K$19,$G845=$G$20,K$20,$G845=$G$21,K$21,$G845=$G$22,K$22,$G845=$G$25,K$25,$G845=$G$26,K$26,$G845=$G$27,K$27,$G845=$G$29,K$29,$G845=$G$31,K$31,$G845=$G$32,K$150,$G845=$G$248,K$248,$G845=$G$250,K$250)</f>
        <v>BG sentinel + BG lure7</v>
      </c>
      <c r="M845" s="48"/>
      <c r="O845" s="45" t="str">
        <f t="shared" si="54"/>
        <v>A_SP_BCN_20_210930</v>
      </c>
      <c r="P845" s="64">
        <v>44469</v>
      </c>
      <c r="R845" s="72"/>
      <c r="S845" s="64">
        <v>44476</v>
      </c>
      <c r="U845" s="72"/>
      <c r="V845" s="54" t="s">
        <v>66</v>
      </c>
      <c r="X845" s="45">
        <f t="shared" si="71"/>
        <v>7</v>
      </c>
      <c r="Z845" s="45" t="s">
        <v>80</v>
      </c>
      <c r="AA845" s="45">
        <f t="shared" si="70"/>
        <v>2</v>
      </c>
      <c r="AB845" t="str">
        <f t="shared" si="68"/>
        <v>Adult</v>
      </c>
      <c r="AC845" s="69">
        <v>0</v>
      </c>
      <c r="AD845" s="69">
        <v>2</v>
      </c>
      <c r="AE845" s="45" t="str">
        <f t="shared" si="69"/>
        <v>Morphological</v>
      </c>
      <c r="AF845" s="56">
        <v>4</v>
      </c>
    </row>
    <row r="846" spans="1:32" ht="18" customHeight="1" x14ac:dyDescent="0.25">
      <c r="A846" s="45">
        <v>842</v>
      </c>
      <c r="B846" s="45" t="s">
        <v>60</v>
      </c>
      <c r="C846" s="45" t="s">
        <v>61</v>
      </c>
      <c r="D846" s="45" t="s">
        <v>62</v>
      </c>
      <c r="E846" s="45" t="s">
        <v>62</v>
      </c>
      <c r="F846" s="46" cm="1">
        <f t="array" ref="F846">_xlfn.IFS($G846=$G$5,F$5,$G846=$G$6,F$6,$G846=$G$7,F$7,$G846=$G$8,F$8,$G846=$G$9,F$9,$G846=$G$10,F$10,$G846=$G$11,F$11,$G846=$G$12,F$12,$G846=$G$13,F$13,$G846=$G$15,F$15,$G846=$G$16,F$16,$G846=$G$17,F$17,$G846=$G$18,F$18,$G846=$G$19,F$19,$G846=$G$20,F$20,$G846=$G$21,F$21,$G846=$G$22,F$22,$G846=$G$25,F$25,$G846=$G$26,F$26,$G846=$G$27,F$27,$G846=$G$29,F$29,$G846=$G$31,F$31,$G846=$G$32,F$32,$G846=$G$248,F$248,$G846=$G$250,F$250)</f>
        <v>8017</v>
      </c>
      <c r="G846" t="s">
        <v>98</v>
      </c>
      <c r="H846" s="66" cm="1">
        <f t="array" ref="H846">_xlfn.IFS($G846=$G$5,H$5,$G846=$G$6,H$6,$G846=$G$7,H$7,$G846=$G$8,H$8,$G846=$G$9,H$9,$G846=$G$10,H$10,$G846=$G$11,H$11,$G846=$G$12,H$12,$G846=$G$13,H$13,$G846=$G$15,H$15,$G846=$G$16,H$16,$G846=$G$17,H$17,$G846=$G$18,H$18,$G846=$G$19,H$19,$G846=$G$20,H$20,$G846=$G$21,H$21,$G846=$G$22,H$22,$G846=$G$25,H$25,$G846=$G$26,H$26,$G846=$G$27,H$27,$G846=$G$29,H$29,$G846=$G$31,H$31,$G846=$G$32,H$150,$G846=$G$248,H$248,$G846=$G$250,H$250)</f>
        <v>41.430315999999998</v>
      </c>
      <c r="I846" s="60" cm="1">
        <f t="array" ref="I846">_xlfn.IFS($G846=$G$5,I$5,$G846=$G$6,I$6,$G846=$G$7,I$7,$G846=$G$8,I$8,$G846=$G$9,I$9,$G846=$G$10,I$10,$G846=$G$11,I$11,$G846=$G$12,I$12,$G846=$G$13,I$13,$G846=$G$15,I$15,$G846=$G$16,I$16,$G846=$G$17,I$17,$G846=$G$18,I$18,$G846=$G$19,I$19,$G846=$G$20,I$20,$G846=$G$21,I$21,$G846=$G$22,I$22,$G846=$G$25,I$25,$G846=$G$26,I$26,$G846=$G$27,I$27,$G846=$G$29,I$29,$G846=$G$31,I$31,$G846=$G$32,I$150,$G846=$G$248,I$248,$G846=$G$250,I$250)</f>
        <v>2.077556</v>
      </c>
      <c r="J846" cm="1">
        <f t="array" ref="J846">_xlfn.IFS($G846=$G$5,J$5,$G846=$G$6,J$6,$G846=$G$7,J$7,$G846=$G$8,J$8,$G846=$G$9,J$9,$G846=$G$10,J$10,$G846=$G$11,J$11,$G846=$G$12,J$12,$G846=$G$13,J$13,$G846=$G$15,J$15,$G846=$G$16,J$16,$G846=$G$17,J$17,$G846=$G$18,J$18,$G846=$G$19,J$19,$G846=$G$20,J$20,$G846=$G$21,J$21,$G846=$G$22,J$22,$G846=$G$25,J$25,$G846=$G$26,J$26,$G846=$G$27,J$27,$G846=$G$29,J$29,$G846=$G$31,J$31,$G846=$G$32,J$150,$G846=$G$248,J$248,$G846=$G$250,J$250)</f>
        <v>243.3</v>
      </c>
      <c r="K846" s="48" t="str" cm="1">
        <f t="array" ref="K846">_xlfn.IFS($G846=$G$5,K$5,$G846=$G$6,K$6,$G846=$G$7,K$7,$G846=$G$8,K$8,$G846=$G$9,K$9,$G846=$G$10,K$10,$G846=$G$11,K$11,$G846=$G$12,K$12,$G846=$G$13,K$13,$G846=$G$15,K$15,$G846=$G$16,K$16,$G846=$G$17,K$17,$G846=$G$18,K$18,$G846=$G$19,K$19,$G846=$G$20,K$20,$G846=$G$21,K$21,$G846=$G$22,K$22,$G846=$G$25,K$25,$G846=$G$26,K$26,$G846=$G$27,K$27,$G846=$G$29,K$29,$G846=$G$31,K$31,$G846=$G$32,K$150,$G846=$G$248,K$248,$G846=$G$250,K$250)</f>
        <v>BG sentinel + BG lure7</v>
      </c>
      <c r="M846" s="48"/>
      <c r="O846" s="45" t="str">
        <f t="shared" si="54"/>
        <v>A_SP_BCN_22_210929</v>
      </c>
      <c r="P846" s="64">
        <v>44468</v>
      </c>
      <c r="R846" s="72"/>
      <c r="S846" s="64">
        <v>44475</v>
      </c>
      <c r="U846" s="72"/>
      <c r="V846" s="54" t="s">
        <v>66</v>
      </c>
      <c r="X846" s="45">
        <f t="shared" si="71"/>
        <v>7</v>
      </c>
      <c r="Z846" s="69" t="s">
        <v>69</v>
      </c>
      <c r="AA846" s="45">
        <f t="shared" si="70"/>
        <v>3</v>
      </c>
      <c r="AB846" t="str">
        <f t="shared" si="68"/>
        <v>Adult</v>
      </c>
      <c r="AC846" s="69">
        <v>3</v>
      </c>
      <c r="AD846" s="69">
        <v>0</v>
      </c>
      <c r="AE846" s="45" t="str">
        <f t="shared" si="69"/>
        <v>Morphological</v>
      </c>
      <c r="AF846" s="56">
        <v>4</v>
      </c>
    </row>
    <row r="847" spans="1:32" ht="18" customHeight="1" x14ac:dyDescent="0.25">
      <c r="A847" s="45">
        <v>843</v>
      </c>
      <c r="B847" s="45" t="s">
        <v>60</v>
      </c>
      <c r="C847" s="45" t="s">
        <v>61</v>
      </c>
      <c r="D847" s="45" t="s">
        <v>62</v>
      </c>
      <c r="E847" s="45" t="s">
        <v>62</v>
      </c>
      <c r="F847" s="46" cm="1">
        <f t="array" ref="F847">_xlfn.IFS($G847=$G$5,F$5,$G847=$G$6,F$6,$G847=$G$7,F$7,$G847=$G$8,F$8,$G847=$G$9,F$9,$G847=$G$10,F$10,$G847=$G$11,F$11,$G847=$G$12,F$12,$G847=$G$13,F$13,$G847=$G$15,F$15,$G847=$G$16,F$16,$G847=$G$17,F$17,$G847=$G$18,F$18,$G847=$G$19,F$19,$G847=$G$20,F$20,$G847=$G$21,F$21,$G847=$G$22,F$22,$G847=$G$25,F$25,$G847=$G$26,F$26,$G847=$G$27,F$27,$G847=$G$29,F$29,$G847=$G$31,F$31,$G847=$G$32,F$32,$G847=$G$248,F$248,$G847=$G$250,F$250)</f>
        <v>8017</v>
      </c>
      <c r="G847" t="s">
        <v>98</v>
      </c>
      <c r="H847" s="66" cm="1">
        <f t="array" ref="H847">_xlfn.IFS($G847=$G$5,H$5,$G847=$G$6,H$6,$G847=$G$7,H$7,$G847=$G$8,H$8,$G847=$G$9,H$9,$G847=$G$10,H$10,$G847=$G$11,H$11,$G847=$G$12,H$12,$G847=$G$13,H$13,$G847=$G$15,H$15,$G847=$G$16,H$16,$G847=$G$17,H$17,$G847=$G$18,H$18,$G847=$G$19,H$19,$G847=$G$20,H$20,$G847=$G$21,H$21,$G847=$G$22,H$22,$G847=$G$25,H$25,$G847=$G$26,H$26,$G847=$G$27,H$27,$G847=$G$29,H$29,$G847=$G$31,H$31,$G847=$G$32,H$150,$G847=$G$248,H$248,$G847=$G$250,H$250)</f>
        <v>41.430315999999998</v>
      </c>
      <c r="I847" s="60" cm="1">
        <f t="array" ref="I847">_xlfn.IFS($G847=$G$5,I$5,$G847=$G$6,I$6,$G847=$G$7,I$7,$G847=$G$8,I$8,$G847=$G$9,I$9,$G847=$G$10,I$10,$G847=$G$11,I$11,$G847=$G$12,I$12,$G847=$G$13,I$13,$G847=$G$15,I$15,$G847=$G$16,I$16,$G847=$G$17,I$17,$G847=$G$18,I$18,$G847=$G$19,I$19,$G847=$G$20,I$20,$G847=$G$21,I$21,$G847=$G$22,I$22,$G847=$G$25,I$25,$G847=$G$26,I$26,$G847=$G$27,I$27,$G847=$G$29,I$29,$G847=$G$31,I$31,$G847=$G$32,I$150,$G847=$G$248,I$248,$G847=$G$250,I$250)</f>
        <v>2.077556</v>
      </c>
      <c r="J847" cm="1">
        <f t="array" ref="J847">_xlfn.IFS($G847=$G$5,J$5,$G847=$G$6,J$6,$G847=$G$7,J$7,$G847=$G$8,J$8,$G847=$G$9,J$9,$G847=$G$10,J$10,$G847=$G$11,J$11,$G847=$G$12,J$12,$G847=$G$13,J$13,$G847=$G$15,J$15,$G847=$G$16,J$16,$G847=$G$17,J$17,$G847=$G$18,J$18,$G847=$G$19,J$19,$G847=$G$20,J$20,$G847=$G$21,J$21,$G847=$G$22,J$22,$G847=$G$25,J$25,$G847=$G$26,J$26,$G847=$G$27,J$27,$G847=$G$29,J$29,$G847=$G$31,J$31,$G847=$G$32,J$150,$G847=$G$248,J$248,$G847=$G$250,J$250)</f>
        <v>243.3</v>
      </c>
      <c r="K847" s="48" t="str" cm="1">
        <f t="array" ref="K847">_xlfn.IFS($G847=$G$5,K$5,$G847=$G$6,K$6,$G847=$G$7,K$7,$G847=$G$8,K$8,$G847=$G$9,K$9,$G847=$G$10,K$10,$G847=$G$11,K$11,$G847=$G$12,K$12,$G847=$G$13,K$13,$G847=$G$15,K$15,$G847=$G$16,K$16,$G847=$G$17,K$17,$G847=$G$18,K$18,$G847=$G$19,K$19,$G847=$G$20,K$20,$G847=$G$21,K$21,$G847=$G$22,K$22,$G847=$G$25,K$25,$G847=$G$26,K$26,$G847=$G$27,K$27,$G847=$G$29,K$29,$G847=$G$31,K$31,$G847=$G$32,K$150,$G847=$G$248,K$248,$G847=$G$250,K$250)</f>
        <v>BG sentinel + BG lure7</v>
      </c>
      <c r="M847" s="48"/>
      <c r="O847" s="45" t="str">
        <f t="shared" si="54"/>
        <v>A_SP_BCN_22_210929</v>
      </c>
      <c r="P847" s="64">
        <v>44468</v>
      </c>
      <c r="R847" s="72"/>
      <c r="S847" s="64">
        <v>44475</v>
      </c>
      <c r="U847" s="72"/>
      <c r="V847" s="54" t="s">
        <v>66</v>
      </c>
      <c r="X847" s="45">
        <f t="shared" si="71"/>
        <v>7</v>
      </c>
      <c r="Z847" s="45" t="s">
        <v>70</v>
      </c>
      <c r="AA847" s="45">
        <f t="shared" si="70"/>
        <v>1</v>
      </c>
      <c r="AB847" t="str">
        <f t="shared" si="68"/>
        <v>Adult</v>
      </c>
      <c r="AC847" s="69">
        <v>1</v>
      </c>
      <c r="AD847" s="69">
        <v>0</v>
      </c>
      <c r="AE847" s="45" t="str">
        <f t="shared" si="69"/>
        <v>Morphological</v>
      </c>
      <c r="AF847" s="56">
        <v>4</v>
      </c>
    </row>
    <row r="848" spans="1:32" ht="18" customHeight="1" x14ac:dyDescent="0.25">
      <c r="A848" s="45">
        <v>844</v>
      </c>
      <c r="B848" s="45" t="s">
        <v>60</v>
      </c>
      <c r="C848" s="45" t="s">
        <v>61</v>
      </c>
      <c r="D848" s="45" t="s">
        <v>62</v>
      </c>
      <c r="E848" s="45" t="s">
        <v>62</v>
      </c>
      <c r="F848" s="46" cm="1">
        <f t="array" ref="F848">_xlfn.IFS($G848=$G$5,F$5,$G848=$G$6,F$6,$G848=$G$7,F$7,$G848=$G$8,F$8,$G848=$G$9,F$9,$G848=$G$10,F$10,$G848=$G$11,F$11,$G848=$G$12,F$12,$G848=$G$13,F$13,$G848=$G$15,F$15,$G848=$G$16,F$16,$G848=$G$17,F$17,$G848=$G$18,F$18,$G848=$G$19,F$19,$G848=$G$20,F$20,$G848=$G$21,F$21,$G848=$G$22,F$22,$G848=$G$25,F$25,$G848=$G$26,F$26,$G848=$G$27,F$27,$G848=$G$29,F$29,$G848=$G$31,F$31,$G848=$G$32,F$32,$G848=$G$248,F$248,$G848=$G$250,F$250)</f>
        <v>8038</v>
      </c>
      <c r="G848" t="s">
        <v>103</v>
      </c>
      <c r="H848" s="66" cm="1">
        <f t="array" ref="H848">_xlfn.IFS($G848=$G$5,H$5,$G848=$G$6,H$6,$G848=$G$7,H$7,$G848=$G$8,H$8,$G848=$G$9,H$9,$G848=$G$10,H$10,$G848=$G$11,H$11,$G848=$G$12,H$12,$G848=$G$13,H$13,$G848=$G$15,H$15,$G848=$G$16,H$16,$G848=$G$17,H$17,$G848=$G$18,H$18,$G848=$G$19,H$19,$G848=$G$20,H$20,$G848=$G$21,H$21,$G848=$G$22,H$22,$G848=$G$25,H$25,$G848=$G$26,H$26,$G848=$G$27,H$27,$G848=$G$29,H$29,$G848=$G$31,H$31,$G848=$G$32,H$150,$G848=$G$248,H$248,$G848=$G$250,H$250)</f>
        <v>41.367100000000001</v>
      </c>
      <c r="I848" s="60" cm="1">
        <f t="array" ref="I848">_xlfn.IFS($G848=$G$5,I$5,$G848=$G$6,I$6,$G848=$G$7,I$7,$G848=$G$8,I$8,$G848=$G$9,I$9,$G848=$G$10,I$10,$G848=$G$11,I$11,$G848=$G$12,I$12,$G848=$G$13,I$13,$G848=$G$15,I$15,$G848=$G$16,I$16,$G848=$G$17,I$17,$G848=$G$18,I$18,$G848=$G$19,I$19,$G848=$G$20,I$20,$G848=$G$21,I$21,$G848=$G$22,I$22,$G848=$G$25,I$25,$G848=$G$26,I$26,$G848=$G$27,I$27,$G848=$G$29,I$29,$G848=$G$31,I$31,$G848=$G$32,I$150,$G848=$G$248,I$248,$G848=$G$250,I$250)</f>
        <v>2.1539079999999999</v>
      </c>
      <c r="J848" cm="1">
        <f t="array" ref="J848">_xlfn.IFS($G848=$G$5,J$5,$G848=$G$6,J$6,$G848=$G$7,J$7,$G848=$G$8,J$8,$G848=$G$9,J$9,$G848=$G$10,J$10,$G848=$G$11,J$11,$G848=$G$12,J$12,$G848=$G$13,J$13,$G848=$G$15,J$15,$G848=$G$16,J$16,$G848=$G$17,J$17,$G848=$G$18,J$18,$G848=$G$19,J$19,$G848=$G$20,J$20,$G848=$G$21,J$21,$G848=$G$22,J$22,$G848=$G$25,J$25,$G848=$G$26,J$26,$G848=$G$27,J$27,$G848=$G$29,J$29,$G848=$G$31,J$31,$G848=$G$32,J$150,$G848=$G$248,J$248,$G848=$G$250,J$250)</f>
        <v>68</v>
      </c>
      <c r="K848" s="48" t="str" cm="1">
        <f t="array" ref="K848">_xlfn.IFS($G848=$G$5,K$5,$G848=$G$6,K$6,$G848=$G$7,K$7,$G848=$G$8,K$8,$G848=$G$9,K$9,$G848=$G$10,K$10,$G848=$G$11,K$11,$G848=$G$12,K$12,$G848=$G$13,K$13,$G848=$G$15,K$15,$G848=$G$16,K$16,$G848=$G$17,K$17,$G848=$G$18,K$18,$G848=$G$19,K$19,$G848=$G$20,K$20,$G848=$G$21,K$21,$G848=$G$22,K$22,$G848=$G$25,K$25,$G848=$G$26,K$26,$G848=$G$27,K$27,$G848=$G$29,K$29,$G848=$G$31,K$31,$G848=$G$32,K$150,$G848=$G$248,K$248,$G848=$G$250,K$250)</f>
        <v>BG sentinel + BG lure7</v>
      </c>
      <c r="M848" s="48"/>
      <c r="O848" s="45" t="str">
        <f t="shared" si="54"/>
        <v>A_SP_BCN_23_210930</v>
      </c>
      <c r="P848" s="64">
        <v>44469</v>
      </c>
      <c r="R848" s="72"/>
      <c r="S848" s="64">
        <v>44476</v>
      </c>
      <c r="U848" s="72"/>
      <c r="V848" s="54" t="s">
        <v>66</v>
      </c>
      <c r="X848" s="45">
        <f t="shared" si="71"/>
        <v>7</v>
      </c>
      <c r="Z848" s="69" t="s">
        <v>69</v>
      </c>
      <c r="AA848" s="45">
        <f t="shared" si="70"/>
        <v>26</v>
      </c>
      <c r="AB848" t="str">
        <f t="shared" si="68"/>
        <v>Adult</v>
      </c>
      <c r="AC848" s="69">
        <v>22</v>
      </c>
      <c r="AD848" s="69">
        <v>4</v>
      </c>
      <c r="AE848" s="45" t="str">
        <f t="shared" si="69"/>
        <v>Morphological</v>
      </c>
      <c r="AF848" s="56">
        <v>4</v>
      </c>
    </row>
    <row r="849" spans="1:32" ht="18" customHeight="1" x14ac:dyDescent="0.25">
      <c r="A849" s="45">
        <v>845</v>
      </c>
      <c r="B849" s="45" t="s">
        <v>60</v>
      </c>
      <c r="C849" s="45" t="s">
        <v>61</v>
      </c>
      <c r="D849" s="45" t="s">
        <v>62</v>
      </c>
      <c r="E849" s="45" t="s">
        <v>62</v>
      </c>
      <c r="F849" s="59" cm="1">
        <f t="array" ref="F849">_xlfn.IFS($G849=$G$5,F$5,$G849=$G$6,F$6,$G849=$G$7,F$7,$G849=$G$8,F$8,$G849=$G$9,F$9,$G849=$G$10,F$10,$G849=$G$11,F$11,$G849=$G$12,F$12,$G849=$G$13,F$13,$G849=$G$15,F$15,$G849=$G$16,F$16,$G849=$G$17,F$17,$G849=$G$18,F$18,$G849=$G$19,F$19,$G849=$G$20,F$20,$G849=$G$21,F$21,$G849=$G$22,F$22,$G849=$G$25,F$25,$G849=$G$26,F$26,$G849=$G$27,F$27,$G849=$G$29,F$29,$G849=$G$31,F$31,$G849=$G$32,F$32,$G849=$G$248,F$248,$G849=$G$250,F$250)</f>
        <v>8038</v>
      </c>
      <c r="G849" t="s">
        <v>103</v>
      </c>
      <c r="H849" s="60" cm="1">
        <f t="array" ref="H849">_xlfn.IFS($G849=$G$5,H$5,$G849=$G$6,H$6,$G849=$G$7,H$7,$G849=$G$8,H$8,$G849=$G$9,H$9,$G849=$G$10,H$10,$G849=$G$11,H$11,$G849=$G$12,H$12,$G849=$G$13,H$13,$G849=$G$15,H$15,$G849=$G$16,H$16,$G849=$G$17,H$17,$G849=$G$18,H$18,$G849=$G$19,H$19,$G849=$G$20,H$20,$G849=$G$21,H$21,$G849=$G$22,H$22,$G849=$G$25,H$25,$G849=$G$26,H$26,$G849=$G$27,H$27,$G849=$G$29,H$29,$G849=$G$31,H$31,$G849=$G$32,H$150,$G849=$G$248,H$248,$G849=$G$250,H$250)</f>
        <v>41.367100000000001</v>
      </c>
      <c r="I849" s="60" cm="1">
        <f t="array" ref="I849">_xlfn.IFS($G849=$G$5,I$5,$G849=$G$6,I$6,$G849=$G$7,I$7,$G849=$G$8,I$8,$G849=$G$9,I$9,$G849=$G$10,I$10,$G849=$G$11,I$11,$G849=$G$12,I$12,$G849=$G$13,I$13,$G849=$G$15,I$15,$G849=$G$16,I$16,$G849=$G$17,I$17,$G849=$G$18,I$18,$G849=$G$19,I$19,$G849=$G$20,I$20,$G849=$G$21,I$21,$G849=$G$22,I$22,$G849=$G$25,I$25,$G849=$G$26,I$26,$G849=$G$27,I$27,$G849=$G$29,I$29,$G849=$G$31,I$31,$G849=$G$32,I$150,$G849=$G$248,I$248,$G849=$G$250,I$250)</f>
        <v>2.1539079999999999</v>
      </c>
      <c r="J849" s="61" cm="1">
        <f t="array" ref="J849">_xlfn.IFS($G849=$G$5,J$5,$G849=$G$6,J$6,$G849=$G$7,J$7,$G849=$G$8,J$8,$G849=$G$9,J$9,$G849=$G$10,J$10,$G849=$G$11,J$11,$G849=$G$12,J$12,$G849=$G$13,J$13,$G849=$G$15,J$15,$G849=$G$16,J$16,$G849=$G$17,J$17,$G849=$G$18,J$18,$G849=$G$19,J$19,$G849=$G$20,J$20,$G849=$G$21,J$21,$G849=$G$22,J$22,$G849=$G$25,J$25,$G849=$G$26,J$26,$G849=$G$27,J$27,$G849=$G$29,J$29,$G849=$G$31,J$31,$G849=$G$32,J$150,$G849=$G$248,J$248,$G849=$G$250,J$250)</f>
        <v>68</v>
      </c>
      <c r="K849" t="str" cm="1">
        <f t="array" ref="K849">_xlfn.IFS($G849=$G$5,K$5,$G849=$G$6,K$6,$G849=$G$7,K$7,$G849=$G$8,K$8,$G849=$G$9,K$9,$G849=$G$10,K$10,$G849=$G$11,K$11,$G849=$G$12,K$12,$G849=$G$13,K$13,$G849=$G$15,K$15,$G849=$G$16,K$16,$G849=$G$17,K$17,$G849=$G$18,K$18,$G849=$G$19,K$19,$G849=$G$20,K$20,$G849=$G$21,K$21,$G849=$G$22,K$22,$G849=$G$25,K$25,$G849=$G$26,K$26,$G849=$G$27,K$27,$G849=$G$29,K$29,$G849=$G$31,K$31,$G849=$G$32,K$150,$G849=$G$248,K$248,$G849=$G$250,K$250)</f>
        <v>BG sentinel + BG lure7</v>
      </c>
      <c r="O849" s="69" t="str">
        <f t="shared" si="54"/>
        <v>A_SP_BCN_23_210930</v>
      </c>
      <c r="P849" s="64">
        <v>44469</v>
      </c>
      <c r="R849" s="72"/>
      <c r="S849" s="64">
        <v>44476</v>
      </c>
      <c r="U849" s="72"/>
      <c r="V849" s="54" t="s">
        <v>66</v>
      </c>
      <c r="X849" s="45">
        <f t="shared" si="71"/>
        <v>7</v>
      </c>
      <c r="Z849" s="45" t="s">
        <v>70</v>
      </c>
      <c r="AA849" s="69">
        <f t="shared" si="70"/>
        <v>2</v>
      </c>
      <c r="AB849" t="str">
        <f t="shared" si="68"/>
        <v>Adult</v>
      </c>
      <c r="AC849" s="69">
        <v>0</v>
      </c>
      <c r="AD849" s="69">
        <v>2</v>
      </c>
      <c r="AE849" s="45" t="str">
        <f t="shared" si="69"/>
        <v>Morphological</v>
      </c>
      <c r="AF849" s="56">
        <v>4</v>
      </c>
    </row>
    <row r="850" spans="1:32" ht="18" customHeight="1" x14ac:dyDescent="0.25">
      <c r="A850" s="45">
        <v>846</v>
      </c>
      <c r="B850" s="45" t="s">
        <v>60</v>
      </c>
      <c r="C850" s="45" t="s">
        <v>61</v>
      </c>
      <c r="D850" s="45" t="s">
        <v>62</v>
      </c>
      <c r="E850" s="45" t="s">
        <v>62</v>
      </c>
      <c r="F850" s="59" cm="1">
        <f t="array" ref="F850">_xlfn.IFS($G850=$G$5,F$5,$G850=$G$6,F$6,$G850=$G$7,F$7,$G850=$G$8,F$8,$G850=$G$9,F$9,$G850=$G$10,F$10,$G850=$G$11,F$11,$G850=$G$12,F$12,$G850=$G$13,F$13,$G850=$G$15,F$15,$G850=$G$16,F$16,$G850=$G$17,F$17,$G850=$G$18,F$18,$G850=$G$19,F$19,$G850=$G$20,F$20,$G850=$G$21,F$21,$G850=$G$22,F$22,$G850=$G$25,F$25,$G850=$G$26,F$26,$G850=$G$27,F$27,$G850=$G$29,F$29,$G850=$G$31,F$31,$G850=$G$32,F$32,$G850=$G$248,F$248,$G850=$G$250,F$250)</f>
        <v>8015</v>
      </c>
      <c r="G850" t="s">
        <v>109</v>
      </c>
      <c r="H850" s="60" cm="1">
        <f t="array" ref="H850">_xlfn.IFS($G850=$G$5,H$5,$G850=$G$6,H$6,$G850=$G$7,H$7,$G850=$G$8,H$8,$G850=$G$9,H$9,$G850=$G$10,H$10,$G850=$G$11,H$11,$G850=$G$12,H$12,$G850=$G$13,H$13,$G850=$G$15,H$15,$G850=$G$16,H$16,$G850=$G$17,H$17,$G850=$G$18,H$18,$G850=$G$19,H$19,$G850=$G$20,H$20,$G850=$G$21,H$21,$G850=$G$22,H$22,$G850=$G$25,H$25,$G850=$G$26,H$26,$G850=$G$27,H$27,$G850=$G$29,H$29,$G850=$G$31,H$31,$G850=$G$32,H$150,$G850=$G$248,H$248,$G850=$G$250,H$250)</f>
        <v>41.381725000000003</v>
      </c>
      <c r="I850" s="60" cm="1">
        <f t="array" ref="I850">_xlfn.IFS($G850=$G$5,I$5,$G850=$G$6,I$6,$G850=$G$7,I$7,$G850=$G$8,I$8,$G850=$G$9,I$9,$G850=$G$10,I$10,$G850=$G$11,I$11,$G850=$G$12,I$12,$G850=$G$13,I$13,$G850=$G$15,I$15,$G850=$G$16,I$16,$G850=$G$17,I$17,$G850=$G$18,I$18,$G850=$G$19,I$19,$G850=$G$20,I$20,$G850=$G$21,I$21,$G850=$G$22,I$22,$G850=$G$25,I$25,$G850=$G$26,I$26,$G850=$G$27,I$27,$G850=$G$29,I$29,$G850=$G$31,I$31,$G850=$G$32,I$150,$G850=$G$248,I$248,$G850=$G$250,I$250)</f>
        <v>2.1543679999999998</v>
      </c>
      <c r="J850" s="61" cm="1">
        <f t="array" ref="J850">_xlfn.IFS($G850=$G$5,J$5,$G850=$G$6,J$6,$G850=$G$7,J$7,$G850=$G$8,J$8,$G850=$G$9,J$9,$G850=$G$10,J$10,$G850=$G$11,J$11,$G850=$G$12,J$12,$G850=$G$13,J$13,$G850=$G$15,J$15,$G850=$G$16,J$16,$G850=$G$17,J$17,$G850=$G$18,J$18,$G850=$G$19,J$19,$G850=$G$20,J$20,$G850=$G$21,J$21,$G850=$G$22,J$22,$G850=$G$25,J$25,$G850=$G$26,J$26,$G850=$G$27,J$27,$G850=$G$29,J$29,$G850=$G$31,J$31,$G850=$G$32,J$150,$G850=$G$248,J$248,$G850=$G$250,J$250)</f>
        <v>20.7</v>
      </c>
      <c r="K850" t="str" cm="1">
        <f t="array" ref="K850">_xlfn.IFS($G850=$G$5,K$5,$G850=$G$6,K$6,$G850=$G$7,K$7,$G850=$G$8,K$8,$G850=$G$9,K$9,$G850=$G$10,K$10,$G850=$G$11,K$11,$G850=$G$12,K$12,$G850=$G$13,K$13,$G850=$G$15,K$15,$G850=$G$16,K$16,$G850=$G$17,K$17,$G850=$G$18,K$18,$G850=$G$19,K$19,$G850=$G$20,K$20,$G850=$G$21,K$21,$G850=$G$22,K$22,$G850=$G$25,K$25,$G850=$G$26,K$26,$G850=$G$27,K$27,$G850=$G$29,K$29,$G850=$G$31,K$31,$G850=$G$32,K$150,$G850=$G$248,K$248,$G850=$G$250,K$250)</f>
        <v>BG sentinel + BG lure7</v>
      </c>
      <c r="O850" s="69" t="str">
        <f t="shared" si="54"/>
        <v>A_SP_BCN_24_211001</v>
      </c>
      <c r="P850" s="64">
        <v>44470</v>
      </c>
      <c r="R850" s="72"/>
      <c r="S850" s="64">
        <v>44477</v>
      </c>
      <c r="U850" s="72"/>
      <c r="V850" s="54" t="s">
        <v>66</v>
      </c>
      <c r="W850" s="79" t="s">
        <v>163</v>
      </c>
      <c r="X850" s="45">
        <f t="shared" si="71"/>
        <v>7</v>
      </c>
      <c r="Z850" s="69" t="s">
        <v>69</v>
      </c>
      <c r="AA850" s="69">
        <f t="shared" si="70"/>
        <v>78</v>
      </c>
      <c r="AB850" t="str">
        <f t="shared" si="68"/>
        <v>Adult</v>
      </c>
      <c r="AC850" s="69">
        <v>27</v>
      </c>
      <c r="AD850" s="69">
        <v>51</v>
      </c>
      <c r="AE850" s="45" t="str">
        <f t="shared" si="69"/>
        <v>Morphological</v>
      </c>
      <c r="AF850" s="56">
        <v>4</v>
      </c>
    </row>
    <row r="851" spans="1:32" ht="18" customHeight="1" x14ac:dyDescent="0.25">
      <c r="A851" s="45">
        <v>847</v>
      </c>
      <c r="B851" s="45" t="s">
        <v>60</v>
      </c>
      <c r="C851" s="45" t="s">
        <v>61</v>
      </c>
      <c r="D851" s="45" t="s">
        <v>62</v>
      </c>
      <c r="E851" s="45" t="s">
        <v>62</v>
      </c>
      <c r="F851" s="59" cm="1">
        <f t="array" ref="F851">_xlfn.IFS($G851=$G$5,F$5,$G851=$G$6,F$6,$G851=$G$7,F$7,$G851=$G$8,F$8,$G851=$G$9,F$9,$G851=$G$10,F$10,$G851=$G$11,F$11,$G851=$G$12,F$12,$G851=$G$13,F$13,$G851=$G$15,F$15,$G851=$G$16,F$16,$G851=$G$17,F$17,$G851=$G$18,F$18,$G851=$G$19,F$19,$G851=$G$20,F$20,$G851=$G$21,F$21,$G851=$G$22,F$22,$G851=$G$25,F$25,$G851=$G$26,F$26,$G851=$G$27,F$27,$G851=$G$29,F$29,$G851=$G$31,F$31,$G851=$G$32,F$32,$G851=$G$248,F$248,$G851=$G$250,F$250)</f>
        <v>8015</v>
      </c>
      <c r="G851" t="s">
        <v>109</v>
      </c>
      <c r="H851" s="60" cm="1">
        <f t="array" ref="H851">_xlfn.IFS($G851=$G$5,H$5,$G851=$G$6,H$6,$G851=$G$7,H$7,$G851=$G$8,H$8,$G851=$G$9,H$9,$G851=$G$10,H$10,$G851=$G$11,H$11,$G851=$G$12,H$12,$G851=$G$13,H$13,$G851=$G$15,H$15,$G851=$G$16,H$16,$G851=$G$17,H$17,$G851=$G$18,H$18,$G851=$G$19,H$19,$G851=$G$20,H$20,$G851=$G$21,H$21,$G851=$G$22,H$22,$G851=$G$25,H$25,$G851=$G$26,H$26,$G851=$G$27,H$27,$G851=$G$29,H$29,$G851=$G$31,H$31,$G851=$G$32,H$150,$G851=$G$248,H$248,$G851=$G$250,H$250)</f>
        <v>41.381725000000003</v>
      </c>
      <c r="I851" s="60" cm="1">
        <f t="array" ref="I851">_xlfn.IFS($G851=$G$5,I$5,$G851=$G$6,I$6,$G851=$G$7,I$7,$G851=$G$8,I$8,$G851=$G$9,I$9,$G851=$G$10,I$10,$G851=$G$11,I$11,$G851=$G$12,I$12,$G851=$G$13,I$13,$G851=$G$15,I$15,$G851=$G$16,I$16,$G851=$G$17,I$17,$G851=$G$18,I$18,$G851=$G$19,I$19,$G851=$G$20,I$20,$G851=$G$21,I$21,$G851=$G$22,I$22,$G851=$G$25,I$25,$G851=$G$26,I$26,$G851=$G$27,I$27,$G851=$G$29,I$29,$G851=$G$31,I$31,$G851=$G$32,I$150,$G851=$G$248,I$248,$G851=$G$250,I$250)</f>
        <v>2.1543679999999998</v>
      </c>
      <c r="J851" s="61" cm="1">
        <f t="array" ref="J851">_xlfn.IFS($G851=$G$5,J$5,$G851=$G$6,J$6,$G851=$G$7,J$7,$G851=$G$8,J$8,$G851=$G$9,J$9,$G851=$G$10,J$10,$G851=$G$11,J$11,$G851=$G$12,J$12,$G851=$G$13,J$13,$G851=$G$15,J$15,$G851=$G$16,J$16,$G851=$G$17,J$17,$G851=$G$18,J$18,$G851=$G$19,J$19,$G851=$G$20,J$20,$G851=$G$21,J$21,$G851=$G$22,J$22,$G851=$G$25,J$25,$G851=$G$26,J$26,$G851=$G$27,J$27,$G851=$G$29,J$29,$G851=$G$31,J$31,$G851=$G$32,J$150,$G851=$G$248,J$248,$G851=$G$250,J$250)</f>
        <v>20.7</v>
      </c>
      <c r="K851" t="str" cm="1">
        <f t="array" ref="K851">_xlfn.IFS($G851=$G$5,K$5,$G851=$G$6,K$6,$G851=$G$7,K$7,$G851=$G$8,K$8,$G851=$G$9,K$9,$G851=$G$10,K$10,$G851=$G$11,K$11,$G851=$G$12,K$12,$G851=$G$13,K$13,$G851=$G$15,K$15,$G851=$G$16,K$16,$G851=$G$17,K$17,$G851=$G$18,K$18,$G851=$G$19,K$19,$G851=$G$20,K$20,$G851=$G$21,K$21,$G851=$G$22,K$22,$G851=$G$25,K$25,$G851=$G$26,K$26,$G851=$G$27,K$27,$G851=$G$29,K$29,$G851=$G$31,K$31,$G851=$G$32,K$150,$G851=$G$248,K$248,$G851=$G$250,K$250)</f>
        <v>BG sentinel + BG lure7</v>
      </c>
      <c r="O851" s="69" t="str">
        <f t="shared" si="54"/>
        <v>A_SP_BCN_24_211001</v>
      </c>
      <c r="P851" s="64">
        <v>44470</v>
      </c>
      <c r="R851" s="72"/>
      <c r="S851" s="64">
        <v>44477</v>
      </c>
      <c r="U851" s="72"/>
      <c r="V851" s="54" t="s">
        <v>66</v>
      </c>
      <c r="W851" s="79" t="s">
        <v>163</v>
      </c>
      <c r="X851" s="45">
        <f t="shared" si="71"/>
        <v>7</v>
      </c>
      <c r="Z851" s="45" t="s">
        <v>70</v>
      </c>
      <c r="AA851" s="69">
        <f t="shared" si="70"/>
        <v>5</v>
      </c>
      <c r="AB851" t="str">
        <f t="shared" si="68"/>
        <v>Adult</v>
      </c>
      <c r="AC851" s="69">
        <v>0</v>
      </c>
      <c r="AD851" s="69">
        <v>5</v>
      </c>
      <c r="AE851" s="45" t="str">
        <f t="shared" si="69"/>
        <v>Morphological</v>
      </c>
      <c r="AF851" s="56">
        <v>4</v>
      </c>
    </row>
    <row r="852" spans="1:32" ht="18" customHeight="1" x14ac:dyDescent="0.25">
      <c r="A852" s="45">
        <v>848</v>
      </c>
      <c r="B852" s="45" t="s">
        <v>60</v>
      </c>
      <c r="C852" s="45" t="s">
        <v>61</v>
      </c>
      <c r="D852" s="45" t="s">
        <v>62</v>
      </c>
      <c r="E852" s="45" t="s">
        <v>62</v>
      </c>
      <c r="F852" s="59" cm="1">
        <f t="array" ref="F852">_xlfn.IFS($G852=$G$5,F$5,$G852=$G$6,F$6,$G852=$G$7,F$7,$G852=$G$8,F$8,$G852=$G$9,F$9,$G852=$G$10,F$10,$G852=$G$11,F$11,$G852=$G$12,F$12,$G852=$G$13,F$13,$G852=$G$15,F$15,$G852=$G$16,F$16,$G852=$G$17,F$17,$G852=$G$18,F$18,$G852=$G$19,F$19,$G852=$G$20,F$20,$G852=$G$21,F$21,$G852=$G$22,F$22,$G852=$G$25,F$25,$G852=$G$26,F$26,$G852=$G$27,F$27,$G852=$G$29,F$29,$G852=$G$31,F$31,$G852=$G$32,F$32,$G852=$G$248,F$248,$G852=$G$250,F$250)</f>
        <v>8024</v>
      </c>
      <c r="G852" t="s">
        <v>63</v>
      </c>
      <c r="H852" s="60" cm="1">
        <f t="array" ref="H852">_xlfn.IFS($G852=$G$5,H$5,$G852=$G$6,H$6,$G852=$G$7,H$7,$G852=$G$8,H$8,$G852=$G$9,H$9,$G852=$G$10,H$10,$G852=$G$11,H$11,$G852=$G$12,H$12,$G852=$G$13,H$13,$G852=$G$15,H$15,$G852=$G$16,H$16,$G852=$G$17,H$17,$G852=$G$18,H$18,$G852=$G$19,H$19,$G852=$G$20,H$20,$G852=$G$21,H$21,$G852=$G$22,H$22,$G852=$G$25,H$25,$G852=$G$26,H$26,$G852=$G$27,H$27,$G852=$G$29,H$29,$G852=$G$31,H$31,$G852=$G$32,H$150,$G852=$G$248,H$248,$G852=$G$250,H$250)</f>
        <v>41.413573999999997</v>
      </c>
      <c r="I852" s="60" cm="1">
        <f t="array" ref="I852">_xlfn.IFS($G852=$G$5,I$5,$G852=$G$6,I$6,$G852=$G$7,I$7,$G852=$G$8,I$8,$G852=$G$9,I$9,$G852=$G$10,I$10,$G852=$G$11,I$11,$G852=$G$12,I$12,$G852=$G$13,I$13,$G852=$G$15,I$15,$G852=$G$16,I$16,$G852=$G$17,I$17,$G852=$G$18,I$18,$G852=$G$19,I$19,$G852=$G$20,I$20,$G852=$G$21,I$21,$G852=$G$22,I$22,$G852=$G$25,I$25,$G852=$G$26,I$26,$G852=$G$27,I$27,$G852=$G$29,I$29,$G852=$G$31,I$31,$G852=$G$32,I$150,$G852=$G$248,I$248,$G852=$G$250,I$250)</f>
        <v>2.1520730000000001</v>
      </c>
      <c r="J852" s="61" cm="1">
        <f t="array" ref="J852">_xlfn.IFS($G852=$G$5,J$5,$G852=$G$6,J$6,$G852=$G$7,J$7,$G852=$G$8,J$8,$G852=$G$9,J$9,$G852=$G$10,J$10,$G852=$G$11,J$11,$G852=$G$12,J$12,$G852=$G$13,J$13,$G852=$G$15,J$15,$G852=$G$16,J$16,$G852=$G$17,J$17,$G852=$G$18,J$18,$G852=$G$19,J$19,$G852=$G$20,J$20,$G852=$G$21,J$21,$G852=$G$22,J$22,$G852=$G$25,J$25,$G852=$G$26,J$26,$G852=$G$27,J$27,$G852=$G$29,J$29,$G852=$G$31,J$31,$G852=$G$32,J$150,$G852=$G$248,J$248,$G852=$G$250,J$250)</f>
        <v>141</v>
      </c>
      <c r="K852" t="str" cm="1">
        <f t="array" ref="K852">_xlfn.IFS($G852=$G$5,K$5,$G852=$G$6,K$6,$G852=$G$7,K$7,$G852=$G$8,K$8,$G852=$G$9,K$9,$G852=$G$10,K$10,$G852=$G$11,K$11,$G852=$G$12,K$12,$G852=$G$13,K$13,$G852=$G$15,K$15,$G852=$G$16,K$16,$G852=$G$17,K$17,$G852=$G$18,K$18,$G852=$G$19,K$19,$G852=$G$20,K$20,$G852=$G$21,K$21,$G852=$G$22,K$22,$G852=$G$25,K$25,$G852=$G$26,K$26,$G852=$G$27,K$27,$G852=$G$29,K$29,$G852=$G$31,K$31,$G852=$G$32,K$150,$G852=$G$248,K$248,$G852=$G$250,K$250)</f>
        <v>BG sentinel + BG lure7</v>
      </c>
      <c r="O852" s="69" t="str">
        <f t="shared" si="54"/>
        <v>A_SP_BCN_1_211006</v>
      </c>
      <c r="P852" s="64">
        <v>44475</v>
      </c>
      <c r="R852" s="72"/>
      <c r="S852" s="64">
        <v>44482</v>
      </c>
      <c r="U852" s="72"/>
      <c r="V852" s="54" t="s">
        <v>66</v>
      </c>
      <c r="X852" s="45">
        <f t="shared" si="71"/>
        <v>7</v>
      </c>
      <c r="Z852" s="69" t="s">
        <v>69</v>
      </c>
      <c r="AA852" s="69">
        <f t="shared" si="70"/>
        <v>49</v>
      </c>
      <c r="AB852" t="str">
        <f t="shared" si="68"/>
        <v>Adult</v>
      </c>
      <c r="AC852" s="69">
        <v>27</v>
      </c>
      <c r="AD852" s="69">
        <v>22</v>
      </c>
      <c r="AE852" s="45" t="str">
        <f t="shared" si="69"/>
        <v>Morphological</v>
      </c>
      <c r="AF852" s="56">
        <v>4</v>
      </c>
    </row>
    <row r="853" spans="1:32" ht="18" customHeight="1" x14ac:dyDescent="0.25">
      <c r="A853" s="45">
        <v>849</v>
      </c>
      <c r="B853" s="45" t="s">
        <v>60</v>
      </c>
      <c r="C853" s="45" t="s">
        <v>61</v>
      </c>
      <c r="D853" s="45" t="s">
        <v>62</v>
      </c>
      <c r="E853" s="45" t="s">
        <v>62</v>
      </c>
      <c r="F853" s="59" cm="1">
        <f t="array" ref="F853">_xlfn.IFS($G853=$G$5,F$5,$G853=$G$6,F$6,$G853=$G$7,F$7,$G853=$G$8,F$8,$G853=$G$9,F$9,$G853=$G$10,F$10,$G853=$G$11,F$11,$G853=$G$12,F$12,$G853=$G$13,F$13,$G853=$G$15,F$15,$G853=$G$16,F$16,$G853=$G$17,F$17,$G853=$G$18,F$18,$G853=$G$19,F$19,$G853=$G$20,F$20,$G853=$G$21,F$21,$G853=$G$22,F$22,$G853=$G$25,F$25,$G853=$G$26,F$26,$G853=$G$27,F$27,$G853=$G$29,F$29,$G853=$G$31,F$31,$G853=$G$32,F$32,$G853=$G$248,F$248,$G853=$G$250,F$250)</f>
        <v>8024</v>
      </c>
      <c r="G853" t="s">
        <v>63</v>
      </c>
      <c r="H853" s="60" cm="1">
        <f t="array" ref="H853">_xlfn.IFS($G853=$G$5,H$5,$G853=$G$6,H$6,$G853=$G$7,H$7,$G853=$G$8,H$8,$G853=$G$9,H$9,$G853=$G$10,H$10,$G853=$G$11,H$11,$G853=$G$12,H$12,$G853=$G$13,H$13,$G853=$G$15,H$15,$G853=$G$16,H$16,$G853=$G$17,H$17,$G853=$G$18,H$18,$G853=$G$19,H$19,$G853=$G$20,H$20,$G853=$G$21,H$21,$G853=$G$22,H$22,$G853=$G$25,H$25,$G853=$G$26,H$26,$G853=$G$27,H$27,$G853=$G$29,H$29,$G853=$G$31,H$31,$G853=$G$32,H$150,$G853=$G$248,H$248,$G853=$G$250,H$250)</f>
        <v>41.413573999999997</v>
      </c>
      <c r="I853" s="60" cm="1">
        <f t="array" ref="I853">_xlfn.IFS($G853=$G$5,I$5,$G853=$G$6,I$6,$G853=$G$7,I$7,$G853=$G$8,I$8,$G853=$G$9,I$9,$G853=$G$10,I$10,$G853=$G$11,I$11,$G853=$G$12,I$12,$G853=$G$13,I$13,$G853=$G$15,I$15,$G853=$G$16,I$16,$G853=$G$17,I$17,$G853=$G$18,I$18,$G853=$G$19,I$19,$G853=$G$20,I$20,$G853=$G$21,I$21,$G853=$G$22,I$22,$G853=$G$25,I$25,$G853=$G$26,I$26,$G853=$G$27,I$27,$G853=$G$29,I$29,$G853=$G$31,I$31,$G853=$G$32,I$150,$G853=$G$248,I$248,$G853=$G$250,I$250)</f>
        <v>2.1520730000000001</v>
      </c>
      <c r="J853" s="61" cm="1">
        <f t="array" ref="J853">_xlfn.IFS($G853=$G$5,J$5,$G853=$G$6,J$6,$G853=$G$7,J$7,$G853=$G$8,J$8,$G853=$G$9,J$9,$G853=$G$10,J$10,$G853=$G$11,J$11,$G853=$G$12,J$12,$G853=$G$13,J$13,$G853=$G$15,J$15,$G853=$G$16,J$16,$G853=$G$17,J$17,$G853=$G$18,J$18,$G853=$G$19,J$19,$G853=$G$20,J$20,$G853=$G$21,J$21,$G853=$G$22,J$22,$G853=$G$25,J$25,$G853=$G$26,J$26,$G853=$G$27,J$27,$G853=$G$29,J$29,$G853=$G$31,J$31,$G853=$G$32,J$150,$G853=$G$248,J$248,$G853=$G$250,J$250)</f>
        <v>141</v>
      </c>
      <c r="K853" t="str" cm="1">
        <f t="array" ref="K853">_xlfn.IFS($G853=$G$5,K$5,$G853=$G$6,K$6,$G853=$G$7,K$7,$G853=$G$8,K$8,$G853=$G$9,K$9,$G853=$G$10,K$10,$G853=$G$11,K$11,$G853=$G$12,K$12,$G853=$G$13,K$13,$G853=$G$15,K$15,$G853=$G$16,K$16,$G853=$G$17,K$17,$G853=$G$18,K$18,$G853=$G$19,K$19,$G853=$G$20,K$20,$G853=$G$21,K$21,$G853=$G$22,K$22,$G853=$G$25,K$25,$G853=$G$26,K$26,$G853=$G$27,K$27,$G853=$G$29,K$29,$G853=$G$31,K$31,$G853=$G$32,K$150,$G853=$G$248,K$248,$G853=$G$250,K$250)</f>
        <v>BG sentinel + BG lure7</v>
      </c>
      <c r="O853" s="69" t="str">
        <f t="shared" si="54"/>
        <v>A_SP_BCN_1_211006</v>
      </c>
      <c r="P853" s="64">
        <v>44475</v>
      </c>
      <c r="R853" s="72"/>
      <c r="S853" s="64">
        <v>44482</v>
      </c>
      <c r="U853" s="72"/>
      <c r="V853" s="54" t="s">
        <v>66</v>
      </c>
      <c r="X853" s="45">
        <f t="shared" si="71"/>
        <v>7</v>
      </c>
      <c r="Z853" s="45" t="s">
        <v>70</v>
      </c>
      <c r="AA853" s="69">
        <f t="shared" si="70"/>
        <v>1</v>
      </c>
      <c r="AB853" t="str">
        <f t="shared" si="68"/>
        <v>Adult</v>
      </c>
      <c r="AC853" s="69">
        <v>1</v>
      </c>
      <c r="AD853" s="69">
        <v>0</v>
      </c>
      <c r="AE853" s="45" t="str">
        <f t="shared" si="69"/>
        <v>Morphological</v>
      </c>
      <c r="AF853" s="56">
        <v>4</v>
      </c>
    </row>
    <row r="854" spans="1:32" ht="18" customHeight="1" x14ac:dyDescent="0.25">
      <c r="A854" s="45">
        <v>850</v>
      </c>
      <c r="B854" s="45" t="s">
        <v>60</v>
      </c>
      <c r="C854" s="45" t="s">
        <v>61</v>
      </c>
      <c r="D854" s="45" t="s">
        <v>62</v>
      </c>
      <c r="E854" s="45" t="s">
        <v>62</v>
      </c>
      <c r="F854" s="59" cm="1">
        <f t="array" ref="F854">_xlfn.IFS($G854=$G$5,F$5,$G854=$G$6,F$6,$G854=$G$7,F$7,$G854=$G$8,F$8,$G854=$G$9,F$9,$G854=$G$10,F$10,$G854=$G$11,F$11,$G854=$G$12,F$12,$G854=$G$13,F$13,$G854=$G$15,F$15,$G854=$G$16,F$16,$G854=$G$17,F$17,$G854=$G$18,F$18,$G854=$G$19,F$19,$G854=$G$20,F$20,$G854=$G$21,F$21,$G854=$G$22,F$22,$G854=$G$25,F$25,$G854=$G$26,F$26,$G854=$G$27,F$27,$G854=$G$29,F$29,$G854=$G$31,F$31,$G854=$G$32,F$32,$G854=$G$248,F$248,$G854=$G$250,F$250)</f>
        <v>8035</v>
      </c>
      <c r="G854" t="s">
        <v>67</v>
      </c>
      <c r="H854" s="60" cm="1">
        <f t="array" ref="H854">_xlfn.IFS($G854=$G$5,H$5,$G854=$G$6,H$6,$G854=$G$7,H$7,$G854=$G$8,H$8,$G854=$G$9,H$9,$G854=$G$10,H$10,$G854=$G$11,H$11,$G854=$G$12,H$12,$G854=$G$13,H$13,$G854=$G$15,H$15,$G854=$G$16,H$16,$G854=$G$17,H$17,$G854=$G$18,H$18,$G854=$G$19,H$19,$G854=$G$20,H$20,$G854=$G$21,H$21,$G854=$G$22,H$22,$G854=$G$25,H$25,$G854=$G$26,H$26,$G854=$G$27,H$27,$G854=$G$29,H$29,$G854=$G$31,H$31,$G854=$G$32,H$150,$G854=$G$248,H$248,$G854=$G$250,H$250)</f>
        <v>41.424387000000003</v>
      </c>
      <c r="I854" s="60" cm="1">
        <f t="array" ref="I854">_xlfn.IFS($G854=$G$5,I$5,$G854=$G$6,I$6,$G854=$G$7,I$7,$G854=$G$8,I$8,$G854=$G$9,I$9,$G854=$G$10,I$10,$G854=$G$11,I$11,$G854=$G$12,I$12,$G854=$G$13,I$13,$G854=$G$15,I$15,$G854=$G$16,I$16,$G854=$G$17,I$17,$G854=$G$18,I$18,$G854=$G$19,I$19,$G854=$G$20,I$20,$G854=$G$21,I$21,$G854=$G$22,I$22,$G854=$G$25,I$25,$G854=$G$26,I$26,$G854=$G$27,I$27,$G854=$G$29,I$29,$G854=$G$31,I$31,$G854=$G$32,I$150,$G854=$G$248,I$248,$G854=$G$250,I$250)</f>
        <v>2.1431439999999999</v>
      </c>
      <c r="J854" s="61" cm="1">
        <f t="array" ref="J854">_xlfn.IFS($G854=$G$5,J$5,$G854=$G$6,J$6,$G854=$G$7,J$7,$G854=$G$8,J$8,$G854=$G$9,J$9,$G854=$G$10,J$10,$G854=$G$11,J$11,$G854=$G$12,J$12,$G854=$G$13,J$13,$G854=$G$15,J$15,$G854=$G$16,J$16,$G854=$G$17,J$17,$G854=$G$18,J$18,$G854=$G$19,J$19,$G854=$G$20,J$20,$G854=$G$21,J$21,$G854=$G$22,J$22,$G854=$G$25,J$25,$G854=$G$26,J$26,$G854=$G$27,J$27,$G854=$G$29,J$29,$G854=$G$31,J$31,$G854=$G$32,J$150,$G854=$G$248,J$248,$G854=$G$250,J$250)</f>
        <v>160</v>
      </c>
      <c r="K854" t="str" cm="1">
        <f t="array" ref="K854">_xlfn.IFS($G854=$G$5,K$5,$G854=$G$6,K$6,$G854=$G$7,K$7,$G854=$G$8,K$8,$G854=$G$9,K$9,$G854=$G$10,K$10,$G854=$G$11,K$11,$G854=$G$12,K$12,$G854=$G$13,K$13,$G854=$G$15,K$15,$G854=$G$16,K$16,$G854=$G$17,K$17,$G854=$G$18,K$18,$G854=$G$19,K$19,$G854=$G$20,K$20,$G854=$G$21,K$21,$G854=$G$22,K$22,$G854=$G$25,K$25,$G854=$G$26,K$26,$G854=$G$27,K$27,$G854=$G$29,K$29,$G854=$G$31,K$31,$G854=$G$32,K$150,$G854=$G$248,K$248,$G854=$G$250,K$250)</f>
        <v>BG sentinel + BG lure7</v>
      </c>
      <c r="O854" s="69" t="str">
        <f t="shared" si="54"/>
        <v>A_SP_BCN_2_211006</v>
      </c>
      <c r="P854" s="64">
        <v>44475</v>
      </c>
      <c r="R854" s="72"/>
      <c r="S854" s="64">
        <v>44481</v>
      </c>
      <c r="U854" s="72"/>
      <c r="V854" t="s">
        <v>164</v>
      </c>
      <c r="X854" s="45">
        <f t="shared" si="71"/>
        <v>6</v>
      </c>
      <c r="Z854" s="69" t="s">
        <v>69</v>
      </c>
      <c r="AA854" s="69">
        <f t="shared" si="70"/>
        <v>4</v>
      </c>
      <c r="AB854" t="str">
        <f t="shared" si="68"/>
        <v>Adult</v>
      </c>
      <c r="AC854" s="69">
        <v>4</v>
      </c>
      <c r="AD854" s="69">
        <v>0</v>
      </c>
      <c r="AE854" s="45" t="str">
        <f t="shared" si="69"/>
        <v>Morphological</v>
      </c>
      <c r="AF854" s="56">
        <v>2</v>
      </c>
    </row>
    <row r="855" spans="1:32" ht="18" customHeight="1" x14ac:dyDescent="0.25">
      <c r="A855" s="45">
        <v>851</v>
      </c>
      <c r="B855" s="45" t="s">
        <v>60</v>
      </c>
      <c r="C855" s="45" t="s">
        <v>61</v>
      </c>
      <c r="D855" s="45" t="s">
        <v>62</v>
      </c>
      <c r="E855" s="45" t="s">
        <v>62</v>
      </c>
      <c r="F855" s="59" cm="1">
        <f t="array" ref="F855">_xlfn.IFS($G855=$G$5,F$5,$G855=$G$6,F$6,$G855=$G$7,F$7,$G855=$G$8,F$8,$G855=$G$9,F$9,$G855=$G$10,F$10,$G855=$G$11,F$11,$G855=$G$12,F$12,$G855=$G$13,F$13,$G855=$G$15,F$15,$G855=$G$16,F$16,$G855=$G$17,F$17,$G855=$G$18,F$18,$G855=$G$19,F$19,$G855=$G$20,F$20,$G855=$G$21,F$21,$G855=$G$22,F$22,$G855=$G$25,F$25,$G855=$G$26,F$26,$G855=$G$27,F$27,$G855=$G$29,F$29,$G855=$G$31,F$31,$G855=$G$32,F$32,$G855=$G$248,F$248,$G855=$G$250,F$250)</f>
        <v>8016</v>
      </c>
      <c r="G855" t="s">
        <v>68</v>
      </c>
      <c r="H855" s="60" cm="1">
        <f t="array" ref="H855">_xlfn.IFS($G855=$G$5,H$5,$G855=$G$6,H$6,$G855=$G$7,H$7,$G855=$G$8,H$8,$G855=$G$9,H$9,$G855=$G$10,H$10,$G855=$G$11,H$11,$G855=$G$12,H$12,$G855=$G$13,H$13,$G855=$G$15,H$15,$G855=$G$16,H$16,$G855=$G$17,H$17,$G855=$G$18,H$18,$G855=$G$19,H$19,$G855=$G$20,H$20,$G855=$G$21,H$21,$G855=$G$22,H$22,$G855=$G$25,H$25,$G855=$G$26,H$26,$G855=$G$27,H$27,$G855=$G$29,H$29,$G855=$G$31,H$31,$G855=$G$32,H$150,$G855=$G$248,H$248,$G855=$G$250,H$250)</f>
        <v>41.437435000000001</v>
      </c>
      <c r="I855" s="60" cm="1">
        <f t="array" ref="I855">_xlfn.IFS($G855=$G$5,I$5,$G855=$G$6,I$6,$G855=$G$7,I$7,$G855=$G$8,I$8,$G855=$G$9,I$9,$G855=$G$10,I$10,$G855=$G$11,I$11,$G855=$G$12,I$12,$G855=$G$13,I$13,$G855=$G$15,I$15,$G855=$G$16,I$16,$G855=$G$17,I$17,$G855=$G$18,I$18,$G855=$G$19,I$19,$G855=$G$20,I$20,$G855=$G$21,I$21,$G855=$G$22,I$22,$G855=$G$25,I$25,$G855=$G$26,I$26,$G855=$G$27,I$27,$G855=$G$29,I$29,$G855=$G$31,I$31,$G855=$G$32,I$150,$G855=$G$248,I$248,$G855=$G$250,I$250)</f>
        <v>2.1812779999999998</v>
      </c>
      <c r="J855" s="61" cm="1">
        <f t="array" ref="J855">_xlfn.IFS($G855=$G$5,J$5,$G855=$G$6,J$6,$G855=$G$7,J$7,$G855=$G$8,J$8,$G855=$G$9,J$9,$G855=$G$10,J$10,$G855=$G$11,J$11,$G855=$G$12,J$12,$G855=$G$13,J$13,$G855=$G$15,J$15,$G855=$G$16,J$16,$G855=$G$17,J$17,$G855=$G$18,J$18,$G855=$G$19,J$19,$G855=$G$20,J$20,$G855=$G$21,J$21,$G855=$G$22,J$22,$G855=$G$25,J$25,$G855=$G$26,J$26,$G855=$G$27,J$27,$G855=$G$29,J$29,$G855=$G$31,J$31,$G855=$G$32,J$150,$G855=$G$248,J$248,$G855=$G$250,J$250)</f>
        <v>47</v>
      </c>
      <c r="K855" t="str" cm="1">
        <f t="array" ref="K855">_xlfn.IFS($G855=$G$5,K$5,$G855=$G$6,K$6,$G855=$G$7,K$7,$G855=$G$8,K$8,$G855=$G$9,K$9,$G855=$G$10,K$10,$G855=$G$11,K$11,$G855=$G$12,K$12,$G855=$G$13,K$13,$G855=$G$15,K$15,$G855=$G$16,K$16,$G855=$G$17,K$17,$G855=$G$18,K$18,$G855=$G$19,K$19,$G855=$G$20,K$20,$G855=$G$21,K$21,$G855=$G$22,K$22,$G855=$G$25,K$25,$G855=$G$26,K$26,$G855=$G$27,K$27,$G855=$G$29,K$29,$G855=$G$31,K$31,$G855=$G$32,K$150,$G855=$G$248,K$248,$G855=$G$250,K$250)</f>
        <v>BG sentinel + BG lure7</v>
      </c>
      <c r="O855" s="69" t="str">
        <f t="shared" si="54"/>
        <v>A_SP_BCN_3_211006</v>
      </c>
      <c r="P855" s="64">
        <v>44475</v>
      </c>
      <c r="R855" s="72"/>
      <c r="S855" s="64">
        <v>44482</v>
      </c>
      <c r="U855" s="72"/>
      <c r="V855" s="54" t="s">
        <v>66</v>
      </c>
      <c r="X855" s="45">
        <f t="shared" si="71"/>
        <v>7</v>
      </c>
      <c r="Z855" s="69" t="s">
        <v>69</v>
      </c>
      <c r="AA855" s="69">
        <f t="shared" si="70"/>
        <v>6</v>
      </c>
      <c r="AB855" t="str">
        <f t="shared" si="68"/>
        <v>Adult</v>
      </c>
      <c r="AC855" s="69">
        <v>5</v>
      </c>
      <c r="AD855" s="69">
        <v>1</v>
      </c>
      <c r="AE855" s="45" t="str">
        <f t="shared" si="69"/>
        <v>Morphological</v>
      </c>
      <c r="AF855" s="56">
        <v>4</v>
      </c>
    </row>
    <row r="856" spans="1:32" ht="18" customHeight="1" x14ac:dyDescent="0.25">
      <c r="A856" s="45">
        <v>852</v>
      </c>
      <c r="B856" s="45" t="s">
        <v>60</v>
      </c>
      <c r="C856" s="45" t="s">
        <v>61</v>
      </c>
      <c r="D856" s="45" t="s">
        <v>62</v>
      </c>
      <c r="E856" s="45" t="s">
        <v>62</v>
      </c>
      <c r="F856" s="59" cm="1">
        <f t="array" ref="F856">_xlfn.IFS($G856=$G$5,F$5,$G856=$G$6,F$6,$G856=$G$7,F$7,$G856=$G$8,F$8,$G856=$G$9,F$9,$G856=$G$10,F$10,$G856=$G$11,F$11,$G856=$G$12,F$12,$G856=$G$13,F$13,$G856=$G$15,F$15,$G856=$G$16,F$16,$G856=$G$17,F$17,$G856=$G$18,F$18,$G856=$G$19,F$19,$G856=$G$20,F$20,$G856=$G$21,F$21,$G856=$G$22,F$22,$G856=$G$25,F$25,$G856=$G$26,F$26,$G856=$G$27,F$27,$G856=$G$29,F$29,$G856=$G$31,F$31,$G856=$G$32,F$32,$G856=$G$248,F$248,$G856=$G$250,F$250)</f>
        <v>8016</v>
      </c>
      <c r="G856" t="s">
        <v>68</v>
      </c>
      <c r="H856" s="60" cm="1">
        <f t="array" ref="H856">_xlfn.IFS($G856=$G$5,H$5,$G856=$G$6,H$6,$G856=$G$7,H$7,$G856=$G$8,H$8,$G856=$G$9,H$9,$G856=$G$10,H$10,$G856=$G$11,H$11,$G856=$G$12,H$12,$G856=$G$13,H$13,$G856=$G$15,H$15,$G856=$G$16,H$16,$G856=$G$17,H$17,$G856=$G$18,H$18,$G856=$G$19,H$19,$G856=$G$20,H$20,$G856=$G$21,H$21,$G856=$G$22,H$22,$G856=$G$25,H$25,$G856=$G$26,H$26,$G856=$G$27,H$27,$G856=$G$29,H$29,$G856=$G$31,H$31,$G856=$G$32,H$150,$G856=$G$248,H$248,$G856=$G$250,H$250)</f>
        <v>41.437435000000001</v>
      </c>
      <c r="I856" s="60" cm="1">
        <f t="array" ref="I856">_xlfn.IFS($G856=$G$5,I$5,$G856=$G$6,I$6,$G856=$G$7,I$7,$G856=$G$8,I$8,$G856=$G$9,I$9,$G856=$G$10,I$10,$G856=$G$11,I$11,$G856=$G$12,I$12,$G856=$G$13,I$13,$G856=$G$15,I$15,$G856=$G$16,I$16,$G856=$G$17,I$17,$G856=$G$18,I$18,$G856=$G$19,I$19,$G856=$G$20,I$20,$G856=$G$21,I$21,$G856=$G$22,I$22,$G856=$G$25,I$25,$G856=$G$26,I$26,$G856=$G$27,I$27,$G856=$G$29,I$29,$G856=$G$31,I$31,$G856=$G$32,I$150,$G856=$G$248,I$248,$G856=$G$250,I$250)</f>
        <v>2.1812779999999998</v>
      </c>
      <c r="J856" s="61" cm="1">
        <f t="array" ref="J856">_xlfn.IFS($G856=$G$5,J$5,$G856=$G$6,J$6,$G856=$G$7,J$7,$G856=$G$8,J$8,$G856=$G$9,J$9,$G856=$G$10,J$10,$G856=$G$11,J$11,$G856=$G$12,J$12,$G856=$G$13,J$13,$G856=$G$15,J$15,$G856=$G$16,J$16,$G856=$G$17,J$17,$G856=$G$18,J$18,$G856=$G$19,J$19,$G856=$G$20,J$20,$G856=$G$21,J$21,$G856=$G$22,J$22,$G856=$G$25,J$25,$G856=$G$26,J$26,$G856=$G$27,J$27,$G856=$G$29,J$29,$G856=$G$31,J$31,$G856=$G$32,J$150,$G856=$G$248,J$248,$G856=$G$250,J$250)</f>
        <v>47</v>
      </c>
      <c r="K856" t="str" cm="1">
        <f t="array" ref="K856">_xlfn.IFS($G856=$G$5,K$5,$G856=$G$6,K$6,$G856=$G$7,K$7,$G856=$G$8,K$8,$G856=$G$9,K$9,$G856=$G$10,K$10,$G856=$G$11,K$11,$G856=$G$12,K$12,$G856=$G$13,K$13,$G856=$G$15,K$15,$G856=$G$16,K$16,$G856=$G$17,K$17,$G856=$G$18,K$18,$G856=$G$19,K$19,$G856=$G$20,K$20,$G856=$G$21,K$21,$G856=$G$22,K$22,$G856=$G$25,K$25,$G856=$G$26,K$26,$G856=$G$27,K$27,$G856=$G$29,K$29,$G856=$G$31,K$31,$G856=$G$32,K$150,$G856=$G$248,K$248,$G856=$G$250,K$250)</f>
        <v>BG sentinel + BG lure7</v>
      </c>
      <c r="O856" s="69" t="str">
        <f t="shared" si="54"/>
        <v>A_SP_BCN_3_211006</v>
      </c>
      <c r="P856" s="64">
        <v>44475</v>
      </c>
      <c r="R856" s="72"/>
      <c r="S856" s="64">
        <v>44482</v>
      </c>
      <c r="U856" s="72"/>
      <c r="V856" s="54" t="s">
        <v>66</v>
      </c>
      <c r="X856" s="45">
        <f t="shared" si="71"/>
        <v>7</v>
      </c>
      <c r="Z856" s="45" t="s">
        <v>70</v>
      </c>
      <c r="AA856" s="69">
        <f t="shared" si="70"/>
        <v>2</v>
      </c>
      <c r="AB856" t="str">
        <f t="shared" si="68"/>
        <v>Adult</v>
      </c>
      <c r="AC856" s="69">
        <v>1</v>
      </c>
      <c r="AD856" s="69">
        <v>1</v>
      </c>
      <c r="AE856" s="45" t="str">
        <f t="shared" si="69"/>
        <v>Morphological</v>
      </c>
      <c r="AF856" s="56">
        <v>4</v>
      </c>
    </row>
    <row r="857" spans="1:32" ht="18" customHeight="1" x14ac:dyDescent="0.25">
      <c r="A857" s="45">
        <v>853</v>
      </c>
      <c r="B857" s="45" t="s">
        <v>60</v>
      </c>
      <c r="C857" s="45" t="s">
        <v>61</v>
      </c>
      <c r="D857" s="45" t="s">
        <v>62</v>
      </c>
      <c r="E857" s="45" t="s">
        <v>62</v>
      </c>
      <c r="F857" s="59" cm="1">
        <f t="array" ref="F857">_xlfn.IFS($G857=$G$5,F$5,$G857=$G$6,F$6,$G857=$G$7,F$7,$G857=$G$8,F$8,$G857=$G$9,F$9,$G857=$G$10,F$10,$G857=$G$11,F$11,$G857=$G$12,F$12,$G857=$G$13,F$13,$G857=$G$15,F$15,$G857=$G$16,F$16,$G857=$G$17,F$17,$G857=$G$18,F$18,$G857=$G$19,F$19,$G857=$G$20,F$20,$G857=$G$21,F$21,$G857=$G$22,F$22,$G857=$G$25,F$25,$G857=$G$26,F$26,$G857=$G$27,F$27,$G857=$G$29,F$29,$G857=$G$31,F$31,$G857=$G$32,F$32,$G857=$G$248,F$248,$G857=$G$250,F$250)</f>
        <v>8018</v>
      </c>
      <c r="G857" t="s">
        <v>71</v>
      </c>
      <c r="H857" s="60" cm="1">
        <f t="array" ref="H857">_xlfn.IFS($G857=$G$5,H$5,$G857=$G$6,H$6,$G857=$G$7,H$7,$G857=$G$8,H$8,$G857=$G$9,H$9,$G857=$G$10,H$10,$G857=$G$11,H$11,$G857=$G$12,H$12,$G857=$G$13,H$13,$G857=$G$15,H$15,$G857=$G$16,H$16,$G857=$G$17,H$17,$G857=$G$18,H$18,$G857=$G$19,H$19,$G857=$G$20,H$20,$G857=$G$21,H$21,$G857=$G$22,H$22,$G857=$G$25,H$25,$G857=$G$26,H$26,$G857=$G$27,H$27,$G857=$G$29,H$29,$G857=$G$31,H$31,$G857=$G$32,H$150,$G857=$G$248,H$248,$G857=$G$250,H$250)</f>
        <v>41.410684000000003</v>
      </c>
      <c r="I857" s="60" cm="1">
        <f t="array" ref="I857">_xlfn.IFS($G857=$G$5,I$5,$G857=$G$6,I$6,$G857=$G$7,I$7,$G857=$G$8,I$8,$G857=$G$9,I$9,$G857=$G$10,I$10,$G857=$G$11,I$11,$G857=$G$12,I$12,$G857=$G$13,I$13,$G857=$G$15,I$15,$G857=$G$16,I$16,$G857=$G$17,I$17,$G857=$G$18,I$18,$G857=$G$19,I$19,$G857=$G$20,I$20,$G857=$G$21,I$21,$G857=$G$22,I$22,$G857=$G$25,I$25,$G857=$G$26,I$26,$G857=$G$27,I$27,$G857=$G$29,I$29,$G857=$G$31,I$31,$G857=$G$32,I$150,$G857=$G$248,I$248,$G857=$G$250,I$250)</f>
        <v>2.2208019999999999</v>
      </c>
      <c r="J857" s="61" cm="1">
        <f t="array" ref="J857">_xlfn.IFS($G857=$G$5,J$5,$G857=$G$6,J$6,$G857=$G$7,J$7,$G857=$G$8,J$8,$G857=$G$9,J$9,$G857=$G$10,J$10,$G857=$G$11,J$11,$G857=$G$12,J$12,$G857=$G$13,J$13,$G857=$G$15,J$15,$G857=$G$16,J$16,$G857=$G$17,J$17,$G857=$G$18,J$18,$G857=$G$19,J$19,$G857=$G$20,J$20,$G857=$G$21,J$21,$G857=$G$22,J$22,$G857=$G$25,J$25,$G857=$G$26,J$26,$G857=$G$27,J$27,$G857=$G$29,J$29,$G857=$G$31,J$31,$G857=$G$32,J$150,$G857=$G$248,J$248,$G857=$G$250,J$250)</f>
        <v>4</v>
      </c>
      <c r="K857" t="str" cm="1">
        <f t="array" ref="K857">_xlfn.IFS($G857=$G$5,K$5,$G857=$G$6,K$6,$G857=$G$7,K$7,$G857=$G$8,K$8,$G857=$G$9,K$9,$G857=$G$10,K$10,$G857=$G$11,K$11,$G857=$G$12,K$12,$G857=$G$13,K$13,$G857=$G$15,K$15,$G857=$G$16,K$16,$G857=$G$17,K$17,$G857=$G$18,K$18,$G857=$G$19,K$19,$G857=$G$20,K$20,$G857=$G$21,K$21,$G857=$G$22,K$22,$G857=$G$25,K$25,$G857=$G$26,K$26,$G857=$G$27,K$27,$G857=$G$29,K$29,$G857=$G$31,K$31,$G857=$G$32,K$150,$G857=$G$248,K$248,$G857=$G$250,K$250)</f>
        <v>BG sentinel + BG lure7</v>
      </c>
      <c r="O857" s="69" t="str">
        <f t="shared" si="54"/>
        <v>A_SP_BCN_4_211007</v>
      </c>
      <c r="P857" s="64">
        <v>44476</v>
      </c>
      <c r="R857" s="72"/>
      <c r="S857" s="64">
        <v>44483</v>
      </c>
      <c r="U857" s="72"/>
      <c r="V857" s="54" t="s">
        <v>66</v>
      </c>
      <c r="X857" s="45">
        <f t="shared" si="71"/>
        <v>7</v>
      </c>
      <c r="Z857" s="69" t="s">
        <v>69</v>
      </c>
      <c r="AA857" s="69">
        <f t="shared" si="70"/>
        <v>13</v>
      </c>
      <c r="AB857" t="str">
        <f t="shared" si="68"/>
        <v>Adult</v>
      </c>
      <c r="AC857" s="69">
        <v>12</v>
      </c>
      <c r="AD857" s="69">
        <v>1</v>
      </c>
      <c r="AE857" s="45" t="str">
        <f t="shared" si="69"/>
        <v>Morphological</v>
      </c>
      <c r="AF857" s="56">
        <v>4</v>
      </c>
    </row>
    <row r="858" spans="1:32" ht="18" customHeight="1" x14ac:dyDescent="0.25">
      <c r="A858" s="45">
        <v>854</v>
      </c>
      <c r="B858" s="45" t="s">
        <v>60</v>
      </c>
      <c r="C858" s="45" t="s">
        <v>61</v>
      </c>
      <c r="D858" s="45" t="s">
        <v>62</v>
      </c>
      <c r="E858" s="45" t="s">
        <v>62</v>
      </c>
      <c r="F858" s="59" cm="1">
        <f t="array" ref="F858">_xlfn.IFS($G858=$G$5,F$5,$G858=$G$6,F$6,$G858=$G$7,F$7,$G858=$G$8,F$8,$G858=$G$9,F$9,$G858=$G$10,F$10,$G858=$G$11,F$11,$G858=$G$12,F$12,$G858=$G$13,F$13,$G858=$G$15,F$15,$G858=$G$16,F$16,$G858=$G$17,F$17,$G858=$G$18,F$18,$G858=$G$19,F$19,$G858=$G$20,F$20,$G858=$G$21,F$21,$G858=$G$22,F$22,$G858=$G$25,F$25,$G858=$G$26,F$26,$G858=$G$27,F$27,$G858=$G$29,F$29,$G858=$G$31,F$31,$G858=$G$32,F$32,$G858=$G$248,F$248,$G858=$G$250,F$250)</f>
        <v>8018</v>
      </c>
      <c r="G858" t="s">
        <v>71</v>
      </c>
      <c r="H858" s="60" cm="1">
        <f t="array" ref="H858">_xlfn.IFS($G858=$G$5,H$5,$G858=$G$6,H$6,$G858=$G$7,H$7,$G858=$G$8,H$8,$G858=$G$9,H$9,$G858=$G$10,H$10,$G858=$G$11,H$11,$G858=$G$12,H$12,$G858=$G$13,H$13,$G858=$G$15,H$15,$G858=$G$16,H$16,$G858=$G$17,H$17,$G858=$G$18,H$18,$G858=$G$19,H$19,$G858=$G$20,H$20,$G858=$G$21,H$21,$G858=$G$22,H$22,$G858=$G$25,H$25,$G858=$G$26,H$26,$G858=$G$27,H$27,$G858=$G$29,H$29,$G858=$G$31,H$31,$G858=$G$32,H$150,$G858=$G$248,H$248,$G858=$G$250,H$250)</f>
        <v>41.410684000000003</v>
      </c>
      <c r="I858" s="60" cm="1">
        <f t="array" ref="I858">_xlfn.IFS($G858=$G$5,I$5,$G858=$G$6,I$6,$G858=$G$7,I$7,$G858=$G$8,I$8,$G858=$G$9,I$9,$G858=$G$10,I$10,$G858=$G$11,I$11,$G858=$G$12,I$12,$G858=$G$13,I$13,$G858=$G$15,I$15,$G858=$G$16,I$16,$G858=$G$17,I$17,$G858=$G$18,I$18,$G858=$G$19,I$19,$G858=$G$20,I$20,$G858=$G$21,I$21,$G858=$G$22,I$22,$G858=$G$25,I$25,$G858=$G$26,I$26,$G858=$G$27,I$27,$G858=$G$29,I$29,$G858=$G$31,I$31,$G858=$G$32,I$150,$G858=$G$248,I$248,$G858=$G$250,I$250)</f>
        <v>2.2208019999999999</v>
      </c>
      <c r="J858" s="61" cm="1">
        <f t="array" ref="J858">_xlfn.IFS($G858=$G$5,J$5,$G858=$G$6,J$6,$G858=$G$7,J$7,$G858=$G$8,J$8,$G858=$G$9,J$9,$G858=$G$10,J$10,$G858=$G$11,J$11,$G858=$G$12,J$12,$G858=$G$13,J$13,$G858=$G$15,J$15,$G858=$G$16,J$16,$G858=$G$17,J$17,$G858=$G$18,J$18,$G858=$G$19,J$19,$G858=$G$20,J$20,$G858=$G$21,J$21,$G858=$G$22,J$22,$G858=$G$25,J$25,$G858=$G$26,J$26,$G858=$G$27,J$27,$G858=$G$29,J$29,$G858=$G$31,J$31,$G858=$G$32,J$150,$G858=$G$248,J$248,$G858=$G$250,J$250)</f>
        <v>4</v>
      </c>
      <c r="K858" t="str" cm="1">
        <f t="array" ref="K858">_xlfn.IFS($G858=$G$5,K$5,$G858=$G$6,K$6,$G858=$G$7,K$7,$G858=$G$8,K$8,$G858=$G$9,K$9,$G858=$G$10,K$10,$G858=$G$11,K$11,$G858=$G$12,K$12,$G858=$G$13,K$13,$G858=$G$15,K$15,$G858=$G$16,K$16,$G858=$G$17,K$17,$G858=$G$18,K$18,$G858=$G$19,K$19,$G858=$G$20,K$20,$G858=$G$21,K$21,$G858=$G$22,K$22,$G858=$G$25,K$25,$G858=$G$26,K$26,$G858=$G$27,K$27,$G858=$G$29,K$29,$G858=$G$31,K$31,$G858=$G$32,K$150,$G858=$G$248,K$248,$G858=$G$250,K$250)</f>
        <v>BG sentinel + BG lure7</v>
      </c>
      <c r="O858" s="69" t="str">
        <f t="shared" si="54"/>
        <v>A_SP_BCN_4_211007</v>
      </c>
      <c r="P858" s="64">
        <v>44476</v>
      </c>
      <c r="R858" s="72"/>
      <c r="S858" s="64">
        <v>44483</v>
      </c>
      <c r="U858" s="72"/>
      <c r="V858" s="54" t="s">
        <v>66</v>
      </c>
      <c r="X858" s="45">
        <f t="shared" si="71"/>
        <v>7</v>
      </c>
      <c r="Z858" s="45" t="s">
        <v>80</v>
      </c>
      <c r="AA858" s="69">
        <f t="shared" si="70"/>
        <v>2</v>
      </c>
      <c r="AB858" t="str">
        <f t="shared" si="68"/>
        <v>Adult</v>
      </c>
      <c r="AC858" s="69">
        <v>1</v>
      </c>
      <c r="AD858" s="69">
        <v>1</v>
      </c>
      <c r="AE858" s="45" t="str">
        <f t="shared" si="69"/>
        <v>Morphological</v>
      </c>
      <c r="AF858" s="56">
        <v>4</v>
      </c>
    </row>
    <row r="859" spans="1:32" ht="18" customHeight="1" x14ac:dyDescent="0.25">
      <c r="A859" s="45">
        <v>855</v>
      </c>
      <c r="B859" s="45" t="s">
        <v>60</v>
      </c>
      <c r="C859" s="45" t="s">
        <v>61</v>
      </c>
      <c r="D859" s="45" t="s">
        <v>62</v>
      </c>
      <c r="E859" s="45" t="s">
        <v>62</v>
      </c>
      <c r="F859" s="59" cm="1">
        <f t="array" ref="F859">_xlfn.IFS($G859=$G$5,F$5,$G859=$G$6,F$6,$G859=$G$7,F$7,$G859=$G$8,F$8,$G859=$G$9,F$9,$G859=$G$10,F$10,$G859=$G$11,F$11,$G859=$G$12,F$12,$G859=$G$13,F$13,$G859=$G$15,F$15,$G859=$G$16,F$16,$G859=$G$17,F$17,$G859=$G$18,F$18,$G859=$G$19,F$19,$G859=$G$20,F$20,$G859=$G$21,F$21,$G859=$G$22,F$22,$G859=$G$25,F$25,$G859=$G$26,F$26,$G859=$G$27,F$27,$G859=$G$29,F$29,$G859=$G$31,F$31,$G859=$G$32,F$32,$G859=$G$248,F$248,$G859=$G$250,F$250)</f>
        <v>8019</v>
      </c>
      <c r="G859" t="s">
        <v>72</v>
      </c>
      <c r="H859" s="60" cm="1">
        <f t="array" ref="H859">_xlfn.IFS($G859=$G$5,H$5,$G859=$G$6,H$6,$G859=$G$7,H$7,$G859=$G$8,H$8,$G859=$G$9,H$9,$G859=$G$10,H$10,$G859=$G$11,H$11,$G859=$G$12,H$12,$G859=$G$13,H$13,$G859=$G$15,H$15,$G859=$G$16,H$16,$G859=$G$17,H$17,$G859=$G$18,H$18,$G859=$G$19,H$19,$G859=$G$20,H$20,$G859=$G$21,H$21,$G859=$G$22,H$22,$G859=$G$25,H$25,$G859=$G$26,H$26,$G859=$G$27,H$27,$G859=$G$29,H$29,$G859=$G$31,H$31,$G859=$G$32,H$150,$G859=$G$248,H$248,$G859=$G$250,H$250)</f>
        <v>41.382339999999999</v>
      </c>
      <c r="I859" s="60" cm="1">
        <f t="array" ref="I859">_xlfn.IFS($G859=$G$5,I$5,$G859=$G$6,I$6,$G859=$G$7,I$7,$G859=$G$8,I$8,$G859=$G$9,I$9,$G859=$G$10,I$10,$G859=$G$11,I$11,$G859=$G$12,I$12,$G859=$G$13,I$13,$G859=$G$15,I$15,$G859=$G$16,I$16,$G859=$G$17,I$17,$G859=$G$18,I$18,$G859=$G$19,I$19,$G859=$G$20,I$20,$G859=$G$21,I$21,$G859=$G$22,I$22,$G859=$G$25,I$25,$G859=$G$26,I$26,$G859=$G$27,I$27,$G859=$G$29,I$29,$G859=$G$31,I$31,$G859=$G$32,I$150,$G859=$G$248,I$248,$G859=$G$250,I$250)</f>
        <v>2.1714790000000002</v>
      </c>
      <c r="J859" s="61" cm="1">
        <f t="array" ref="J859">_xlfn.IFS($G859=$G$5,J$5,$G859=$G$6,J$6,$G859=$G$7,J$7,$G859=$G$8,J$8,$G859=$G$9,J$9,$G859=$G$10,J$10,$G859=$G$11,J$11,$G859=$G$12,J$12,$G859=$G$13,J$13,$G859=$G$15,J$15,$G859=$G$16,J$16,$G859=$G$17,J$17,$G859=$G$18,J$18,$G859=$G$19,J$19,$G859=$G$20,J$20,$G859=$G$21,J$21,$G859=$G$22,J$22,$G859=$G$25,J$25,$G859=$G$26,J$26,$G859=$G$27,J$27,$G859=$G$29,J$29,$G859=$G$31,J$31,$G859=$G$32,J$150,$G859=$G$248,J$248,$G859=$G$250,J$250)</f>
        <v>18</v>
      </c>
      <c r="K859" t="str" cm="1">
        <f t="array" ref="K859">_xlfn.IFS($G859=$G$5,K$5,$G859=$G$6,K$6,$G859=$G$7,K$7,$G859=$G$8,K$8,$G859=$G$9,K$9,$G859=$G$10,K$10,$G859=$G$11,K$11,$G859=$G$12,K$12,$G859=$G$13,K$13,$G859=$G$15,K$15,$G859=$G$16,K$16,$G859=$G$17,K$17,$G859=$G$18,K$18,$G859=$G$19,K$19,$G859=$G$20,K$20,$G859=$G$21,K$21,$G859=$G$22,K$22,$G859=$G$25,K$25,$G859=$G$26,K$26,$G859=$G$27,K$27,$G859=$G$29,K$29,$G859=$G$31,K$31,$G859=$G$32,K$150,$G859=$G$248,K$248,$G859=$G$250,K$250)</f>
        <v>BG sentinel + BG lure7</v>
      </c>
      <c r="O859" s="69" t="str">
        <f t="shared" si="54"/>
        <v>A_SP_BCN_5_211007</v>
      </c>
      <c r="P859" s="64">
        <v>44476</v>
      </c>
      <c r="R859" s="72"/>
      <c r="S859" s="64">
        <v>44483</v>
      </c>
      <c r="U859" s="72"/>
      <c r="V859" s="54" t="s">
        <v>66</v>
      </c>
      <c r="X859" s="45">
        <f t="shared" si="71"/>
        <v>7</v>
      </c>
      <c r="AA859" s="69">
        <f t="shared" si="70"/>
        <v>0</v>
      </c>
      <c r="AB859" t="str">
        <f t="shared" si="68"/>
        <v/>
      </c>
      <c r="AE859" s="45" t="str">
        <f t="shared" si="69"/>
        <v/>
      </c>
      <c r="AF859" s="56">
        <v>4</v>
      </c>
    </row>
    <row r="860" spans="1:32" ht="18" customHeight="1" x14ac:dyDescent="0.25">
      <c r="A860" s="45">
        <v>856</v>
      </c>
      <c r="B860" s="45" t="s">
        <v>60</v>
      </c>
      <c r="C860" s="45" t="s">
        <v>61</v>
      </c>
      <c r="D860" s="45" t="s">
        <v>62</v>
      </c>
      <c r="E860" s="45" t="s">
        <v>62</v>
      </c>
      <c r="F860" s="59" cm="1">
        <f t="array" ref="F860">_xlfn.IFS($G860=$G$5,F$5,$G860=$G$6,F$6,$G860=$G$7,F$7,$G860=$G$8,F$8,$G860=$G$9,F$9,$G860=$G$10,F$10,$G860=$G$11,F$11,$G860=$G$12,F$12,$G860=$G$13,F$13,$G860=$G$15,F$15,$G860=$G$16,F$16,$G860=$G$17,F$17,$G860=$G$18,F$18,$G860=$G$19,F$19,$G860=$G$20,F$20,$G860=$G$21,F$21,$G860=$G$22,F$22,$G860=$G$25,F$25,$G860=$G$26,F$26,$G860=$G$27,F$27,$G860=$G$29,F$29,$G860=$G$31,F$31,$G860=$G$32,F$32,$G860=$G$248,F$248,$G860=$G$250,F$250)</f>
        <v>8002</v>
      </c>
      <c r="G860" t="s">
        <v>73</v>
      </c>
      <c r="H860" s="60" cm="1">
        <f t="array" ref="H860">_xlfn.IFS($G860=$G$5,H$5,$G860=$G$6,H$6,$G860=$G$7,H$7,$G860=$G$8,H$8,$G860=$G$9,H$9,$G860=$G$10,H$10,$G860=$G$11,H$11,$G860=$G$12,H$12,$G860=$G$13,H$13,$G860=$G$15,H$15,$G860=$G$16,H$16,$G860=$G$17,H$17,$G860=$G$18,H$18,$G860=$G$19,H$19,$G860=$G$20,H$20,$G860=$G$21,H$21,$G860=$G$22,H$22,$G860=$G$25,H$25,$G860=$G$26,H$26,$G860=$G$27,H$27,$G860=$G$29,H$29,$G860=$G$31,H$31,$G860=$G$32,H$150,$G860=$G$248,H$248,$G860=$G$250,H$250)</f>
        <v>41.371864000000002</v>
      </c>
      <c r="I860" s="60" cm="1">
        <f t="array" ref="I860">_xlfn.IFS($G860=$G$5,I$5,$G860=$G$6,I$6,$G860=$G$7,I$7,$G860=$G$8,I$8,$G860=$G$9,I$9,$G860=$G$10,I$10,$G860=$G$11,I$11,$G860=$G$12,I$12,$G860=$G$13,I$13,$G860=$G$15,I$15,$G860=$G$16,I$16,$G860=$G$17,I$17,$G860=$G$18,I$18,$G860=$G$19,I$19,$G860=$G$20,I$20,$G860=$G$21,I$21,$G860=$G$22,I$22,$G860=$G$25,I$25,$G860=$G$26,I$26,$G860=$G$27,I$27,$G860=$G$29,I$29,$G860=$G$31,I$31,$G860=$G$32,I$150,$G860=$G$248,I$248,$G860=$G$250,I$250)</f>
        <v>2.173899</v>
      </c>
      <c r="J860" s="61" cm="1">
        <f t="array" ref="J860">_xlfn.IFS($G860=$G$5,J$5,$G860=$G$6,J$6,$G860=$G$7,J$7,$G860=$G$8,J$8,$G860=$G$9,J$9,$G860=$G$10,J$10,$G860=$G$11,J$11,$G860=$G$12,J$12,$G860=$G$13,J$13,$G860=$G$15,J$15,$G860=$G$16,J$16,$G860=$G$17,J$17,$G860=$G$18,J$18,$G860=$G$19,J$19,$G860=$G$20,J$20,$G860=$G$21,J$21,$G860=$G$22,J$22,$G860=$G$25,J$25,$G860=$G$26,J$26,$G860=$G$27,J$27,$G860=$G$29,J$29,$G860=$G$31,J$31,$G860=$G$32,J$150,$G860=$G$248,J$248,$G860=$G$250,J$250)</f>
        <v>19</v>
      </c>
      <c r="K860" t="str" cm="1">
        <f t="array" ref="K860">_xlfn.IFS($G860=$G$5,K$5,$G860=$G$6,K$6,$G860=$G$7,K$7,$G860=$G$8,K$8,$G860=$G$9,K$9,$G860=$G$10,K$10,$G860=$G$11,K$11,$G860=$G$12,K$12,$G860=$G$13,K$13,$G860=$G$15,K$15,$G860=$G$16,K$16,$G860=$G$17,K$17,$G860=$G$18,K$18,$G860=$G$19,K$19,$G860=$G$20,K$20,$G860=$G$21,K$21,$G860=$G$22,K$22,$G860=$G$25,K$25,$G860=$G$26,K$26,$G860=$G$27,K$27,$G860=$G$29,K$29,$G860=$G$31,K$31,$G860=$G$32,K$150,$G860=$G$248,K$248,$G860=$G$250,K$250)</f>
        <v>BG sentinel + BG lure7</v>
      </c>
      <c r="O860" s="69" t="str">
        <f t="shared" si="54"/>
        <v>A_SP_BCN_6_211007</v>
      </c>
      <c r="P860" s="64">
        <v>44476</v>
      </c>
      <c r="R860" s="72"/>
      <c r="S860" s="64">
        <v>44483</v>
      </c>
      <c r="U860" s="72"/>
      <c r="V860" s="54" t="s">
        <v>66</v>
      </c>
      <c r="X860" s="45">
        <f t="shared" si="71"/>
        <v>7</v>
      </c>
      <c r="Z860" s="69" t="s">
        <v>69</v>
      </c>
      <c r="AA860" s="69">
        <f t="shared" si="70"/>
        <v>4</v>
      </c>
      <c r="AB860" t="str">
        <f t="shared" si="68"/>
        <v>Adult</v>
      </c>
      <c r="AC860" s="69">
        <v>4</v>
      </c>
      <c r="AD860" s="69">
        <v>0</v>
      </c>
      <c r="AE860" s="45" t="str">
        <f t="shared" si="69"/>
        <v>Morphological</v>
      </c>
      <c r="AF860" s="56">
        <v>4</v>
      </c>
    </row>
    <row r="861" spans="1:32" ht="18" customHeight="1" x14ac:dyDescent="0.25">
      <c r="A861" s="45">
        <v>857</v>
      </c>
      <c r="B861" s="45" t="s">
        <v>60</v>
      </c>
      <c r="C861" s="45" t="s">
        <v>61</v>
      </c>
      <c r="D861" s="45" t="s">
        <v>62</v>
      </c>
      <c r="E861" s="45" t="s">
        <v>62</v>
      </c>
      <c r="F861" s="59" cm="1">
        <f t="array" ref="F861">_xlfn.IFS($G861=$G$5,F$5,$G861=$G$6,F$6,$G861=$G$7,F$7,$G861=$G$8,F$8,$G861=$G$9,F$9,$G861=$G$10,F$10,$G861=$G$11,F$11,$G861=$G$12,F$12,$G861=$G$13,F$13,$G861=$G$15,F$15,$G861=$G$16,F$16,$G861=$G$17,F$17,$G861=$G$18,F$18,$G861=$G$19,F$19,$G861=$G$20,F$20,$G861=$G$21,F$21,$G861=$G$22,F$22,$G861=$G$25,F$25,$G861=$G$26,F$26,$G861=$G$27,F$27,$G861=$G$29,F$29,$G861=$G$31,F$31,$G861=$G$32,F$32,$G861=$G$248,F$248,$G861=$G$250,F$250)</f>
        <v>8002</v>
      </c>
      <c r="G861" t="s">
        <v>73</v>
      </c>
      <c r="H861" s="60" cm="1">
        <f t="array" ref="H861">_xlfn.IFS($G861=$G$5,H$5,$G861=$G$6,H$6,$G861=$G$7,H$7,$G861=$G$8,H$8,$G861=$G$9,H$9,$G861=$G$10,H$10,$G861=$G$11,H$11,$G861=$G$12,H$12,$G861=$G$13,H$13,$G861=$G$15,H$15,$G861=$G$16,H$16,$G861=$G$17,H$17,$G861=$G$18,H$18,$G861=$G$19,H$19,$G861=$G$20,H$20,$G861=$G$21,H$21,$G861=$G$22,H$22,$G861=$G$25,H$25,$G861=$G$26,H$26,$G861=$G$27,H$27,$G861=$G$29,H$29,$G861=$G$31,H$31,$G861=$G$32,H$150,$G861=$G$248,H$248,$G861=$G$250,H$250)</f>
        <v>41.371864000000002</v>
      </c>
      <c r="I861" s="60" cm="1">
        <f t="array" ref="I861">_xlfn.IFS($G861=$G$5,I$5,$G861=$G$6,I$6,$G861=$G$7,I$7,$G861=$G$8,I$8,$G861=$G$9,I$9,$G861=$G$10,I$10,$G861=$G$11,I$11,$G861=$G$12,I$12,$G861=$G$13,I$13,$G861=$G$15,I$15,$G861=$G$16,I$16,$G861=$G$17,I$17,$G861=$G$18,I$18,$G861=$G$19,I$19,$G861=$G$20,I$20,$G861=$G$21,I$21,$G861=$G$22,I$22,$G861=$G$25,I$25,$G861=$G$26,I$26,$G861=$G$27,I$27,$G861=$G$29,I$29,$G861=$G$31,I$31,$G861=$G$32,I$150,$G861=$G$248,I$248,$G861=$G$250,I$250)</f>
        <v>2.173899</v>
      </c>
      <c r="J861" s="61" cm="1">
        <f t="array" ref="J861">_xlfn.IFS($G861=$G$5,J$5,$G861=$G$6,J$6,$G861=$G$7,J$7,$G861=$G$8,J$8,$G861=$G$9,J$9,$G861=$G$10,J$10,$G861=$G$11,J$11,$G861=$G$12,J$12,$G861=$G$13,J$13,$G861=$G$15,J$15,$G861=$G$16,J$16,$G861=$G$17,J$17,$G861=$G$18,J$18,$G861=$G$19,J$19,$G861=$G$20,J$20,$G861=$G$21,J$21,$G861=$G$22,J$22,$G861=$G$25,J$25,$G861=$G$26,J$26,$G861=$G$27,J$27,$G861=$G$29,J$29,$G861=$G$31,J$31,$G861=$G$32,J$150,$G861=$G$248,J$248,$G861=$G$250,J$250)</f>
        <v>19</v>
      </c>
      <c r="K861" t="str" cm="1">
        <f t="array" ref="K861">_xlfn.IFS($G861=$G$5,K$5,$G861=$G$6,K$6,$G861=$G$7,K$7,$G861=$G$8,K$8,$G861=$G$9,K$9,$G861=$G$10,K$10,$G861=$G$11,K$11,$G861=$G$12,K$12,$G861=$G$13,K$13,$G861=$G$15,K$15,$G861=$G$16,K$16,$G861=$G$17,K$17,$G861=$G$18,K$18,$G861=$G$19,K$19,$G861=$G$20,K$20,$G861=$G$21,K$21,$G861=$G$22,K$22,$G861=$G$25,K$25,$G861=$G$26,K$26,$G861=$G$27,K$27,$G861=$G$29,K$29,$G861=$G$31,K$31,$G861=$G$32,K$150,$G861=$G$248,K$248,$G861=$G$250,K$250)</f>
        <v>BG sentinel + BG lure7</v>
      </c>
      <c r="O861" s="69" t="str">
        <f t="shared" si="54"/>
        <v>A_SP_BCN_6_211007</v>
      </c>
      <c r="P861" s="64">
        <v>44476</v>
      </c>
      <c r="R861" s="72"/>
      <c r="S861" s="64">
        <v>44483</v>
      </c>
      <c r="U861" s="72"/>
      <c r="V861" s="54" t="s">
        <v>66</v>
      </c>
      <c r="X861" s="45">
        <f t="shared" si="71"/>
        <v>7</v>
      </c>
      <c r="Z861" s="45" t="s">
        <v>70</v>
      </c>
      <c r="AA861" s="69">
        <f t="shared" si="70"/>
        <v>3</v>
      </c>
      <c r="AB861" t="str">
        <f t="shared" si="68"/>
        <v>Adult</v>
      </c>
      <c r="AC861" s="69">
        <v>3</v>
      </c>
      <c r="AD861" s="69">
        <v>0</v>
      </c>
      <c r="AE861" s="45" t="str">
        <f t="shared" si="69"/>
        <v>Morphological</v>
      </c>
      <c r="AF861" s="56">
        <v>4</v>
      </c>
    </row>
    <row r="862" spans="1:32" ht="18" customHeight="1" x14ac:dyDescent="0.25">
      <c r="A862" s="45">
        <v>858</v>
      </c>
      <c r="B862" s="45" t="s">
        <v>60</v>
      </c>
      <c r="C862" s="45" t="s">
        <v>61</v>
      </c>
      <c r="D862" s="45" t="s">
        <v>62</v>
      </c>
      <c r="E862" s="45" t="s">
        <v>62</v>
      </c>
      <c r="F862" s="59" cm="1">
        <f t="array" ref="F862">_xlfn.IFS($G862=$G$5,F$5,$G862=$G$6,F$6,$G862=$G$7,F$7,$G862=$G$8,F$8,$G862=$G$9,F$9,$G862=$G$10,F$10,$G862=$G$11,F$11,$G862=$G$12,F$12,$G862=$G$13,F$13,$G862=$G$15,F$15,$G862=$G$16,F$16,$G862=$G$17,F$17,$G862=$G$18,F$18,$G862=$G$19,F$19,$G862=$G$20,F$20,$G862=$G$21,F$21,$G862=$G$22,F$22,$G862=$G$25,F$25,$G862=$G$26,F$26,$G862=$G$27,F$27,$G862=$G$29,F$29,$G862=$G$31,F$31,$G862=$G$32,F$32,$G862=$G$248,F$248,$G862=$G$250,F$250)</f>
        <v>8038</v>
      </c>
      <c r="G862" t="s">
        <v>74</v>
      </c>
      <c r="H862" s="60" cm="1">
        <f t="array" ref="H862">_xlfn.IFS($G862=$G$5,H$5,$G862=$G$6,H$6,$G862=$G$7,H$7,$G862=$G$8,H$8,$G862=$G$9,H$9,$G862=$G$10,H$10,$G862=$G$11,H$11,$G862=$G$12,H$12,$G862=$G$13,H$13,$G862=$G$15,H$15,$G862=$G$16,H$16,$G862=$G$17,H$17,$G862=$G$18,H$18,$G862=$G$19,H$19,$G862=$G$20,H$20,$G862=$G$21,H$21,$G862=$G$22,H$22,$G862=$G$25,H$25,$G862=$G$26,H$26,$G862=$G$27,H$27,$G862=$G$29,H$29,$G862=$G$31,H$31,$G862=$G$32,H$150,$G862=$G$248,H$248,$G862=$G$250,H$250)</f>
        <v>41.371864000000002</v>
      </c>
      <c r="I862" s="60" cm="1">
        <f t="array" ref="I862">_xlfn.IFS($G862=$G$5,I$5,$G862=$G$6,I$6,$G862=$G$7,I$7,$G862=$G$8,I$8,$G862=$G$9,I$9,$G862=$G$10,I$10,$G862=$G$11,I$11,$G862=$G$12,I$12,$G862=$G$13,I$13,$G862=$G$15,I$15,$G862=$G$16,I$16,$G862=$G$17,I$17,$G862=$G$18,I$18,$G862=$G$19,I$19,$G862=$G$20,I$20,$G862=$G$21,I$21,$G862=$G$22,I$22,$G862=$G$25,I$25,$G862=$G$26,I$26,$G862=$G$27,I$27,$G862=$G$29,I$29,$G862=$G$31,I$31,$G862=$G$32,I$150,$G862=$G$248,I$248,$G862=$G$250,I$250)</f>
        <v>2.173899</v>
      </c>
      <c r="J862" s="61" cm="1">
        <f t="array" ref="J862">_xlfn.IFS($G862=$G$5,J$5,$G862=$G$6,J$6,$G862=$G$7,J$7,$G862=$G$8,J$8,$G862=$G$9,J$9,$G862=$G$10,J$10,$G862=$G$11,J$11,$G862=$G$12,J$12,$G862=$G$13,J$13,$G862=$G$15,J$15,$G862=$G$16,J$16,$G862=$G$17,J$17,$G862=$G$18,J$18,$G862=$G$19,J$19,$G862=$G$20,J$20,$G862=$G$21,J$21,$G862=$G$22,J$22,$G862=$G$25,J$25,$G862=$G$26,J$26,$G862=$G$27,J$27,$G862=$G$29,J$29,$G862=$G$31,J$31,$G862=$G$32,J$150,$G862=$G$248,J$248,$G862=$G$250,J$250)</f>
        <v>5</v>
      </c>
      <c r="K862" t="str" cm="1">
        <f t="array" ref="K862">_xlfn.IFS($G862=$G$5,K$5,$G862=$G$6,K$6,$G862=$G$7,K$7,$G862=$G$8,K$8,$G862=$G$9,K$9,$G862=$G$10,K$10,$G862=$G$11,K$11,$G862=$G$12,K$12,$G862=$G$13,K$13,$G862=$G$15,K$15,$G862=$G$16,K$16,$G862=$G$17,K$17,$G862=$G$18,K$18,$G862=$G$19,K$19,$G862=$G$20,K$20,$G862=$G$21,K$21,$G862=$G$22,K$22,$G862=$G$25,K$25,$G862=$G$26,K$26,$G862=$G$27,K$27,$G862=$G$29,K$29,$G862=$G$31,K$31,$G862=$G$32,K$150,$G862=$G$248,K$248,$G862=$G$250,K$250)</f>
        <v>BG sentinel + BG lure7</v>
      </c>
      <c r="O862" s="69" t="str">
        <f t="shared" si="54"/>
        <v>A_SP_BCN_7_211007</v>
      </c>
      <c r="P862" s="64">
        <v>44476</v>
      </c>
      <c r="R862" s="72"/>
      <c r="S862" s="64">
        <v>44483</v>
      </c>
      <c r="U862" s="72"/>
      <c r="V862" s="54" t="s">
        <v>66</v>
      </c>
      <c r="X862" s="45">
        <f t="shared" si="71"/>
        <v>7</v>
      </c>
      <c r="Z862" s="69" t="s">
        <v>69</v>
      </c>
      <c r="AA862" s="69">
        <f t="shared" si="70"/>
        <v>8</v>
      </c>
      <c r="AB862" t="str">
        <f t="shared" si="68"/>
        <v>Adult</v>
      </c>
      <c r="AC862" s="69">
        <v>8</v>
      </c>
      <c r="AD862" s="69">
        <v>0</v>
      </c>
      <c r="AE862" s="45" t="str">
        <f t="shared" si="69"/>
        <v>Morphological</v>
      </c>
      <c r="AF862" s="56">
        <v>4</v>
      </c>
    </row>
    <row r="863" spans="1:32" ht="18" customHeight="1" x14ac:dyDescent="0.25">
      <c r="A863" s="45">
        <v>859</v>
      </c>
      <c r="B863" s="45" t="s">
        <v>60</v>
      </c>
      <c r="C863" s="45" t="s">
        <v>61</v>
      </c>
      <c r="D863" s="45" t="s">
        <v>62</v>
      </c>
      <c r="E863" s="45" t="s">
        <v>62</v>
      </c>
      <c r="F863" s="59" cm="1">
        <f t="array" ref="F863">_xlfn.IFS($G863=$G$5,F$5,$G863=$G$6,F$6,$G863=$G$7,F$7,$G863=$G$8,F$8,$G863=$G$9,F$9,$G863=$G$10,F$10,$G863=$G$11,F$11,$G863=$G$12,F$12,$G863=$G$13,F$13,$G863=$G$15,F$15,$G863=$G$16,F$16,$G863=$G$17,F$17,$G863=$G$18,F$18,$G863=$G$19,F$19,$G863=$G$20,F$20,$G863=$G$21,F$21,$G863=$G$22,F$22,$G863=$G$25,F$25,$G863=$G$26,F$26,$G863=$G$27,F$27,$G863=$G$29,F$29,$G863=$G$31,F$31,$G863=$G$32,F$32,$G863=$G$248,F$248,$G863=$G$250,F$250)</f>
        <v>8038</v>
      </c>
      <c r="G863" t="s">
        <v>75</v>
      </c>
      <c r="H863" s="60" cm="1">
        <f t="array" ref="H863">_xlfn.IFS($G863=$G$5,H$5,$G863=$G$6,H$6,$G863=$G$7,H$7,$G863=$G$8,H$8,$G863=$G$9,H$9,$G863=$G$10,H$10,$G863=$G$11,H$11,$G863=$G$12,H$12,$G863=$G$13,H$13,$G863=$G$15,H$15,$G863=$G$16,H$16,$G863=$G$17,H$17,$G863=$G$18,H$18,$G863=$G$19,H$19,$G863=$G$20,H$20,$G863=$G$21,H$21,$G863=$G$22,H$22,$G863=$G$25,H$25,$G863=$G$26,H$26,$G863=$G$27,H$27,$G863=$G$29,H$29,$G863=$G$31,H$31,$G863=$G$32,H$150,$G863=$G$248,H$248,$G863=$G$250,H$250)</f>
        <v>41.368589</v>
      </c>
      <c r="I863" s="60" cm="1">
        <f t="array" ref="I863">_xlfn.IFS($G863=$G$5,I$5,$G863=$G$6,I$6,$G863=$G$7,I$7,$G863=$G$8,I$8,$G863=$G$9,I$9,$G863=$G$10,I$10,$G863=$G$11,I$11,$G863=$G$12,I$12,$G863=$G$13,I$13,$G863=$G$15,I$15,$G863=$G$16,I$16,$G863=$G$17,I$17,$G863=$G$18,I$18,$G863=$G$19,I$19,$G863=$G$20,I$20,$G863=$G$21,I$21,$G863=$G$22,I$22,$G863=$G$25,I$25,$G863=$G$26,I$26,$G863=$G$27,I$27,$G863=$G$29,I$29,$G863=$G$31,I$31,$G863=$G$32,I$150,$G863=$G$248,I$248,$G863=$G$250,I$250)</f>
        <v>2.1620900000000001</v>
      </c>
      <c r="J863" s="61" cm="1">
        <f t="array" ref="J863">_xlfn.IFS($G863=$G$5,J$5,$G863=$G$6,J$6,$G863=$G$7,J$7,$G863=$G$8,J$8,$G863=$G$9,J$9,$G863=$G$10,J$10,$G863=$G$11,J$11,$G863=$G$12,J$12,$G863=$G$13,J$13,$G863=$G$15,J$15,$G863=$G$16,J$16,$G863=$G$17,J$17,$G863=$G$18,J$18,$G863=$G$19,J$19,$G863=$G$20,J$20,$G863=$G$21,J$21,$G863=$G$22,J$22,$G863=$G$25,J$25,$G863=$G$26,J$26,$G863=$G$27,J$27,$G863=$G$29,J$29,$G863=$G$31,J$31,$G863=$G$32,J$150,$G863=$G$248,J$248,$G863=$G$250,J$250)</f>
        <v>95</v>
      </c>
      <c r="K863" t="str" cm="1">
        <f t="array" ref="K863">_xlfn.IFS($G863=$G$5,K$5,$G863=$G$6,K$6,$G863=$G$7,K$7,$G863=$G$8,K$8,$G863=$G$9,K$9,$G863=$G$10,K$10,$G863=$G$11,K$11,$G863=$G$12,K$12,$G863=$G$13,K$13,$G863=$G$15,K$15,$G863=$G$16,K$16,$G863=$G$17,K$17,$G863=$G$18,K$18,$G863=$G$19,K$19,$G863=$G$20,K$20,$G863=$G$21,K$21,$G863=$G$22,K$22,$G863=$G$25,K$25,$G863=$G$26,K$26,$G863=$G$27,K$27,$G863=$G$29,K$29,$G863=$G$31,K$31,$G863=$G$32,K$150,$G863=$G$248,K$248,$G863=$G$250,K$250)</f>
        <v>BG sentinel + BG lure7</v>
      </c>
      <c r="O863" s="69" t="str">
        <f t="shared" si="54"/>
        <v>A_SP_BCN_8_211007</v>
      </c>
      <c r="P863" s="64">
        <v>44476</v>
      </c>
      <c r="R863" s="72"/>
      <c r="S863" s="64">
        <v>44483</v>
      </c>
      <c r="U863" s="72"/>
      <c r="V863" s="54" t="s">
        <v>66</v>
      </c>
      <c r="X863" s="45">
        <f t="shared" si="71"/>
        <v>7</v>
      </c>
      <c r="Z863" s="69" t="s">
        <v>69</v>
      </c>
      <c r="AA863" s="69">
        <f t="shared" si="70"/>
        <v>55</v>
      </c>
      <c r="AB863" t="str">
        <f t="shared" si="68"/>
        <v>Adult</v>
      </c>
      <c r="AC863" s="69">
        <v>54</v>
      </c>
      <c r="AD863" s="69">
        <v>1</v>
      </c>
      <c r="AE863" s="45" t="str">
        <f t="shared" si="69"/>
        <v>Morphological</v>
      </c>
      <c r="AF863" s="56">
        <v>4</v>
      </c>
    </row>
    <row r="864" spans="1:32" ht="18" customHeight="1" x14ac:dyDescent="0.25">
      <c r="A864" s="45">
        <v>860</v>
      </c>
      <c r="B864" s="45" t="s">
        <v>60</v>
      </c>
      <c r="C864" s="45" t="s">
        <v>61</v>
      </c>
      <c r="D864" s="45" t="s">
        <v>62</v>
      </c>
      <c r="E864" s="45" t="s">
        <v>62</v>
      </c>
      <c r="F864" s="59" cm="1">
        <f t="array" ref="F864">_xlfn.IFS($G864=$G$5,F$5,$G864=$G$6,F$6,$G864=$G$7,F$7,$G864=$G$8,F$8,$G864=$G$9,F$9,$G864=$G$10,F$10,$G864=$G$11,F$11,$G864=$G$12,F$12,$G864=$G$13,F$13,$G864=$G$15,F$15,$G864=$G$16,F$16,$G864=$G$17,F$17,$G864=$G$18,F$18,$G864=$G$19,F$19,$G864=$G$20,F$20,$G864=$G$21,F$21,$G864=$G$22,F$22,$G864=$G$25,F$25,$G864=$G$26,F$26,$G864=$G$27,F$27,$G864=$G$29,F$29,$G864=$G$31,F$31,$G864=$G$32,F$32,$G864=$G$248,F$248,$G864=$G$250,F$250)</f>
        <v>8038</v>
      </c>
      <c r="G864" t="s">
        <v>75</v>
      </c>
      <c r="H864" s="60" cm="1">
        <f t="array" ref="H864">_xlfn.IFS($G864=$G$5,H$5,$G864=$G$6,H$6,$G864=$G$7,H$7,$G864=$G$8,H$8,$G864=$G$9,H$9,$G864=$G$10,H$10,$G864=$G$11,H$11,$G864=$G$12,H$12,$G864=$G$13,H$13,$G864=$G$15,H$15,$G864=$G$16,H$16,$G864=$G$17,H$17,$G864=$G$18,H$18,$G864=$G$19,H$19,$G864=$G$20,H$20,$G864=$G$21,H$21,$G864=$G$22,H$22,$G864=$G$25,H$25,$G864=$G$26,H$26,$G864=$G$27,H$27,$G864=$G$29,H$29,$G864=$G$31,H$31,$G864=$G$32,H$150,$G864=$G$248,H$248,$G864=$G$250,H$250)</f>
        <v>41.368589</v>
      </c>
      <c r="I864" s="60" cm="1">
        <f t="array" ref="I864">_xlfn.IFS($G864=$G$5,I$5,$G864=$G$6,I$6,$G864=$G$7,I$7,$G864=$G$8,I$8,$G864=$G$9,I$9,$G864=$G$10,I$10,$G864=$G$11,I$11,$G864=$G$12,I$12,$G864=$G$13,I$13,$G864=$G$15,I$15,$G864=$G$16,I$16,$G864=$G$17,I$17,$G864=$G$18,I$18,$G864=$G$19,I$19,$G864=$G$20,I$20,$G864=$G$21,I$21,$G864=$G$22,I$22,$G864=$G$25,I$25,$G864=$G$26,I$26,$G864=$G$27,I$27,$G864=$G$29,I$29,$G864=$G$31,I$31,$G864=$G$32,I$150,$G864=$G$248,I$248,$G864=$G$250,I$250)</f>
        <v>2.1620900000000001</v>
      </c>
      <c r="J864" s="61" cm="1">
        <f t="array" ref="J864">_xlfn.IFS($G864=$G$5,J$5,$G864=$G$6,J$6,$G864=$G$7,J$7,$G864=$G$8,J$8,$G864=$G$9,J$9,$G864=$G$10,J$10,$G864=$G$11,J$11,$G864=$G$12,J$12,$G864=$G$13,J$13,$G864=$G$15,J$15,$G864=$G$16,J$16,$G864=$G$17,J$17,$G864=$G$18,J$18,$G864=$G$19,J$19,$G864=$G$20,J$20,$G864=$G$21,J$21,$G864=$G$22,J$22,$G864=$G$25,J$25,$G864=$G$26,J$26,$G864=$G$27,J$27,$G864=$G$29,J$29,$G864=$G$31,J$31,$G864=$G$32,J$150,$G864=$G$248,J$248,$G864=$G$250,J$250)</f>
        <v>95</v>
      </c>
      <c r="K864" t="str" cm="1">
        <f t="array" ref="K864">_xlfn.IFS($G864=$G$5,K$5,$G864=$G$6,K$6,$G864=$G$7,K$7,$G864=$G$8,K$8,$G864=$G$9,K$9,$G864=$G$10,K$10,$G864=$G$11,K$11,$G864=$G$12,K$12,$G864=$G$13,K$13,$G864=$G$15,K$15,$G864=$G$16,K$16,$G864=$G$17,K$17,$G864=$G$18,K$18,$G864=$G$19,K$19,$G864=$G$20,K$20,$G864=$G$21,K$21,$G864=$G$22,K$22,$G864=$G$25,K$25,$G864=$G$26,K$26,$G864=$G$27,K$27,$G864=$G$29,K$29,$G864=$G$31,K$31,$G864=$G$32,K$150,$G864=$G$248,K$248,$G864=$G$250,K$250)</f>
        <v>BG sentinel + BG lure7</v>
      </c>
      <c r="O864" s="69" t="str">
        <f t="shared" si="54"/>
        <v>A_SP_BCN_8_211007</v>
      </c>
      <c r="P864" s="64">
        <v>44476</v>
      </c>
      <c r="R864" s="72"/>
      <c r="S864" s="64">
        <v>44483</v>
      </c>
      <c r="U864" s="72"/>
      <c r="V864" s="54" t="s">
        <v>66</v>
      </c>
      <c r="X864" s="45">
        <f t="shared" si="71"/>
        <v>7</v>
      </c>
      <c r="Z864" s="45" t="s">
        <v>80</v>
      </c>
      <c r="AA864" s="69">
        <f t="shared" si="70"/>
        <v>1</v>
      </c>
      <c r="AB864" t="str">
        <f t="shared" si="68"/>
        <v>Adult</v>
      </c>
      <c r="AC864" s="69">
        <v>1</v>
      </c>
      <c r="AD864" s="69">
        <v>0</v>
      </c>
      <c r="AE864" s="45" t="str">
        <f t="shared" si="69"/>
        <v>Morphological</v>
      </c>
      <c r="AF864" s="56">
        <v>4</v>
      </c>
    </row>
    <row r="865" spans="1:32" ht="18" customHeight="1" x14ac:dyDescent="0.25">
      <c r="A865" s="45">
        <v>861</v>
      </c>
      <c r="B865" s="45" t="s">
        <v>60</v>
      </c>
      <c r="C865" s="45" t="s">
        <v>61</v>
      </c>
      <c r="D865" s="45" t="s">
        <v>62</v>
      </c>
      <c r="E865" s="45" t="s">
        <v>62</v>
      </c>
      <c r="F865" s="59" cm="1">
        <f t="array" ref="F865">_xlfn.IFS($G865=$G$5,F$5,$G865=$G$6,F$6,$G865=$G$7,F$7,$G865=$G$8,F$8,$G865=$G$9,F$9,$G865=$G$10,F$10,$G865=$G$11,F$11,$G865=$G$12,F$12,$G865=$G$13,F$13,$G865=$G$15,F$15,$G865=$G$16,F$16,$G865=$G$17,F$17,$G865=$G$18,F$18,$G865=$G$19,F$19,$G865=$G$20,F$20,$G865=$G$21,F$21,$G865=$G$22,F$22,$G865=$G$25,F$25,$G865=$G$26,F$26,$G865=$G$27,F$27,$G865=$G$29,F$29,$G865=$G$31,F$31,$G865=$G$32,F$32,$G865=$G$248,F$248,$G865=$G$250,F$250)</f>
        <v>8034</v>
      </c>
      <c r="G865" t="s">
        <v>78</v>
      </c>
      <c r="H865" s="60" cm="1">
        <f t="array" ref="H865">_xlfn.IFS($G865=$G$5,H$5,$G865=$G$6,H$6,$G865=$G$7,H$7,$G865=$G$8,H$8,$G865=$G$9,H$9,$G865=$G$10,H$10,$G865=$G$11,H$11,$G865=$G$12,H$12,$G865=$G$13,H$13,$G865=$G$15,H$15,$G865=$G$16,H$16,$G865=$G$17,H$17,$G865=$G$18,H$18,$G865=$G$19,H$19,$G865=$G$20,H$20,$G865=$G$21,H$21,$G865=$G$22,H$22,$G865=$G$25,H$25,$G865=$G$26,H$26,$G865=$G$27,H$27,$G865=$G$29,H$29,$G865=$G$31,H$31,$G865=$G$32,H$150,$G865=$G$248,H$248,$G865=$G$250,H$250)</f>
        <v>41.393644999999999</v>
      </c>
      <c r="I865" s="60" cm="1">
        <f t="array" ref="I865">_xlfn.IFS($G865=$G$5,I$5,$G865=$G$6,I$6,$G865=$G$7,I$7,$G865=$G$8,I$8,$G865=$G$9,I$9,$G865=$G$10,I$10,$G865=$G$11,I$11,$G865=$G$12,I$12,$G865=$G$13,I$13,$G865=$G$15,I$15,$G865=$G$16,I$16,$G865=$G$17,I$17,$G865=$G$18,I$18,$G865=$G$19,I$19,$G865=$G$20,I$20,$G865=$G$21,I$21,$G865=$G$22,I$22,$G865=$G$25,I$25,$G865=$G$26,I$26,$G865=$G$27,I$27,$G865=$G$29,I$29,$G865=$G$31,I$31,$G865=$G$32,I$150,$G865=$G$248,I$248,$G865=$G$250,I$250)</f>
        <v>2.1216780000000002</v>
      </c>
      <c r="J865" s="61" cm="1">
        <f t="array" ref="J865">_xlfn.IFS($G865=$G$5,J$5,$G865=$G$6,J$6,$G865=$G$7,J$7,$G865=$G$8,J$8,$G865=$G$9,J$9,$G865=$G$10,J$10,$G865=$G$11,J$11,$G865=$G$12,J$12,$G865=$G$13,J$13,$G865=$G$15,J$15,$G865=$G$16,J$16,$G865=$G$17,J$17,$G865=$G$18,J$18,$G865=$G$19,J$19,$G865=$G$20,J$20,$G865=$G$21,J$21,$G865=$G$22,J$22,$G865=$G$25,J$25,$G865=$G$26,J$26,$G865=$G$27,J$27,$G865=$G$29,J$29,$G865=$G$31,J$31,$G865=$G$32,J$150,$G865=$G$248,J$248,$G865=$G$250,J$250)</f>
        <v>98</v>
      </c>
      <c r="K865" t="str" cm="1">
        <f t="array" ref="K865">_xlfn.IFS($G865=$G$5,K$5,$G865=$G$6,K$6,$G865=$G$7,K$7,$G865=$G$8,K$8,$G865=$G$9,K$9,$G865=$G$10,K$10,$G865=$G$11,K$11,$G865=$G$12,K$12,$G865=$G$13,K$13,$G865=$G$15,K$15,$G865=$G$16,K$16,$G865=$G$17,K$17,$G865=$G$18,K$18,$G865=$G$19,K$19,$G865=$G$20,K$20,$G865=$G$21,K$21,$G865=$G$22,K$22,$G865=$G$25,K$25,$G865=$G$26,K$26,$G865=$G$27,K$27,$G865=$G$29,K$29,$G865=$G$31,K$31,$G865=$G$32,K$150,$G865=$G$248,K$248,$G865=$G$250,K$250)</f>
        <v>BG sentinel + BG lure7</v>
      </c>
      <c r="O865" s="69" t="str">
        <f t="shared" si="54"/>
        <v>A_SP_BCN_9_211006</v>
      </c>
      <c r="P865" s="64">
        <v>44475</v>
      </c>
      <c r="R865" s="72"/>
      <c r="S865" s="64">
        <v>44482</v>
      </c>
      <c r="U865" s="72"/>
      <c r="V865" s="54" t="s">
        <v>66</v>
      </c>
      <c r="X865" s="45">
        <f t="shared" si="71"/>
        <v>7</v>
      </c>
      <c r="Z865" s="69" t="s">
        <v>69</v>
      </c>
      <c r="AA865" s="69">
        <f t="shared" si="70"/>
        <v>4</v>
      </c>
      <c r="AB865" t="str">
        <f t="shared" si="68"/>
        <v>Adult</v>
      </c>
      <c r="AC865" s="69">
        <v>4</v>
      </c>
      <c r="AD865" s="69">
        <v>0</v>
      </c>
      <c r="AE865" s="45" t="str">
        <f t="shared" si="69"/>
        <v>Morphological</v>
      </c>
      <c r="AF865" s="56">
        <v>4</v>
      </c>
    </row>
    <row r="866" spans="1:32" ht="18" customHeight="1" x14ac:dyDescent="0.25">
      <c r="A866" s="45">
        <v>862</v>
      </c>
      <c r="B866" s="45" t="s">
        <v>60</v>
      </c>
      <c r="C866" s="45" t="s">
        <v>61</v>
      </c>
      <c r="D866" s="45" t="s">
        <v>62</v>
      </c>
      <c r="E866" s="45" t="s">
        <v>62</v>
      </c>
      <c r="F866" s="59" cm="1">
        <f t="array" ref="F866">_xlfn.IFS($G866=$G$5,F$5,$G866=$G$6,F$6,$G866=$G$7,F$7,$G866=$G$8,F$8,$G866=$G$9,F$9,$G866=$G$10,F$10,$G866=$G$11,F$11,$G866=$G$12,F$12,$G866=$G$13,F$13,$G866=$G$15,F$15,$G866=$G$16,F$16,$G866=$G$17,F$17,$G866=$G$18,F$18,$G866=$G$19,F$19,$G866=$G$20,F$20,$G866=$G$21,F$21,$G866=$G$22,F$22,$G866=$G$25,F$25,$G866=$G$26,F$26,$G866=$G$27,F$27,$G866=$G$29,F$29,$G866=$G$31,F$31,$G866=$G$32,F$32,$G866=$G$248,F$248,$G866=$G$250,F$250)</f>
        <v>8034</v>
      </c>
      <c r="G866" t="s">
        <v>78</v>
      </c>
      <c r="H866" s="60" cm="1">
        <f t="array" ref="H866">_xlfn.IFS($G866=$G$5,H$5,$G866=$G$6,H$6,$G866=$G$7,H$7,$G866=$G$8,H$8,$G866=$G$9,H$9,$G866=$G$10,H$10,$G866=$G$11,H$11,$G866=$G$12,H$12,$G866=$G$13,H$13,$G866=$G$15,H$15,$G866=$G$16,H$16,$G866=$G$17,H$17,$G866=$G$18,H$18,$G866=$G$19,H$19,$G866=$G$20,H$20,$G866=$G$21,H$21,$G866=$G$22,H$22,$G866=$G$25,H$25,$G866=$G$26,H$26,$G866=$G$27,H$27,$G866=$G$29,H$29,$G866=$G$31,H$31,$G866=$G$32,H$150,$G866=$G$248,H$248,$G866=$G$250,H$250)</f>
        <v>41.393644999999999</v>
      </c>
      <c r="I866" s="60" cm="1">
        <f t="array" ref="I866">_xlfn.IFS($G866=$G$5,I$5,$G866=$G$6,I$6,$G866=$G$7,I$7,$G866=$G$8,I$8,$G866=$G$9,I$9,$G866=$G$10,I$10,$G866=$G$11,I$11,$G866=$G$12,I$12,$G866=$G$13,I$13,$G866=$G$15,I$15,$G866=$G$16,I$16,$G866=$G$17,I$17,$G866=$G$18,I$18,$G866=$G$19,I$19,$G866=$G$20,I$20,$G866=$G$21,I$21,$G866=$G$22,I$22,$G866=$G$25,I$25,$G866=$G$26,I$26,$G866=$G$27,I$27,$G866=$G$29,I$29,$G866=$G$31,I$31,$G866=$G$32,I$150,$G866=$G$248,I$248,$G866=$G$250,I$250)</f>
        <v>2.1216780000000002</v>
      </c>
      <c r="J866" s="61" cm="1">
        <f t="array" ref="J866">_xlfn.IFS($G866=$G$5,J$5,$G866=$G$6,J$6,$G866=$G$7,J$7,$G866=$G$8,J$8,$G866=$G$9,J$9,$G866=$G$10,J$10,$G866=$G$11,J$11,$G866=$G$12,J$12,$G866=$G$13,J$13,$G866=$G$15,J$15,$G866=$G$16,J$16,$G866=$G$17,J$17,$G866=$G$18,J$18,$G866=$G$19,J$19,$G866=$G$20,J$20,$G866=$G$21,J$21,$G866=$G$22,J$22,$G866=$G$25,J$25,$G866=$G$26,J$26,$G866=$G$27,J$27,$G866=$G$29,J$29,$G866=$G$31,J$31,$G866=$G$32,J$150,$G866=$G$248,J$248,$G866=$G$250,J$250)</f>
        <v>98</v>
      </c>
      <c r="K866" t="str" cm="1">
        <f t="array" ref="K866">_xlfn.IFS($G866=$G$5,K$5,$G866=$G$6,K$6,$G866=$G$7,K$7,$G866=$G$8,K$8,$G866=$G$9,K$9,$G866=$G$10,K$10,$G866=$G$11,K$11,$G866=$G$12,K$12,$G866=$G$13,K$13,$G866=$G$15,K$15,$G866=$G$16,K$16,$G866=$G$17,K$17,$G866=$G$18,K$18,$G866=$G$19,K$19,$G866=$G$20,K$20,$G866=$G$21,K$21,$G866=$G$22,K$22,$G866=$G$25,K$25,$G866=$G$26,K$26,$G866=$G$27,K$27,$G866=$G$29,K$29,$G866=$G$31,K$31,$G866=$G$32,K$150,$G866=$G$248,K$248,$G866=$G$250,K$250)</f>
        <v>BG sentinel + BG lure7</v>
      </c>
      <c r="O866" s="69" t="str">
        <f t="shared" si="54"/>
        <v>A_SP_BCN_9_211006</v>
      </c>
      <c r="P866" s="64">
        <v>44475</v>
      </c>
      <c r="R866" s="72"/>
      <c r="S866" s="64">
        <v>44482</v>
      </c>
      <c r="U866" s="72"/>
      <c r="V866" s="54" t="s">
        <v>66</v>
      </c>
      <c r="X866" s="45">
        <f t="shared" si="71"/>
        <v>7</v>
      </c>
      <c r="Z866" s="45" t="s">
        <v>70</v>
      </c>
      <c r="AA866" s="69">
        <f t="shared" si="70"/>
        <v>2</v>
      </c>
      <c r="AB866" t="str">
        <f t="shared" si="68"/>
        <v>Adult</v>
      </c>
      <c r="AC866" s="69">
        <v>2</v>
      </c>
      <c r="AD866" s="69">
        <v>0</v>
      </c>
      <c r="AE866" s="45" t="str">
        <f t="shared" si="69"/>
        <v>Morphological</v>
      </c>
      <c r="AF866" s="56">
        <v>4</v>
      </c>
    </row>
    <row r="867" spans="1:32" ht="18" customHeight="1" x14ac:dyDescent="0.25">
      <c r="A867" s="45">
        <v>863</v>
      </c>
      <c r="B867" s="45" t="s">
        <v>60</v>
      </c>
      <c r="C867" s="45" t="s">
        <v>61</v>
      </c>
      <c r="D867" s="45" t="s">
        <v>62</v>
      </c>
      <c r="E867" s="45" t="s">
        <v>62</v>
      </c>
      <c r="F867" s="59" cm="1">
        <f t="array" ref="F867">_xlfn.IFS($G867=$G$5,F$5,$G867=$G$6,F$6,$G867=$G$7,F$7,$G867=$G$8,F$8,$G867=$G$9,F$9,$G867=$G$10,F$10,$G867=$G$11,F$11,$G867=$G$12,F$12,$G867=$G$13,F$13,$G867=$G$15,F$15,$G867=$G$16,F$16,$G867=$G$17,F$17,$G867=$G$18,F$18,$G867=$G$19,F$19,$G867=$G$20,F$20,$G867=$G$21,F$21,$G867=$G$22,F$22,$G867=$G$25,F$25,$G867=$G$26,F$26,$G867=$G$27,F$27,$G867=$G$29,F$29,$G867=$G$31,F$31,$G867=$G$32,F$32,$G867=$G$248,F$248,$G867=$G$250,F$250)</f>
        <v>8034</v>
      </c>
      <c r="G867" t="s">
        <v>78</v>
      </c>
      <c r="H867" s="60" cm="1">
        <f t="array" ref="H867">_xlfn.IFS($G867=$G$5,H$5,$G867=$G$6,H$6,$G867=$G$7,H$7,$G867=$G$8,H$8,$G867=$G$9,H$9,$G867=$G$10,H$10,$G867=$G$11,H$11,$G867=$G$12,H$12,$G867=$G$13,H$13,$G867=$G$15,H$15,$G867=$G$16,H$16,$G867=$G$17,H$17,$G867=$G$18,H$18,$G867=$G$19,H$19,$G867=$G$20,H$20,$G867=$G$21,H$21,$G867=$G$22,H$22,$G867=$G$25,H$25,$G867=$G$26,H$26,$G867=$G$27,H$27,$G867=$G$29,H$29,$G867=$G$31,H$31,$G867=$G$32,H$150,$G867=$G$248,H$248,$G867=$G$250,H$250)</f>
        <v>41.393644999999999</v>
      </c>
      <c r="I867" s="60" cm="1">
        <f t="array" ref="I867">_xlfn.IFS($G867=$G$5,I$5,$G867=$G$6,I$6,$G867=$G$7,I$7,$G867=$G$8,I$8,$G867=$G$9,I$9,$G867=$G$10,I$10,$G867=$G$11,I$11,$G867=$G$12,I$12,$G867=$G$13,I$13,$G867=$G$15,I$15,$G867=$G$16,I$16,$G867=$G$17,I$17,$G867=$G$18,I$18,$G867=$G$19,I$19,$G867=$G$20,I$20,$G867=$G$21,I$21,$G867=$G$22,I$22,$G867=$G$25,I$25,$G867=$G$26,I$26,$G867=$G$27,I$27,$G867=$G$29,I$29,$G867=$G$31,I$31,$G867=$G$32,I$150,$G867=$G$248,I$248,$G867=$G$250,I$250)</f>
        <v>2.1216780000000002</v>
      </c>
      <c r="J867" s="61" cm="1">
        <f t="array" ref="J867">_xlfn.IFS($G867=$G$5,J$5,$G867=$G$6,J$6,$G867=$G$7,J$7,$G867=$G$8,J$8,$G867=$G$9,J$9,$G867=$G$10,J$10,$G867=$G$11,J$11,$G867=$G$12,J$12,$G867=$G$13,J$13,$G867=$G$15,J$15,$G867=$G$16,J$16,$G867=$G$17,J$17,$G867=$G$18,J$18,$G867=$G$19,J$19,$G867=$G$20,J$20,$G867=$G$21,J$21,$G867=$G$22,J$22,$G867=$G$25,J$25,$G867=$G$26,J$26,$G867=$G$27,J$27,$G867=$G$29,J$29,$G867=$G$31,J$31,$G867=$G$32,J$150,$G867=$G$248,J$248,$G867=$G$250,J$250)</f>
        <v>98</v>
      </c>
      <c r="K867" t="str" cm="1">
        <f t="array" ref="K867">_xlfn.IFS($G867=$G$5,K$5,$G867=$G$6,K$6,$G867=$G$7,K$7,$G867=$G$8,K$8,$G867=$G$9,K$9,$G867=$G$10,K$10,$G867=$G$11,K$11,$G867=$G$12,K$12,$G867=$G$13,K$13,$G867=$G$15,K$15,$G867=$G$16,K$16,$G867=$G$17,K$17,$G867=$G$18,K$18,$G867=$G$19,K$19,$G867=$G$20,K$20,$G867=$G$21,K$21,$G867=$G$22,K$22,$G867=$G$25,K$25,$G867=$G$26,K$26,$G867=$G$27,K$27,$G867=$G$29,K$29,$G867=$G$31,K$31,$G867=$G$32,K$150,$G867=$G$248,K$248,$G867=$G$250,K$250)</f>
        <v>BG sentinel + BG lure7</v>
      </c>
      <c r="O867" s="69" t="str">
        <f t="shared" si="54"/>
        <v>A_SP_BCN_9_211006</v>
      </c>
      <c r="P867" s="64">
        <v>44475</v>
      </c>
      <c r="R867" s="72"/>
      <c r="S867" s="64">
        <v>44482</v>
      </c>
      <c r="U867" s="72"/>
      <c r="V867" s="54" t="s">
        <v>66</v>
      </c>
      <c r="X867" s="45">
        <f t="shared" si="71"/>
        <v>7</v>
      </c>
      <c r="Z867" s="45" t="s">
        <v>80</v>
      </c>
      <c r="AA867" s="69">
        <f t="shared" si="70"/>
        <v>1</v>
      </c>
      <c r="AB867" t="str">
        <f t="shared" si="68"/>
        <v>Adult</v>
      </c>
      <c r="AC867" s="69">
        <v>0</v>
      </c>
      <c r="AD867" s="69">
        <v>1</v>
      </c>
      <c r="AE867" s="45" t="str">
        <f t="shared" si="69"/>
        <v>Morphological</v>
      </c>
      <c r="AF867" s="56">
        <v>4</v>
      </c>
    </row>
    <row r="868" spans="1:32" ht="18" customHeight="1" x14ac:dyDescent="0.25">
      <c r="A868" s="45">
        <v>864</v>
      </c>
      <c r="B868" s="45" t="s">
        <v>60</v>
      </c>
      <c r="C868" s="45" t="s">
        <v>61</v>
      </c>
      <c r="D868" s="45" t="s">
        <v>62</v>
      </c>
      <c r="E868" s="45" t="s">
        <v>62</v>
      </c>
      <c r="F868" s="59" cm="1">
        <f t="array" ref="F868">_xlfn.IFS($G868=$G$5,F$5,$G868=$G$6,F$6,$G868=$G$7,F$7,$G868=$G$8,F$8,$G868=$G$9,F$9,$G868=$G$10,F$10,$G868=$G$11,F$11,$G868=$G$12,F$12,$G868=$G$13,F$13,$G868=$G$15,F$15,$G868=$G$16,F$16,$G868=$G$17,F$17,$G868=$G$18,F$18,$G868=$G$19,F$19,$G868=$G$20,F$20,$G868=$G$21,F$21,$G868=$G$22,F$22,$G868=$G$25,F$25,$G868=$G$26,F$26,$G868=$G$27,F$27,$G868=$G$29,F$29,$G868=$G$31,F$31,$G868=$G$32,F$32,$G868=$G$248,F$248,$G868=$G$250,F$250)</f>
        <v>8040</v>
      </c>
      <c r="G868" t="s">
        <v>81</v>
      </c>
      <c r="H868" s="60" cm="1">
        <f t="array" ref="H868">_xlfn.IFS($G868=$G$5,H$5,$G868=$G$6,H$6,$G868=$G$7,H$7,$G868=$G$8,H$8,$G868=$G$9,H$9,$G868=$G$10,H$10,$G868=$G$11,H$11,$G868=$G$12,H$12,$G868=$G$13,H$13,$G868=$G$15,H$15,$G868=$G$16,H$16,$G868=$G$17,H$17,$G868=$G$18,H$18,$G868=$G$19,H$19,$G868=$G$20,H$20,$G868=$G$21,H$21,$G868=$G$22,H$22,$G868=$G$25,H$25,$G868=$G$26,H$26,$G868=$G$27,H$27,$G868=$G$29,H$29,$G868=$G$31,H$31,$G868=$G$32,H$150,$G868=$G$248,H$248,$G868=$G$250,H$250)</f>
        <v>41.343685000000001</v>
      </c>
      <c r="I868" s="60" cm="1">
        <f t="array" ref="I868">_xlfn.IFS($G868=$G$5,I$5,$G868=$G$6,I$6,$G868=$G$7,I$7,$G868=$G$8,I$8,$G868=$G$9,I$9,$G868=$G$10,I$10,$G868=$G$11,I$11,$G868=$G$12,I$12,$G868=$G$13,I$13,$G868=$G$15,I$15,$G868=$G$16,I$16,$G868=$G$17,I$17,$G868=$G$18,I$18,$G868=$G$19,I$19,$G868=$G$20,I$20,$G868=$G$21,I$21,$G868=$G$22,I$22,$G868=$G$25,I$25,$G868=$G$26,I$26,$G868=$G$27,I$27,$G868=$G$29,I$29,$G868=$G$31,I$31,$G868=$G$32,I$150,$G868=$G$248,I$248,$G868=$G$250,I$250)</f>
        <v>2.1441490000000001</v>
      </c>
      <c r="J868" s="61" cm="1">
        <f t="array" ref="J868">_xlfn.IFS($G868=$G$5,J$5,$G868=$G$6,J$6,$G868=$G$7,J$7,$G868=$G$8,J$8,$G868=$G$9,J$9,$G868=$G$10,J$10,$G868=$G$11,J$11,$G868=$G$12,J$12,$G868=$G$13,J$13,$G868=$G$15,J$15,$G868=$G$16,J$16,$G868=$G$17,J$17,$G868=$G$18,J$18,$G868=$G$19,J$19,$G868=$G$20,J$20,$G868=$G$21,J$21,$G868=$G$22,J$22,$G868=$G$25,J$25,$G868=$G$26,J$26,$G868=$G$27,J$27,$G868=$G$29,J$29,$G868=$G$31,J$31,$G868=$G$32,J$150,$G868=$G$248,J$248,$G868=$G$250,J$250)</f>
        <v>4</v>
      </c>
      <c r="K868" t="str" cm="1">
        <f t="array" ref="K868">_xlfn.IFS($G868=$G$5,K$5,$G868=$G$6,K$6,$G868=$G$7,K$7,$G868=$G$8,K$8,$G868=$G$9,K$9,$G868=$G$10,K$10,$G868=$G$11,K$11,$G868=$G$12,K$12,$G868=$G$13,K$13,$G868=$G$15,K$15,$G868=$G$16,K$16,$G868=$G$17,K$17,$G868=$G$18,K$18,$G868=$G$19,K$19,$G868=$G$20,K$20,$G868=$G$21,K$21,$G868=$G$22,K$22,$G868=$G$25,K$25,$G868=$G$26,K$26,$G868=$G$27,K$27,$G868=$G$29,K$29,$G868=$G$31,K$31,$G868=$G$32,K$150,$G868=$G$248,K$248,$G868=$G$250,K$250)</f>
        <v>BG sentinel + BG lure7</v>
      </c>
      <c r="O868" s="69" t="str">
        <f t="shared" si="54"/>
        <v>A_SP_BCN_10_211007</v>
      </c>
      <c r="P868" s="64">
        <v>44476</v>
      </c>
      <c r="R868" s="72"/>
      <c r="S868" s="64">
        <v>44483</v>
      </c>
      <c r="U868" s="72"/>
      <c r="V868" s="54" t="s">
        <v>66</v>
      </c>
      <c r="X868" s="45">
        <f t="shared" si="71"/>
        <v>7</v>
      </c>
      <c r="Z868" s="69" t="s">
        <v>69</v>
      </c>
      <c r="AA868" s="69">
        <f t="shared" si="70"/>
        <v>8</v>
      </c>
      <c r="AB868" t="str">
        <f t="shared" si="68"/>
        <v>Adult</v>
      </c>
      <c r="AC868" s="69">
        <v>6</v>
      </c>
      <c r="AD868" s="69">
        <v>2</v>
      </c>
      <c r="AE868" s="45" t="str">
        <f t="shared" si="69"/>
        <v>Morphological</v>
      </c>
      <c r="AF868" s="56">
        <v>4</v>
      </c>
    </row>
    <row r="869" spans="1:32" ht="18" customHeight="1" x14ac:dyDescent="0.25">
      <c r="A869" s="45">
        <v>865</v>
      </c>
      <c r="B869" s="45" t="s">
        <v>60</v>
      </c>
      <c r="C869" s="45" t="s">
        <v>61</v>
      </c>
      <c r="D869" s="45" t="s">
        <v>62</v>
      </c>
      <c r="E869" s="45" t="s">
        <v>62</v>
      </c>
      <c r="F869" s="59" cm="1">
        <f t="array" ref="F869">_xlfn.IFS($G869=$G$5,F$5,$G869=$G$6,F$6,$G869=$G$7,F$7,$G869=$G$8,F$8,$G869=$G$9,F$9,$G869=$G$10,F$10,$G869=$G$11,F$11,$G869=$G$12,F$12,$G869=$G$13,F$13,$G869=$G$15,F$15,$G869=$G$16,F$16,$G869=$G$17,F$17,$G869=$G$18,F$18,$G869=$G$19,F$19,$G869=$G$20,F$20,$G869=$G$21,F$21,$G869=$G$22,F$22,$G869=$G$25,F$25,$G869=$G$26,F$26,$G869=$G$27,F$27,$G869=$G$29,F$29,$G869=$G$31,F$31,$G869=$G$32,F$32,$G869=$G$248,F$248,$G869=$G$250,F$250)</f>
        <v>8040</v>
      </c>
      <c r="G869" t="s">
        <v>81</v>
      </c>
      <c r="H869" s="60" cm="1">
        <f t="array" ref="H869">_xlfn.IFS($G869=$G$5,H$5,$G869=$G$6,H$6,$G869=$G$7,H$7,$G869=$G$8,H$8,$G869=$G$9,H$9,$G869=$G$10,H$10,$G869=$G$11,H$11,$G869=$G$12,H$12,$G869=$G$13,H$13,$G869=$G$15,H$15,$G869=$G$16,H$16,$G869=$G$17,H$17,$G869=$G$18,H$18,$G869=$G$19,H$19,$G869=$G$20,H$20,$G869=$G$21,H$21,$G869=$G$22,H$22,$G869=$G$25,H$25,$G869=$G$26,H$26,$G869=$G$27,H$27,$G869=$G$29,H$29,$G869=$G$31,H$31,$G869=$G$32,H$150,$G869=$G$248,H$248,$G869=$G$250,H$250)</f>
        <v>41.343685000000001</v>
      </c>
      <c r="I869" s="60" cm="1">
        <f t="array" ref="I869">_xlfn.IFS($G869=$G$5,I$5,$G869=$G$6,I$6,$G869=$G$7,I$7,$G869=$G$8,I$8,$G869=$G$9,I$9,$G869=$G$10,I$10,$G869=$G$11,I$11,$G869=$G$12,I$12,$G869=$G$13,I$13,$G869=$G$15,I$15,$G869=$G$16,I$16,$G869=$G$17,I$17,$G869=$G$18,I$18,$G869=$G$19,I$19,$G869=$G$20,I$20,$G869=$G$21,I$21,$G869=$G$22,I$22,$G869=$G$25,I$25,$G869=$G$26,I$26,$G869=$G$27,I$27,$G869=$G$29,I$29,$G869=$G$31,I$31,$G869=$G$32,I$150,$G869=$G$248,I$248,$G869=$G$250,I$250)</f>
        <v>2.1441490000000001</v>
      </c>
      <c r="J869" s="61" cm="1">
        <f t="array" ref="J869">_xlfn.IFS($G869=$G$5,J$5,$G869=$G$6,J$6,$G869=$G$7,J$7,$G869=$G$8,J$8,$G869=$G$9,J$9,$G869=$G$10,J$10,$G869=$G$11,J$11,$G869=$G$12,J$12,$G869=$G$13,J$13,$G869=$G$15,J$15,$G869=$G$16,J$16,$G869=$G$17,J$17,$G869=$G$18,J$18,$G869=$G$19,J$19,$G869=$G$20,J$20,$G869=$G$21,J$21,$G869=$G$22,J$22,$G869=$G$25,J$25,$G869=$G$26,J$26,$G869=$G$27,J$27,$G869=$G$29,J$29,$G869=$G$31,J$31,$G869=$G$32,J$150,$G869=$G$248,J$248,$G869=$G$250,J$250)</f>
        <v>4</v>
      </c>
      <c r="K869" t="str" cm="1">
        <f t="array" ref="K869">_xlfn.IFS($G869=$G$5,K$5,$G869=$G$6,K$6,$G869=$G$7,K$7,$G869=$G$8,K$8,$G869=$G$9,K$9,$G869=$G$10,K$10,$G869=$G$11,K$11,$G869=$G$12,K$12,$G869=$G$13,K$13,$G869=$G$15,K$15,$G869=$G$16,K$16,$G869=$G$17,K$17,$G869=$G$18,K$18,$G869=$G$19,K$19,$G869=$G$20,K$20,$G869=$G$21,K$21,$G869=$G$22,K$22,$G869=$G$25,K$25,$G869=$G$26,K$26,$G869=$G$27,K$27,$G869=$G$29,K$29,$G869=$G$31,K$31,$G869=$G$32,K$150,$G869=$G$248,K$248,$G869=$G$250,K$250)</f>
        <v>BG sentinel + BG lure7</v>
      </c>
      <c r="O869" s="69" t="str">
        <f t="shared" si="54"/>
        <v>A_SP_BCN_10_211007</v>
      </c>
      <c r="P869" s="64">
        <v>44476</v>
      </c>
      <c r="R869" s="72"/>
      <c r="S869" s="64">
        <v>44483</v>
      </c>
      <c r="U869" s="72"/>
      <c r="V869" s="54" t="s">
        <v>66</v>
      </c>
      <c r="X869" s="45">
        <f t="shared" si="71"/>
        <v>7</v>
      </c>
      <c r="Z869" s="45" t="s">
        <v>70</v>
      </c>
      <c r="AA869" s="69">
        <f t="shared" si="70"/>
        <v>1</v>
      </c>
      <c r="AB869" t="str">
        <f t="shared" si="68"/>
        <v>Adult</v>
      </c>
      <c r="AC869" s="69">
        <v>1</v>
      </c>
      <c r="AD869" s="69">
        <v>0</v>
      </c>
      <c r="AE869" s="45" t="str">
        <f t="shared" si="69"/>
        <v>Morphological</v>
      </c>
      <c r="AF869" s="56">
        <v>4</v>
      </c>
    </row>
    <row r="870" spans="1:32" ht="18" customHeight="1" x14ac:dyDescent="0.25">
      <c r="A870" s="45">
        <v>866</v>
      </c>
      <c r="B870" s="45" t="s">
        <v>60</v>
      </c>
      <c r="C870" s="45" t="s">
        <v>61</v>
      </c>
      <c r="D870" s="45" t="s">
        <v>62</v>
      </c>
      <c r="E870" s="45" t="s">
        <v>62</v>
      </c>
      <c r="F870" s="59" cm="1">
        <f t="array" ref="F870">_xlfn.IFS($G870=$G$5,F$5,$G870=$G$6,F$6,$G870=$G$7,F$7,$G870=$G$8,F$8,$G870=$G$9,F$9,$G870=$G$10,F$10,$G870=$G$11,F$11,$G870=$G$12,F$12,$G870=$G$13,F$13,$G870=$G$15,F$15,$G870=$G$16,F$16,$G870=$G$17,F$17,$G870=$G$18,F$18,$G870=$G$19,F$19,$G870=$G$20,F$20,$G870=$G$21,F$21,$G870=$G$22,F$22,$G870=$G$25,F$25,$G870=$G$26,F$26,$G870=$G$27,F$27,$G870=$G$29,F$29,$G870=$G$31,F$31,$G870=$G$32,F$32,$G870=$G$248,F$248,$G870=$G$250,F$250)</f>
        <v>8038</v>
      </c>
      <c r="G870" t="s">
        <v>82</v>
      </c>
      <c r="H870" s="60" cm="1">
        <f t="array" ref="H870">_xlfn.IFS($G870=$G$5,H$5,$G870=$G$6,H$6,$G870=$G$7,H$7,$G870=$G$8,H$8,$G870=$G$9,H$9,$G870=$G$10,H$10,$G870=$G$11,H$11,$G870=$G$12,H$12,$G870=$G$13,H$13,$G870=$G$15,H$15,$G870=$G$16,H$16,$G870=$G$17,H$17,$G870=$G$18,H$18,$G870=$G$19,H$19,$G870=$G$20,H$20,$G870=$G$21,H$21,$G870=$G$22,H$22,$G870=$G$25,H$25,$G870=$G$26,H$26,$G870=$G$27,H$27,$G870=$G$29,H$29,$G870=$G$31,H$31,$G870=$G$32,H$150,$G870=$G$248,H$248,$G870=$G$250,H$250)</f>
        <v>41.367429999999999</v>
      </c>
      <c r="I870" s="60" cm="1">
        <f t="array" ref="I870">_xlfn.IFS($G870=$G$5,I$5,$G870=$G$6,I$6,$G870=$G$7,I$7,$G870=$G$8,I$8,$G870=$G$9,I$9,$G870=$G$10,I$10,$G870=$G$11,I$11,$G870=$G$12,I$12,$G870=$G$13,I$13,$G870=$G$15,I$15,$G870=$G$16,I$16,$G870=$G$17,I$17,$G870=$G$18,I$18,$G870=$G$19,I$19,$G870=$G$20,I$20,$G870=$G$21,I$21,$G870=$G$22,I$22,$G870=$G$25,I$25,$G870=$G$26,I$26,$G870=$G$27,I$27,$G870=$G$29,I$29,$G870=$G$31,I$31,$G870=$G$32,I$150,$G870=$G$248,I$248,$G870=$G$250,I$250)</f>
        <v>2.1569609999999999</v>
      </c>
      <c r="J870" s="61" cm="1">
        <f t="array" ref="J870">_xlfn.IFS($G870=$G$5,J$5,$G870=$G$6,J$6,$G870=$G$7,J$7,$G870=$G$8,J$8,$G870=$G$9,J$9,$G870=$G$10,J$10,$G870=$G$11,J$11,$G870=$G$12,J$12,$G870=$G$13,J$13,$G870=$G$15,J$15,$G870=$G$16,J$16,$G870=$G$17,J$17,$G870=$G$18,J$18,$G870=$G$19,J$19,$G870=$G$20,J$20,$G870=$G$21,J$21,$G870=$G$22,J$22,$G870=$G$25,J$25,$G870=$G$26,J$26,$G870=$G$27,J$27,$G870=$G$29,J$29,$G870=$G$31,J$31,$G870=$G$32,J$150,$G870=$G$248,J$248,$G870=$G$250,J$250)</f>
        <v>91</v>
      </c>
      <c r="K870" t="str" cm="1">
        <f t="array" ref="K870">_xlfn.IFS($G870=$G$5,K$5,$G870=$G$6,K$6,$G870=$G$7,K$7,$G870=$G$8,K$8,$G870=$G$9,K$9,$G870=$G$10,K$10,$G870=$G$11,K$11,$G870=$G$12,K$12,$G870=$G$13,K$13,$G870=$G$15,K$15,$G870=$G$16,K$16,$G870=$G$17,K$17,$G870=$G$18,K$18,$G870=$G$19,K$19,$G870=$G$20,K$20,$G870=$G$21,K$21,$G870=$G$22,K$22,$G870=$G$25,K$25,$G870=$G$26,K$26,$G870=$G$27,K$27,$G870=$G$29,K$29,$G870=$G$31,K$31,$G870=$G$32,K$150,$G870=$G$248,K$248,$G870=$G$250,K$250)</f>
        <v>BG sentinel + BG lure7</v>
      </c>
      <c r="O870" s="69" t="str">
        <f t="shared" si="54"/>
        <v>A_SP_BCN_11_211007</v>
      </c>
      <c r="P870" s="64">
        <v>44476</v>
      </c>
      <c r="R870" s="72"/>
      <c r="S870" s="64">
        <v>44483</v>
      </c>
      <c r="U870" s="72"/>
      <c r="V870" s="54" t="s">
        <v>66</v>
      </c>
      <c r="X870" s="45">
        <f t="shared" si="71"/>
        <v>7</v>
      </c>
      <c r="Z870" s="69" t="s">
        <v>69</v>
      </c>
      <c r="AA870" s="69">
        <f t="shared" si="70"/>
        <v>50</v>
      </c>
      <c r="AB870" t="str">
        <f t="shared" si="68"/>
        <v>Adult</v>
      </c>
      <c r="AC870" s="69">
        <v>40</v>
      </c>
      <c r="AD870" s="69">
        <v>10</v>
      </c>
      <c r="AE870" s="45" t="str">
        <f t="shared" si="69"/>
        <v>Morphological</v>
      </c>
      <c r="AF870" s="56">
        <v>4</v>
      </c>
    </row>
    <row r="871" spans="1:32" ht="18" customHeight="1" x14ac:dyDescent="0.25">
      <c r="A871" s="45">
        <v>867</v>
      </c>
      <c r="B871" s="45" t="s">
        <v>60</v>
      </c>
      <c r="C871" s="45" t="s">
        <v>61</v>
      </c>
      <c r="D871" s="45" t="s">
        <v>62</v>
      </c>
      <c r="E871" s="45" t="s">
        <v>62</v>
      </c>
      <c r="F871" s="59" cm="1">
        <f t="array" ref="F871">_xlfn.IFS($G871=$G$5,F$5,$G871=$G$6,F$6,$G871=$G$7,F$7,$G871=$G$8,F$8,$G871=$G$9,F$9,$G871=$G$10,F$10,$G871=$G$11,F$11,$G871=$G$12,F$12,$G871=$G$13,F$13,$G871=$G$15,F$15,$G871=$G$16,F$16,$G871=$G$17,F$17,$G871=$G$18,F$18,$G871=$G$19,F$19,$G871=$G$20,F$20,$G871=$G$21,F$21,$G871=$G$22,F$22,$G871=$G$25,F$25,$G871=$G$26,F$26,$G871=$G$27,F$27,$G871=$G$29,F$29,$G871=$G$31,F$31,$G871=$G$32,F$32,$G871=$G$248,F$248,$G871=$G$250,F$250)</f>
        <v>8038</v>
      </c>
      <c r="G871" t="s">
        <v>82</v>
      </c>
      <c r="H871" s="60" cm="1">
        <f t="array" ref="H871">_xlfn.IFS($G871=$G$5,H$5,$G871=$G$6,H$6,$G871=$G$7,H$7,$G871=$G$8,H$8,$G871=$G$9,H$9,$G871=$G$10,H$10,$G871=$G$11,H$11,$G871=$G$12,H$12,$G871=$G$13,H$13,$G871=$G$15,H$15,$G871=$G$16,H$16,$G871=$G$17,H$17,$G871=$G$18,H$18,$G871=$G$19,H$19,$G871=$G$20,H$20,$G871=$G$21,H$21,$G871=$G$22,H$22,$G871=$G$25,H$25,$G871=$G$26,H$26,$G871=$G$27,H$27,$G871=$G$29,H$29,$G871=$G$31,H$31,$G871=$G$32,H$150,$G871=$G$248,H$248,$G871=$G$250,H$250)</f>
        <v>41.367429999999999</v>
      </c>
      <c r="I871" s="60" cm="1">
        <f t="array" ref="I871">_xlfn.IFS($G871=$G$5,I$5,$G871=$G$6,I$6,$G871=$G$7,I$7,$G871=$G$8,I$8,$G871=$G$9,I$9,$G871=$G$10,I$10,$G871=$G$11,I$11,$G871=$G$12,I$12,$G871=$G$13,I$13,$G871=$G$15,I$15,$G871=$G$16,I$16,$G871=$G$17,I$17,$G871=$G$18,I$18,$G871=$G$19,I$19,$G871=$G$20,I$20,$G871=$G$21,I$21,$G871=$G$22,I$22,$G871=$G$25,I$25,$G871=$G$26,I$26,$G871=$G$27,I$27,$G871=$G$29,I$29,$G871=$G$31,I$31,$G871=$G$32,I$150,$G871=$G$248,I$248,$G871=$G$250,I$250)</f>
        <v>2.1569609999999999</v>
      </c>
      <c r="J871" s="61" cm="1">
        <f t="array" ref="J871">_xlfn.IFS($G871=$G$5,J$5,$G871=$G$6,J$6,$G871=$G$7,J$7,$G871=$G$8,J$8,$G871=$G$9,J$9,$G871=$G$10,J$10,$G871=$G$11,J$11,$G871=$G$12,J$12,$G871=$G$13,J$13,$G871=$G$15,J$15,$G871=$G$16,J$16,$G871=$G$17,J$17,$G871=$G$18,J$18,$G871=$G$19,J$19,$G871=$G$20,J$20,$G871=$G$21,J$21,$G871=$G$22,J$22,$G871=$G$25,J$25,$G871=$G$26,J$26,$G871=$G$27,J$27,$G871=$G$29,J$29,$G871=$G$31,J$31,$G871=$G$32,J$150,$G871=$G$248,J$248,$G871=$G$250,J$250)</f>
        <v>91</v>
      </c>
      <c r="K871" t="str" cm="1">
        <f t="array" ref="K871">_xlfn.IFS($G871=$G$5,K$5,$G871=$G$6,K$6,$G871=$G$7,K$7,$G871=$G$8,K$8,$G871=$G$9,K$9,$G871=$G$10,K$10,$G871=$G$11,K$11,$G871=$G$12,K$12,$G871=$G$13,K$13,$G871=$G$15,K$15,$G871=$G$16,K$16,$G871=$G$17,K$17,$G871=$G$18,K$18,$G871=$G$19,K$19,$G871=$G$20,K$20,$G871=$G$21,K$21,$G871=$G$22,K$22,$G871=$G$25,K$25,$G871=$G$26,K$26,$G871=$G$27,K$27,$G871=$G$29,K$29,$G871=$G$31,K$31,$G871=$G$32,K$150,$G871=$G$248,K$248,$G871=$G$250,K$250)</f>
        <v>BG sentinel + BG lure7</v>
      </c>
      <c r="O871" s="69" t="str">
        <f t="shared" si="54"/>
        <v>A_SP_BCN_11_211007</v>
      </c>
      <c r="P871" s="64">
        <v>44476</v>
      </c>
      <c r="R871" s="72"/>
      <c r="S871" s="64">
        <v>44483</v>
      </c>
      <c r="U871" s="72"/>
      <c r="V871" s="54" t="s">
        <v>66</v>
      </c>
      <c r="X871" s="45">
        <f t="shared" si="71"/>
        <v>7</v>
      </c>
      <c r="Z871" s="45" t="s">
        <v>70</v>
      </c>
      <c r="AA871" s="69">
        <f t="shared" si="70"/>
        <v>3</v>
      </c>
      <c r="AB871" t="str">
        <f t="shared" si="68"/>
        <v>Adult</v>
      </c>
      <c r="AC871" s="69">
        <v>3</v>
      </c>
      <c r="AD871" s="69">
        <v>0</v>
      </c>
      <c r="AE871" s="45" t="str">
        <f t="shared" si="69"/>
        <v>Morphological</v>
      </c>
      <c r="AF871" s="56">
        <v>4</v>
      </c>
    </row>
    <row r="872" spans="1:32" ht="18" customHeight="1" x14ac:dyDescent="0.25">
      <c r="A872" s="45">
        <v>868</v>
      </c>
      <c r="B872" s="45" t="s">
        <v>60</v>
      </c>
      <c r="C872" s="45" t="s">
        <v>61</v>
      </c>
      <c r="D872" s="45" t="s">
        <v>62</v>
      </c>
      <c r="E872" s="45" t="s">
        <v>62</v>
      </c>
      <c r="F872" s="59" cm="1">
        <f t="array" ref="F872">_xlfn.IFS($G872=$G$5,F$5,$G872=$G$6,F$6,$G872=$G$7,F$7,$G872=$G$8,F$8,$G872=$G$9,F$9,$G872=$G$10,F$10,$G872=$G$11,F$11,$G872=$G$12,F$12,$G872=$G$13,F$13,$G872=$G$15,F$15,$G872=$G$16,F$16,$G872=$G$17,F$17,$G872=$G$18,F$18,$G872=$G$19,F$19,$G872=$G$20,F$20,$G872=$G$21,F$21,$G872=$G$22,F$22,$G872=$G$25,F$25,$G872=$G$26,F$26,$G872=$G$27,F$27,$G872=$G$29,F$29,$G872=$G$31,F$31,$G872=$G$32,F$32,$G872=$G$248,F$248,$G872=$G$250,F$250)</f>
        <v>8038</v>
      </c>
      <c r="G872" t="s">
        <v>84</v>
      </c>
      <c r="H872" s="60" cm="1">
        <f t="array" ref="H872">_xlfn.IFS($G872=$G$5,H$5,$G872=$G$6,H$6,$G872=$G$7,H$7,$G872=$G$8,H$8,$G872=$G$9,H$9,$G872=$G$10,H$10,$G872=$G$11,H$11,$G872=$G$12,H$12,$G872=$G$13,H$13,$G872=$G$15,H$15,$G872=$G$16,H$16,$G872=$G$17,H$17,$G872=$G$18,H$18,$G872=$G$19,H$19,$G872=$G$20,H$20,$G872=$G$21,H$21,$G872=$G$22,H$22,$G872=$G$25,H$25,$G872=$G$26,H$26,$G872=$G$27,H$27,$G872=$G$29,H$29,$G872=$G$31,H$31,$G872=$G$32,H$150,$G872=$G$248,H$248,$G872=$G$250,H$250)</f>
        <v>41.363377999999997</v>
      </c>
      <c r="I872" s="60" cm="1">
        <f t="array" ref="I872">_xlfn.IFS($G872=$G$5,I$5,$G872=$G$6,I$6,$G872=$G$7,I$7,$G872=$G$8,I$8,$G872=$G$9,I$9,$G872=$G$10,I$10,$G872=$G$11,I$11,$G872=$G$12,I$12,$G872=$G$13,I$13,$G872=$G$15,I$15,$G872=$G$16,I$16,$G872=$G$17,I$17,$G872=$G$18,I$18,$G872=$G$19,I$19,$G872=$G$20,I$20,$G872=$G$21,I$21,$G872=$G$22,I$22,$G872=$G$25,I$25,$G872=$G$26,I$26,$G872=$G$27,I$27,$G872=$G$29,I$29,$G872=$G$31,I$31,$G872=$G$32,I$150,$G872=$G$248,I$248,$G872=$G$250,I$250)</f>
        <v>2.164879</v>
      </c>
      <c r="J872" s="61" cm="1">
        <f t="array" ref="J872">_xlfn.IFS($G872=$G$5,J$5,$G872=$G$6,J$6,$G872=$G$7,J$7,$G872=$G$8,J$8,$G872=$G$9,J$9,$G872=$G$10,J$10,$G872=$G$11,J$11,$G872=$G$12,J$12,$G872=$G$13,J$13,$G872=$G$15,J$15,$G872=$G$16,J$16,$G872=$G$17,J$17,$G872=$G$18,J$18,$G872=$G$19,J$19,$G872=$G$20,J$20,$G872=$G$21,J$21,$G872=$G$22,J$22,$G872=$G$25,J$25,$G872=$G$26,J$26,$G872=$G$27,J$27,$G872=$G$29,J$29,$G872=$G$31,J$31,$G872=$G$32,J$150,$G872=$G$248,J$248,$G872=$G$250,J$250)</f>
        <v>185</v>
      </c>
      <c r="K872" t="str" cm="1">
        <f t="array" ref="K872">_xlfn.IFS($G872=$G$5,K$5,$G872=$G$6,K$6,$G872=$G$7,K$7,$G872=$G$8,K$8,$G872=$G$9,K$9,$G872=$G$10,K$10,$G872=$G$11,K$11,$G872=$G$12,K$12,$G872=$G$13,K$13,$G872=$G$15,K$15,$G872=$G$16,K$16,$G872=$G$17,K$17,$G872=$G$18,K$18,$G872=$G$19,K$19,$G872=$G$20,K$20,$G872=$G$21,K$21,$G872=$G$22,K$22,$G872=$G$25,K$25,$G872=$G$26,K$26,$G872=$G$27,K$27,$G872=$G$29,K$29,$G872=$G$31,K$31,$G872=$G$32,K$150,$G872=$G$248,K$248,$G872=$G$250,K$250)</f>
        <v>BG sentinel + BG lure7</v>
      </c>
      <c r="O872" s="69" t="str">
        <f t="shared" si="54"/>
        <v>A_SP_BCN_12_211007</v>
      </c>
      <c r="P872" s="64">
        <v>44476</v>
      </c>
      <c r="R872" s="72"/>
      <c r="S872" s="64">
        <v>44483</v>
      </c>
      <c r="U872" s="72"/>
      <c r="V872" s="54" t="s">
        <v>66</v>
      </c>
      <c r="X872" s="45">
        <f t="shared" si="71"/>
        <v>7</v>
      </c>
      <c r="Z872" s="69" t="s">
        <v>69</v>
      </c>
      <c r="AA872" s="69">
        <f t="shared" si="70"/>
        <v>4</v>
      </c>
      <c r="AB872" t="str">
        <f t="shared" si="68"/>
        <v>Adult</v>
      </c>
      <c r="AC872" s="69">
        <v>4</v>
      </c>
      <c r="AD872" s="69">
        <v>0</v>
      </c>
      <c r="AE872" s="45" t="str">
        <f t="shared" si="69"/>
        <v>Morphological</v>
      </c>
      <c r="AF872" s="56">
        <v>4</v>
      </c>
    </row>
    <row r="873" spans="1:32" ht="18" customHeight="1" x14ac:dyDescent="0.25">
      <c r="A873" s="45">
        <v>869</v>
      </c>
      <c r="B873" s="45" t="s">
        <v>60</v>
      </c>
      <c r="C873" s="45" t="s">
        <v>61</v>
      </c>
      <c r="D873" s="45" t="s">
        <v>62</v>
      </c>
      <c r="E873" s="45" t="s">
        <v>62</v>
      </c>
      <c r="F873" s="59" cm="1">
        <f t="array" ref="F873">_xlfn.IFS($G873=$G$5,F$5,$G873=$G$6,F$6,$G873=$G$7,F$7,$G873=$G$8,F$8,$G873=$G$9,F$9,$G873=$G$10,F$10,$G873=$G$11,F$11,$G873=$G$12,F$12,$G873=$G$13,F$13,$G873=$G$15,F$15,$G873=$G$16,F$16,$G873=$G$17,F$17,$G873=$G$18,F$18,$G873=$G$19,F$19,$G873=$G$20,F$20,$G873=$G$21,F$21,$G873=$G$22,F$22,$G873=$G$25,F$25,$G873=$G$26,F$26,$G873=$G$27,F$27,$G873=$G$29,F$29,$G873=$G$31,F$31,$G873=$G$32,F$32,$G873=$G$248,F$248,$G873=$G$250,F$250)</f>
        <v>8038</v>
      </c>
      <c r="G873" t="s">
        <v>84</v>
      </c>
      <c r="H873" s="60" cm="1">
        <f t="array" ref="H873">_xlfn.IFS($G873=$G$5,H$5,$G873=$G$6,H$6,$G873=$G$7,H$7,$G873=$G$8,H$8,$G873=$G$9,H$9,$G873=$G$10,H$10,$G873=$G$11,H$11,$G873=$G$12,H$12,$G873=$G$13,H$13,$G873=$G$15,H$15,$G873=$G$16,H$16,$G873=$G$17,H$17,$G873=$G$18,H$18,$G873=$G$19,H$19,$G873=$G$20,H$20,$G873=$G$21,H$21,$G873=$G$22,H$22,$G873=$G$25,H$25,$G873=$G$26,H$26,$G873=$G$27,H$27,$G873=$G$29,H$29,$G873=$G$31,H$31,$G873=$G$32,H$150,$G873=$G$248,H$248,$G873=$G$250,H$250)</f>
        <v>41.363377999999997</v>
      </c>
      <c r="I873" s="60" cm="1">
        <f t="array" ref="I873">_xlfn.IFS($G873=$G$5,I$5,$G873=$G$6,I$6,$G873=$G$7,I$7,$G873=$G$8,I$8,$G873=$G$9,I$9,$G873=$G$10,I$10,$G873=$G$11,I$11,$G873=$G$12,I$12,$G873=$G$13,I$13,$G873=$G$15,I$15,$G873=$G$16,I$16,$G873=$G$17,I$17,$G873=$G$18,I$18,$G873=$G$19,I$19,$G873=$G$20,I$20,$G873=$G$21,I$21,$G873=$G$22,I$22,$G873=$G$25,I$25,$G873=$G$26,I$26,$G873=$G$27,I$27,$G873=$G$29,I$29,$G873=$G$31,I$31,$G873=$G$32,I$150,$G873=$G$248,I$248,$G873=$G$250,I$250)</f>
        <v>2.164879</v>
      </c>
      <c r="J873" s="61" cm="1">
        <f t="array" ref="J873">_xlfn.IFS($G873=$G$5,J$5,$G873=$G$6,J$6,$G873=$G$7,J$7,$G873=$G$8,J$8,$G873=$G$9,J$9,$G873=$G$10,J$10,$G873=$G$11,J$11,$G873=$G$12,J$12,$G873=$G$13,J$13,$G873=$G$15,J$15,$G873=$G$16,J$16,$G873=$G$17,J$17,$G873=$G$18,J$18,$G873=$G$19,J$19,$G873=$G$20,J$20,$G873=$G$21,J$21,$G873=$G$22,J$22,$G873=$G$25,J$25,$G873=$G$26,J$26,$G873=$G$27,J$27,$G873=$G$29,J$29,$G873=$G$31,J$31,$G873=$G$32,J$150,$G873=$G$248,J$248,$G873=$G$250,J$250)</f>
        <v>185</v>
      </c>
      <c r="K873" t="str" cm="1">
        <f t="array" ref="K873">_xlfn.IFS($G873=$G$5,K$5,$G873=$G$6,K$6,$G873=$G$7,K$7,$G873=$G$8,K$8,$G873=$G$9,K$9,$G873=$G$10,K$10,$G873=$G$11,K$11,$G873=$G$12,K$12,$G873=$G$13,K$13,$G873=$G$15,K$15,$G873=$G$16,K$16,$G873=$G$17,K$17,$G873=$G$18,K$18,$G873=$G$19,K$19,$G873=$G$20,K$20,$G873=$G$21,K$21,$G873=$G$22,K$22,$G873=$G$25,K$25,$G873=$G$26,K$26,$G873=$G$27,K$27,$G873=$G$29,K$29,$G873=$G$31,K$31,$G873=$G$32,K$150,$G873=$G$248,K$248,$G873=$G$250,K$250)</f>
        <v>BG sentinel + BG lure7</v>
      </c>
      <c r="O873" s="69" t="str">
        <f t="shared" si="54"/>
        <v>A_SP_BCN_12_211007</v>
      </c>
      <c r="P873" s="64">
        <v>44476</v>
      </c>
      <c r="R873" s="72"/>
      <c r="S873" s="64">
        <v>44483</v>
      </c>
      <c r="U873" s="72"/>
      <c r="V873" s="54" t="s">
        <v>66</v>
      </c>
      <c r="X873" s="45">
        <f t="shared" si="71"/>
        <v>7</v>
      </c>
      <c r="Z873" s="45" t="s">
        <v>70</v>
      </c>
      <c r="AA873" s="69">
        <f t="shared" si="70"/>
        <v>23</v>
      </c>
      <c r="AB873" t="str">
        <f t="shared" si="68"/>
        <v>Adult</v>
      </c>
      <c r="AC873" s="69">
        <v>22</v>
      </c>
      <c r="AD873" s="69">
        <v>1</v>
      </c>
      <c r="AE873" s="45" t="str">
        <f t="shared" si="69"/>
        <v>Morphological</v>
      </c>
      <c r="AF873" s="56">
        <v>4</v>
      </c>
    </row>
    <row r="874" spans="1:32" ht="18" customHeight="1" x14ac:dyDescent="0.25">
      <c r="A874" s="45">
        <v>870</v>
      </c>
      <c r="B874" s="45" t="s">
        <v>60</v>
      </c>
      <c r="C874" s="45" t="s">
        <v>61</v>
      </c>
      <c r="D874" s="45" t="s">
        <v>62</v>
      </c>
      <c r="E874" s="45" t="s">
        <v>62</v>
      </c>
      <c r="F874" s="59" cm="1">
        <f t="array" ref="F874">_xlfn.IFS($G874=$G$5,F$5,$G874=$G$6,F$6,$G874=$G$7,F$7,$G874=$G$8,F$8,$G874=$G$9,F$9,$G874=$G$10,F$10,$G874=$G$11,F$11,$G874=$G$12,F$12,$G874=$G$13,F$13,$G874=$G$15,F$15,$G874=$G$16,F$16,$G874=$G$17,F$17,$G874=$G$18,F$18,$G874=$G$19,F$19,$G874=$G$20,F$20,$G874=$G$21,F$21,$G874=$G$22,F$22,$G874=$G$25,F$25,$G874=$G$26,F$26,$G874=$G$27,F$27,$G874=$G$29,F$29,$G874=$G$31,F$31,$G874=$G$32,F$32,$G874=$G$248,F$248,$G874=$G$250,F$250)</f>
        <v>8038</v>
      </c>
      <c r="G874" t="s">
        <v>84</v>
      </c>
      <c r="H874" s="60" cm="1">
        <f t="array" ref="H874">_xlfn.IFS($G874=$G$5,H$5,$G874=$G$6,H$6,$G874=$G$7,H$7,$G874=$G$8,H$8,$G874=$G$9,H$9,$G874=$G$10,H$10,$G874=$G$11,H$11,$G874=$G$12,H$12,$G874=$G$13,H$13,$G874=$G$15,H$15,$G874=$G$16,H$16,$G874=$G$17,H$17,$G874=$G$18,H$18,$G874=$G$19,H$19,$G874=$G$20,H$20,$G874=$G$21,H$21,$G874=$G$22,H$22,$G874=$G$25,H$25,$G874=$G$26,H$26,$G874=$G$27,H$27,$G874=$G$29,H$29,$G874=$G$31,H$31,$G874=$G$32,H$150,$G874=$G$248,H$248,$G874=$G$250,H$250)</f>
        <v>41.363377999999997</v>
      </c>
      <c r="I874" s="60" cm="1">
        <f t="array" ref="I874">_xlfn.IFS($G874=$G$5,I$5,$G874=$G$6,I$6,$G874=$G$7,I$7,$G874=$G$8,I$8,$G874=$G$9,I$9,$G874=$G$10,I$10,$G874=$G$11,I$11,$G874=$G$12,I$12,$G874=$G$13,I$13,$G874=$G$15,I$15,$G874=$G$16,I$16,$G874=$G$17,I$17,$G874=$G$18,I$18,$G874=$G$19,I$19,$G874=$G$20,I$20,$G874=$G$21,I$21,$G874=$G$22,I$22,$G874=$G$25,I$25,$G874=$G$26,I$26,$G874=$G$27,I$27,$G874=$G$29,I$29,$G874=$G$31,I$31,$G874=$G$32,I$150,$G874=$G$248,I$248,$G874=$G$250,I$250)</f>
        <v>2.164879</v>
      </c>
      <c r="J874" s="61" cm="1">
        <f t="array" ref="J874">_xlfn.IFS($G874=$G$5,J$5,$G874=$G$6,J$6,$G874=$G$7,J$7,$G874=$G$8,J$8,$G874=$G$9,J$9,$G874=$G$10,J$10,$G874=$G$11,J$11,$G874=$G$12,J$12,$G874=$G$13,J$13,$G874=$G$15,J$15,$G874=$G$16,J$16,$G874=$G$17,J$17,$G874=$G$18,J$18,$G874=$G$19,J$19,$G874=$G$20,J$20,$G874=$G$21,J$21,$G874=$G$22,J$22,$G874=$G$25,J$25,$G874=$G$26,J$26,$G874=$G$27,J$27,$G874=$G$29,J$29,$G874=$G$31,J$31,$G874=$G$32,J$150,$G874=$G$248,J$248,$G874=$G$250,J$250)</f>
        <v>185</v>
      </c>
      <c r="K874" t="str" cm="1">
        <f t="array" ref="K874">_xlfn.IFS($G874=$G$5,K$5,$G874=$G$6,K$6,$G874=$G$7,K$7,$G874=$G$8,K$8,$G874=$G$9,K$9,$G874=$G$10,K$10,$G874=$G$11,K$11,$G874=$G$12,K$12,$G874=$G$13,K$13,$G874=$G$15,K$15,$G874=$G$16,K$16,$G874=$G$17,K$17,$G874=$G$18,K$18,$G874=$G$19,K$19,$G874=$G$20,K$20,$G874=$G$21,K$21,$G874=$G$22,K$22,$G874=$G$25,K$25,$G874=$G$26,K$26,$G874=$G$27,K$27,$G874=$G$29,K$29,$G874=$G$31,K$31,$G874=$G$32,K$150,$G874=$G$248,K$248,$G874=$G$250,K$250)</f>
        <v>BG sentinel + BG lure7</v>
      </c>
      <c r="O874" s="69" t="str">
        <f t="shared" si="54"/>
        <v>A_SP_BCN_12_211007</v>
      </c>
      <c r="P874" s="64">
        <v>44476</v>
      </c>
      <c r="R874" s="72"/>
      <c r="S874" s="64">
        <v>44483</v>
      </c>
      <c r="U874" s="72"/>
      <c r="V874" s="54" t="s">
        <v>66</v>
      </c>
      <c r="X874" s="45">
        <f t="shared" si="71"/>
        <v>7</v>
      </c>
      <c r="Z874" s="45" t="s">
        <v>80</v>
      </c>
      <c r="AA874" s="69">
        <f t="shared" si="70"/>
        <v>2</v>
      </c>
      <c r="AB874" t="str">
        <f t="shared" si="68"/>
        <v>Adult</v>
      </c>
      <c r="AC874" s="69">
        <v>2</v>
      </c>
      <c r="AD874" s="69">
        <v>0</v>
      </c>
      <c r="AE874" s="45" t="str">
        <f t="shared" si="69"/>
        <v>Morphological</v>
      </c>
      <c r="AF874" s="56">
        <v>4</v>
      </c>
    </row>
    <row r="875" spans="1:32" ht="18" customHeight="1" x14ac:dyDescent="0.25">
      <c r="A875" s="45">
        <v>871</v>
      </c>
      <c r="B875" s="45" t="s">
        <v>60</v>
      </c>
      <c r="C875" s="45" t="s">
        <v>61</v>
      </c>
      <c r="D875" s="45" t="s">
        <v>62</v>
      </c>
      <c r="E875" s="45" t="s">
        <v>62</v>
      </c>
      <c r="F875" s="59" cm="1">
        <f t="array" ref="F875">_xlfn.IFS($G875=$G$5,F$5,$G875=$G$6,F$6,$G875=$G$7,F$7,$G875=$G$8,F$8,$G875=$G$9,F$9,$G875=$G$10,F$10,$G875=$G$11,F$11,$G875=$G$12,F$12,$G875=$G$13,F$13,$G875=$G$15,F$15,$G875=$G$16,F$16,$G875=$G$17,F$17,$G875=$G$18,F$18,$G875=$G$19,F$19,$G875=$G$20,F$20,$G875=$G$21,F$21,$G875=$G$22,F$22,$G875=$G$25,F$25,$G875=$G$26,F$26,$G875=$G$27,F$27,$G875=$G$29,F$29,$G875=$G$31,F$31,$G875=$G$32,F$32,$G875=$G$248,F$248,$G875=$G$250,F$250)</f>
        <v>8035</v>
      </c>
      <c r="G875" t="s">
        <v>85</v>
      </c>
      <c r="H875" s="60" cm="1">
        <f t="array" ref="H875">_xlfn.IFS($G875=$G$5,H$5,$G875=$G$6,H$6,$G875=$G$7,H$7,$G875=$G$8,H$8,$G875=$G$9,H$9,$G875=$G$10,H$10,$G875=$G$11,H$11,$G875=$G$12,H$12,$G875=$G$13,H$13,$G875=$G$15,H$15,$G875=$G$16,H$16,$G875=$G$17,H$17,$G875=$G$18,H$18,$G875=$G$19,H$19,$G875=$G$20,H$20,$G875=$G$21,H$21,$G875=$G$22,H$22,$G875=$G$25,H$25,$G875=$G$26,H$26,$G875=$G$27,H$27,$G875=$G$29,H$29,$G875=$G$31,H$31,$G875=$G$32,H$150,$G875=$G$248,H$248,$G875=$G$250,H$250)</f>
        <v>41.434472</v>
      </c>
      <c r="I875" s="60" cm="1">
        <f t="array" ref="I875">_xlfn.IFS($G875=$G$5,I$5,$G875=$G$6,I$6,$G875=$G$7,I$7,$G875=$G$8,I$8,$G875=$G$9,I$9,$G875=$G$10,I$10,$G875=$G$11,I$11,$G875=$G$12,I$12,$G875=$G$13,I$13,$G875=$G$15,I$15,$G875=$G$16,I$16,$G875=$G$17,I$17,$G875=$G$18,I$18,$G875=$G$19,I$19,$G875=$G$20,I$20,$G875=$G$21,I$21,$G875=$G$22,I$22,$G875=$G$25,I$25,$G875=$G$26,I$26,$G875=$G$27,I$27,$G875=$G$29,I$29,$G875=$G$31,I$31,$G875=$G$32,I$150,$G875=$G$248,I$248,$G875=$G$250,I$250)</f>
        <v>2.1315789999999999</v>
      </c>
      <c r="J875" s="61" cm="1">
        <f t="array" ref="J875">_xlfn.IFS($G875=$G$5,J$5,$G875=$G$6,J$6,$G875=$G$7,J$7,$G875=$G$8,J$8,$G875=$G$9,J$9,$G875=$G$10,J$10,$G875=$G$11,J$11,$G875=$G$12,J$12,$G875=$G$13,J$13,$G875=$G$15,J$15,$G875=$G$16,J$16,$G875=$G$17,J$17,$G875=$G$18,J$18,$G875=$G$19,J$19,$G875=$G$20,J$20,$G875=$G$21,J$21,$G875=$G$22,J$22,$G875=$G$25,J$25,$G875=$G$26,J$26,$G875=$G$27,J$27,$G875=$G$29,J$29,$G875=$G$31,J$31,$G875=$G$32,J$150,$G875=$G$248,J$248,$G875=$G$250,J$250)</f>
        <v>365</v>
      </c>
      <c r="K875" t="str" cm="1">
        <f t="array" ref="K875">_xlfn.IFS($G875=$G$5,K$5,$G875=$G$6,K$6,$G875=$G$7,K$7,$G875=$G$8,K$8,$G875=$G$9,K$9,$G875=$G$10,K$10,$G875=$G$11,K$11,$G875=$G$12,K$12,$G875=$G$13,K$13,$G875=$G$15,K$15,$G875=$G$16,K$16,$G875=$G$17,K$17,$G875=$G$18,K$18,$G875=$G$19,K$19,$G875=$G$20,K$20,$G875=$G$21,K$21,$G875=$G$22,K$22,$G875=$G$25,K$25,$G875=$G$26,K$26,$G875=$G$27,K$27,$G875=$G$29,K$29,$G875=$G$31,K$31,$G875=$G$32,K$150,$G875=$G$248,K$248,$G875=$G$250,K$250)</f>
        <v>BG sentinel + BG lure7</v>
      </c>
      <c r="O875" s="69" t="str">
        <f t="shared" si="54"/>
        <v>A_SP_BCN_13_211006</v>
      </c>
      <c r="P875" s="64">
        <v>44475</v>
      </c>
      <c r="R875" s="72"/>
      <c r="S875" s="64">
        <v>44482</v>
      </c>
      <c r="U875" s="72"/>
      <c r="V875" s="54" t="s">
        <v>66</v>
      </c>
      <c r="X875" s="69">
        <f t="shared" si="71"/>
        <v>7</v>
      </c>
      <c r="Z875" s="69" t="s">
        <v>69</v>
      </c>
      <c r="AA875" s="69">
        <f t="shared" ref="AA875:AA898" si="72">SUM(AC875:AD875)</f>
        <v>1</v>
      </c>
      <c r="AB875" t="str">
        <f t="shared" si="68"/>
        <v>Adult</v>
      </c>
      <c r="AC875" s="69">
        <v>1</v>
      </c>
      <c r="AD875" s="69">
        <v>0</v>
      </c>
      <c r="AE875" s="45" t="str">
        <f t="shared" si="69"/>
        <v>Morphological</v>
      </c>
      <c r="AF875" s="56">
        <v>4</v>
      </c>
    </row>
    <row r="876" spans="1:32" ht="18" customHeight="1" x14ac:dyDescent="0.25">
      <c r="A876" s="45">
        <v>872</v>
      </c>
      <c r="B876" s="45" t="s">
        <v>60</v>
      </c>
      <c r="C876" s="45" t="s">
        <v>61</v>
      </c>
      <c r="D876" s="45" t="s">
        <v>62</v>
      </c>
      <c r="E876" s="45" t="s">
        <v>62</v>
      </c>
      <c r="F876" s="59" cm="1">
        <f t="array" ref="F876">_xlfn.IFS($G876=$G$5,F$5,$G876=$G$6,F$6,$G876=$G$7,F$7,$G876=$G$8,F$8,$G876=$G$9,F$9,$G876=$G$10,F$10,$G876=$G$11,F$11,$G876=$G$12,F$12,$G876=$G$13,F$13,$G876=$G$15,F$15,$G876=$G$16,F$16,$G876=$G$17,F$17,$G876=$G$18,F$18,$G876=$G$19,F$19,$G876=$G$20,F$20,$G876=$G$21,F$21,$G876=$G$22,F$22,$G876=$G$25,F$25,$G876=$G$26,F$26,$G876=$G$27,F$27,$G876=$G$29,F$29,$G876=$G$31,F$31,$G876=$G$32,F$32,$G876=$G$248,F$248,$G876=$G$250,F$250)</f>
        <v>8035</v>
      </c>
      <c r="G876" t="s">
        <v>85</v>
      </c>
      <c r="H876" s="60" cm="1">
        <f t="array" ref="H876">_xlfn.IFS($G876=$G$5,H$5,$G876=$G$6,H$6,$G876=$G$7,H$7,$G876=$G$8,H$8,$G876=$G$9,H$9,$G876=$G$10,H$10,$G876=$G$11,H$11,$G876=$G$12,H$12,$G876=$G$13,H$13,$G876=$G$15,H$15,$G876=$G$16,H$16,$G876=$G$17,H$17,$G876=$G$18,H$18,$G876=$G$19,H$19,$G876=$G$20,H$20,$G876=$G$21,H$21,$G876=$G$22,H$22,$G876=$G$25,H$25,$G876=$G$26,H$26,$G876=$G$27,H$27,$G876=$G$29,H$29,$G876=$G$31,H$31,$G876=$G$32,H$150,$G876=$G$248,H$248,$G876=$G$250,H$250)</f>
        <v>41.434472</v>
      </c>
      <c r="I876" s="60" cm="1">
        <f t="array" ref="I876">_xlfn.IFS($G876=$G$5,I$5,$G876=$G$6,I$6,$G876=$G$7,I$7,$G876=$G$8,I$8,$G876=$G$9,I$9,$G876=$G$10,I$10,$G876=$G$11,I$11,$G876=$G$12,I$12,$G876=$G$13,I$13,$G876=$G$15,I$15,$G876=$G$16,I$16,$G876=$G$17,I$17,$G876=$G$18,I$18,$G876=$G$19,I$19,$G876=$G$20,I$20,$G876=$G$21,I$21,$G876=$G$22,I$22,$G876=$G$25,I$25,$G876=$G$26,I$26,$G876=$G$27,I$27,$G876=$G$29,I$29,$G876=$G$31,I$31,$G876=$G$32,I$150,$G876=$G$248,I$248,$G876=$G$250,I$250)</f>
        <v>2.1315789999999999</v>
      </c>
      <c r="J876" s="61" cm="1">
        <f t="array" ref="J876">_xlfn.IFS($G876=$G$5,J$5,$G876=$G$6,J$6,$G876=$G$7,J$7,$G876=$G$8,J$8,$G876=$G$9,J$9,$G876=$G$10,J$10,$G876=$G$11,J$11,$G876=$G$12,J$12,$G876=$G$13,J$13,$G876=$G$15,J$15,$G876=$G$16,J$16,$G876=$G$17,J$17,$G876=$G$18,J$18,$G876=$G$19,J$19,$G876=$G$20,J$20,$G876=$G$21,J$21,$G876=$G$22,J$22,$G876=$G$25,J$25,$G876=$G$26,J$26,$G876=$G$27,J$27,$G876=$G$29,J$29,$G876=$G$31,J$31,$G876=$G$32,J$150,$G876=$G$248,J$248,$G876=$G$250,J$250)</f>
        <v>365</v>
      </c>
      <c r="K876" t="str" cm="1">
        <f t="array" ref="K876">_xlfn.IFS($G876=$G$5,K$5,$G876=$G$6,K$6,$G876=$G$7,K$7,$G876=$G$8,K$8,$G876=$G$9,K$9,$G876=$G$10,K$10,$G876=$G$11,K$11,$G876=$G$12,K$12,$G876=$G$13,K$13,$G876=$G$15,K$15,$G876=$G$16,K$16,$G876=$G$17,K$17,$G876=$G$18,K$18,$G876=$G$19,K$19,$G876=$G$20,K$20,$G876=$G$21,K$21,$G876=$G$22,K$22,$G876=$G$25,K$25,$G876=$G$26,K$26,$G876=$G$27,K$27,$G876=$G$29,K$29,$G876=$G$31,K$31,$G876=$G$32,K$150,$G876=$G$248,K$248,$G876=$G$250,K$250)</f>
        <v>BG sentinel + BG lure7</v>
      </c>
      <c r="O876" s="69" t="str">
        <f t="shared" si="54"/>
        <v>A_SP_BCN_13_211006</v>
      </c>
      <c r="P876" s="64">
        <v>44475</v>
      </c>
      <c r="R876" s="72"/>
      <c r="S876" s="64">
        <v>44482</v>
      </c>
      <c r="U876" s="72"/>
      <c r="V876" s="54" t="s">
        <v>66</v>
      </c>
      <c r="X876" s="69">
        <f t="shared" si="71"/>
        <v>7</v>
      </c>
      <c r="Z876" s="45" t="s">
        <v>70</v>
      </c>
      <c r="AA876" s="69">
        <f t="shared" si="72"/>
        <v>1</v>
      </c>
      <c r="AB876" t="str">
        <f t="shared" si="68"/>
        <v>Adult</v>
      </c>
      <c r="AC876" s="69">
        <v>1</v>
      </c>
      <c r="AD876" s="69">
        <v>0</v>
      </c>
      <c r="AE876" s="45" t="str">
        <f t="shared" si="69"/>
        <v>Morphological</v>
      </c>
      <c r="AF876" s="56">
        <v>4</v>
      </c>
    </row>
    <row r="877" spans="1:32" ht="18" customHeight="1" x14ac:dyDescent="0.25">
      <c r="A877" s="45">
        <v>873</v>
      </c>
      <c r="B877" s="45" t="s">
        <v>60</v>
      </c>
      <c r="C877" s="45" t="s">
        <v>61</v>
      </c>
      <c r="D877" s="45" t="s">
        <v>62</v>
      </c>
      <c r="E877" s="45" t="s">
        <v>62</v>
      </c>
      <c r="F877" s="59" cm="1">
        <f t="array" ref="F877">_xlfn.IFS($G877=$G$5,F$5,$G877=$G$6,F$6,$G877=$G$7,F$7,$G877=$G$8,F$8,$G877=$G$9,F$9,$G877=$G$10,F$10,$G877=$G$11,F$11,$G877=$G$12,F$12,$G877=$G$13,F$13,$G877=$G$15,F$15,$G877=$G$16,F$16,$G877=$G$17,F$17,$G877=$G$18,F$18,$G877=$G$19,F$19,$G877=$G$20,F$20,$G877=$G$21,F$21,$G877=$G$22,F$22,$G877=$G$25,F$25,$G877=$G$26,F$26,$G877=$G$27,F$27,$G877=$G$29,F$29,$G877=$G$31,F$31,$G877=$G$32,F$32,$G877=$G$248,F$248,$G877=$G$250,F$250)</f>
        <v>8017</v>
      </c>
      <c r="G877" t="s">
        <v>86</v>
      </c>
      <c r="H877" s="60" cm="1">
        <f t="array" ref="H877">_xlfn.IFS($G877=$G$5,H$5,$G877=$G$6,H$6,$G877=$G$7,H$7,$G877=$G$8,H$8,$G877=$G$9,H$9,$G877=$G$10,H$10,$G877=$G$11,H$11,$G877=$G$12,H$12,$G877=$G$13,H$13,$G877=$G$15,H$15,$G877=$G$16,H$16,$G877=$G$17,H$17,$G877=$G$18,H$18,$G877=$G$19,H$19,$G877=$G$20,H$20,$G877=$G$21,H$21,$G877=$G$22,H$22,$G877=$G$25,H$25,$G877=$G$26,H$26,$G877=$G$27,H$27,$G877=$G$29,H$29,$G877=$G$31,H$31,$G877=$G$32,H$150,$G877=$G$248,H$248,$G877=$G$250,H$250)</f>
        <v>41.428533999999999</v>
      </c>
      <c r="I877" s="60" cm="1">
        <f t="array" ref="I877">_xlfn.IFS($G877=$G$5,I$5,$G877=$G$6,I$6,$G877=$G$7,I$7,$G877=$G$8,I$8,$G877=$G$9,I$9,$G877=$G$10,I$10,$G877=$G$11,I$11,$G877=$G$12,I$12,$G877=$G$13,I$13,$G877=$G$15,I$15,$G877=$G$16,I$16,$G877=$G$17,I$17,$G877=$G$18,I$18,$G877=$G$19,I$19,$G877=$G$20,I$20,$G877=$G$21,I$21,$G877=$G$22,I$22,$G877=$G$25,I$25,$G877=$G$26,I$26,$G877=$G$27,I$27,$G877=$G$29,I$29,$G877=$G$31,I$31,$G877=$G$32,I$150,$G877=$G$248,I$248,$G877=$G$250,I$250)</f>
        <v>2.090954</v>
      </c>
      <c r="J877" s="61" cm="1">
        <f t="array" ref="J877">_xlfn.IFS($G877=$G$5,J$5,$G877=$G$6,J$6,$G877=$G$7,J$7,$G877=$G$8,J$8,$G877=$G$9,J$9,$G877=$G$10,J$10,$G877=$G$11,J$11,$G877=$G$12,J$12,$G877=$G$13,J$13,$G877=$G$15,J$15,$G877=$G$16,J$16,$G877=$G$17,J$17,$G877=$G$18,J$18,$G877=$G$19,J$19,$G877=$G$20,J$20,$G877=$G$21,J$21,$G877=$G$22,J$22,$G877=$G$25,J$25,$G877=$G$26,J$26,$G877=$G$27,J$27,$G877=$G$29,J$29,$G877=$G$31,J$31,$G877=$G$32,J$150,$G877=$G$248,J$248,$G877=$G$250,J$250)</f>
        <v>215</v>
      </c>
      <c r="K877" t="str" cm="1">
        <f t="array" ref="K877">_xlfn.IFS($G877=$G$5,K$5,$G877=$G$6,K$6,$G877=$G$7,K$7,$G877=$G$8,K$8,$G877=$G$9,K$9,$G877=$G$10,K$10,$G877=$G$11,K$11,$G877=$G$12,K$12,$G877=$G$13,K$13,$G877=$G$15,K$15,$G877=$G$16,K$16,$G877=$G$17,K$17,$G877=$G$18,K$18,$G877=$G$19,K$19,$G877=$G$20,K$20,$G877=$G$21,K$21,$G877=$G$22,K$22,$G877=$G$25,K$25,$G877=$G$26,K$26,$G877=$G$27,K$27,$G877=$G$29,K$29,$G877=$G$31,K$31,$G877=$G$32,K$150,$G877=$G$248,K$248,$G877=$G$250,K$250)</f>
        <v>BG sentinel + BG lure7</v>
      </c>
      <c r="O877" s="69" t="str">
        <f t="shared" si="54"/>
        <v>A_SP_BCN_14_211006</v>
      </c>
      <c r="P877" s="64">
        <v>44475</v>
      </c>
      <c r="R877" s="72"/>
      <c r="S877" s="64">
        <v>44482</v>
      </c>
      <c r="U877" s="72"/>
      <c r="V877" s="54" t="s">
        <v>66</v>
      </c>
      <c r="X877" s="69">
        <f t="shared" si="71"/>
        <v>7</v>
      </c>
      <c r="Z877" s="69" t="s">
        <v>69</v>
      </c>
      <c r="AA877" s="69">
        <f t="shared" si="72"/>
        <v>7</v>
      </c>
      <c r="AB877" t="str">
        <f t="shared" si="68"/>
        <v>Adult</v>
      </c>
      <c r="AC877" s="69">
        <v>7</v>
      </c>
      <c r="AD877" s="69">
        <v>0</v>
      </c>
      <c r="AE877" s="45" t="str">
        <f t="shared" si="69"/>
        <v>Morphological</v>
      </c>
      <c r="AF877" s="56">
        <v>4</v>
      </c>
    </row>
    <row r="878" spans="1:32" ht="18" customHeight="1" x14ac:dyDescent="0.25">
      <c r="A878" s="45">
        <v>874</v>
      </c>
      <c r="B878" s="45" t="s">
        <v>60</v>
      </c>
      <c r="C878" s="45" t="s">
        <v>61</v>
      </c>
      <c r="D878" s="45" t="s">
        <v>62</v>
      </c>
      <c r="E878" s="45" t="s">
        <v>62</v>
      </c>
      <c r="F878" s="59" cm="1">
        <f t="array" ref="F878">_xlfn.IFS($G878=$G$5,F$5,$G878=$G$6,F$6,$G878=$G$7,F$7,$G878=$G$8,F$8,$G878=$G$9,F$9,$G878=$G$10,F$10,$G878=$G$11,F$11,$G878=$G$12,F$12,$G878=$G$13,F$13,$G878=$G$15,F$15,$G878=$G$16,F$16,$G878=$G$17,F$17,$G878=$G$18,F$18,$G878=$G$19,F$19,$G878=$G$20,F$20,$G878=$G$21,F$21,$G878=$G$22,F$22,$G878=$G$25,F$25,$G878=$G$26,F$26,$G878=$G$27,F$27,$G878=$G$29,F$29,$G878=$G$31,F$31,$G878=$G$32,F$32,$G878=$G$248,F$248,$G878=$G$250,F$250)</f>
        <v>8017</v>
      </c>
      <c r="G878" t="s">
        <v>87</v>
      </c>
      <c r="H878" s="60" cm="1">
        <f t="array" ref="H878">_xlfn.IFS($G878=$G$5,H$5,$G878=$G$6,H$6,$G878=$G$7,H$7,$G878=$G$8,H$8,$G878=$G$9,H$9,$G878=$G$10,H$10,$G878=$G$11,H$11,$G878=$G$12,H$12,$G878=$G$13,H$13,$G878=$G$15,H$15,$G878=$G$16,H$16,$G878=$G$17,H$17,$G878=$G$18,H$18,$G878=$G$19,H$19,$G878=$G$20,H$20,$G878=$G$21,H$21,$G878=$G$22,H$22,$G878=$G$25,H$25,$G878=$G$26,H$26,$G878=$G$27,H$27,$G878=$G$29,H$29,$G878=$G$31,H$31,$G878=$G$32,H$150,$G878=$G$248,H$248,$G878=$G$250,H$250)</f>
        <v>41.419471000000001</v>
      </c>
      <c r="I878" s="60" cm="1">
        <f t="array" ref="I878">_xlfn.IFS($G878=$G$5,I$5,$G878=$G$6,I$6,$G878=$G$7,I$7,$G878=$G$8,I$8,$G878=$G$9,I$9,$G878=$G$10,I$10,$G878=$G$11,I$11,$G878=$G$12,I$12,$G878=$G$13,I$13,$G878=$G$15,I$15,$G878=$G$16,I$16,$G878=$G$17,I$17,$G878=$G$18,I$18,$G878=$G$19,I$19,$G878=$G$20,I$20,$G878=$G$21,I$21,$G878=$G$22,I$22,$G878=$G$25,I$25,$G878=$G$26,I$26,$G878=$G$27,I$27,$G878=$G$29,I$29,$G878=$G$31,I$31,$G878=$G$32,I$150,$G878=$G$248,I$248,$G878=$G$250,I$250)</f>
        <v>2.1010149999999999</v>
      </c>
      <c r="J878" s="61" cm="1">
        <f t="array" ref="J878">_xlfn.IFS($G878=$G$5,J$5,$G878=$G$6,J$6,$G878=$G$7,J$7,$G878=$G$8,J$8,$G878=$G$9,J$9,$G878=$G$10,J$10,$G878=$G$11,J$11,$G878=$G$12,J$12,$G878=$G$13,J$13,$G878=$G$15,J$15,$G878=$G$16,J$16,$G878=$G$17,J$17,$G878=$G$18,J$18,$G878=$G$19,J$19,$G878=$G$20,J$20,$G878=$G$21,J$21,$G878=$G$22,J$22,$G878=$G$25,J$25,$G878=$G$26,J$26,$G878=$G$27,J$27,$G878=$G$29,J$29,$G878=$G$31,J$31,$G878=$G$32,J$150,$G878=$G$248,J$248,$G878=$G$250,J$250)</f>
        <v>284</v>
      </c>
      <c r="K878" t="str" cm="1">
        <f t="array" ref="K878">_xlfn.IFS($G878=$G$5,K$5,$G878=$G$6,K$6,$G878=$G$7,K$7,$G878=$G$8,K$8,$G878=$G$9,K$9,$G878=$G$10,K$10,$G878=$G$11,K$11,$G878=$G$12,K$12,$G878=$G$13,K$13,$G878=$G$15,K$15,$G878=$G$16,K$16,$G878=$G$17,K$17,$G878=$G$18,K$18,$G878=$G$19,K$19,$G878=$G$20,K$20,$G878=$G$21,K$21,$G878=$G$22,K$22,$G878=$G$25,K$25,$G878=$G$26,K$26,$G878=$G$27,K$27,$G878=$G$29,K$29,$G878=$G$31,K$31,$G878=$G$32,K$150,$G878=$G$248,K$248,$G878=$G$250,K$250)</f>
        <v>BG sentinel + BG lure7</v>
      </c>
      <c r="O878" s="69" t="str">
        <f t="shared" si="54"/>
        <v>A_SP_BCN_15_211006</v>
      </c>
      <c r="P878" s="64">
        <v>44475</v>
      </c>
      <c r="R878" s="72"/>
      <c r="S878" s="64">
        <v>44482</v>
      </c>
      <c r="U878" s="72"/>
      <c r="V878" s="54" t="s">
        <v>66</v>
      </c>
      <c r="X878" s="69">
        <f t="shared" si="71"/>
        <v>7</v>
      </c>
      <c r="Z878" s="69" t="s">
        <v>69</v>
      </c>
      <c r="AA878" s="69">
        <f t="shared" si="72"/>
        <v>1</v>
      </c>
      <c r="AB878" t="str">
        <f t="shared" si="68"/>
        <v>Adult</v>
      </c>
      <c r="AC878" s="69">
        <v>1</v>
      </c>
      <c r="AD878" s="69">
        <v>0</v>
      </c>
      <c r="AE878" s="45" t="str">
        <f t="shared" si="69"/>
        <v>Morphological</v>
      </c>
      <c r="AF878" s="56">
        <v>4</v>
      </c>
    </row>
    <row r="879" spans="1:32" ht="18" customHeight="1" x14ac:dyDescent="0.25">
      <c r="A879" s="45">
        <v>875</v>
      </c>
      <c r="B879" s="45" t="s">
        <v>60</v>
      </c>
      <c r="C879" s="45" t="s">
        <v>61</v>
      </c>
      <c r="D879" s="45" t="s">
        <v>62</v>
      </c>
      <c r="E879" s="45" t="s">
        <v>62</v>
      </c>
      <c r="F879" s="59" cm="1">
        <f t="array" ref="F879">_xlfn.IFS($G879=$G$5,F$5,$G879=$G$6,F$6,$G879=$G$7,F$7,$G879=$G$8,F$8,$G879=$G$9,F$9,$G879=$G$10,F$10,$G879=$G$11,F$11,$G879=$G$12,F$12,$G879=$G$13,F$13,$G879=$G$15,F$15,$G879=$G$16,F$16,$G879=$G$17,F$17,$G879=$G$18,F$18,$G879=$G$19,F$19,$G879=$G$20,F$20,$G879=$G$21,F$21,$G879=$G$22,F$22,$G879=$G$25,F$25,$G879=$G$26,F$26,$G879=$G$27,F$27,$G879=$G$29,F$29,$G879=$G$31,F$31,$G879=$G$32,F$32,$G879=$G$248,F$248,$G879=$G$250,F$250)</f>
        <v>8017</v>
      </c>
      <c r="G879" t="s">
        <v>88</v>
      </c>
      <c r="H879" s="60" cm="1">
        <f t="array" ref="H879">_xlfn.IFS($G879=$G$5,H$5,$G879=$G$6,H$6,$G879=$G$7,H$7,$G879=$G$8,H$8,$G879=$G$9,H$9,$G879=$G$10,H$10,$G879=$G$11,H$11,$G879=$G$12,H$12,$G879=$G$13,H$13,$G879=$G$15,H$15,$G879=$G$16,H$16,$G879=$G$17,H$17,$G879=$G$18,H$18,$G879=$G$19,H$19,$G879=$G$20,H$20,$G879=$G$21,H$21,$G879=$G$22,H$22,$G879=$G$25,H$25,$G879=$G$26,H$26,$G879=$G$27,H$27,$G879=$G$29,H$29,$G879=$G$31,H$31,$G879=$G$32,H$150,$G879=$G$248,H$248,$G879=$G$250,H$250)</f>
        <v>41.398387</v>
      </c>
      <c r="I879" s="60" cm="1">
        <f t="array" ref="I879">_xlfn.IFS($G879=$G$5,I$5,$G879=$G$6,I$6,$G879=$G$7,I$7,$G879=$G$8,I$8,$G879=$G$9,I$9,$G879=$G$10,I$10,$G879=$G$11,I$11,$G879=$G$12,I$12,$G879=$G$13,I$13,$G879=$G$15,I$15,$G879=$G$16,I$16,$G879=$G$17,I$17,$G879=$G$18,I$18,$G879=$G$19,I$19,$G879=$G$20,I$20,$G879=$G$21,I$21,$G879=$G$22,I$22,$G879=$G$25,I$25,$G879=$G$26,I$26,$G879=$G$27,I$27,$G879=$G$29,I$29,$G879=$G$31,I$31,$G879=$G$32,I$150,$G879=$G$248,I$248,$G879=$G$250,I$250)</f>
        <v>2.1244429999999999</v>
      </c>
      <c r="J879" s="61" cm="1">
        <f t="array" ref="J879">_xlfn.IFS($G879=$G$5,J$5,$G879=$G$6,J$6,$G879=$G$7,J$7,$G879=$G$8,J$8,$G879=$G$9,J$9,$G879=$G$10,J$10,$G879=$G$11,J$11,$G879=$G$12,J$12,$G879=$G$13,J$13,$G879=$G$15,J$15,$G879=$G$16,J$16,$G879=$G$17,J$17,$G879=$G$18,J$18,$G879=$G$19,J$19,$G879=$G$20,J$20,$G879=$G$21,J$21,$G879=$G$22,J$22,$G879=$G$25,J$25,$G879=$G$26,J$26,$G879=$G$27,J$27,$G879=$G$29,J$29,$G879=$G$31,J$31,$G879=$G$32,J$150,$G879=$G$248,J$248,$G879=$G$250,J$250)</f>
        <v>106</v>
      </c>
      <c r="K879" t="str" cm="1">
        <f t="array" ref="K879">_xlfn.IFS($G879=$G$5,K$5,$G879=$G$6,K$6,$G879=$G$7,K$7,$G879=$G$8,K$8,$G879=$G$9,K$9,$G879=$G$10,K$10,$G879=$G$11,K$11,$G879=$G$12,K$12,$G879=$G$13,K$13,$G879=$G$15,K$15,$G879=$G$16,K$16,$G879=$G$17,K$17,$G879=$G$18,K$18,$G879=$G$19,K$19,$G879=$G$20,K$20,$G879=$G$21,K$21,$G879=$G$22,K$22,$G879=$G$25,K$25,$G879=$G$26,K$26,$G879=$G$27,K$27,$G879=$G$29,K$29,$G879=$G$31,K$31,$G879=$G$32,K$150,$G879=$G$248,K$248,$G879=$G$250,K$250)</f>
        <v>BG sentinel + BG lure7</v>
      </c>
      <c r="O879" s="69" t="str">
        <f t="shared" si="54"/>
        <v>A_SP_BCN_16_211006</v>
      </c>
      <c r="P879" s="64">
        <v>44475</v>
      </c>
      <c r="R879" s="72"/>
      <c r="S879" s="64">
        <v>44482</v>
      </c>
      <c r="U879" s="72"/>
      <c r="V879" s="54" t="s">
        <v>66</v>
      </c>
      <c r="X879" s="69">
        <f t="shared" si="71"/>
        <v>7</v>
      </c>
      <c r="Z879" s="69" t="s">
        <v>69</v>
      </c>
      <c r="AA879" s="69">
        <f t="shared" si="72"/>
        <v>76</v>
      </c>
      <c r="AB879" t="str">
        <f t="shared" ref="AB879:AB1131" si="73">IF(AA879=0,"",IF(AA879="","",IF(AA879&gt;0,"Adult")))</f>
        <v>Adult</v>
      </c>
      <c r="AC879" s="69">
        <v>41</v>
      </c>
      <c r="AD879" s="69">
        <v>35</v>
      </c>
      <c r="AE879" s="45" t="str">
        <f t="shared" si="69"/>
        <v>Morphological</v>
      </c>
      <c r="AF879" s="56">
        <v>4</v>
      </c>
    </row>
    <row r="880" spans="1:32" ht="18" customHeight="1" x14ac:dyDescent="0.25">
      <c r="A880" s="45">
        <v>876</v>
      </c>
      <c r="B880" s="45" t="s">
        <v>60</v>
      </c>
      <c r="C880" s="45" t="s">
        <v>61</v>
      </c>
      <c r="D880" s="45" t="s">
        <v>62</v>
      </c>
      <c r="E880" s="45" t="s">
        <v>62</v>
      </c>
      <c r="F880" s="59" cm="1">
        <f t="array" ref="F880">_xlfn.IFS($G880=$G$5,F$5,$G880=$G$6,F$6,$G880=$G$7,F$7,$G880=$G$8,F$8,$G880=$G$9,F$9,$G880=$G$10,F$10,$G880=$G$11,F$11,$G880=$G$12,F$12,$G880=$G$13,F$13,$G880=$G$15,F$15,$G880=$G$16,F$16,$G880=$G$17,F$17,$G880=$G$18,F$18,$G880=$G$19,F$19,$G880=$G$20,F$20,$G880=$G$21,F$21,$G880=$G$22,F$22,$G880=$G$25,F$25,$G880=$G$26,F$26,$G880=$G$27,F$27,$G880=$G$29,F$29,$G880=$G$31,F$31,$G880=$G$32,F$32,$G880=$G$248,F$248,$G880=$G$250,F$250)</f>
        <v>8017</v>
      </c>
      <c r="G880" t="s">
        <v>88</v>
      </c>
      <c r="H880" s="60" cm="1">
        <f t="array" ref="H880">_xlfn.IFS($G880=$G$5,H$5,$G880=$G$6,H$6,$G880=$G$7,H$7,$G880=$G$8,H$8,$G880=$G$9,H$9,$G880=$G$10,H$10,$G880=$G$11,H$11,$G880=$G$12,H$12,$G880=$G$13,H$13,$G880=$G$15,H$15,$G880=$G$16,H$16,$G880=$G$17,H$17,$G880=$G$18,H$18,$G880=$G$19,H$19,$G880=$G$20,H$20,$G880=$G$21,H$21,$G880=$G$22,H$22,$G880=$G$25,H$25,$G880=$G$26,H$26,$G880=$G$27,H$27,$G880=$G$29,H$29,$G880=$G$31,H$31,$G880=$G$32,H$150,$G880=$G$248,H$248,$G880=$G$250,H$250)</f>
        <v>41.398387</v>
      </c>
      <c r="I880" s="60" cm="1">
        <f t="array" ref="I880">_xlfn.IFS($G880=$G$5,I$5,$G880=$G$6,I$6,$G880=$G$7,I$7,$G880=$G$8,I$8,$G880=$G$9,I$9,$G880=$G$10,I$10,$G880=$G$11,I$11,$G880=$G$12,I$12,$G880=$G$13,I$13,$G880=$G$15,I$15,$G880=$G$16,I$16,$G880=$G$17,I$17,$G880=$G$18,I$18,$G880=$G$19,I$19,$G880=$G$20,I$20,$G880=$G$21,I$21,$G880=$G$22,I$22,$G880=$G$25,I$25,$G880=$G$26,I$26,$G880=$G$27,I$27,$G880=$G$29,I$29,$G880=$G$31,I$31,$G880=$G$32,I$150,$G880=$G$248,I$248,$G880=$G$250,I$250)</f>
        <v>2.1244429999999999</v>
      </c>
      <c r="J880" s="61" cm="1">
        <f t="array" ref="J880">_xlfn.IFS($G880=$G$5,J$5,$G880=$G$6,J$6,$G880=$G$7,J$7,$G880=$G$8,J$8,$G880=$G$9,J$9,$G880=$G$10,J$10,$G880=$G$11,J$11,$G880=$G$12,J$12,$G880=$G$13,J$13,$G880=$G$15,J$15,$G880=$G$16,J$16,$G880=$G$17,J$17,$G880=$G$18,J$18,$G880=$G$19,J$19,$G880=$G$20,J$20,$G880=$G$21,J$21,$G880=$G$22,J$22,$G880=$G$25,J$25,$G880=$G$26,J$26,$G880=$G$27,J$27,$G880=$G$29,J$29,$G880=$G$31,J$31,$G880=$G$32,J$150,$G880=$G$248,J$248,$G880=$G$250,J$250)</f>
        <v>106</v>
      </c>
      <c r="K880" t="str" cm="1">
        <f t="array" ref="K880">_xlfn.IFS($G880=$G$5,K$5,$G880=$G$6,K$6,$G880=$G$7,K$7,$G880=$G$8,K$8,$G880=$G$9,K$9,$G880=$G$10,K$10,$G880=$G$11,K$11,$G880=$G$12,K$12,$G880=$G$13,K$13,$G880=$G$15,K$15,$G880=$G$16,K$16,$G880=$G$17,K$17,$G880=$G$18,K$18,$G880=$G$19,K$19,$G880=$G$20,K$20,$G880=$G$21,K$21,$G880=$G$22,K$22,$G880=$G$25,K$25,$G880=$G$26,K$26,$G880=$G$27,K$27,$G880=$G$29,K$29,$G880=$G$31,K$31,$G880=$G$32,K$150,$G880=$G$248,K$248,$G880=$G$250,K$250)</f>
        <v>BG sentinel + BG lure7</v>
      </c>
      <c r="O880" s="69" t="str">
        <f t="shared" si="54"/>
        <v>A_SP_BCN_16_211006</v>
      </c>
      <c r="P880" s="64">
        <v>44475</v>
      </c>
      <c r="R880" s="72"/>
      <c r="S880" s="64">
        <v>44482</v>
      </c>
      <c r="U880" s="72"/>
      <c r="V880" s="54" t="s">
        <v>66</v>
      </c>
      <c r="X880" s="69">
        <f t="shared" si="71"/>
        <v>7</v>
      </c>
      <c r="Z880" s="45" t="s">
        <v>70</v>
      </c>
      <c r="AA880" s="69">
        <f t="shared" si="72"/>
        <v>16</v>
      </c>
      <c r="AB880" t="str">
        <f t="shared" si="73"/>
        <v>Adult</v>
      </c>
      <c r="AC880" s="69">
        <v>15</v>
      </c>
      <c r="AD880" s="69">
        <v>1</v>
      </c>
      <c r="AE880" s="45" t="str">
        <f t="shared" si="69"/>
        <v>Morphological</v>
      </c>
      <c r="AF880" s="56">
        <v>4</v>
      </c>
    </row>
    <row r="881" spans="1:32" ht="18" customHeight="1" x14ac:dyDescent="0.25">
      <c r="A881" s="45">
        <v>877</v>
      </c>
      <c r="B881" s="45" t="s">
        <v>60</v>
      </c>
      <c r="C881" s="45" t="s">
        <v>61</v>
      </c>
      <c r="D881" s="45" t="s">
        <v>62</v>
      </c>
      <c r="E881" s="45" t="s">
        <v>62</v>
      </c>
      <c r="F881" s="59" cm="1">
        <f t="array" ref="F881">_xlfn.IFS($G881=$G$5,F$5,$G881=$G$6,F$6,$G881=$G$7,F$7,$G881=$G$8,F$8,$G881=$G$9,F$9,$G881=$G$10,F$10,$G881=$G$11,F$11,$G881=$G$12,F$12,$G881=$G$13,F$13,$G881=$G$15,F$15,$G881=$G$16,F$16,$G881=$G$17,F$17,$G881=$G$18,F$18,$G881=$G$19,F$19,$G881=$G$20,F$20,$G881=$G$21,F$21,$G881=$G$22,F$22,$G881=$G$25,F$25,$G881=$G$26,F$26,$G881=$G$27,F$27,$G881=$G$29,F$29,$G881=$G$31,F$31,$G881=$G$32,F$32,$G881=$G$248,F$248,$G881=$G$250,F$250)</f>
        <v>8023</v>
      </c>
      <c r="G881" t="s">
        <v>89</v>
      </c>
      <c r="H881" s="60" cm="1">
        <f t="array" ref="H881">_xlfn.IFS($G881=$G$5,H$5,$G881=$G$6,H$6,$G881=$G$7,H$7,$G881=$G$8,H$8,$G881=$G$9,H$9,$G881=$G$10,H$10,$G881=$G$11,H$11,$G881=$G$12,H$12,$G881=$G$13,H$13,$G881=$G$15,H$15,$G881=$G$16,H$16,$G881=$G$17,H$17,$G881=$G$18,H$18,$G881=$G$19,H$19,$G881=$G$20,H$20,$G881=$G$21,H$21,$G881=$G$22,H$22,$G881=$G$25,H$25,$G881=$G$26,H$26,$G881=$G$27,H$27,$G881=$G$29,H$29,$G881=$G$31,H$31,$G881=$G$32,H$150,$G881=$G$248,H$248,$G881=$G$250,H$250)</f>
        <v>41.417256000000002</v>
      </c>
      <c r="I881" s="60" cm="1">
        <f t="array" ref="I881">_xlfn.IFS($G881=$G$5,I$5,$G881=$G$6,I$6,$G881=$G$7,I$7,$G881=$G$8,I$8,$G881=$G$9,I$9,$G881=$G$10,I$10,$G881=$G$11,I$11,$G881=$G$12,I$12,$G881=$G$13,I$13,$G881=$G$15,I$15,$G881=$G$16,I$16,$G881=$G$17,I$17,$G881=$G$18,I$18,$G881=$G$19,I$19,$G881=$G$20,I$20,$G881=$G$21,I$21,$G881=$G$22,I$22,$G881=$G$25,I$25,$G881=$G$26,I$26,$G881=$G$27,I$27,$G881=$G$29,I$29,$G881=$G$31,I$31,$G881=$G$32,I$150,$G881=$G$248,I$248,$G881=$G$250,I$250)</f>
        <v>2.1455709999999999</v>
      </c>
      <c r="J881" s="61" cm="1">
        <f t="array" ref="J881">_xlfn.IFS($G881=$G$5,J$5,$G881=$G$6,J$6,$G881=$G$7,J$7,$G881=$G$8,J$8,$G881=$G$9,J$9,$G881=$G$10,J$10,$G881=$G$11,J$11,$G881=$G$12,J$12,$G881=$G$13,J$13,$G881=$G$15,J$15,$G881=$G$16,J$16,$G881=$G$17,J$17,$G881=$G$18,J$18,$G881=$G$19,J$19,$G881=$G$20,J$20,$G881=$G$21,J$21,$G881=$G$22,J$22,$G881=$G$25,J$25,$G881=$G$26,J$26,$G881=$G$27,J$27,$G881=$G$29,J$29,$G881=$G$31,J$31,$G881=$G$32,J$150,$G881=$G$248,J$248,$G881=$G$250,J$250)</f>
        <v>186</v>
      </c>
      <c r="K881" t="str" cm="1">
        <f t="array" ref="K881">_xlfn.IFS($G881=$G$5,K$5,$G881=$G$6,K$6,$G881=$G$7,K$7,$G881=$G$8,K$8,$G881=$G$9,K$9,$G881=$G$10,K$10,$G881=$G$11,K$11,$G881=$G$12,K$12,$G881=$G$13,K$13,$G881=$G$15,K$15,$G881=$G$16,K$16,$G881=$G$17,K$17,$G881=$G$18,K$18,$G881=$G$19,K$19,$G881=$G$20,K$20,$G881=$G$21,K$21,$G881=$G$22,K$22,$G881=$G$25,K$25,$G881=$G$26,K$26,$G881=$G$27,K$27,$G881=$G$29,K$29,$G881=$G$31,K$31,$G881=$G$32,K$150,$G881=$G$248,K$248,$G881=$G$250,K$250)</f>
        <v>BG sentinel + BG lure7</v>
      </c>
      <c r="O881" s="69" t="str">
        <f t="shared" si="54"/>
        <v>A_SP_BCN_17_211006</v>
      </c>
      <c r="P881" s="64">
        <v>44475</v>
      </c>
      <c r="R881" s="72"/>
      <c r="S881" s="64">
        <v>44482</v>
      </c>
      <c r="U881" s="72"/>
      <c r="V881" s="54" t="s">
        <v>66</v>
      </c>
      <c r="X881" s="69">
        <f t="shared" si="71"/>
        <v>7</v>
      </c>
      <c r="Z881" s="69" t="s">
        <v>69</v>
      </c>
      <c r="AA881" s="69">
        <f t="shared" si="72"/>
        <v>7</v>
      </c>
      <c r="AB881" t="str">
        <f t="shared" si="73"/>
        <v>Adult</v>
      </c>
      <c r="AC881" s="69">
        <v>7</v>
      </c>
      <c r="AD881" s="69">
        <v>0</v>
      </c>
      <c r="AE881" s="45" t="str">
        <f t="shared" ref="AE881:AE1106" si="74">IF(AA881=0,"",IF(AA881="","",IF(AA881&gt;0,"Morphological")))</f>
        <v>Morphological</v>
      </c>
      <c r="AF881" s="56">
        <v>4</v>
      </c>
    </row>
    <row r="882" spans="1:32" ht="18" customHeight="1" x14ac:dyDescent="0.25">
      <c r="A882" s="45">
        <v>878</v>
      </c>
      <c r="B882" s="45" t="s">
        <v>60</v>
      </c>
      <c r="C882" s="45" t="s">
        <v>61</v>
      </c>
      <c r="D882" s="45" t="s">
        <v>62</v>
      </c>
      <c r="E882" s="45" t="s">
        <v>62</v>
      </c>
      <c r="F882" s="59" cm="1">
        <f t="array" ref="F882">_xlfn.IFS($G882=$G$5,F$5,$G882=$G$6,F$6,$G882=$G$7,F$7,$G882=$G$8,F$8,$G882=$G$9,F$9,$G882=$G$10,F$10,$G882=$G$11,F$11,$G882=$G$12,F$12,$G882=$G$13,F$13,$G882=$G$15,F$15,$G882=$G$16,F$16,$G882=$G$17,F$17,$G882=$G$18,F$18,$G882=$G$19,F$19,$G882=$G$20,F$20,$G882=$G$21,F$21,$G882=$G$22,F$22,$G882=$G$25,F$25,$G882=$G$26,F$26,$G882=$G$27,F$27,$G882=$G$29,F$29,$G882=$G$31,F$31,$G882=$G$32,F$32,$G882=$G$248,F$248,$G882=$G$250,F$250)</f>
        <v>8031</v>
      </c>
      <c r="G882" t="s">
        <v>92</v>
      </c>
      <c r="H882" s="60" cm="1">
        <f t="array" ref="H882">_xlfn.IFS($G882=$G$5,H$5,$G882=$G$6,H$6,$G882=$G$7,H$7,$G882=$G$8,H$8,$G882=$G$9,H$9,$G882=$G$10,H$10,$G882=$G$11,H$11,$G882=$G$12,H$12,$G882=$G$13,H$13,$G882=$G$15,H$15,$G882=$G$16,H$16,$G882=$G$17,H$17,$G882=$G$18,H$18,$G882=$G$19,H$19,$G882=$G$20,H$20,$G882=$G$21,H$21,$G882=$G$22,H$22,$G882=$G$25,H$25,$G882=$G$26,H$26,$G882=$G$27,H$27,$G882=$G$29,H$29,$G882=$G$31,H$31,$G882=$G$32,H$150,$G882=$G$248,H$248,$G882=$G$250,H$250)</f>
        <v>41.433618000000003</v>
      </c>
      <c r="I882" s="60" cm="1">
        <f t="array" ref="I882">_xlfn.IFS($G882=$G$5,I$5,$G882=$G$6,I$6,$G882=$G$7,I$7,$G882=$G$8,I$8,$G882=$G$9,I$9,$G882=$G$10,I$10,$G882=$G$11,I$11,$G882=$G$12,I$12,$G882=$G$13,I$13,$G882=$G$15,I$15,$G882=$G$16,I$16,$G882=$G$17,I$17,$G882=$G$18,I$18,$G882=$G$19,I$19,$G882=$G$20,I$20,$G882=$G$21,I$21,$G882=$G$22,I$22,$G882=$G$25,I$25,$G882=$G$26,I$26,$G882=$G$27,I$27,$G882=$G$29,I$29,$G882=$G$31,I$31,$G882=$G$32,I$150,$G882=$G$248,I$248,$G882=$G$250,I$250)</f>
        <v>2.1677469999999999</v>
      </c>
      <c r="J882" s="61" cm="1">
        <f t="array" ref="J882">_xlfn.IFS($G882=$G$5,J$5,$G882=$G$6,J$6,$G882=$G$7,J$7,$G882=$G$8,J$8,$G882=$G$9,J$9,$G882=$G$10,J$10,$G882=$G$11,J$11,$G882=$G$12,J$12,$G882=$G$13,J$13,$G882=$G$15,J$15,$G882=$G$16,J$16,$G882=$G$17,J$17,$G882=$G$18,J$18,$G882=$G$19,J$19,$G882=$G$20,J$20,$G882=$G$21,J$21,$G882=$G$22,J$22,$G882=$G$25,J$25,$G882=$G$26,J$26,$G882=$G$27,J$27,$G882=$G$29,J$29,$G882=$G$31,J$31,$G882=$G$32,J$150,$G882=$G$248,J$248,$G882=$G$250,J$250)</f>
        <v>96.85</v>
      </c>
      <c r="K882" t="str" cm="1">
        <f t="array" ref="K882">_xlfn.IFS($G882=$G$5,K$5,$G882=$G$6,K$6,$G882=$G$7,K$7,$G882=$G$8,K$8,$G882=$G$9,K$9,$G882=$G$10,K$10,$G882=$G$11,K$11,$G882=$G$12,K$12,$G882=$G$13,K$13,$G882=$G$15,K$15,$G882=$G$16,K$16,$G882=$G$17,K$17,$G882=$G$18,K$18,$G882=$G$19,K$19,$G882=$G$20,K$20,$G882=$G$21,K$21,$G882=$G$22,K$22,$G882=$G$25,K$25,$G882=$G$26,K$26,$G882=$G$27,K$27,$G882=$G$29,K$29,$G882=$G$31,K$31,$G882=$G$32,K$150,$G882=$G$248,K$248,$G882=$G$250,K$250)</f>
        <v>BG sentinel + BG lure7</v>
      </c>
      <c r="O882" s="69" t="str">
        <f t="shared" si="54"/>
        <v>A_SP_BCN_18_211006</v>
      </c>
      <c r="P882" s="64">
        <v>44475</v>
      </c>
      <c r="R882" s="72"/>
      <c r="S882" s="64">
        <v>44482</v>
      </c>
      <c r="U882" s="72"/>
      <c r="V882" s="54" t="s">
        <v>66</v>
      </c>
      <c r="X882" s="69">
        <f t="shared" si="71"/>
        <v>7</v>
      </c>
      <c r="Z882" s="69" t="s">
        <v>69</v>
      </c>
      <c r="AA882" s="69">
        <f t="shared" si="72"/>
        <v>11</v>
      </c>
      <c r="AB882" t="str">
        <f t="shared" si="73"/>
        <v>Adult</v>
      </c>
      <c r="AC882" s="69">
        <v>11</v>
      </c>
      <c r="AD882" s="69">
        <v>0</v>
      </c>
      <c r="AE882" s="45" t="str">
        <f t="shared" si="74"/>
        <v>Morphological</v>
      </c>
      <c r="AF882" s="56">
        <v>4</v>
      </c>
    </row>
    <row r="883" spans="1:32" ht="18" customHeight="1" x14ac:dyDescent="0.25">
      <c r="A883" s="45">
        <v>879</v>
      </c>
      <c r="B883" s="45" t="s">
        <v>60</v>
      </c>
      <c r="C883" s="45" t="s">
        <v>61</v>
      </c>
      <c r="D883" s="45" t="s">
        <v>62</v>
      </c>
      <c r="E883" s="45" t="s">
        <v>62</v>
      </c>
      <c r="F883" s="59" cm="1">
        <f t="array" ref="F883">_xlfn.IFS($G883=$G$5,F$5,$G883=$G$6,F$6,$G883=$G$7,F$7,$G883=$G$8,F$8,$G883=$G$9,F$9,$G883=$G$10,F$10,$G883=$G$11,F$11,$G883=$G$12,F$12,$G883=$G$13,F$13,$G883=$G$15,F$15,$G883=$G$16,F$16,$G883=$G$17,F$17,$G883=$G$18,F$18,$G883=$G$19,F$19,$G883=$G$20,F$20,$G883=$G$21,F$21,$G883=$G$22,F$22,$G883=$G$25,F$25,$G883=$G$26,F$26,$G883=$G$27,F$27,$G883=$G$29,F$29,$G883=$G$31,F$31,$G883=$G$32,F$32,$G883=$G$248,F$248,$G883=$G$250,F$250)</f>
        <v>8038</v>
      </c>
      <c r="G883" t="s">
        <v>93</v>
      </c>
      <c r="H883" s="60" cm="1">
        <f t="array" ref="H883">_xlfn.IFS($G883=$G$5,H$5,$G883=$G$6,H$6,$G883=$G$7,H$7,$G883=$G$8,H$8,$G883=$G$9,H$9,$G883=$G$10,H$10,$G883=$G$11,H$11,$G883=$G$12,H$12,$G883=$G$13,H$13,$G883=$G$15,H$15,$G883=$G$16,H$16,$G883=$G$17,H$17,$G883=$G$18,H$18,$G883=$G$19,H$19,$G883=$G$20,H$20,$G883=$G$21,H$21,$G883=$G$22,H$22,$G883=$G$25,H$25,$G883=$G$26,H$26,$G883=$G$27,H$27,$G883=$G$29,H$29,$G883=$G$31,H$31,$G883=$G$32,H$150,$G883=$G$248,H$248,$G883=$G$250,H$250)</f>
        <v>41.359864999999999</v>
      </c>
      <c r="I883" s="60" cm="1">
        <f t="array" ref="I883">_xlfn.IFS($G883=$G$5,I$5,$G883=$G$6,I$6,$G883=$G$7,I$7,$G883=$G$8,I$8,$G883=$G$9,I$9,$G883=$G$10,I$10,$G883=$G$11,I$11,$G883=$G$12,I$12,$G883=$G$13,I$13,$G883=$G$15,I$15,$G883=$G$16,I$16,$G883=$G$17,I$17,$G883=$G$18,I$18,$G883=$G$19,I$19,$G883=$G$20,I$20,$G883=$G$21,I$21,$G883=$G$22,I$22,$G883=$G$25,I$25,$G883=$G$26,I$26,$G883=$G$27,I$27,$G883=$G$29,I$29,$G883=$G$31,I$31,$G883=$G$32,I$150,$G883=$G$248,I$248,$G883=$G$250,I$250)</f>
        <v>2.1445430000000001</v>
      </c>
      <c r="J883" s="61" cm="1">
        <f t="array" ref="J883">_xlfn.IFS($G883=$G$5,J$5,$G883=$G$6,J$6,$G883=$G$7,J$7,$G883=$G$8,J$8,$G883=$G$9,J$9,$G883=$G$10,J$10,$G883=$G$11,J$11,$G883=$G$12,J$12,$G883=$G$13,J$13,$G883=$G$15,J$15,$G883=$G$16,J$16,$G883=$G$17,J$17,$G883=$G$18,J$18,$G883=$G$19,J$19,$G883=$G$20,J$20,$G883=$G$21,J$21,$G883=$G$22,J$22,$G883=$G$25,J$25,$G883=$G$26,J$26,$G883=$G$27,J$27,$G883=$G$29,J$29,$G883=$G$31,J$31,$G883=$G$32,J$150,$G883=$G$248,J$248,$G883=$G$250,J$250)</f>
        <v>11.4</v>
      </c>
      <c r="K883" t="str" cm="1">
        <f t="array" ref="K883">_xlfn.IFS($G883=$G$5,K$5,$G883=$G$6,K$6,$G883=$G$7,K$7,$G883=$G$8,K$8,$G883=$G$9,K$9,$G883=$G$10,K$10,$G883=$G$11,K$11,$G883=$G$12,K$12,$G883=$G$13,K$13,$G883=$G$15,K$15,$G883=$G$16,K$16,$G883=$G$17,K$17,$G883=$G$18,K$18,$G883=$G$19,K$19,$G883=$G$20,K$20,$G883=$G$21,K$21,$G883=$G$22,K$22,$G883=$G$25,K$25,$G883=$G$26,K$26,$G883=$G$27,K$27,$G883=$G$29,K$29,$G883=$G$31,K$31,$G883=$G$32,K$150,$G883=$G$248,K$248,$G883=$G$250,K$250)</f>
        <v>BG sentinel + BG lure7</v>
      </c>
      <c r="O883" s="69" t="str">
        <f t="shared" si="54"/>
        <v>A_SP_BCN_19_211007</v>
      </c>
      <c r="P883" s="64">
        <v>44476</v>
      </c>
      <c r="R883" s="72"/>
      <c r="S883" s="64">
        <v>44483</v>
      </c>
      <c r="U883" s="72"/>
      <c r="V883" s="54" t="s">
        <v>66</v>
      </c>
      <c r="X883" s="69">
        <f t="shared" si="71"/>
        <v>7</v>
      </c>
      <c r="Z883" s="69" t="s">
        <v>69</v>
      </c>
      <c r="AA883" s="69">
        <f t="shared" si="72"/>
        <v>124</v>
      </c>
      <c r="AB883" t="str">
        <f t="shared" si="73"/>
        <v>Adult</v>
      </c>
      <c r="AC883" s="69">
        <v>88</v>
      </c>
      <c r="AD883" s="69">
        <v>36</v>
      </c>
      <c r="AE883" s="45" t="str">
        <f t="shared" si="74"/>
        <v>Morphological</v>
      </c>
      <c r="AF883" s="56">
        <v>4</v>
      </c>
    </row>
    <row r="884" spans="1:32" ht="18" customHeight="1" x14ac:dyDescent="0.25">
      <c r="A884" s="45">
        <v>880</v>
      </c>
      <c r="B884" s="45" t="s">
        <v>60</v>
      </c>
      <c r="C884" s="45" t="s">
        <v>61</v>
      </c>
      <c r="D884" s="45" t="s">
        <v>62</v>
      </c>
      <c r="E884" s="45" t="s">
        <v>62</v>
      </c>
      <c r="F884" s="59" cm="1">
        <f t="array" ref="F884">_xlfn.IFS($G884=$G$5,F$5,$G884=$G$6,F$6,$G884=$G$7,F$7,$G884=$G$8,F$8,$G884=$G$9,F$9,$G884=$G$10,F$10,$G884=$G$11,F$11,$G884=$G$12,F$12,$G884=$G$13,F$13,$G884=$G$15,F$15,$G884=$G$16,F$16,$G884=$G$17,F$17,$G884=$G$18,F$18,$G884=$G$19,F$19,$G884=$G$20,F$20,$G884=$G$21,F$21,$G884=$G$22,F$22,$G884=$G$25,F$25,$G884=$G$26,F$26,$G884=$G$27,F$27,$G884=$G$29,F$29,$G884=$G$31,F$31,$G884=$G$32,F$32,$G884=$G$248,F$248,$G884=$G$250,F$250)</f>
        <v>8038</v>
      </c>
      <c r="G884" t="s">
        <v>93</v>
      </c>
      <c r="H884" s="60" cm="1">
        <f t="array" ref="H884">_xlfn.IFS($G884=$G$5,H$5,$G884=$G$6,H$6,$G884=$G$7,H$7,$G884=$G$8,H$8,$G884=$G$9,H$9,$G884=$G$10,H$10,$G884=$G$11,H$11,$G884=$G$12,H$12,$G884=$G$13,H$13,$G884=$G$15,H$15,$G884=$G$16,H$16,$G884=$G$17,H$17,$G884=$G$18,H$18,$G884=$G$19,H$19,$G884=$G$20,H$20,$G884=$G$21,H$21,$G884=$G$22,H$22,$G884=$G$25,H$25,$G884=$G$26,H$26,$G884=$G$27,H$27,$G884=$G$29,H$29,$G884=$G$31,H$31,$G884=$G$32,H$150,$G884=$G$248,H$248,$G884=$G$250,H$250)</f>
        <v>41.359864999999999</v>
      </c>
      <c r="I884" s="60" cm="1">
        <f t="array" ref="I884">_xlfn.IFS($G884=$G$5,I$5,$G884=$G$6,I$6,$G884=$G$7,I$7,$G884=$G$8,I$8,$G884=$G$9,I$9,$G884=$G$10,I$10,$G884=$G$11,I$11,$G884=$G$12,I$12,$G884=$G$13,I$13,$G884=$G$15,I$15,$G884=$G$16,I$16,$G884=$G$17,I$17,$G884=$G$18,I$18,$G884=$G$19,I$19,$G884=$G$20,I$20,$G884=$G$21,I$21,$G884=$G$22,I$22,$G884=$G$25,I$25,$G884=$G$26,I$26,$G884=$G$27,I$27,$G884=$G$29,I$29,$G884=$G$31,I$31,$G884=$G$32,I$150,$G884=$G$248,I$248,$G884=$G$250,I$250)</f>
        <v>2.1445430000000001</v>
      </c>
      <c r="J884" s="61" cm="1">
        <f t="array" ref="J884">_xlfn.IFS($G884=$G$5,J$5,$G884=$G$6,J$6,$G884=$G$7,J$7,$G884=$G$8,J$8,$G884=$G$9,J$9,$G884=$G$10,J$10,$G884=$G$11,J$11,$G884=$G$12,J$12,$G884=$G$13,J$13,$G884=$G$15,J$15,$G884=$G$16,J$16,$G884=$G$17,J$17,$G884=$G$18,J$18,$G884=$G$19,J$19,$G884=$G$20,J$20,$G884=$G$21,J$21,$G884=$G$22,J$22,$G884=$G$25,J$25,$G884=$G$26,J$26,$G884=$G$27,J$27,$G884=$G$29,J$29,$G884=$G$31,J$31,$G884=$G$32,J$150,$G884=$G$248,J$248,$G884=$G$250,J$250)</f>
        <v>11.4</v>
      </c>
      <c r="K884" t="str" cm="1">
        <f t="array" ref="K884">_xlfn.IFS($G884=$G$5,K$5,$G884=$G$6,K$6,$G884=$G$7,K$7,$G884=$G$8,K$8,$G884=$G$9,K$9,$G884=$G$10,K$10,$G884=$G$11,K$11,$G884=$G$12,K$12,$G884=$G$13,K$13,$G884=$G$15,K$15,$G884=$G$16,K$16,$G884=$G$17,K$17,$G884=$G$18,K$18,$G884=$G$19,K$19,$G884=$G$20,K$20,$G884=$G$21,K$21,$G884=$G$22,K$22,$G884=$G$25,K$25,$G884=$G$26,K$26,$G884=$G$27,K$27,$G884=$G$29,K$29,$G884=$G$31,K$31,$G884=$G$32,K$150,$G884=$G$248,K$248,$G884=$G$250,K$250)</f>
        <v>BG sentinel + BG lure7</v>
      </c>
      <c r="O884" s="69" t="str">
        <f t="shared" si="54"/>
        <v>A_SP_BCN_19_211007</v>
      </c>
      <c r="P884" s="64">
        <v>44476</v>
      </c>
      <c r="R884" s="72"/>
      <c r="S884" s="64">
        <v>44483</v>
      </c>
      <c r="U884" s="72"/>
      <c r="V884" s="54" t="s">
        <v>66</v>
      </c>
      <c r="X884" s="69">
        <f t="shared" si="71"/>
        <v>7</v>
      </c>
      <c r="Z884" s="45" t="s">
        <v>70</v>
      </c>
      <c r="AA884" s="69">
        <f t="shared" si="72"/>
        <v>31</v>
      </c>
      <c r="AB884" t="str">
        <f t="shared" si="73"/>
        <v>Adult</v>
      </c>
      <c r="AC884" s="69">
        <v>31</v>
      </c>
      <c r="AD884" s="69">
        <v>0</v>
      </c>
      <c r="AE884" s="45" t="str">
        <f t="shared" si="74"/>
        <v>Morphological</v>
      </c>
      <c r="AF884" s="56">
        <v>4</v>
      </c>
    </row>
    <row r="885" spans="1:32" ht="18" customHeight="1" x14ac:dyDescent="0.25">
      <c r="A885" s="45">
        <v>881</v>
      </c>
      <c r="B885" s="45" t="s">
        <v>60</v>
      </c>
      <c r="C885" s="45" t="s">
        <v>61</v>
      </c>
      <c r="D885" s="45" t="s">
        <v>62</v>
      </c>
      <c r="E885" s="45" t="s">
        <v>62</v>
      </c>
      <c r="F885" s="59" cm="1">
        <f t="array" ref="F885">_xlfn.IFS($G885=$G$5,F$5,$G885=$G$6,F$6,$G885=$G$7,F$7,$G885=$G$8,F$8,$G885=$G$9,F$9,$G885=$G$10,F$10,$G885=$G$11,F$11,$G885=$G$12,F$12,$G885=$G$13,F$13,$G885=$G$15,F$15,$G885=$G$16,F$16,$G885=$G$17,F$17,$G885=$G$18,F$18,$G885=$G$19,F$19,$G885=$G$20,F$20,$G885=$G$21,F$21,$G885=$G$22,F$22,$G885=$G$25,F$25,$G885=$G$26,F$26,$G885=$G$27,F$27,$G885=$G$29,F$29,$G885=$G$31,F$31,$G885=$G$32,F$32,$G885=$G$248,F$248,$G885=$G$250,F$250)</f>
        <v>8038</v>
      </c>
      <c r="G885" t="s">
        <v>93</v>
      </c>
      <c r="H885" s="60" cm="1">
        <f t="array" ref="H885">_xlfn.IFS($G885=$G$5,H$5,$G885=$G$6,H$6,$G885=$G$7,H$7,$G885=$G$8,H$8,$G885=$G$9,H$9,$G885=$G$10,H$10,$G885=$G$11,H$11,$G885=$G$12,H$12,$G885=$G$13,H$13,$G885=$G$15,H$15,$G885=$G$16,H$16,$G885=$G$17,H$17,$G885=$G$18,H$18,$G885=$G$19,H$19,$G885=$G$20,H$20,$G885=$G$21,H$21,$G885=$G$22,H$22,$G885=$G$25,H$25,$G885=$G$26,H$26,$G885=$G$27,H$27,$G885=$G$29,H$29,$G885=$G$31,H$31,$G885=$G$32,H$150,$G885=$G$248,H$248,$G885=$G$250,H$250)</f>
        <v>41.359864999999999</v>
      </c>
      <c r="I885" s="60" cm="1">
        <f t="array" ref="I885">_xlfn.IFS($G885=$G$5,I$5,$G885=$G$6,I$6,$G885=$G$7,I$7,$G885=$G$8,I$8,$G885=$G$9,I$9,$G885=$G$10,I$10,$G885=$G$11,I$11,$G885=$G$12,I$12,$G885=$G$13,I$13,$G885=$G$15,I$15,$G885=$G$16,I$16,$G885=$G$17,I$17,$G885=$G$18,I$18,$G885=$G$19,I$19,$G885=$G$20,I$20,$G885=$G$21,I$21,$G885=$G$22,I$22,$G885=$G$25,I$25,$G885=$G$26,I$26,$G885=$G$27,I$27,$G885=$G$29,I$29,$G885=$G$31,I$31,$G885=$G$32,I$150,$G885=$G$248,I$248,$G885=$G$250,I$250)</f>
        <v>2.1445430000000001</v>
      </c>
      <c r="J885" s="61" cm="1">
        <f t="array" ref="J885">_xlfn.IFS($G885=$G$5,J$5,$G885=$G$6,J$6,$G885=$G$7,J$7,$G885=$G$8,J$8,$G885=$G$9,J$9,$G885=$G$10,J$10,$G885=$G$11,J$11,$G885=$G$12,J$12,$G885=$G$13,J$13,$G885=$G$15,J$15,$G885=$G$16,J$16,$G885=$G$17,J$17,$G885=$G$18,J$18,$G885=$G$19,J$19,$G885=$G$20,J$20,$G885=$G$21,J$21,$G885=$G$22,J$22,$G885=$G$25,J$25,$G885=$G$26,J$26,$G885=$G$27,J$27,$G885=$G$29,J$29,$G885=$G$31,J$31,$G885=$G$32,J$150,$G885=$G$248,J$248,$G885=$G$250,J$250)</f>
        <v>11.4</v>
      </c>
      <c r="K885" t="str" cm="1">
        <f t="array" ref="K885">_xlfn.IFS($G885=$G$5,K$5,$G885=$G$6,K$6,$G885=$G$7,K$7,$G885=$G$8,K$8,$G885=$G$9,K$9,$G885=$G$10,K$10,$G885=$G$11,K$11,$G885=$G$12,K$12,$G885=$G$13,K$13,$G885=$G$15,K$15,$G885=$G$16,K$16,$G885=$G$17,K$17,$G885=$G$18,K$18,$G885=$G$19,K$19,$G885=$G$20,K$20,$G885=$G$21,K$21,$G885=$G$22,K$22,$G885=$G$25,K$25,$G885=$G$26,K$26,$G885=$G$27,K$27,$G885=$G$29,K$29,$G885=$G$31,K$31,$G885=$G$32,K$150,$G885=$G$248,K$248,$G885=$G$250,K$250)</f>
        <v>BG sentinel + BG lure7</v>
      </c>
      <c r="O885" s="69" t="str">
        <f t="shared" si="54"/>
        <v>A_SP_BCN_19_211007</v>
      </c>
      <c r="P885" s="64">
        <v>44476</v>
      </c>
      <c r="R885" s="72"/>
      <c r="S885" s="64">
        <v>44483</v>
      </c>
      <c r="U885" s="72"/>
      <c r="V885" s="54" t="s">
        <v>66</v>
      </c>
      <c r="X885" s="69">
        <f t="shared" si="71"/>
        <v>7</v>
      </c>
      <c r="Z885" s="45" t="s">
        <v>80</v>
      </c>
      <c r="AA885" s="69">
        <f t="shared" si="72"/>
        <v>1</v>
      </c>
      <c r="AB885" t="str">
        <f t="shared" si="73"/>
        <v>Adult</v>
      </c>
      <c r="AC885" s="69">
        <v>1</v>
      </c>
      <c r="AD885" s="69">
        <v>0</v>
      </c>
      <c r="AE885" s="45" t="str">
        <f t="shared" si="74"/>
        <v>Morphological</v>
      </c>
      <c r="AF885" s="56">
        <v>4</v>
      </c>
    </row>
    <row r="886" spans="1:32" ht="18" customHeight="1" x14ac:dyDescent="0.25">
      <c r="A886" s="45">
        <v>882</v>
      </c>
      <c r="B886" s="45" t="s">
        <v>60</v>
      </c>
      <c r="C886" s="45" t="s">
        <v>61</v>
      </c>
      <c r="D886" s="45" t="s">
        <v>62</v>
      </c>
      <c r="E886" s="45" t="s">
        <v>62</v>
      </c>
      <c r="F886" s="59" cm="1">
        <f t="array" ref="F886">_xlfn.IFS($G886=$G$5,F$5,$G886=$G$6,F$6,$G886=$G$7,F$7,$G886=$G$8,F$8,$G886=$G$9,F$9,$G886=$G$10,F$10,$G886=$G$11,F$11,$G886=$G$12,F$12,$G886=$G$13,F$13,$G886=$G$15,F$15,$G886=$G$16,F$16,$G886=$G$17,F$17,$G886=$G$18,F$18,$G886=$G$19,F$19,$G886=$G$20,F$20,$G886=$G$21,F$21,$G886=$G$22,F$22,$G886=$G$25,F$25,$G886=$G$26,F$26,$G886=$G$27,F$27,$G886=$G$29,F$29,$G886=$G$31,F$31,$G886=$G$32,F$32,$G886=$G$248,F$248,$G886=$G$250,F$250)</f>
        <v>8002</v>
      </c>
      <c r="G886" t="s">
        <v>94</v>
      </c>
      <c r="H886" s="60" cm="1">
        <f t="array" ref="H886">_xlfn.IFS($G886=$G$5,H$5,$G886=$G$6,H$6,$G886=$G$7,H$7,$G886=$G$8,H$8,$G886=$G$9,H$9,$G886=$G$10,H$10,$G886=$G$11,H$11,$G886=$G$12,H$12,$G886=$G$13,H$13,$G886=$G$15,H$15,$G886=$G$16,H$16,$G886=$G$17,H$17,$G886=$G$18,H$18,$G886=$G$19,H$19,$G886=$G$20,H$20,$G886=$G$21,H$21,$G886=$G$22,H$22,$G886=$G$25,H$25,$G886=$G$26,H$26,$G886=$G$27,H$27,$G886=$G$29,H$29,$G886=$G$31,H$31,$G886=$G$32,H$150,$G886=$G$248,H$248,$G886=$G$250,H$250)</f>
        <v>41.385213</v>
      </c>
      <c r="I886" s="60" cm="1">
        <f t="array" ref="I886">_xlfn.IFS($G886=$G$5,I$5,$G886=$G$6,I$6,$G886=$G$7,I$7,$G886=$G$8,I$8,$G886=$G$9,I$9,$G886=$G$10,I$10,$G886=$G$11,I$11,$G886=$G$12,I$12,$G886=$G$13,I$13,$G886=$G$15,I$15,$G886=$G$16,I$16,$G886=$G$17,I$17,$G886=$G$18,I$18,$G886=$G$19,I$19,$G886=$G$20,I$20,$G886=$G$21,I$21,$G886=$G$22,I$22,$G886=$G$25,I$25,$G886=$G$26,I$26,$G886=$G$27,I$27,$G886=$G$29,I$29,$G886=$G$31,I$31,$G886=$G$32,I$150,$G886=$G$248,I$248,$G886=$G$250,I$250)</f>
        <v>2.174852</v>
      </c>
      <c r="J886" s="61" cm="1">
        <f t="array" ref="J886">_xlfn.IFS($G886=$G$5,J$5,$G886=$G$6,J$6,$G886=$G$7,J$7,$G886=$G$8,J$8,$G886=$G$9,J$9,$G886=$G$10,J$10,$G886=$G$11,J$11,$G886=$G$12,J$12,$G886=$G$13,J$13,$G886=$G$15,J$15,$G886=$G$16,J$16,$G886=$G$17,J$17,$G886=$G$18,J$18,$G886=$G$19,J$19,$G886=$G$20,J$20,$G886=$G$21,J$21,$G886=$G$22,J$22,$G886=$G$25,J$25,$G886=$G$26,J$26,$G886=$G$27,J$27,$G886=$G$29,J$29,$G886=$G$31,J$31,$G886=$G$32,J$150,$G886=$G$248,J$248,$G886=$G$250,J$250)</f>
        <v>14</v>
      </c>
      <c r="K886" t="str" cm="1">
        <f t="array" ref="K886">_xlfn.IFS($G886=$G$5,K$5,$G886=$G$6,K$6,$G886=$G$7,K$7,$G886=$G$8,K$8,$G886=$G$9,K$9,$G886=$G$10,K$10,$G886=$G$11,K$11,$G886=$G$12,K$12,$G886=$G$13,K$13,$G886=$G$15,K$15,$G886=$G$16,K$16,$G886=$G$17,K$17,$G886=$G$18,K$18,$G886=$G$19,K$19,$G886=$G$20,K$20,$G886=$G$21,K$21,$G886=$G$22,K$22,$G886=$G$25,K$25,$G886=$G$26,K$26,$G886=$G$27,K$27,$G886=$G$29,K$29,$G886=$G$31,K$31,$G886=$G$32,K$150,$G886=$G$248,K$248,$G886=$G$250,K$250)</f>
        <v>BG sentinel + BG lure7</v>
      </c>
      <c r="O886" s="69" t="str">
        <f t="shared" si="54"/>
        <v>A_SP_BCN_20_211007</v>
      </c>
      <c r="P886" s="64">
        <v>44476</v>
      </c>
      <c r="R886" s="72"/>
      <c r="S886" s="64">
        <v>44483</v>
      </c>
      <c r="U886" s="72"/>
      <c r="V886" s="54" t="s">
        <v>66</v>
      </c>
      <c r="X886" s="69">
        <f t="shared" si="71"/>
        <v>7</v>
      </c>
      <c r="Z886" s="69" t="s">
        <v>69</v>
      </c>
      <c r="AA886" s="69">
        <f t="shared" si="72"/>
        <v>33</v>
      </c>
      <c r="AB886" t="str">
        <f t="shared" si="73"/>
        <v>Adult</v>
      </c>
      <c r="AC886" s="69">
        <v>29</v>
      </c>
      <c r="AD886" s="69">
        <v>4</v>
      </c>
      <c r="AE886" s="45" t="str">
        <f t="shared" si="74"/>
        <v>Morphological</v>
      </c>
      <c r="AF886" s="56">
        <v>4</v>
      </c>
    </row>
    <row r="887" spans="1:32" ht="18" customHeight="1" x14ac:dyDescent="0.25">
      <c r="A887" s="45">
        <v>883</v>
      </c>
      <c r="B887" s="45" t="s">
        <v>60</v>
      </c>
      <c r="C887" s="45" t="s">
        <v>61</v>
      </c>
      <c r="D887" s="45" t="s">
        <v>62</v>
      </c>
      <c r="E887" s="45" t="s">
        <v>62</v>
      </c>
      <c r="F887" s="59" cm="1">
        <f t="array" ref="F887">_xlfn.IFS($G887=$G$5,F$5,$G887=$G$6,F$6,$G887=$G$7,F$7,$G887=$G$8,F$8,$G887=$G$9,F$9,$G887=$G$10,F$10,$G887=$G$11,F$11,$G887=$G$12,F$12,$G887=$G$13,F$13,$G887=$G$15,F$15,$G887=$G$16,F$16,$G887=$G$17,F$17,$G887=$G$18,F$18,$G887=$G$19,F$19,$G887=$G$20,F$20,$G887=$G$21,F$21,$G887=$G$22,F$22,$G887=$G$25,F$25,$G887=$G$26,F$26,$G887=$G$27,F$27,$G887=$G$29,F$29,$G887=$G$31,F$31,$G887=$G$32,F$32,$G887=$G$248,F$248,$G887=$G$250,F$250)</f>
        <v>8002</v>
      </c>
      <c r="G887" t="s">
        <v>94</v>
      </c>
      <c r="H887" s="60" cm="1">
        <f t="array" ref="H887">_xlfn.IFS($G887=$G$5,H$5,$G887=$G$6,H$6,$G887=$G$7,H$7,$G887=$G$8,H$8,$G887=$G$9,H$9,$G887=$G$10,H$10,$G887=$G$11,H$11,$G887=$G$12,H$12,$G887=$G$13,H$13,$G887=$G$15,H$15,$G887=$G$16,H$16,$G887=$G$17,H$17,$G887=$G$18,H$18,$G887=$G$19,H$19,$G887=$G$20,H$20,$G887=$G$21,H$21,$G887=$G$22,H$22,$G887=$G$25,H$25,$G887=$G$26,H$26,$G887=$G$27,H$27,$G887=$G$29,H$29,$G887=$G$31,H$31,$G887=$G$32,H$150,$G887=$G$248,H$248,$G887=$G$250,H$250)</f>
        <v>41.385213</v>
      </c>
      <c r="I887" s="60" cm="1">
        <f t="array" ref="I887">_xlfn.IFS($G887=$G$5,I$5,$G887=$G$6,I$6,$G887=$G$7,I$7,$G887=$G$8,I$8,$G887=$G$9,I$9,$G887=$G$10,I$10,$G887=$G$11,I$11,$G887=$G$12,I$12,$G887=$G$13,I$13,$G887=$G$15,I$15,$G887=$G$16,I$16,$G887=$G$17,I$17,$G887=$G$18,I$18,$G887=$G$19,I$19,$G887=$G$20,I$20,$G887=$G$21,I$21,$G887=$G$22,I$22,$G887=$G$25,I$25,$G887=$G$26,I$26,$G887=$G$27,I$27,$G887=$G$29,I$29,$G887=$G$31,I$31,$G887=$G$32,I$150,$G887=$G$248,I$248,$G887=$G$250,I$250)</f>
        <v>2.174852</v>
      </c>
      <c r="J887" s="61" cm="1">
        <f t="array" ref="J887">_xlfn.IFS($G887=$G$5,J$5,$G887=$G$6,J$6,$G887=$G$7,J$7,$G887=$G$8,J$8,$G887=$G$9,J$9,$G887=$G$10,J$10,$G887=$G$11,J$11,$G887=$G$12,J$12,$G887=$G$13,J$13,$G887=$G$15,J$15,$G887=$G$16,J$16,$G887=$G$17,J$17,$G887=$G$18,J$18,$G887=$G$19,J$19,$G887=$G$20,J$20,$G887=$G$21,J$21,$G887=$G$22,J$22,$G887=$G$25,J$25,$G887=$G$26,J$26,$G887=$G$27,J$27,$G887=$G$29,J$29,$G887=$G$31,J$31,$G887=$G$32,J$150,$G887=$G$248,J$248,$G887=$G$250,J$250)</f>
        <v>14</v>
      </c>
      <c r="K887" t="str" cm="1">
        <f t="array" ref="K887">_xlfn.IFS($G887=$G$5,K$5,$G887=$G$6,K$6,$G887=$G$7,K$7,$G887=$G$8,K$8,$G887=$G$9,K$9,$G887=$G$10,K$10,$G887=$G$11,K$11,$G887=$G$12,K$12,$G887=$G$13,K$13,$G887=$G$15,K$15,$G887=$G$16,K$16,$G887=$G$17,K$17,$G887=$G$18,K$18,$G887=$G$19,K$19,$G887=$G$20,K$20,$G887=$G$21,K$21,$G887=$G$22,K$22,$G887=$G$25,K$25,$G887=$G$26,K$26,$G887=$G$27,K$27,$G887=$G$29,K$29,$G887=$G$31,K$31,$G887=$G$32,K$150,$G887=$G$248,K$248,$G887=$G$250,K$250)</f>
        <v>BG sentinel + BG lure7</v>
      </c>
      <c r="O887" s="69" t="str">
        <f t="shared" si="54"/>
        <v>A_SP_BCN_20_211007</v>
      </c>
      <c r="P887" s="64">
        <v>44476</v>
      </c>
      <c r="R887" s="72"/>
      <c r="S887" s="64">
        <v>44483</v>
      </c>
      <c r="U887" s="72"/>
      <c r="V887" s="54" t="s">
        <v>66</v>
      </c>
      <c r="X887" s="69">
        <f t="shared" si="71"/>
        <v>7</v>
      </c>
      <c r="Z887" s="45" t="s">
        <v>70</v>
      </c>
      <c r="AA887" s="69">
        <f t="shared" si="72"/>
        <v>18</v>
      </c>
      <c r="AB887" t="str">
        <f t="shared" si="73"/>
        <v>Adult</v>
      </c>
      <c r="AC887" s="69">
        <v>13</v>
      </c>
      <c r="AD887" s="69">
        <v>5</v>
      </c>
      <c r="AE887" s="45" t="str">
        <f t="shared" si="74"/>
        <v>Morphological</v>
      </c>
      <c r="AF887" s="56">
        <v>4</v>
      </c>
    </row>
    <row r="888" spans="1:32" ht="18" customHeight="1" x14ac:dyDescent="0.25">
      <c r="A888" s="45">
        <v>884</v>
      </c>
      <c r="B888" s="45" t="s">
        <v>60</v>
      </c>
      <c r="C888" s="45" t="s">
        <v>61</v>
      </c>
      <c r="D888" s="45" t="s">
        <v>62</v>
      </c>
      <c r="E888" s="45" t="s">
        <v>62</v>
      </c>
      <c r="F888" s="59" cm="1">
        <f t="array" ref="F888">_xlfn.IFS($G888=$G$5,F$5,$G888=$G$6,F$6,$G888=$G$7,F$7,$G888=$G$8,F$8,$G888=$G$9,F$9,$G888=$G$10,F$10,$G888=$G$11,F$11,$G888=$G$12,F$12,$G888=$G$13,F$13,$G888=$G$15,F$15,$G888=$G$16,F$16,$G888=$G$17,F$17,$G888=$G$18,F$18,$G888=$G$19,F$19,$G888=$G$20,F$20,$G888=$G$21,F$21,$G888=$G$22,F$22,$G888=$G$25,F$25,$G888=$G$26,F$26,$G888=$G$27,F$27,$G888=$G$29,F$29,$G888=$G$31,F$31,$G888=$G$32,F$32,$G888=$G$248,F$248,$G888=$G$250,F$250)</f>
        <v>8002</v>
      </c>
      <c r="G888" t="s">
        <v>94</v>
      </c>
      <c r="H888" s="60" cm="1">
        <f t="array" ref="H888">_xlfn.IFS($G888=$G$5,H$5,$G888=$G$6,H$6,$G888=$G$7,H$7,$G888=$G$8,H$8,$G888=$G$9,H$9,$G888=$G$10,H$10,$G888=$G$11,H$11,$G888=$G$12,H$12,$G888=$G$13,H$13,$G888=$G$15,H$15,$G888=$G$16,H$16,$G888=$G$17,H$17,$G888=$G$18,H$18,$G888=$G$19,H$19,$G888=$G$20,H$20,$G888=$G$21,H$21,$G888=$G$22,H$22,$G888=$G$25,H$25,$G888=$G$26,H$26,$G888=$G$27,H$27,$G888=$G$29,H$29,$G888=$G$31,H$31,$G888=$G$32,H$150,$G888=$G$248,H$248,$G888=$G$250,H$250)</f>
        <v>41.385213</v>
      </c>
      <c r="I888" s="60" cm="1">
        <f t="array" ref="I888">_xlfn.IFS($G888=$G$5,I$5,$G888=$G$6,I$6,$G888=$G$7,I$7,$G888=$G$8,I$8,$G888=$G$9,I$9,$G888=$G$10,I$10,$G888=$G$11,I$11,$G888=$G$12,I$12,$G888=$G$13,I$13,$G888=$G$15,I$15,$G888=$G$16,I$16,$G888=$G$17,I$17,$G888=$G$18,I$18,$G888=$G$19,I$19,$G888=$G$20,I$20,$G888=$G$21,I$21,$G888=$G$22,I$22,$G888=$G$25,I$25,$G888=$G$26,I$26,$G888=$G$27,I$27,$G888=$G$29,I$29,$G888=$G$31,I$31,$G888=$G$32,I$150,$G888=$G$248,I$248,$G888=$G$250,I$250)</f>
        <v>2.174852</v>
      </c>
      <c r="J888" s="61" cm="1">
        <f t="array" ref="J888">_xlfn.IFS($G888=$G$5,J$5,$G888=$G$6,J$6,$G888=$G$7,J$7,$G888=$G$8,J$8,$G888=$G$9,J$9,$G888=$G$10,J$10,$G888=$G$11,J$11,$G888=$G$12,J$12,$G888=$G$13,J$13,$G888=$G$15,J$15,$G888=$G$16,J$16,$G888=$G$17,J$17,$G888=$G$18,J$18,$G888=$G$19,J$19,$G888=$G$20,J$20,$G888=$G$21,J$21,$G888=$G$22,J$22,$G888=$G$25,J$25,$G888=$G$26,J$26,$G888=$G$27,J$27,$G888=$G$29,J$29,$G888=$G$31,J$31,$G888=$G$32,J$150,$G888=$G$248,J$248,$G888=$G$250,J$250)</f>
        <v>14</v>
      </c>
      <c r="K888" t="str" cm="1">
        <f t="array" ref="K888">_xlfn.IFS($G888=$G$5,K$5,$G888=$G$6,K$6,$G888=$G$7,K$7,$G888=$G$8,K$8,$G888=$G$9,K$9,$G888=$G$10,K$10,$G888=$G$11,K$11,$G888=$G$12,K$12,$G888=$G$13,K$13,$G888=$G$15,K$15,$G888=$G$16,K$16,$G888=$G$17,K$17,$G888=$G$18,K$18,$G888=$G$19,K$19,$G888=$G$20,K$20,$G888=$G$21,K$21,$G888=$G$22,K$22,$G888=$G$25,K$25,$G888=$G$26,K$26,$G888=$G$27,K$27,$G888=$G$29,K$29,$G888=$G$31,K$31,$G888=$G$32,K$150,$G888=$G$248,K$248,$G888=$G$250,K$250)</f>
        <v>BG sentinel + BG lure7</v>
      </c>
      <c r="O888" s="69" t="str">
        <f t="shared" si="54"/>
        <v>A_SP_BCN_20_211007</v>
      </c>
      <c r="P888" s="64">
        <v>44476</v>
      </c>
      <c r="R888" s="72"/>
      <c r="S888" s="64">
        <v>44483</v>
      </c>
      <c r="U888" s="72"/>
      <c r="V888" s="54" t="s">
        <v>66</v>
      </c>
      <c r="X888" s="69">
        <f t="shared" si="71"/>
        <v>7</v>
      </c>
      <c r="Z888" s="45" t="s">
        <v>80</v>
      </c>
      <c r="AA888" s="69">
        <f t="shared" si="72"/>
        <v>1</v>
      </c>
      <c r="AB888" t="str">
        <f t="shared" si="73"/>
        <v>Adult</v>
      </c>
      <c r="AC888" s="69">
        <v>1</v>
      </c>
      <c r="AD888" s="69">
        <v>0</v>
      </c>
      <c r="AE888" s="45" t="str">
        <f t="shared" si="74"/>
        <v>Morphological</v>
      </c>
      <c r="AF888" s="56">
        <v>4</v>
      </c>
    </row>
    <row r="889" spans="1:32" ht="18" customHeight="1" x14ac:dyDescent="0.25">
      <c r="A889" s="45">
        <v>885</v>
      </c>
      <c r="B889" s="45" t="s">
        <v>60</v>
      </c>
      <c r="C889" s="45" t="s">
        <v>61</v>
      </c>
      <c r="D889" s="45" t="s">
        <v>62</v>
      </c>
      <c r="E889" s="45" t="s">
        <v>62</v>
      </c>
      <c r="F889" s="59" cm="1">
        <f t="array" ref="F889">_xlfn.IFS($G889=$G$5,F$5,$G889=$G$6,F$6,$G889=$G$7,F$7,$G889=$G$8,F$8,$G889=$G$9,F$9,$G889=$G$10,F$10,$G889=$G$11,F$11,$G889=$G$12,F$12,$G889=$G$13,F$13,$G889=$G$15,F$15,$G889=$G$16,F$16,$G889=$G$17,F$17,$G889=$G$18,F$18,$G889=$G$19,F$19,$G889=$G$20,F$20,$G889=$G$21,F$21,$G889=$G$22,F$22,$G889=$G$25,F$25,$G889=$G$26,F$26,$G889=$G$27,F$27,$G889=$G$29,F$29,$G889=$G$31,F$31,$G889=$G$32,F$32,$G889=$G$248,F$248,$G889=$G$250,F$250)</f>
        <v>8017</v>
      </c>
      <c r="G889" t="s">
        <v>98</v>
      </c>
      <c r="H889" s="60" cm="1">
        <f t="array" ref="H889">_xlfn.IFS($G889=$G$5,H$5,$G889=$G$6,H$6,$G889=$G$7,H$7,$G889=$G$8,H$8,$G889=$G$9,H$9,$G889=$G$10,H$10,$G889=$G$11,H$11,$G889=$G$12,H$12,$G889=$G$13,H$13,$G889=$G$15,H$15,$G889=$G$16,H$16,$G889=$G$17,H$17,$G889=$G$18,H$18,$G889=$G$19,H$19,$G889=$G$20,H$20,$G889=$G$21,H$21,$G889=$G$22,H$22,$G889=$G$25,H$25,$G889=$G$26,H$26,$G889=$G$27,H$27,$G889=$G$29,H$29,$G889=$G$31,H$31,$G889=$G$32,H$150,$G889=$G$248,H$248,$G889=$G$250,H$250)</f>
        <v>41.430315999999998</v>
      </c>
      <c r="I889" s="60" cm="1">
        <f t="array" ref="I889">_xlfn.IFS($G889=$G$5,I$5,$G889=$G$6,I$6,$G889=$G$7,I$7,$G889=$G$8,I$8,$G889=$G$9,I$9,$G889=$G$10,I$10,$G889=$G$11,I$11,$G889=$G$12,I$12,$G889=$G$13,I$13,$G889=$G$15,I$15,$G889=$G$16,I$16,$G889=$G$17,I$17,$G889=$G$18,I$18,$G889=$G$19,I$19,$G889=$G$20,I$20,$G889=$G$21,I$21,$G889=$G$22,I$22,$G889=$G$25,I$25,$G889=$G$26,I$26,$G889=$G$27,I$27,$G889=$G$29,I$29,$G889=$G$31,I$31,$G889=$G$32,I$150,$G889=$G$248,I$248,$G889=$G$250,I$250)</f>
        <v>2.077556</v>
      </c>
      <c r="J889" s="61" cm="1">
        <f t="array" ref="J889">_xlfn.IFS($G889=$G$5,J$5,$G889=$G$6,J$6,$G889=$G$7,J$7,$G889=$G$8,J$8,$G889=$G$9,J$9,$G889=$G$10,J$10,$G889=$G$11,J$11,$G889=$G$12,J$12,$G889=$G$13,J$13,$G889=$G$15,J$15,$G889=$G$16,J$16,$G889=$G$17,J$17,$G889=$G$18,J$18,$G889=$G$19,J$19,$G889=$G$20,J$20,$G889=$G$21,J$21,$G889=$G$22,J$22,$G889=$G$25,J$25,$G889=$G$26,J$26,$G889=$G$27,J$27,$G889=$G$29,J$29,$G889=$G$31,J$31,$G889=$G$32,J$150,$G889=$G$248,J$248,$G889=$G$250,J$250)</f>
        <v>243.3</v>
      </c>
      <c r="K889" t="str" cm="1">
        <f t="array" ref="K889">_xlfn.IFS($G889=$G$5,K$5,$G889=$G$6,K$6,$G889=$G$7,K$7,$G889=$G$8,K$8,$G889=$G$9,K$9,$G889=$G$10,K$10,$G889=$G$11,K$11,$G889=$G$12,K$12,$G889=$G$13,K$13,$G889=$G$15,K$15,$G889=$G$16,K$16,$G889=$G$17,K$17,$G889=$G$18,K$18,$G889=$G$19,K$19,$G889=$G$20,K$20,$G889=$G$21,K$21,$G889=$G$22,K$22,$G889=$G$25,K$25,$G889=$G$26,K$26,$G889=$G$27,K$27,$G889=$G$29,K$29,$G889=$G$31,K$31,$G889=$G$32,K$150,$G889=$G$248,K$248,$G889=$G$250,K$250)</f>
        <v>BG sentinel + BG lure7</v>
      </c>
      <c r="O889" s="69" t="str">
        <f t="shared" si="54"/>
        <v>A_SP_BCN_22_211006</v>
      </c>
      <c r="P889" s="64">
        <v>44475</v>
      </c>
      <c r="R889" s="72"/>
      <c r="S889" s="64">
        <v>44482</v>
      </c>
      <c r="U889" s="72"/>
      <c r="V889" s="54" t="s">
        <v>66</v>
      </c>
      <c r="X889" s="69">
        <f t="shared" si="71"/>
        <v>7</v>
      </c>
      <c r="Z889" s="69" t="s">
        <v>69</v>
      </c>
      <c r="AA889" s="69">
        <f t="shared" si="72"/>
        <v>5</v>
      </c>
      <c r="AB889" t="str">
        <f t="shared" si="73"/>
        <v>Adult</v>
      </c>
      <c r="AC889" s="69">
        <v>5</v>
      </c>
      <c r="AD889" s="69">
        <v>0</v>
      </c>
      <c r="AE889" s="45" t="str">
        <f t="shared" si="74"/>
        <v>Morphological</v>
      </c>
      <c r="AF889" s="56">
        <v>4</v>
      </c>
    </row>
    <row r="890" spans="1:32" ht="18" customHeight="1" x14ac:dyDescent="0.25">
      <c r="A890" s="45">
        <v>886</v>
      </c>
      <c r="B890" s="45" t="s">
        <v>60</v>
      </c>
      <c r="C890" s="45" t="s">
        <v>61</v>
      </c>
      <c r="D890" s="45" t="s">
        <v>62</v>
      </c>
      <c r="E890" s="45" t="s">
        <v>62</v>
      </c>
      <c r="F890" s="59" cm="1">
        <f t="array" ref="F890">_xlfn.IFS($G890=$G$5,F$5,$G890=$G$6,F$6,$G890=$G$7,F$7,$G890=$G$8,F$8,$G890=$G$9,F$9,$G890=$G$10,F$10,$G890=$G$11,F$11,$G890=$G$12,F$12,$G890=$G$13,F$13,$G890=$G$15,F$15,$G890=$G$16,F$16,$G890=$G$17,F$17,$G890=$G$18,F$18,$G890=$G$19,F$19,$G890=$G$20,F$20,$G890=$G$21,F$21,$G890=$G$22,F$22,$G890=$G$25,F$25,$G890=$G$26,F$26,$G890=$G$27,F$27,$G890=$G$29,F$29,$G890=$G$31,F$31,$G890=$G$32,F$32,$G890=$G$248,F$248,$G890=$G$250,F$250)</f>
        <v>8017</v>
      </c>
      <c r="G890" t="s">
        <v>98</v>
      </c>
      <c r="H890" s="60" cm="1">
        <f t="array" ref="H890">_xlfn.IFS($G890=$G$5,H$5,$G890=$G$6,H$6,$G890=$G$7,H$7,$G890=$G$8,H$8,$G890=$G$9,H$9,$G890=$G$10,H$10,$G890=$G$11,H$11,$G890=$G$12,H$12,$G890=$G$13,H$13,$G890=$G$15,H$15,$G890=$G$16,H$16,$G890=$G$17,H$17,$G890=$G$18,H$18,$G890=$G$19,H$19,$G890=$G$20,H$20,$G890=$G$21,H$21,$G890=$G$22,H$22,$G890=$G$25,H$25,$G890=$G$26,H$26,$G890=$G$27,H$27,$G890=$G$29,H$29,$G890=$G$31,H$31,$G890=$G$32,H$150,$G890=$G$248,H$248,$G890=$G$250,H$250)</f>
        <v>41.430315999999998</v>
      </c>
      <c r="I890" s="60" cm="1">
        <f t="array" ref="I890">_xlfn.IFS($G890=$G$5,I$5,$G890=$G$6,I$6,$G890=$G$7,I$7,$G890=$G$8,I$8,$G890=$G$9,I$9,$G890=$G$10,I$10,$G890=$G$11,I$11,$G890=$G$12,I$12,$G890=$G$13,I$13,$G890=$G$15,I$15,$G890=$G$16,I$16,$G890=$G$17,I$17,$G890=$G$18,I$18,$G890=$G$19,I$19,$G890=$G$20,I$20,$G890=$G$21,I$21,$G890=$G$22,I$22,$G890=$G$25,I$25,$G890=$G$26,I$26,$G890=$G$27,I$27,$G890=$G$29,I$29,$G890=$G$31,I$31,$G890=$G$32,I$150,$G890=$G$248,I$248,$G890=$G$250,I$250)</f>
        <v>2.077556</v>
      </c>
      <c r="J890" s="61" cm="1">
        <f t="array" ref="J890">_xlfn.IFS($G890=$G$5,J$5,$G890=$G$6,J$6,$G890=$G$7,J$7,$G890=$G$8,J$8,$G890=$G$9,J$9,$G890=$G$10,J$10,$G890=$G$11,J$11,$G890=$G$12,J$12,$G890=$G$13,J$13,$G890=$G$15,J$15,$G890=$G$16,J$16,$G890=$G$17,J$17,$G890=$G$18,J$18,$G890=$G$19,J$19,$G890=$G$20,J$20,$G890=$G$21,J$21,$G890=$G$22,J$22,$G890=$G$25,J$25,$G890=$G$26,J$26,$G890=$G$27,J$27,$G890=$G$29,J$29,$G890=$G$31,J$31,$G890=$G$32,J$150,$G890=$G$248,J$248,$G890=$G$250,J$250)</f>
        <v>243.3</v>
      </c>
      <c r="K890" t="str" cm="1">
        <f t="array" ref="K890">_xlfn.IFS($G890=$G$5,K$5,$G890=$G$6,K$6,$G890=$G$7,K$7,$G890=$G$8,K$8,$G890=$G$9,K$9,$G890=$G$10,K$10,$G890=$G$11,K$11,$G890=$G$12,K$12,$G890=$G$13,K$13,$G890=$G$15,K$15,$G890=$G$16,K$16,$G890=$G$17,K$17,$G890=$G$18,K$18,$G890=$G$19,K$19,$G890=$G$20,K$20,$G890=$G$21,K$21,$G890=$G$22,K$22,$G890=$G$25,K$25,$G890=$G$26,K$26,$G890=$G$27,K$27,$G890=$G$29,K$29,$G890=$G$31,K$31,$G890=$G$32,K$150,$G890=$G$248,K$248,$G890=$G$250,K$250)</f>
        <v>BG sentinel + BG lure7</v>
      </c>
      <c r="O890" s="69" t="str">
        <f t="shared" si="54"/>
        <v>A_SP_BCN_22_211006</v>
      </c>
      <c r="P890" s="64">
        <v>44475</v>
      </c>
      <c r="R890" s="72"/>
      <c r="S890" s="64">
        <v>44482</v>
      </c>
      <c r="U890" s="72"/>
      <c r="V890" s="54" t="s">
        <v>66</v>
      </c>
      <c r="X890" s="69">
        <f t="shared" si="71"/>
        <v>7</v>
      </c>
      <c r="Z890" s="45" t="s">
        <v>70</v>
      </c>
      <c r="AA890" s="69">
        <f t="shared" si="72"/>
        <v>3</v>
      </c>
      <c r="AB890" t="str">
        <f t="shared" si="73"/>
        <v>Adult</v>
      </c>
      <c r="AC890" s="69">
        <v>2</v>
      </c>
      <c r="AD890" s="69">
        <v>1</v>
      </c>
      <c r="AE890" s="45" t="str">
        <f t="shared" si="74"/>
        <v>Morphological</v>
      </c>
      <c r="AF890" s="56">
        <v>4</v>
      </c>
    </row>
    <row r="891" spans="1:32" ht="18" customHeight="1" x14ac:dyDescent="0.25">
      <c r="A891" s="45">
        <v>887</v>
      </c>
      <c r="B891" s="45" t="s">
        <v>60</v>
      </c>
      <c r="C891" s="45" t="s">
        <v>61</v>
      </c>
      <c r="D891" s="45" t="s">
        <v>62</v>
      </c>
      <c r="E891" s="45" t="s">
        <v>62</v>
      </c>
      <c r="F891" s="59" cm="1">
        <f t="array" ref="F891">_xlfn.IFS($G891=$G$5,F$5,$G891=$G$6,F$6,$G891=$G$7,F$7,$G891=$G$8,F$8,$G891=$G$9,F$9,$G891=$G$10,F$10,$G891=$G$11,F$11,$G891=$G$12,F$12,$G891=$G$13,F$13,$G891=$G$15,F$15,$G891=$G$16,F$16,$G891=$G$17,F$17,$G891=$G$18,F$18,$G891=$G$19,F$19,$G891=$G$20,F$20,$G891=$G$21,F$21,$G891=$G$22,F$22,$G891=$G$25,F$25,$G891=$G$26,F$26,$G891=$G$27,F$27,$G891=$G$29,F$29,$G891=$G$31,F$31,$G891=$G$32,F$32,$G891=$G$248,F$248,$G891=$G$250,F$250)</f>
        <v>8017</v>
      </c>
      <c r="G891" t="s">
        <v>98</v>
      </c>
      <c r="H891" s="60" cm="1">
        <f t="array" ref="H891">_xlfn.IFS($G891=$G$5,H$5,$G891=$G$6,H$6,$G891=$G$7,H$7,$G891=$G$8,H$8,$G891=$G$9,H$9,$G891=$G$10,H$10,$G891=$G$11,H$11,$G891=$G$12,H$12,$G891=$G$13,H$13,$G891=$G$15,H$15,$G891=$G$16,H$16,$G891=$G$17,H$17,$G891=$G$18,H$18,$G891=$G$19,H$19,$G891=$G$20,H$20,$G891=$G$21,H$21,$G891=$G$22,H$22,$G891=$G$25,H$25,$G891=$G$26,H$26,$G891=$G$27,H$27,$G891=$G$29,H$29,$G891=$G$31,H$31,$G891=$G$32,H$150,$G891=$G$248,H$248,$G891=$G$250,H$250)</f>
        <v>41.430315999999998</v>
      </c>
      <c r="I891" s="60" cm="1">
        <f t="array" ref="I891">_xlfn.IFS($G891=$G$5,I$5,$G891=$G$6,I$6,$G891=$G$7,I$7,$G891=$G$8,I$8,$G891=$G$9,I$9,$G891=$G$10,I$10,$G891=$G$11,I$11,$G891=$G$12,I$12,$G891=$G$13,I$13,$G891=$G$15,I$15,$G891=$G$16,I$16,$G891=$G$17,I$17,$G891=$G$18,I$18,$G891=$G$19,I$19,$G891=$G$20,I$20,$G891=$G$21,I$21,$G891=$G$22,I$22,$G891=$G$25,I$25,$G891=$G$26,I$26,$G891=$G$27,I$27,$G891=$G$29,I$29,$G891=$G$31,I$31,$G891=$G$32,I$150,$G891=$G$248,I$248,$G891=$G$250,I$250)</f>
        <v>2.077556</v>
      </c>
      <c r="J891" s="61" cm="1">
        <f t="array" ref="J891">_xlfn.IFS($G891=$G$5,J$5,$G891=$G$6,J$6,$G891=$G$7,J$7,$G891=$G$8,J$8,$G891=$G$9,J$9,$G891=$G$10,J$10,$G891=$G$11,J$11,$G891=$G$12,J$12,$G891=$G$13,J$13,$G891=$G$15,J$15,$G891=$G$16,J$16,$G891=$G$17,J$17,$G891=$G$18,J$18,$G891=$G$19,J$19,$G891=$G$20,J$20,$G891=$G$21,J$21,$G891=$G$22,J$22,$G891=$G$25,J$25,$G891=$G$26,J$26,$G891=$G$27,J$27,$G891=$G$29,J$29,$G891=$G$31,J$31,$G891=$G$32,J$150,$G891=$G$248,J$248,$G891=$G$250,J$250)</f>
        <v>243.3</v>
      </c>
      <c r="K891" t="str" cm="1">
        <f t="array" ref="K891">_xlfn.IFS($G891=$G$5,K$5,$G891=$G$6,K$6,$G891=$G$7,K$7,$G891=$G$8,K$8,$G891=$G$9,K$9,$G891=$G$10,K$10,$G891=$G$11,K$11,$G891=$G$12,K$12,$G891=$G$13,K$13,$G891=$G$15,K$15,$G891=$G$16,K$16,$G891=$G$17,K$17,$G891=$G$18,K$18,$G891=$G$19,K$19,$G891=$G$20,K$20,$G891=$G$21,K$21,$G891=$G$22,K$22,$G891=$G$25,K$25,$G891=$G$26,K$26,$G891=$G$27,K$27,$G891=$G$29,K$29,$G891=$G$31,K$31,$G891=$G$32,K$150,$G891=$G$248,K$248,$G891=$G$250,K$250)</f>
        <v>BG sentinel + BG lure7</v>
      </c>
      <c r="O891" s="69" t="str">
        <f t="shared" si="54"/>
        <v>A_SP_BCN_22_211006</v>
      </c>
      <c r="P891" s="64">
        <v>44475</v>
      </c>
      <c r="R891" s="72"/>
      <c r="S891" s="64">
        <v>44482</v>
      </c>
      <c r="U891" s="72"/>
      <c r="V891" s="54" t="s">
        <v>66</v>
      </c>
      <c r="X891" s="69">
        <f t="shared" si="71"/>
        <v>7</v>
      </c>
      <c r="Z891" s="45" t="s">
        <v>80</v>
      </c>
      <c r="AA891" s="69">
        <f t="shared" si="72"/>
        <v>1</v>
      </c>
      <c r="AB891" t="str">
        <f t="shared" si="73"/>
        <v>Adult</v>
      </c>
      <c r="AC891" s="69">
        <v>1</v>
      </c>
      <c r="AD891" s="69">
        <v>0</v>
      </c>
      <c r="AE891" s="45" t="str">
        <f t="shared" si="74"/>
        <v>Morphological</v>
      </c>
      <c r="AF891" s="56">
        <v>4</v>
      </c>
    </row>
    <row r="892" spans="1:32" ht="18" customHeight="1" x14ac:dyDescent="0.25">
      <c r="A892" s="45">
        <v>888</v>
      </c>
      <c r="B892" s="45" t="s">
        <v>60</v>
      </c>
      <c r="C892" s="45" t="s">
        <v>61</v>
      </c>
      <c r="D892" s="45" t="s">
        <v>62</v>
      </c>
      <c r="E892" s="45" t="s">
        <v>62</v>
      </c>
      <c r="F892" s="59" cm="1">
        <f t="array" ref="F892">_xlfn.IFS($G892=$G$5,F$5,$G892=$G$6,F$6,$G892=$G$7,F$7,$G892=$G$8,F$8,$G892=$G$9,F$9,$G892=$G$10,F$10,$G892=$G$11,F$11,$G892=$G$12,F$12,$G892=$G$13,F$13,$G892=$G$15,F$15,$G892=$G$16,F$16,$G892=$G$17,F$17,$G892=$G$18,F$18,$G892=$G$19,F$19,$G892=$G$20,F$20,$G892=$G$21,F$21,$G892=$G$22,F$22,$G892=$G$25,F$25,$G892=$G$26,F$26,$G892=$G$27,F$27,$G892=$G$29,F$29,$G892=$G$31,F$31,$G892=$G$32,F$32,$G892=$G$248,F$248,$G892=$G$250,F$250)</f>
        <v>8038</v>
      </c>
      <c r="G892" t="s">
        <v>103</v>
      </c>
      <c r="H892" s="60" cm="1">
        <f t="array" ref="H892">_xlfn.IFS($G892=$G$5,H$5,$G892=$G$6,H$6,$G892=$G$7,H$7,$G892=$G$8,H$8,$G892=$G$9,H$9,$G892=$G$10,H$10,$G892=$G$11,H$11,$G892=$G$12,H$12,$G892=$G$13,H$13,$G892=$G$15,H$15,$G892=$G$16,H$16,$G892=$G$17,H$17,$G892=$G$18,H$18,$G892=$G$19,H$19,$G892=$G$20,H$20,$G892=$G$21,H$21,$G892=$G$22,H$22,$G892=$G$25,H$25,$G892=$G$26,H$26,$G892=$G$27,H$27,$G892=$G$29,H$29,$G892=$G$31,H$31,$G892=$G$32,H$150,$G892=$G$248,H$248,$G892=$G$250,H$250)</f>
        <v>41.367100000000001</v>
      </c>
      <c r="I892" s="60" cm="1">
        <f t="array" ref="I892">_xlfn.IFS($G892=$G$5,I$5,$G892=$G$6,I$6,$G892=$G$7,I$7,$G892=$G$8,I$8,$G892=$G$9,I$9,$G892=$G$10,I$10,$G892=$G$11,I$11,$G892=$G$12,I$12,$G892=$G$13,I$13,$G892=$G$15,I$15,$G892=$G$16,I$16,$G892=$G$17,I$17,$G892=$G$18,I$18,$G892=$G$19,I$19,$G892=$G$20,I$20,$G892=$G$21,I$21,$G892=$G$22,I$22,$G892=$G$25,I$25,$G892=$G$26,I$26,$G892=$G$27,I$27,$G892=$G$29,I$29,$G892=$G$31,I$31,$G892=$G$32,I$150,$G892=$G$248,I$248,$G892=$G$250,I$250)</f>
        <v>2.1539079999999999</v>
      </c>
      <c r="J892" s="61" cm="1">
        <f t="array" ref="J892">_xlfn.IFS($G892=$G$5,J$5,$G892=$G$6,J$6,$G892=$G$7,J$7,$G892=$G$8,J$8,$G892=$G$9,J$9,$G892=$G$10,J$10,$G892=$G$11,J$11,$G892=$G$12,J$12,$G892=$G$13,J$13,$G892=$G$15,J$15,$G892=$G$16,J$16,$G892=$G$17,J$17,$G892=$G$18,J$18,$G892=$G$19,J$19,$G892=$G$20,J$20,$G892=$G$21,J$21,$G892=$G$22,J$22,$G892=$G$25,J$25,$G892=$G$26,J$26,$G892=$G$27,J$27,$G892=$G$29,J$29,$G892=$G$31,J$31,$G892=$G$32,J$150,$G892=$G$248,J$248,$G892=$G$250,J$250)</f>
        <v>68</v>
      </c>
      <c r="K892" t="str" cm="1">
        <f t="array" ref="K892">_xlfn.IFS($G892=$G$5,K$5,$G892=$G$6,K$6,$G892=$G$7,K$7,$G892=$G$8,K$8,$G892=$G$9,K$9,$G892=$G$10,K$10,$G892=$G$11,K$11,$G892=$G$12,K$12,$G892=$G$13,K$13,$G892=$G$15,K$15,$G892=$G$16,K$16,$G892=$G$17,K$17,$G892=$G$18,K$18,$G892=$G$19,K$19,$G892=$G$20,K$20,$G892=$G$21,K$21,$G892=$G$22,K$22,$G892=$G$25,K$25,$G892=$G$26,K$26,$G892=$G$27,K$27,$G892=$G$29,K$29,$G892=$G$31,K$31,$G892=$G$32,K$150,$G892=$G$248,K$248,$G892=$G$250,K$250)</f>
        <v>BG sentinel + BG lure7</v>
      </c>
      <c r="O892" s="69" t="str">
        <f t="shared" si="54"/>
        <v>A_SP_BCN_23_211007</v>
      </c>
      <c r="P892" s="64">
        <v>44476</v>
      </c>
      <c r="R892" s="72"/>
      <c r="S892" s="64">
        <v>44483</v>
      </c>
      <c r="U892" s="72"/>
      <c r="V892" s="54" t="s">
        <v>66</v>
      </c>
      <c r="X892" s="69">
        <f t="shared" si="71"/>
        <v>7</v>
      </c>
      <c r="Z892" s="69" t="s">
        <v>69</v>
      </c>
      <c r="AA892" s="69">
        <f t="shared" si="72"/>
        <v>31</v>
      </c>
      <c r="AB892" t="str">
        <f t="shared" si="73"/>
        <v>Adult</v>
      </c>
      <c r="AC892" s="69">
        <v>29</v>
      </c>
      <c r="AD892" s="69">
        <v>2</v>
      </c>
      <c r="AE892" s="45" t="str">
        <f t="shared" si="74"/>
        <v>Morphological</v>
      </c>
      <c r="AF892" s="56">
        <v>4</v>
      </c>
    </row>
    <row r="893" spans="1:32" ht="18" customHeight="1" x14ac:dyDescent="0.25">
      <c r="A893" s="45">
        <v>889</v>
      </c>
      <c r="B893" s="45" t="s">
        <v>60</v>
      </c>
      <c r="C893" s="45" t="s">
        <v>61</v>
      </c>
      <c r="D893" s="45" t="s">
        <v>62</v>
      </c>
      <c r="E893" s="45" t="s">
        <v>62</v>
      </c>
      <c r="F893" s="59" cm="1">
        <f t="array" ref="F893">_xlfn.IFS($G893=$G$5,F$5,$G893=$G$6,F$6,$G893=$G$7,F$7,$G893=$G$8,F$8,$G893=$G$9,F$9,$G893=$G$10,F$10,$G893=$G$11,F$11,$G893=$G$12,F$12,$G893=$G$13,F$13,$G893=$G$15,F$15,$G893=$G$16,F$16,$G893=$G$17,F$17,$G893=$G$18,F$18,$G893=$G$19,F$19,$G893=$G$20,F$20,$G893=$G$21,F$21,$G893=$G$22,F$22,$G893=$G$25,F$25,$G893=$G$26,F$26,$G893=$G$27,F$27,$G893=$G$29,F$29,$G893=$G$31,F$31,$G893=$G$32,F$32,$G893=$G$248,F$248,$G893=$G$250,F$250)</f>
        <v>8038</v>
      </c>
      <c r="G893" t="s">
        <v>103</v>
      </c>
      <c r="H893" s="60" cm="1">
        <f t="array" ref="H893">_xlfn.IFS($G893=$G$5,H$5,$G893=$G$6,H$6,$G893=$G$7,H$7,$G893=$G$8,H$8,$G893=$G$9,H$9,$G893=$G$10,H$10,$G893=$G$11,H$11,$G893=$G$12,H$12,$G893=$G$13,H$13,$G893=$G$15,H$15,$G893=$G$16,H$16,$G893=$G$17,H$17,$G893=$G$18,H$18,$G893=$G$19,H$19,$G893=$G$20,H$20,$G893=$G$21,H$21,$G893=$G$22,H$22,$G893=$G$25,H$25,$G893=$G$26,H$26,$G893=$G$27,H$27,$G893=$G$29,H$29,$G893=$G$31,H$31,$G893=$G$32,H$150,$G893=$G$248,H$248,$G893=$G$250,H$250)</f>
        <v>41.367100000000001</v>
      </c>
      <c r="I893" s="60" cm="1">
        <f t="array" ref="I893">_xlfn.IFS($G893=$G$5,I$5,$G893=$G$6,I$6,$G893=$G$7,I$7,$G893=$G$8,I$8,$G893=$G$9,I$9,$G893=$G$10,I$10,$G893=$G$11,I$11,$G893=$G$12,I$12,$G893=$G$13,I$13,$G893=$G$15,I$15,$G893=$G$16,I$16,$G893=$G$17,I$17,$G893=$G$18,I$18,$G893=$G$19,I$19,$G893=$G$20,I$20,$G893=$G$21,I$21,$G893=$G$22,I$22,$G893=$G$25,I$25,$G893=$G$26,I$26,$G893=$G$27,I$27,$G893=$G$29,I$29,$G893=$G$31,I$31,$G893=$G$32,I$150,$G893=$G$248,I$248,$G893=$G$250,I$250)</f>
        <v>2.1539079999999999</v>
      </c>
      <c r="J893" s="61" cm="1">
        <f t="array" ref="J893">_xlfn.IFS($G893=$G$5,J$5,$G893=$G$6,J$6,$G893=$G$7,J$7,$G893=$G$8,J$8,$G893=$G$9,J$9,$G893=$G$10,J$10,$G893=$G$11,J$11,$G893=$G$12,J$12,$G893=$G$13,J$13,$G893=$G$15,J$15,$G893=$G$16,J$16,$G893=$G$17,J$17,$G893=$G$18,J$18,$G893=$G$19,J$19,$G893=$G$20,J$20,$G893=$G$21,J$21,$G893=$G$22,J$22,$G893=$G$25,J$25,$G893=$G$26,J$26,$G893=$G$27,J$27,$G893=$G$29,J$29,$G893=$G$31,J$31,$G893=$G$32,J$150,$G893=$G$248,J$248,$G893=$G$250,J$250)</f>
        <v>68</v>
      </c>
      <c r="K893" t="str" cm="1">
        <f t="array" ref="K893">_xlfn.IFS($G893=$G$5,K$5,$G893=$G$6,K$6,$G893=$G$7,K$7,$G893=$G$8,K$8,$G893=$G$9,K$9,$G893=$G$10,K$10,$G893=$G$11,K$11,$G893=$G$12,K$12,$G893=$G$13,K$13,$G893=$G$15,K$15,$G893=$G$16,K$16,$G893=$G$17,K$17,$G893=$G$18,K$18,$G893=$G$19,K$19,$G893=$G$20,K$20,$G893=$G$21,K$21,$G893=$G$22,K$22,$G893=$G$25,K$25,$G893=$G$26,K$26,$G893=$G$27,K$27,$G893=$G$29,K$29,$G893=$G$31,K$31,$G893=$G$32,K$150,$G893=$G$248,K$248,$G893=$G$250,K$250)</f>
        <v>BG sentinel + BG lure7</v>
      </c>
      <c r="O893" s="69" t="str">
        <f t="shared" si="54"/>
        <v>A_SP_BCN_23_211007</v>
      </c>
      <c r="P893" s="64">
        <v>44476</v>
      </c>
      <c r="R893" s="72"/>
      <c r="S893" s="64">
        <v>44483</v>
      </c>
      <c r="U893" s="72"/>
      <c r="V893" s="54" t="s">
        <v>66</v>
      </c>
      <c r="X893" s="69">
        <f t="shared" si="71"/>
        <v>7</v>
      </c>
      <c r="Z893" s="45" t="s">
        <v>70</v>
      </c>
      <c r="AA893" s="69">
        <f t="shared" si="72"/>
        <v>7</v>
      </c>
      <c r="AB893" t="str">
        <f t="shared" si="73"/>
        <v>Adult</v>
      </c>
      <c r="AC893" s="69">
        <v>3</v>
      </c>
      <c r="AD893" s="69">
        <v>4</v>
      </c>
      <c r="AE893" s="45" t="str">
        <f t="shared" si="74"/>
        <v>Morphological</v>
      </c>
      <c r="AF893" s="56">
        <v>4</v>
      </c>
    </row>
    <row r="894" spans="1:32" ht="18" customHeight="1" x14ac:dyDescent="0.25">
      <c r="A894" s="45">
        <v>890</v>
      </c>
      <c r="B894" s="45" t="s">
        <v>60</v>
      </c>
      <c r="C894" s="45" t="s">
        <v>61</v>
      </c>
      <c r="D894" s="45" t="s">
        <v>62</v>
      </c>
      <c r="E894" s="45" t="s">
        <v>62</v>
      </c>
      <c r="F894" s="59" cm="1">
        <f t="array" ref="F894">_xlfn.IFS($G894=$G$5,F$5,$G894=$G$6,F$6,$G894=$G$7,F$7,$G894=$G$8,F$8,$G894=$G$9,F$9,$G894=$G$10,F$10,$G894=$G$11,F$11,$G894=$G$12,F$12,$G894=$G$13,F$13,$G894=$G$15,F$15,$G894=$G$16,F$16,$G894=$G$17,F$17,$G894=$G$18,F$18,$G894=$G$19,F$19,$G894=$G$20,F$20,$G894=$G$21,F$21,$G894=$G$22,F$22,$G894=$G$25,F$25,$G894=$G$26,F$26,$G894=$G$27,F$27,$G894=$G$29,F$29,$G894=$G$31,F$31,$G894=$G$32,F$32,$G894=$G$248,F$248,$G894=$G$250,F$250)</f>
        <v>8015</v>
      </c>
      <c r="G894" t="s">
        <v>109</v>
      </c>
      <c r="H894" s="60" cm="1">
        <f t="array" ref="H894">_xlfn.IFS($G894=$G$5,H$5,$G894=$G$6,H$6,$G894=$G$7,H$7,$G894=$G$8,H$8,$G894=$G$9,H$9,$G894=$G$10,H$10,$G894=$G$11,H$11,$G894=$G$12,H$12,$G894=$G$13,H$13,$G894=$G$15,H$15,$G894=$G$16,H$16,$G894=$G$17,H$17,$G894=$G$18,H$18,$G894=$G$19,H$19,$G894=$G$20,H$20,$G894=$G$21,H$21,$G894=$G$22,H$22,$G894=$G$25,H$25,$G894=$G$26,H$26,$G894=$G$27,H$27,$G894=$G$29,H$29,$G894=$G$31,H$31,$G894=$G$32,H$150,$G894=$G$248,H$248,$G894=$G$250,H$250)</f>
        <v>41.381725000000003</v>
      </c>
      <c r="I894" s="60" cm="1">
        <f t="array" ref="I894">_xlfn.IFS($G894=$G$5,I$5,$G894=$G$6,I$6,$G894=$G$7,I$7,$G894=$G$8,I$8,$G894=$G$9,I$9,$G894=$G$10,I$10,$G894=$G$11,I$11,$G894=$G$12,I$12,$G894=$G$13,I$13,$G894=$G$15,I$15,$G894=$G$16,I$16,$G894=$G$17,I$17,$G894=$G$18,I$18,$G894=$G$19,I$19,$G894=$G$20,I$20,$G894=$G$21,I$21,$G894=$G$22,I$22,$G894=$G$25,I$25,$G894=$G$26,I$26,$G894=$G$27,I$27,$G894=$G$29,I$29,$G894=$G$31,I$31,$G894=$G$32,I$150,$G894=$G$248,I$248,$G894=$G$250,I$250)</f>
        <v>2.1543679999999998</v>
      </c>
      <c r="J894" s="61" cm="1">
        <f t="array" ref="J894">_xlfn.IFS($G894=$G$5,J$5,$G894=$G$6,J$6,$G894=$G$7,J$7,$G894=$G$8,J$8,$G894=$G$9,J$9,$G894=$G$10,J$10,$G894=$G$11,J$11,$G894=$G$12,J$12,$G894=$G$13,J$13,$G894=$G$15,J$15,$G894=$G$16,J$16,$G894=$G$17,J$17,$G894=$G$18,J$18,$G894=$G$19,J$19,$G894=$G$20,J$20,$G894=$G$21,J$21,$G894=$G$22,J$22,$G894=$G$25,J$25,$G894=$G$26,J$26,$G894=$G$27,J$27,$G894=$G$29,J$29,$G894=$G$31,J$31,$G894=$G$32,J$150,$G894=$G$248,J$248,$G894=$G$250,J$250)</f>
        <v>20.7</v>
      </c>
      <c r="K894" t="str" cm="1">
        <f t="array" ref="K894">_xlfn.IFS($G894=$G$5,K$5,$G894=$G$6,K$6,$G894=$G$7,K$7,$G894=$G$8,K$8,$G894=$G$9,K$9,$G894=$G$10,K$10,$G894=$G$11,K$11,$G894=$G$12,K$12,$G894=$G$13,K$13,$G894=$G$15,K$15,$G894=$G$16,K$16,$G894=$G$17,K$17,$G894=$G$18,K$18,$G894=$G$19,K$19,$G894=$G$20,K$20,$G894=$G$21,K$21,$G894=$G$22,K$22,$G894=$G$25,K$25,$G894=$G$26,K$26,$G894=$G$27,K$27,$G894=$G$29,K$29,$G894=$G$31,K$31,$G894=$G$32,K$150,$G894=$G$248,K$248,$G894=$G$250,K$250)</f>
        <v>BG sentinel + BG lure7</v>
      </c>
      <c r="O894" s="69" t="str">
        <f t="shared" si="54"/>
        <v>A_SP_BCN_24_211008</v>
      </c>
      <c r="P894" s="64">
        <v>44477</v>
      </c>
      <c r="R894" s="72"/>
      <c r="S894" s="64">
        <v>44483</v>
      </c>
      <c r="U894" s="72"/>
      <c r="V894" s="54" t="s">
        <v>66</v>
      </c>
      <c r="X894" s="69">
        <f t="shared" si="71"/>
        <v>6</v>
      </c>
      <c r="Z894" s="69" t="s">
        <v>69</v>
      </c>
      <c r="AA894" s="69">
        <f t="shared" si="72"/>
        <v>56</v>
      </c>
      <c r="AB894" t="str">
        <f t="shared" si="73"/>
        <v>Adult</v>
      </c>
      <c r="AC894" s="69">
        <v>26</v>
      </c>
      <c r="AD894" s="69">
        <v>30</v>
      </c>
      <c r="AE894" s="45" t="str">
        <f t="shared" si="74"/>
        <v>Morphological</v>
      </c>
      <c r="AF894" s="56">
        <v>4</v>
      </c>
    </row>
    <row r="895" spans="1:32" ht="18" customHeight="1" x14ac:dyDescent="0.25">
      <c r="A895" s="45">
        <v>891</v>
      </c>
      <c r="B895" s="45" t="s">
        <v>60</v>
      </c>
      <c r="C895" s="45" t="s">
        <v>61</v>
      </c>
      <c r="D895" s="45" t="s">
        <v>62</v>
      </c>
      <c r="E895" s="45" t="s">
        <v>62</v>
      </c>
      <c r="F895" s="59" cm="1">
        <f t="array" ref="F895">_xlfn.IFS($G895=$G$5,F$5,$G895=$G$6,F$6,$G895=$G$7,F$7,$G895=$G$8,F$8,$G895=$G$9,F$9,$G895=$G$10,F$10,$G895=$G$11,F$11,$G895=$G$12,F$12,$G895=$G$13,F$13,$G895=$G$15,F$15,$G895=$G$16,F$16,$G895=$G$17,F$17,$G895=$G$18,F$18,$G895=$G$19,F$19,$G895=$G$20,F$20,$G895=$G$21,F$21,$G895=$G$22,F$22,$G895=$G$25,F$25,$G895=$G$26,F$26,$G895=$G$27,F$27,$G895=$G$29,F$29,$G895=$G$31,F$31,$G895=$G$32,F$32,$G895=$G$248,F$248,$G895=$G$250,F$250)</f>
        <v>8015</v>
      </c>
      <c r="G895" t="s">
        <v>109</v>
      </c>
      <c r="H895" s="60" cm="1">
        <f t="array" ref="H895">_xlfn.IFS($G895=$G$5,H$5,$G895=$G$6,H$6,$G895=$G$7,H$7,$G895=$G$8,H$8,$G895=$G$9,H$9,$G895=$G$10,H$10,$G895=$G$11,H$11,$G895=$G$12,H$12,$G895=$G$13,H$13,$G895=$G$15,H$15,$G895=$G$16,H$16,$G895=$G$17,H$17,$G895=$G$18,H$18,$G895=$G$19,H$19,$G895=$G$20,H$20,$G895=$G$21,H$21,$G895=$G$22,H$22,$G895=$G$25,H$25,$G895=$G$26,H$26,$G895=$G$27,H$27,$G895=$G$29,H$29,$G895=$G$31,H$31,$G895=$G$32,H$150,$G895=$G$248,H$248,$G895=$G$250,H$250)</f>
        <v>41.381725000000003</v>
      </c>
      <c r="I895" s="60" cm="1">
        <f t="array" ref="I895">_xlfn.IFS($G895=$G$5,I$5,$G895=$G$6,I$6,$G895=$G$7,I$7,$G895=$G$8,I$8,$G895=$G$9,I$9,$G895=$G$10,I$10,$G895=$G$11,I$11,$G895=$G$12,I$12,$G895=$G$13,I$13,$G895=$G$15,I$15,$G895=$G$16,I$16,$G895=$G$17,I$17,$G895=$G$18,I$18,$G895=$G$19,I$19,$G895=$G$20,I$20,$G895=$G$21,I$21,$G895=$G$22,I$22,$G895=$G$25,I$25,$G895=$G$26,I$26,$G895=$G$27,I$27,$G895=$G$29,I$29,$G895=$G$31,I$31,$G895=$G$32,I$150,$G895=$G$248,I$248,$G895=$G$250,I$250)</f>
        <v>2.1543679999999998</v>
      </c>
      <c r="J895" s="61" cm="1">
        <f t="array" ref="J895">_xlfn.IFS($G895=$G$5,J$5,$G895=$G$6,J$6,$G895=$G$7,J$7,$G895=$G$8,J$8,$G895=$G$9,J$9,$G895=$G$10,J$10,$G895=$G$11,J$11,$G895=$G$12,J$12,$G895=$G$13,J$13,$G895=$G$15,J$15,$G895=$G$16,J$16,$G895=$G$17,J$17,$G895=$G$18,J$18,$G895=$G$19,J$19,$G895=$G$20,J$20,$G895=$G$21,J$21,$G895=$G$22,J$22,$G895=$G$25,J$25,$G895=$G$26,J$26,$G895=$G$27,J$27,$G895=$G$29,J$29,$G895=$G$31,J$31,$G895=$G$32,J$150,$G895=$G$248,J$248,$G895=$G$250,J$250)</f>
        <v>20.7</v>
      </c>
      <c r="K895" t="str" cm="1">
        <f t="array" ref="K895">_xlfn.IFS($G895=$G$5,K$5,$G895=$G$6,K$6,$G895=$G$7,K$7,$G895=$G$8,K$8,$G895=$G$9,K$9,$G895=$G$10,K$10,$G895=$G$11,K$11,$G895=$G$12,K$12,$G895=$G$13,K$13,$G895=$G$15,K$15,$G895=$G$16,K$16,$G895=$G$17,K$17,$G895=$G$18,K$18,$G895=$G$19,K$19,$G895=$G$20,K$20,$G895=$G$21,K$21,$G895=$G$22,K$22,$G895=$G$25,K$25,$G895=$G$26,K$26,$G895=$G$27,K$27,$G895=$G$29,K$29,$G895=$G$31,K$31,$G895=$G$32,K$150,$G895=$G$248,K$248,$G895=$G$250,K$250)</f>
        <v>BG sentinel + BG lure7</v>
      </c>
      <c r="O895" s="69" t="str">
        <f t="shared" si="54"/>
        <v>A_SP_BCN_24_211008</v>
      </c>
      <c r="P895" s="64">
        <v>44477</v>
      </c>
      <c r="R895" s="72"/>
      <c r="S895" s="64">
        <v>44483</v>
      </c>
      <c r="U895" s="72"/>
      <c r="V895" s="54" t="s">
        <v>66</v>
      </c>
      <c r="X895" s="69">
        <f t="shared" si="71"/>
        <v>6</v>
      </c>
      <c r="Z895" s="45" t="s">
        <v>70</v>
      </c>
      <c r="AA895" s="69">
        <f t="shared" si="72"/>
        <v>9</v>
      </c>
      <c r="AB895" t="str">
        <f t="shared" si="73"/>
        <v>Adult</v>
      </c>
      <c r="AC895" s="69">
        <v>7</v>
      </c>
      <c r="AD895" s="69">
        <v>2</v>
      </c>
      <c r="AE895" s="45" t="str">
        <f t="shared" si="74"/>
        <v>Morphological</v>
      </c>
      <c r="AF895" s="56">
        <v>4</v>
      </c>
    </row>
    <row r="896" spans="1:32" ht="18" customHeight="1" x14ac:dyDescent="0.25">
      <c r="A896" s="45">
        <v>892</v>
      </c>
      <c r="B896" s="45" t="s">
        <v>60</v>
      </c>
      <c r="C896" s="45" t="s">
        <v>61</v>
      </c>
      <c r="D896" s="45" t="s">
        <v>62</v>
      </c>
      <c r="E896" s="45" t="s">
        <v>62</v>
      </c>
      <c r="F896" s="59" cm="1">
        <f t="array" ref="F896">_xlfn.IFS($G896=$G$5,F$5,$G896=$G$6,F$6,$G896=$G$7,F$7,$G896=$G$8,F$8,$G896=$G$9,F$9,$G896=$G$10,F$10,$G896=$G$11,F$11,$G896=$G$12,F$12,$G896=$G$13,F$13,$G896=$G$15,F$15,$G896=$G$16,F$16,$G896=$G$17,F$17,$G896=$G$18,F$18,$G896=$G$19,F$19,$G896=$G$20,F$20,$G896=$G$21,F$21,$G896=$G$22,F$22,$G896=$G$25,F$25,$G896=$G$26,F$26,$G896=$G$27,F$27,$G896=$G$29,F$29,$G896=$G$31,F$31,$G896=$G$32,F$32,$G896=$G$248,F$248,$G896=$G$250,F$250)</f>
        <v>8024</v>
      </c>
      <c r="G896" t="s">
        <v>63</v>
      </c>
      <c r="H896" s="60" cm="1">
        <f t="array" ref="H896">_xlfn.IFS($G896=$G$5,H$5,$G896=$G$6,H$6,$G896=$G$7,H$7,$G896=$G$8,H$8,$G896=$G$9,H$9,$G896=$G$10,H$10,$G896=$G$11,H$11,$G896=$G$12,H$12,$G896=$G$13,H$13,$G896=$G$15,H$15,$G896=$G$16,H$16,$G896=$G$17,H$17,$G896=$G$18,H$18,$G896=$G$19,H$19,$G896=$G$20,H$20,$G896=$G$21,H$21,$G896=$G$22,H$22,$G896=$G$25,H$25,$G896=$G$26,H$26,$G896=$G$27,H$27,$G896=$G$29,H$29,$G896=$G$31,H$31,$G896=$G$32,H$150,$G896=$G$248,H$248,$G896=$G$250,H$250)</f>
        <v>41.413573999999997</v>
      </c>
      <c r="I896" s="60" cm="1">
        <f t="array" ref="I896">_xlfn.IFS($G896=$G$5,I$5,$G896=$G$6,I$6,$G896=$G$7,I$7,$G896=$G$8,I$8,$G896=$G$9,I$9,$G896=$G$10,I$10,$G896=$G$11,I$11,$G896=$G$12,I$12,$G896=$G$13,I$13,$G896=$G$15,I$15,$G896=$G$16,I$16,$G896=$G$17,I$17,$G896=$G$18,I$18,$G896=$G$19,I$19,$G896=$G$20,I$20,$G896=$G$21,I$21,$G896=$G$22,I$22,$G896=$G$25,I$25,$G896=$G$26,I$26,$G896=$G$27,I$27,$G896=$G$29,I$29,$G896=$G$31,I$31,$G896=$G$32,I$150,$G896=$G$248,I$248,$G896=$G$250,I$250)</f>
        <v>2.1520730000000001</v>
      </c>
      <c r="J896" s="61" cm="1">
        <f t="array" ref="J896">_xlfn.IFS($G896=$G$5,J$5,$G896=$G$6,J$6,$G896=$G$7,J$7,$G896=$G$8,J$8,$G896=$G$9,J$9,$G896=$G$10,J$10,$G896=$G$11,J$11,$G896=$G$12,J$12,$G896=$G$13,J$13,$G896=$G$15,J$15,$G896=$G$16,J$16,$G896=$G$17,J$17,$G896=$G$18,J$18,$G896=$G$19,J$19,$G896=$G$20,J$20,$G896=$G$21,J$21,$G896=$G$22,J$22,$G896=$G$25,J$25,$G896=$G$26,J$26,$G896=$G$27,J$27,$G896=$G$29,J$29,$G896=$G$31,J$31,$G896=$G$32,J$150,$G896=$G$248,J$248,$G896=$G$250,J$250)</f>
        <v>141</v>
      </c>
      <c r="K896" t="str" cm="1">
        <f t="array" ref="K896">_xlfn.IFS($G896=$G$5,K$5,$G896=$G$6,K$6,$G896=$G$7,K$7,$G896=$G$8,K$8,$G896=$G$9,K$9,$G896=$G$10,K$10,$G896=$G$11,K$11,$G896=$G$12,K$12,$G896=$G$13,K$13,$G896=$G$15,K$15,$G896=$G$16,K$16,$G896=$G$17,K$17,$G896=$G$18,K$18,$G896=$G$19,K$19,$G896=$G$20,K$20,$G896=$G$21,K$21,$G896=$G$22,K$22,$G896=$G$25,K$25,$G896=$G$26,K$26,$G896=$G$27,K$27,$G896=$G$29,K$29,$G896=$G$31,K$31,$G896=$G$32,K$150,$G896=$G$248,K$248,$G896=$G$250,K$250)</f>
        <v>BG sentinel + BG lure7</v>
      </c>
      <c r="O896" s="69" t="str">
        <f t="shared" si="54"/>
        <v>A_SP_BCN_1_211013</v>
      </c>
      <c r="P896" s="64">
        <v>44482</v>
      </c>
      <c r="R896" s="72"/>
      <c r="S896" s="64">
        <v>44489</v>
      </c>
      <c r="U896" s="72"/>
      <c r="V896" s="54" t="s">
        <v>66</v>
      </c>
      <c r="X896" s="69">
        <f t="shared" si="71"/>
        <v>7</v>
      </c>
      <c r="Z896" s="69" t="s">
        <v>69</v>
      </c>
      <c r="AA896" s="69">
        <f t="shared" si="72"/>
        <v>89</v>
      </c>
      <c r="AB896" t="str">
        <f t="shared" si="73"/>
        <v>Adult</v>
      </c>
      <c r="AC896" s="69">
        <v>40</v>
      </c>
      <c r="AD896" s="69">
        <v>49</v>
      </c>
      <c r="AE896" s="45" t="str">
        <f t="shared" si="74"/>
        <v>Morphological</v>
      </c>
      <c r="AF896" s="56">
        <v>4</v>
      </c>
    </row>
    <row r="897" spans="1:32" ht="18" customHeight="1" x14ac:dyDescent="0.25">
      <c r="A897" s="45">
        <v>893</v>
      </c>
      <c r="B897" s="45" t="s">
        <v>60</v>
      </c>
      <c r="C897" s="45" t="s">
        <v>61</v>
      </c>
      <c r="D897" s="45" t="s">
        <v>62</v>
      </c>
      <c r="E897" s="45" t="s">
        <v>62</v>
      </c>
      <c r="F897" s="59" cm="1">
        <f t="array" ref="F897">_xlfn.IFS($G897=$G$5,F$5,$G897=$G$6,F$6,$G897=$G$7,F$7,$G897=$G$8,F$8,$G897=$G$9,F$9,$G897=$G$10,F$10,$G897=$G$11,F$11,$G897=$G$12,F$12,$G897=$G$13,F$13,$G897=$G$15,F$15,$G897=$G$16,F$16,$G897=$G$17,F$17,$G897=$G$18,F$18,$G897=$G$19,F$19,$G897=$G$20,F$20,$G897=$G$21,F$21,$G897=$G$22,F$22,$G897=$G$25,F$25,$G897=$G$26,F$26,$G897=$G$27,F$27,$G897=$G$29,F$29,$G897=$G$31,F$31,$G897=$G$32,F$32,$G897=$G$248,F$248,$G897=$G$250,F$250)</f>
        <v>8024</v>
      </c>
      <c r="G897" t="s">
        <v>63</v>
      </c>
      <c r="H897" s="60" cm="1">
        <f t="array" ref="H897">_xlfn.IFS($G897=$G$5,H$5,$G897=$G$6,H$6,$G897=$G$7,H$7,$G897=$G$8,H$8,$G897=$G$9,H$9,$G897=$G$10,H$10,$G897=$G$11,H$11,$G897=$G$12,H$12,$G897=$G$13,H$13,$G897=$G$15,H$15,$G897=$G$16,H$16,$G897=$G$17,H$17,$G897=$G$18,H$18,$G897=$G$19,H$19,$G897=$G$20,H$20,$G897=$G$21,H$21,$G897=$G$22,H$22,$G897=$G$25,H$25,$G897=$G$26,H$26,$G897=$G$27,H$27,$G897=$G$29,H$29,$G897=$G$31,H$31,$G897=$G$32,H$150,$G897=$G$248,H$248,$G897=$G$250,H$250)</f>
        <v>41.413573999999997</v>
      </c>
      <c r="I897" s="60" cm="1">
        <f t="array" ref="I897">_xlfn.IFS($G897=$G$5,I$5,$G897=$G$6,I$6,$G897=$G$7,I$7,$G897=$G$8,I$8,$G897=$G$9,I$9,$G897=$G$10,I$10,$G897=$G$11,I$11,$G897=$G$12,I$12,$G897=$G$13,I$13,$G897=$G$15,I$15,$G897=$G$16,I$16,$G897=$G$17,I$17,$G897=$G$18,I$18,$G897=$G$19,I$19,$G897=$G$20,I$20,$G897=$G$21,I$21,$G897=$G$22,I$22,$G897=$G$25,I$25,$G897=$G$26,I$26,$G897=$G$27,I$27,$G897=$G$29,I$29,$G897=$G$31,I$31,$G897=$G$32,I$150,$G897=$G$248,I$248,$G897=$G$250,I$250)</f>
        <v>2.1520730000000001</v>
      </c>
      <c r="J897" s="61" cm="1">
        <f t="array" ref="J897">_xlfn.IFS($G897=$G$5,J$5,$G897=$G$6,J$6,$G897=$G$7,J$7,$G897=$G$8,J$8,$G897=$G$9,J$9,$G897=$G$10,J$10,$G897=$G$11,J$11,$G897=$G$12,J$12,$G897=$G$13,J$13,$G897=$G$15,J$15,$G897=$G$16,J$16,$G897=$G$17,J$17,$G897=$G$18,J$18,$G897=$G$19,J$19,$G897=$G$20,J$20,$G897=$G$21,J$21,$G897=$G$22,J$22,$G897=$G$25,J$25,$G897=$G$26,J$26,$G897=$G$27,J$27,$G897=$G$29,J$29,$G897=$G$31,J$31,$G897=$G$32,J$150,$G897=$G$248,J$248,$G897=$G$250,J$250)</f>
        <v>141</v>
      </c>
      <c r="K897" t="str" cm="1">
        <f t="array" ref="K897">_xlfn.IFS($G897=$G$5,K$5,$G897=$G$6,K$6,$G897=$G$7,K$7,$G897=$G$8,K$8,$G897=$G$9,K$9,$G897=$G$10,K$10,$G897=$G$11,K$11,$G897=$G$12,K$12,$G897=$G$13,K$13,$G897=$G$15,K$15,$G897=$G$16,K$16,$G897=$G$17,K$17,$G897=$G$18,K$18,$G897=$G$19,K$19,$G897=$G$20,K$20,$G897=$G$21,K$21,$G897=$G$22,K$22,$G897=$G$25,K$25,$G897=$G$26,K$26,$G897=$G$27,K$27,$G897=$G$29,K$29,$G897=$G$31,K$31,$G897=$G$32,K$150,$G897=$G$248,K$248,$G897=$G$250,K$250)</f>
        <v>BG sentinel + BG lure7</v>
      </c>
      <c r="O897" s="69" t="str">
        <f t="shared" si="54"/>
        <v>A_SP_BCN_1_211013</v>
      </c>
      <c r="P897" s="64">
        <v>44482</v>
      </c>
      <c r="R897" s="72"/>
      <c r="S897" s="64">
        <v>44489</v>
      </c>
      <c r="U897" s="72"/>
      <c r="V897" s="54" t="s">
        <v>66</v>
      </c>
      <c r="X897" s="69">
        <f t="shared" si="71"/>
        <v>7</v>
      </c>
      <c r="Z897" s="45" t="s">
        <v>70</v>
      </c>
      <c r="AA897" s="69">
        <f t="shared" si="72"/>
        <v>3</v>
      </c>
      <c r="AB897" t="str">
        <f t="shared" si="73"/>
        <v>Adult</v>
      </c>
      <c r="AC897" s="69">
        <v>3</v>
      </c>
      <c r="AD897" s="69">
        <v>0</v>
      </c>
      <c r="AE897" s="45" t="str">
        <f t="shared" si="74"/>
        <v>Morphological</v>
      </c>
      <c r="AF897" s="56">
        <v>4</v>
      </c>
    </row>
    <row r="898" spans="1:32" ht="18" customHeight="1" x14ac:dyDescent="0.25">
      <c r="A898" s="45">
        <v>894</v>
      </c>
      <c r="B898" s="45" t="s">
        <v>60</v>
      </c>
      <c r="C898" s="45" t="s">
        <v>61</v>
      </c>
      <c r="D898" s="45" t="s">
        <v>62</v>
      </c>
      <c r="E898" s="45" t="s">
        <v>62</v>
      </c>
      <c r="F898" s="59" cm="1">
        <f t="array" ref="F898">_xlfn.IFS($G898=$G$5,F$5,$G898=$G$6,F$6,$G898=$G$7,F$7,$G898=$G$8,F$8,$G898=$G$9,F$9,$G898=$G$10,F$10,$G898=$G$11,F$11,$G898=$G$12,F$12,$G898=$G$13,F$13,$G898=$G$15,F$15,$G898=$G$16,F$16,$G898=$G$17,F$17,$G898=$G$18,F$18,$G898=$G$19,F$19,$G898=$G$20,F$20,$G898=$G$21,F$21,$G898=$G$22,F$22,$G898=$G$25,F$25,$G898=$G$26,F$26,$G898=$G$27,F$27,$G898=$G$29,F$29,$G898=$G$31,F$31,$G898=$G$32,F$32,$G898=$G$248,F$248,$G898=$G$250,F$250)</f>
        <v>8024</v>
      </c>
      <c r="G898" t="s">
        <v>63</v>
      </c>
      <c r="H898" s="60" cm="1">
        <f t="array" ref="H898">_xlfn.IFS($G898=$G$5,H$5,$G898=$G$6,H$6,$G898=$G$7,H$7,$G898=$G$8,H$8,$G898=$G$9,H$9,$G898=$G$10,H$10,$G898=$G$11,H$11,$G898=$G$12,H$12,$G898=$G$13,H$13,$G898=$G$15,H$15,$G898=$G$16,H$16,$G898=$G$17,H$17,$G898=$G$18,H$18,$G898=$G$19,H$19,$G898=$G$20,H$20,$G898=$G$21,H$21,$G898=$G$22,H$22,$G898=$G$25,H$25,$G898=$G$26,H$26,$G898=$G$27,H$27,$G898=$G$29,H$29,$G898=$G$31,H$31,$G898=$G$32,H$150,$G898=$G$248,H$248,$G898=$G$250,H$250)</f>
        <v>41.413573999999997</v>
      </c>
      <c r="I898" s="60" cm="1">
        <f t="array" ref="I898">_xlfn.IFS($G898=$G$5,I$5,$G898=$G$6,I$6,$G898=$G$7,I$7,$G898=$G$8,I$8,$G898=$G$9,I$9,$G898=$G$10,I$10,$G898=$G$11,I$11,$G898=$G$12,I$12,$G898=$G$13,I$13,$G898=$G$15,I$15,$G898=$G$16,I$16,$G898=$G$17,I$17,$G898=$G$18,I$18,$G898=$G$19,I$19,$G898=$G$20,I$20,$G898=$G$21,I$21,$G898=$G$22,I$22,$G898=$G$25,I$25,$G898=$G$26,I$26,$G898=$G$27,I$27,$G898=$G$29,I$29,$G898=$G$31,I$31,$G898=$G$32,I$150,$G898=$G$248,I$248,$G898=$G$250,I$250)</f>
        <v>2.1520730000000001</v>
      </c>
      <c r="J898" s="61" cm="1">
        <f t="array" ref="J898">_xlfn.IFS($G898=$G$5,J$5,$G898=$G$6,J$6,$G898=$G$7,J$7,$G898=$G$8,J$8,$G898=$G$9,J$9,$G898=$G$10,J$10,$G898=$G$11,J$11,$G898=$G$12,J$12,$G898=$G$13,J$13,$G898=$G$15,J$15,$G898=$G$16,J$16,$G898=$G$17,J$17,$G898=$G$18,J$18,$G898=$G$19,J$19,$G898=$G$20,J$20,$G898=$G$21,J$21,$G898=$G$22,J$22,$G898=$G$25,J$25,$G898=$G$26,J$26,$G898=$G$27,J$27,$G898=$G$29,J$29,$G898=$G$31,J$31,$G898=$G$32,J$150,$G898=$G$248,J$248,$G898=$G$250,J$250)</f>
        <v>141</v>
      </c>
      <c r="K898" t="str" cm="1">
        <f t="array" ref="K898">_xlfn.IFS($G898=$G$5,K$5,$G898=$G$6,K$6,$G898=$G$7,K$7,$G898=$G$8,K$8,$G898=$G$9,K$9,$G898=$G$10,K$10,$G898=$G$11,K$11,$G898=$G$12,K$12,$G898=$G$13,K$13,$G898=$G$15,K$15,$G898=$G$16,K$16,$G898=$G$17,K$17,$G898=$G$18,K$18,$G898=$G$19,K$19,$G898=$G$20,K$20,$G898=$G$21,K$21,$G898=$G$22,K$22,$G898=$G$25,K$25,$G898=$G$26,K$26,$G898=$G$27,K$27,$G898=$G$29,K$29,$G898=$G$31,K$31,$G898=$G$32,K$150,$G898=$G$248,K$248,$G898=$G$250,K$250)</f>
        <v>BG sentinel + BG lure7</v>
      </c>
      <c r="O898" s="69" t="str">
        <f t="shared" si="54"/>
        <v>A_SP_BCN_1_211013</v>
      </c>
      <c r="P898" s="64">
        <v>44482</v>
      </c>
      <c r="R898" s="72"/>
      <c r="S898" s="64">
        <v>44489</v>
      </c>
      <c r="U898" s="72"/>
      <c r="V898" s="54" t="s">
        <v>66</v>
      </c>
      <c r="X898" s="69">
        <f t="shared" si="71"/>
        <v>7</v>
      </c>
      <c r="Z898" s="45" t="s">
        <v>80</v>
      </c>
      <c r="AA898" s="69">
        <f t="shared" si="72"/>
        <v>1</v>
      </c>
      <c r="AB898" t="str">
        <f t="shared" si="73"/>
        <v>Adult</v>
      </c>
      <c r="AC898" s="69">
        <v>1</v>
      </c>
      <c r="AD898" s="69">
        <v>0</v>
      </c>
      <c r="AE898" s="45" t="str">
        <f t="shared" si="74"/>
        <v>Morphological</v>
      </c>
      <c r="AF898" s="56">
        <v>4</v>
      </c>
    </row>
    <row r="899" spans="1:32" ht="18" customHeight="1" x14ac:dyDescent="0.25">
      <c r="A899" s="45">
        <v>895</v>
      </c>
      <c r="B899" s="45" t="s">
        <v>60</v>
      </c>
      <c r="C899" s="45" t="s">
        <v>61</v>
      </c>
      <c r="D899" s="45" t="s">
        <v>62</v>
      </c>
      <c r="E899" s="45" t="s">
        <v>62</v>
      </c>
      <c r="F899" s="59" cm="1">
        <f t="array" ref="F899">_xlfn.IFS($G899=$G$5,F$5,$G899=$G$6,F$6,$G899=$G$7,F$7,$G899=$G$8,F$8,$G899=$G$9,F$9,$G899=$G$10,F$10,$G899=$G$11,F$11,$G899=$G$12,F$12,$G899=$G$13,F$13,$G899=$G$15,F$15,$G899=$G$16,F$16,$G899=$G$17,F$17,$G899=$G$18,F$18,$G899=$G$19,F$19,$G899=$G$20,F$20,$G899=$G$21,F$21,$G899=$G$22,F$22,$G899=$G$25,F$25,$G899=$G$26,F$26,$G899=$G$27,F$27,$G899=$G$29,F$29,$G899=$G$31,F$31,$G899=$G$32,F$32,$G899=$G$248,F$248,$G899=$G$250,F$250)</f>
        <v>8035</v>
      </c>
      <c r="G899" t="s">
        <v>67</v>
      </c>
      <c r="H899" s="60" cm="1">
        <f t="array" ref="H899">_xlfn.IFS($G899=$G$5,H$5,$G899=$G$6,H$6,$G899=$G$7,H$7,$G899=$G$8,H$8,$G899=$G$9,H$9,$G899=$G$10,H$10,$G899=$G$11,H$11,$G899=$G$12,H$12,$G899=$G$13,H$13,$G899=$G$15,H$15,$G899=$G$16,H$16,$G899=$G$17,H$17,$G899=$G$18,H$18,$G899=$G$19,H$19,$G899=$G$20,H$20,$G899=$G$21,H$21,$G899=$G$22,H$22,$G899=$G$25,H$25,$G899=$G$26,H$26,$G899=$G$27,H$27,$G899=$G$29,H$29,$G899=$G$31,H$31,$G899=$G$32,H$150,$G899=$G$248,H$248,$G899=$G$250,H$250)</f>
        <v>41.424387000000003</v>
      </c>
      <c r="I899" s="60" cm="1">
        <f t="array" ref="I899">_xlfn.IFS($G899=$G$5,I$5,$G899=$G$6,I$6,$G899=$G$7,I$7,$G899=$G$8,I$8,$G899=$G$9,I$9,$G899=$G$10,I$10,$G899=$G$11,I$11,$G899=$G$12,I$12,$G899=$G$13,I$13,$G899=$G$15,I$15,$G899=$G$16,I$16,$G899=$G$17,I$17,$G899=$G$18,I$18,$G899=$G$19,I$19,$G899=$G$20,I$20,$G899=$G$21,I$21,$G899=$G$22,I$22,$G899=$G$25,I$25,$G899=$G$26,I$26,$G899=$G$27,I$27,$G899=$G$29,I$29,$G899=$G$31,I$31,$G899=$G$32,I$150,$G899=$G$248,I$248,$G899=$G$250,I$250)</f>
        <v>2.1431439999999999</v>
      </c>
      <c r="J899" s="61" cm="1">
        <f t="array" ref="J899">_xlfn.IFS($G899=$G$5,J$5,$G899=$G$6,J$6,$G899=$G$7,J$7,$G899=$G$8,J$8,$G899=$G$9,J$9,$G899=$G$10,J$10,$G899=$G$11,J$11,$G899=$G$12,J$12,$G899=$G$13,J$13,$G899=$G$15,J$15,$G899=$G$16,J$16,$G899=$G$17,J$17,$G899=$G$18,J$18,$G899=$G$19,J$19,$G899=$G$20,J$20,$G899=$G$21,J$21,$G899=$G$22,J$22,$G899=$G$25,J$25,$G899=$G$26,J$26,$G899=$G$27,J$27,$G899=$G$29,J$29,$G899=$G$31,J$31,$G899=$G$32,J$150,$G899=$G$248,J$248,$G899=$G$250,J$250)</f>
        <v>160</v>
      </c>
      <c r="K899" t="str" cm="1">
        <f t="array" ref="K899">_xlfn.IFS($G899=$G$5,K$5,$G899=$G$6,K$6,$G899=$G$7,K$7,$G899=$G$8,K$8,$G899=$G$9,K$9,$G899=$G$10,K$10,$G899=$G$11,K$11,$G899=$G$12,K$12,$G899=$G$13,K$13,$G899=$G$15,K$15,$G899=$G$16,K$16,$G899=$G$17,K$17,$G899=$G$18,K$18,$G899=$G$19,K$19,$G899=$G$20,K$20,$G899=$G$21,K$21,$G899=$G$22,K$22,$G899=$G$25,K$25,$G899=$G$26,K$26,$G899=$G$27,K$27,$G899=$G$29,K$29,$G899=$G$31,K$31,$G899=$G$32,K$150,$G899=$G$248,K$248,$G899=$G$250,K$250)</f>
        <v>BG sentinel + BG lure7</v>
      </c>
      <c r="O899" s="69" t="str">
        <f t="shared" si="54"/>
        <v>A_SP_BCN_2_211013</v>
      </c>
      <c r="P899" s="64">
        <v>44482</v>
      </c>
      <c r="R899" s="72"/>
      <c r="S899" s="64">
        <v>44489</v>
      </c>
      <c r="U899" s="72"/>
      <c r="V899" s="54" t="s">
        <v>66</v>
      </c>
      <c r="X899" s="69">
        <f t="shared" si="71"/>
        <v>7</v>
      </c>
      <c r="Z899" s="69" t="s">
        <v>69</v>
      </c>
      <c r="AA899" s="69">
        <f t="shared" ref="AA899:AA939" si="75">SUM(AC899:AD899)</f>
        <v>7</v>
      </c>
      <c r="AB899" t="str">
        <f t="shared" si="73"/>
        <v>Adult</v>
      </c>
      <c r="AC899" s="69">
        <v>7</v>
      </c>
      <c r="AD899" s="69">
        <v>0</v>
      </c>
      <c r="AE899" s="45" t="str">
        <f t="shared" si="74"/>
        <v>Morphological</v>
      </c>
      <c r="AF899" s="56">
        <v>4</v>
      </c>
    </row>
    <row r="900" spans="1:32" ht="18" customHeight="1" x14ac:dyDescent="0.25">
      <c r="A900" s="45">
        <v>896</v>
      </c>
      <c r="B900" s="45" t="s">
        <v>60</v>
      </c>
      <c r="C900" s="45" t="s">
        <v>61</v>
      </c>
      <c r="D900" s="45" t="s">
        <v>62</v>
      </c>
      <c r="E900" s="45" t="s">
        <v>62</v>
      </c>
      <c r="F900" s="59" cm="1">
        <f t="array" ref="F900">_xlfn.IFS($G900=$G$5,F$5,$G900=$G$6,F$6,$G900=$G$7,F$7,$G900=$G$8,F$8,$G900=$G$9,F$9,$G900=$G$10,F$10,$G900=$G$11,F$11,$G900=$G$12,F$12,$G900=$G$13,F$13,$G900=$G$15,F$15,$G900=$G$16,F$16,$G900=$G$17,F$17,$G900=$G$18,F$18,$G900=$G$19,F$19,$G900=$G$20,F$20,$G900=$G$21,F$21,$G900=$G$22,F$22,$G900=$G$25,F$25,$G900=$G$26,F$26,$G900=$G$27,F$27,$G900=$G$29,F$29,$G900=$G$31,F$31,$G900=$G$32,F$32,$G900=$G$248,F$248,$G900=$G$250,F$250)</f>
        <v>8016</v>
      </c>
      <c r="G900" t="s">
        <v>68</v>
      </c>
      <c r="H900" s="60" cm="1">
        <f t="array" ref="H900">_xlfn.IFS($G900=$G$5,H$5,$G900=$G$6,H$6,$G900=$G$7,H$7,$G900=$G$8,H$8,$G900=$G$9,H$9,$G900=$G$10,H$10,$G900=$G$11,H$11,$G900=$G$12,H$12,$G900=$G$13,H$13,$G900=$G$15,H$15,$G900=$G$16,H$16,$G900=$G$17,H$17,$G900=$G$18,H$18,$G900=$G$19,H$19,$G900=$G$20,H$20,$G900=$G$21,H$21,$G900=$G$22,H$22,$G900=$G$25,H$25,$G900=$G$26,H$26,$G900=$G$27,H$27,$G900=$G$29,H$29,$G900=$G$31,H$31,$G900=$G$32,H$150,$G900=$G$248,H$248,$G900=$G$250,H$250)</f>
        <v>41.437435000000001</v>
      </c>
      <c r="I900" s="60" cm="1">
        <f t="array" ref="I900">_xlfn.IFS($G900=$G$5,I$5,$G900=$G$6,I$6,$G900=$G$7,I$7,$G900=$G$8,I$8,$G900=$G$9,I$9,$G900=$G$10,I$10,$G900=$G$11,I$11,$G900=$G$12,I$12,$G900=$G$13,I$13,$G900=$G$15,I$15,$G900=$G$16,I$16,$G900=$G$17,I$17,$G900=$G$18,I$18,$G900=$G$19,I$19,$G900=$G$20,I$20,$G900=$G$21,I$21,$G900=$G$22,I$22,$G900=$G$25,I$25,$G900=$G$26,I$26,$G900=$G$27,I$27,$G900=$G$29,I$29,$G900=$G$31,I$31,$G900=$G$32,I$150,$G900=$G$248,I$248,$G900=$G$250,I$250)</f>
        <v>2.1812779999999998</v>
      </c>
      <c r="J900" s="61" cm="1">
        <f t="array" ref="J900">_xlfn.IFS($G900=$G$5,J$5,$G900=$G$6,J$6,$G900=$G$7,J$7,$G900=$G$8,J$8,$G900=$G$9,J$9,$G900=$G$10,J$10,$G900=$G$11,J$11,$G900=$G$12,J$12,$G900=$G$13,J$13,$G900=$G$15,J$15,$G900=$G$16,J$16,$G900=$G$17,J$17,$G900=$G$18,J$18,$G900=$G$19,J$19,$G900=$G$20,J$20,$G900=$G$21,J$21,$G900=$G$22,J$22,$G900=$G$25,J$25,$G900=$G$26,J$26,$G900=$G$27,J$27,$G900=$G$29,J$29,$G900=$G$31,J$31,$G900=$G$32,J$150,$G900=$G$248,J$248,$G900=$G$250,J$250)</f>
        <v>47</v>
      </c>
      <c r="K900" t="str" cm="1">
        <f t="array" ref="K900">_xlfn.IFS($G900=$G$5,K$5,$G900=$G$6,K$6,$G900=$G$7,K$7,$G900=$G$8,K$8,$G900=$G$9,K$9,$G900=$G$10,K$10,$G900=$G$11,K$11,$G900=$G$12,K$12,$G900=$G$13,K$13,$G900=$G$15,K$15,$G900=$G$16,K$16,$G900=$G$17,K$17,$G900=$G$18,K$18,$G900=$G$19,K$19,$G900=$G$20,K$20,$G900=$G$21,K$21,$G900=$G$22,K$22,$G900=$G$25,K$25,$G900=$G$26,K$26,$G900=$G$27,K$27,$G900=$G$29,K$29,$G900=$G$31,K$31,$G900=$G$32,K$150,$G900=$G$248,K$248,$G900=$G$250,K$250)</f>
        <v>BG sentinel + BG lure7</v>
      </c>
      <c r="O900" s="69" t="str">
        <f t="shared" si="54"/>
        <v>A_SP_BCN_3_211013</v>
      </c>
      <c r="P900" s="64">
        <v>44482</v>
      </c>
      <c r="R900" s="72"/>
      <c r="S900" s="64">
        <v>44489</v>
      </c>
      <c r="U900" s="72"/>
      <c r="V900" s="79" t="s">
        <v>112</v>
      </c>
      <c r="X900" s="69">
        <f t="shared" si="71"/>
        <v>7</v>
      </c>
      <c r="Z900" s="45" t="s">
        <v>70</v>
      </c>
      <c r="AA900" s="69">
        <f t="shared" si="75"/>
        <v>2</v>
      </c>
      <c r="AB900" t="str">
        <f t="shared" si="73"/>
        <v>Adult</v>
      </c>
      <c r="AC900" s="69">
        <v>2</v>
      </c>
      <c r="AD900" s="69">
        <v>0</v>
      </c>
      <c r="AE900" s="45" t="str">
        <f t="shared" si="74"/>
        <v>Morphological</v>
      </c>
      <c r="AF900" s="56">
        <v>1</v>
      </c>
    </row>
    <row r="901" spans="1:32" ht="18" customHeight="1" x14ac:dyDescent="0.25">
      <c r="A901" s="45">
        <v>897</v>
      </c>
      <c r="B901" s="45" t="s">
        <v>60</v>
      </c>
      <c r="C901" s="45" t="s">
        <v>61</v>
      </c>
      <c r="D901" s="45" t="s">
        <v>62</v>
      </c>
      <c r="E901" s="45" t="s">
        <v>62</v>
      </c>
      <c r="F901" s="59" cm="1">
        <f t="array" ref="F901">_xlfn.IFS($G901=$G$5,F$5,$G901=$G$6,F$6,$G901=$G$7,F$7,$G901=$G$8,F$8,$G901=$G$9,F$9,$G901=$G$10,F$10,$G901=$G$11,F$11,$G901=$G$12,F$12,$G901=$G$13,F$13,$G901=$G$15,F$15,$G901=$G$16,F$16,$G901=$G$17,F$17,$G901=$G$18,F$18,$G901=$G$19,F$19,$G901=$G$20,F$20,$G901=$G$21,F$21,$G901=$G$22,F$22,$G901=$G$25,F$25,$G901=$G$26,F$26,$G901=$G$27,F$27,$G901=$G$29,F$29,$G901=$G$31,F$31,$G901=$G$32,F$32,$G901=$G$248,F$248,$G901=$G$250,F$250)</f>
        <v>8018</v>
      </c>
      <c r="G901" t="s">
        <v>71</v>
      </c>
      <c r="H901" s="60" cm="1">
        <f t="array" ref="H901">_xlfn.IFS($G901=$G$5,H$5,$G901=$G$6,H$6,$G901=$G$7,H$7,$G901=$G$8,H$8,$G901=$G$9,H$9,$G901=$G$10,H$10,$G901=$G$11,H$11,$G901=$G$12,H$12,$G901=$G$13,H$13,$G901=$G$15,H$15,$G901=$G$16,H$16,$G901=$G$17,H$17,$G901=$G$18,H$18,$G901=$G$19,H$19,$G901=$G$20,H$20,$G901=$G$21,H$21,$G901=$G$22,H$22,$G901=$G$25,H$25,$G901=$G$26,H$26,$G901=$G$27,H$27,$G901=$G$29,H$29,$G901=$G$31,H$31,$G901=$G$32,H$150,$G901=$G$248,H$248,$G901=$G$250,H$250)</f>
        <v>41.410684000000003</v>
      </c>
      <c r="I901" s="60" cm="1">
        <f t="array" ref="I901">_xlfn.IFS($G901=$G$5,I$5,$G901=$G$6,I$6,$G901=$G$7,I$7,$G901=$G$8,I$8,$G901=$G$9,I$9,$G901=$G$10,I$10,$G901=$G$11,I$11,$G901=$G$12,I$12,$G901=$G$13,I$13,$G901=$G$15,I$15,$G901=$G$16,I$16,$G901=$G$17,I$17,$G901=$G$18,I$18,$G901=$G$19,I$19,$G901=$G$20,I$20,$G901=$G$21,I$21,$G901=$G$22,I$22,$G901=$G$25,I$25,$G901=$G$26,I$26,$G901=$G$27,I$27,$G901=$G$29,I$29,$G901=$G$31,I$31,$G901=$G$32,I$150,$G901=$G$248,I$248,$G901=$G$250,I$250)</f>
        <v>2.2208019999999999</v>
      </c>
      <c r="J901" s="61" cm="1">
        <f t="array" ref="J901">_xlfn.IFS($G901=$G$5,J$5,$G901=$G$6,J$6,$G901=$G$7,J$7,$G901=$G$8,J$8,$G901=$G$9,J$9,$G901=$G$10,J$10,$G901=$G$11,J$11,$G901=$G$12,J$12,$G901=$G$13,J$13,$G901=$G$15,J$15,$G901=$G$16,J$16,$G901=$G$17,J$17,$G901=$G$18,J$18,$G901=$G$19,J$19,$G901=$G$20,J$20,$G901=$G$21,J$21,$G901=$G$22,J$22,$G901=$G$25,J$25,$G901=$G$26,J$26,$G901=$G$27,J$27,$G901=$G$29,J$29,$G901=$G$31,J$31,$G901=$G$32,J$150,$G901=$G$248,J$248,$G901=$G$250,J$250)</f>
        <v>4</v>
      </c>
      <c r="K901" t="str" cm="1">
        <f t="array" ref="K901">_xlfn.IFS($G901=$G$5,K$5,$G901=$G$6,K$6,$G901=$G$7,K$7,$G901=$G$8,K$8,$G901=$G$9,K$9,$G901=$G$10,K$10,$G901=$G$11,K$11,$G901=$G$12,K$12,$G901=$G$13,K$13,$G901=$G$15,K$15,$G901=$G$16,K$16,$G901=$G$17,K$17,$G901=$G$18,K$18,$G901=$G$19,K$19,$G901=$G$20,K$20,$G901=$G$21,K$21,$G901=$G$22,K$22,$G901=$G$25,K$25,$G901=$G$26,K$26,$G901=$G$27,K$27,$G901=$G$29,K$29,$G901=$G$31,K$31,$G901=$G$32,K$150,$G901=$G$248,K$248,$G901=$G$250,K$250)</f>
        <v>BG sentinel + BG lure7</v>
      </c>
      <c r="O901" s="69" t="str">
        <f t="shared" si="54"/>
        <v>A_SP_BCN_4_211014</v>
      </c>
      <c r="P901" s="64">
        <v>44483</v>
      </c>
      <c r="R901" s="72"/>
      <c r="S901" s="64">
        <v>44490</v>
      </c>
      <c r="U901" s="72"/>
      <c r="V901" s="54" t="s">
        <v>66</v>
      </c>
      <c r="X901" s="69">
        <f t="shared" si="71"/>
        <v>7</v>
      </c>
      <c r="Z901" s="69" t="s">
        <v>69</v>
      </c>
      <c r="AA901" s="69">
        <f t="shared" si="75"/>
        <v>8</v>
      </c>
      <c r="AB901" t="str">
        <f t="shared" si="73"/>
        <v>Adult</v>
      </c>
      <c r="AC901" s="69">
        <v>6</v>
      </c>
      <c r="AD901" s="69">
        <v>2</v>
      </c>
      <c r="AE901" s="45" t="str">
        <f t="shared" si="74"/>
        <v>Morphological</v>
      </c>
      <c r="AF901" s="56">
        <v>4</v>
      </c>
    </row>
    <row r="902" spans="1:32" ht="18" customHeight="1" x14ac:dyDescent="0.25">
      <c r="A902" s="45">
        <v>898</v>
      </c>
      <c r="B902" s="45" t="s">
        <v>60</v>
      </c>
      <c r="C902" s="45" t="s">
        <v>61</v>
      </c>
      <c r="D902" s="45" t="s">
        <v>62</v>
      </c>
      <c r="E902" s="45" t="s">
        <v>62</v>
      </c>
      <c r="F902" s="59" cm="1">
        <f t="array" ref="F902">_xlfn.IFS($G902=$G$5,F$5,$G902=$G$6,F$6,$G902=$G$7,F$7,$G902=$G$8,F$8,$G902=$G$9,F$9,$G902=$G$10,F$10,$G902=$G$11,F$11,$G902=$G$12,F$12,$G902=$G$13,F$13,$G902=$G$15,F$15,$G902=$G$16,F$16,$G902=$G$17,F$17,$G902=$G$18,F$18,$G902=$G$19,F$19,$G902=$G$20,F$20,$G902=$G$21,F$21,$G902=$G$22,F$22,$G902=$G$25,F$25,$G902=$G$26,F$26,$G902=$G$27,F$27,$G902=$G$29,F$29,$G902=$G$31,F$31,$G902=$G$32,F$32,$G902=$G$248,F$248,$G902=$G$250,F$250)</f>
        <v>8019</v>
      </c>
      <c r="G902" t="s">
        <v>72</v>
      </c>
      <c r="H902" s="60" cm="1">
        <f t="array" ref="H902">_xlfn.IFS($G902=$G$5,H$5,$G902=$G$6,H$6,$G902=$G$7,H$7,$G902=$G$8,H$8,$G902=$G$9,H$9,$G902=$G$10,H$10,$G902=$G$11,H$11,$G902=$G$12,H$12,$G902=$G$13,H$13,$G902=$G$15,H$15,$G902=$G$16,H$16,$G902=$G$17,H$17,$G902=$G$18,H$18,$G902=$G$19,H$19,$G902=$G$20,H$20,$G902=$G$21,H$21,$G902=$G$22,H$22,$G902=$G$25,H$25,$G902=$G$26,H$26,$G902=$G$27,H$27,$G902=$G$29,H$29,$G902=$G$31,H$31,$G902=$G$32,H$150,$G902=$G$248,H$248,$G902=$G$250,H$250)</f>
        <v>41.382339999999999</v>
      </c>
      <c r="I902" s="60" cm="1">
        <f t="array" ref="I902">_xlfn.IFS($G902=$G$5,I$5,$G902=$G$6,I$6,$G902=$G$7,I$7,$G902=$G$8,I$8,$G902=$G$9,I$9,$G902=$G$10,I$10,$G902=$G$11,I$11,$G902=$G$12,I$12,$G902=$G$13,I$13,$G902=$G$15,I$15,$G902=$G$16,I$16,$G902=$G$17,I$17,$G902=$G$18,I$18,$G902=$G$19,I$19,$G902=$G$20,I$20,$G902=$G$21,I$21,$G902=$G$22,I$22,$G902=$G$25,I$25,$G902=$G$26,I$26,$G902=$G$27,I$27,$G902=$G$29,I$29,$G902=$G$31,I$31,$G902=$G$32,I$150,$G902=$G$248,I$248,$G902=$G$250,I$250)</f>
        <v>2.1714790000000002</v>
      </c>
      <c r="J902" s="61" cm="1">
        <f t="array" ref="J902">_xlfn.IFS($G902=$G$5,J$5,$G902=$G$6,J$6,$G902=$G$7,J$7,$G902=$G$8,J$8,$G902=$G$9,J$9,$G902=$G$10,J$10,$G902=$G$11,J$11,$G902=$G$12,J$12,$G902=$G$13,J$13,$G902=$G$15,J$15,$G902=$G$16,J$16,$G902=$G$17,J$17,$G902=$G$18,J$18,$G902=$G$19,J$19,$G902=$G$20,J$20,$G902=$G$21,J$21,$G902=$G$22,J$22,$G902=$G$25,J$25,$G902=$G$26,J$26,$G902=$G$27,J$27,$G902=$G$29,J$29,$G902=$G$31,J$31,$G902=$G$32,J$150,$G902=$G$248,J$248,$G902=$G$250,J$250)</f>
        <v>18</v>
      </c>
      <c r="K902" t="str" cm="1">
        <f t="array" ref="K902">_xlfn.IFS($G902=$G$5,K$5,$G902=$G$6,K$6,$G902=$G$7,K$7,$G902=$G$8,K$8,$G902=$G$9,K$9,$G902=$G$10,K$10,$G902=$G$11,K$11,$G902=$G$12,K$12,$G902=$G$13,K$13,$G902=$G$15,K$15,$G902=$G$16,K$16,$G902=$G$17,K$17,$G902=$G$18,K$18,$G902=$G$19,K$19,$G902=$G$20,K$20,$G902=$G$21,K$21,$G902=$G$22,K$22,$G902=$G$25,K$25,$G902=$G$26,K$26,$G902=$G$27,K$27,$G902=$G$29,K$29,$G902=$G$31,K$31,$G902=$G$32,K$150,$G902=$G$248,K$248,$G902=$G$250,K$250)</f>
        <v>BG sentinel + BG lure7</v>
      </c>
      <c r="O902" s="69" t="str">
        <f t="shared" si="54"/>
        <v>A_SP_BCN_5_211014</v>
      </c>
      <c r="P902" s="64">
        <v>44483</v>
      </c>
      <c r="R902" s="72"/>
      <c r="S902" s="64">
        <v>44490</v>
      </c>
      <c r="U902" s="72"/>
      <c r="V902" s="54" t="s">
        <v>66</v>
      </c>
      <c r="X902" s="69">
        <f t="shared" si="71"/>
        <v>7</v>
      </c>
      <c r="Z902" s="45" t="s">
        <v>70</v>
      </c>
      <c r="AA902" s="69">
        <f t="shared" si="75"/>
        <v>1</v>
      </c>
      <c r="AB902" t="str">
        <f t="shared" si="73"/>
        <v>Adult</v>
      </c>
      <c r="AC902" s="69">
        <v>1</v>
      </c>
      <c r="AD902" s="69">
        <v>0</v>
      </c>
      <c r="AE902" s="45" t="str">
        <f t="shared" si="74"/>
        <v>Morphological</v>
      </c>
      <c r="AF902" s="56">
        <v>4</v>
      </c>
    </row>
    <row r="903" spans="1:32" ht="18" customHeight="1" x14ac:dyDescent="0.25">
      <c r="A903" s="45">
        <v>899</v>
      </c>
      <c r="B903" s="45" t="s">
        <v>60</v>
      </c>
      <c r="C903" s="45" t="s">
        <v>61</v>
      </c>
      <c r="D903" s="45" t="s">
        <v>62</v>
      </c>
      <c r="E903" s="45" t="s">
        <v>62</v>
      </c>
      <c r="F903" s="59" cm="1">
        <f t="array" ref="F903">_xlfn.IFS($G903=$G$5,F$5,$G903=$G$6,F$6,$G903=$G$7,F$7,$G903=$G$8,F$8,$G903=$G$9,F$9,$G903=$G$10,F$10,$G903=$G$11,F$11,$G903=$G$12,F$12,$G903=$G$13,F$13,$G903=$G$15,F$15,$G903=$G$16,F$16,$G903=$G$17,F$17,$G903=$G$18,F$18,$G903=$G$19,F$19,$G903=$G$20,F$20,$G903=$G$21,F$21,$G903=$G$22,F$22,$G903=$G$25,F$25,$G903=$G$26,F$26,$G903=$G$27,F$27,$G903=$G$29,F$29,$G903=$G$31,F$31,$G903=$G$32,F$32,$G903=$G$248,F$248,$G903=$G$250,F$250)</f>
        <v>8002</v>
      </c>
      <c r="G903" t="s">
        <v>73</v>
      </c>
      <c r="H903" s="60" cm="1">
        <f t="array" ref="H903">_xlfn.IFS($G903=$G$5,H$5,$G903=$G$6,H$6,$G903=$G$7,H$7,$G903=$G$8,H$8,$G903=$G$9,H$9,$G903=$G$10,H$10,$G903=$G$11,H$11,$G903=$G$12,H$12,$G903=$G$13,H$13,$G903=$G$15,H$15,$G903=$G$16,H$16,$G903=$G$17,H$17,$G903=$G$18,H$18,$G903=$G$19,H$19,$G903=$G$20,H$20,$G903=$G$21,H$21,$G903=$G$22,H$22,$G903=$G$25,H$25,$G903=$G$26,H$26,$G903=$G$27,H$27,$G903=$G$29,H$29,$G903=$G$31,H$31,$G903=$G$32,H$150,$G903=$G$248,H$248,$G903=$G$250,H$250)</f>
        <v>41.371864000000002</v>
      </c>
      <c r="I903" s="60" cm="1">
        <f t="array" ref="I903">_xlfn.IFS($G903=$G$5,I$5,$G903=$G$6,I$6,$G903=$G$7,I$7,$G903=$G$8,I$8,$G903=$G$9,I$9,$G903=$G$10,I$10,$G903=$G$11,I$11,$G903=$G$12,I$12,$G903=$G$13,I$13,$G903=$G$15,I$15,$G903=$G$16,I$16,$G903=$G$17,I$17,$G903=$G$18,I$18,$G903=$G$19,I$19,$G903=$G$20,I$20,$G903=$G$21,I$21,$G903=$G$22,I$22,$G903=$G$25,I$25,$G903=$G$26,I$26,$G903=$G$27,I$27,$G903=$G$29,I$29,$G903=$G$31,I$31,$G903=$G$32,I$150,$G903=$G$248,I$248,$G903=$G$250,I$250)</f>
        <v>2.173899</v>
      </c>
      <c r="J903" s="61" cm="1">
        <f t="array" ref="J903">_xlfn.IFS($G903=$G$5,J$5,$G903=$G$6,J$6,$G903=$G$7,J$7,$G903=$G$8,J$8,$G903=$G$9,J$9,$G903=$G$10,J$10,$G903=$G$11,J$11,$G903=$G$12,J$12,$G903=$G$13,J$13,$G903=$G$15,J$15,$G903=$G$16,J$16,$G903=$G$17,J$17,$G903=$G$18,J$18,$G903=$G$19,J$19,$G903=$G$20,J$20,$G903=$G$21,J$21,$G903=$G$22,J$22,$G903=$G$25,J$25,$G903=$G$26,J$26,$G903=$G$27,J$27,$G903=$G$29,J$29,$G903=$G$31,J$31,$G903=$G$32,J$150,$G903=$G$248,J$248,$G903=$G$250,J$250)</f>
        <v>19</v>
      </c>
      <c r="K903" t="str" cm="1">
        <f t="array" ref="K903">_xlfn.IFS($G903=$G$5,K$5,$G903=$G$6,K$6,$G903=$G$7,K$7,$G903=$G$8,K$8,$G903=$G$9,K$9,$G903=$G$10,K$10,$G903=$G$11,K$11,$G903=$G$12,K$12,$G903=$G$13,K$13,$G903=$G$15,K$15,$G903=$G$16,K$16,$G903=$G$17,K$17,$G903=$G$18,K$18,$G903=$G$19,K$19,$G903=$G$20,K$20,$G903=$G$21,K$21,$G903=$G$22,K$22,$G903=$G$25,K$25,$G903=$G$26,K$26,$G903=$G$27,K$27,$G903=$G$29,K$29,$G903=$G$31,K$31,$G903=$G$32,K$150,$G903=$G$248,K$248,$G903=$G$250,K$250)</f>
        <v>BG sentinel + BG lure7</v>
      </c>
      <c r="O903" s="69" t="str">
        <f t="shared" si="54"/>
        <v>A_SP_BCN_6_211014</v>
      </c>
      <c r="P903" s="64">
        <v>44483</v>
      </c>
      <c r="R903" s="72"/>
      <c r="S903" s="64">
        <v>44490</v>
      </c>
      <c r="U903" s="72"/>
      <c r="V903" s="54" t="s">
        <v>66</v>
      </c>
      <c r="X903" s="69">
        <f t="shared" si="71"/>
        <v>7</v>
      </c>
      <c r="Z903" s="69" t="s">
        <v>69</v>
      </c>
      <c r="AA903" s="69">
        <f t="shared" si="75"/>
        <v>3</v>
      </c>
      <c r="AB903" t="str">
        <f t="shared" si="73"/>
        <v>Adult</v>
      </c>
      <c r="AC903" s="69">
        <v>3</v>
      </c>
      <c r="AD903" s="69">
        <v>0</v>
      </c>
      <c r="AE903" s="45" t="str">
        <f t="shared" si="74"/>
        <v>Morphological</v>
      </c>
      <c r="AF903" s="56">
        <v>4</v>
      </c>
    </row>
    <row r="904" spans="1:32" ht="18" customHeight="1" x14ac:dyDescent="0.25">
      <c r="A904" s="45">
        <v>900</v>
      </c>
      <c r="B904" s="45" t="s">
        <v>60</v>
      </c>
      <c r="C904" s="45" t="s">
        <v>61</v>
      </c>
      <c r="D904" s="45" t="s">
        <v>62</v>
      </c>
      <c r="E904" s="45" t="s">
        <v>62</v>
      </c>
      <c r="F904" s="59" cm="1">
        <f t="array" ref="F904">_xlfn.IFS($G904=$G$5,F$5,$G904=$G$6,F$6,$G904=$G$7,F$7,$G904=$G$8,F$8,$G904=$G$9,F$9,$G904=$G$10,F$10,$G904=$G$11,F$11,$G904=$G$12,F$12,$G904=$G$13,F$13,$G904=$G$15,F$15,$G904=$G$16,F$16,$G904=$G$17,F$17,$G904=$G$18,F$18,$G904=$G$19,F$19,$G904=$G$20,F$20,$G904=$G$21,F$21,$G904=$G$22,F$22,$G904=$G$25,F$25,$G904=$G$26,F$26,$G904=$G$27,F$27,$G904=$G$29,F$29,$G904=$G$31,F$31,$G904=$G$32,F$32,$G904=$G$248,F$248,$G904=$G$250,F$250)</f>
        <v>8002</v>
      </c>
      <c r="G904" t="s">
        <v>73</v>
      </c>
      <c r="H904" s="60" cm="1">
        <f t="array" ref="H904">_xlfn.IFS($G904=$G$5,H$5,$G904=$G$6,H$6,$G904=$G$7,H$7,$G904=$G$8,H$8,$G904=$G$9,H$9,$G904=$G$10,H$10,$G904=$G$11,H$11,$G904=$G$12,H$12,$G904=$G$13,H$13,$G904=$G$15,H$15,$G904=$G$16,H$16,$G904=$G$17,H$17,$G904=$G$18,H$18,$G904=$G$19,H$19,$G904=$G$20,H$20,$G904=$G$21,H$21,$G904=$G$22,H$22,$G904=$G$25,H$25,$G904=$G$26,H$26,$G904=$G$27,H$27,$G904=$G$29,H$29,$G904=$G$31,H$31,$G904=$G$32,H$150,$G904=$G$248,H$248,$G904=$G$250,H$250)</f>
        <v>41.371864000000002</v>
      </c>
      <c r="I904" s="60" cm="1">
        <f t="array" ref="I904">_xlfn.IFS($G904=$G$5,I$5,$G904=$G$6,I$6,$G904=$G$7,I$7,$G904=$G$8,I$8,$G904=$G$9,I$9,$G904=$G$10,I$10,$G904=$G$11,I$11,$G904=$G$12,I$12,$G904=$G$13,I$13,$G904=$G$15,I$15,$G904=$G$16,I$16,$G904=$G$17,I$17,$G904=$G$18,I$18,$G904=$G$19,I$19,$G904=$G$20,I$20,$G904=$G$21,I$21,$G904=$G$22,I$22,$G904=$G$25,I$25,$G904=$G$26,I$26,$G904=$G$27,I$27,$G904=$G$29,I$29,$G904=$G$31,I$31,$G904=$G$32,I$150,$G904=$G$248,I$248,$G904=$G$250,I$250)</f>
        <v>2.173899</v>
      </c>
      <c r="J904" s="61" cm="1">
        <f t="array" ref="J904">_xlfn.IFS($G904=$G$5,J$5,$G904=$G$6,J$6,$G904=$G$7,J$7,$G904=$G$8,J$8,$G904=$G$9,J$9,$G904=$G$10,J$10,$G904=$G$11,J$11,$G904=$G$12,J$12,$G904=$G$13,J$13,$G904=$G$15,J$15,$G904=$G$16,J$16,$G904=$G$17,J$17,$G904=$G$18,J$18,$G904=$G$19,J$19,$G904=$G$20,J$20,$G904=$G$21,J$21,$G904=$G$22,J$22,$G904=$G$25,J$25,$G904=$G$26,J$26,$G904=$G$27,J$27,$G904=$G$29,J$29,$G904=$G$31,J$31,$G904=$G$32,J$150,$G904=$G$248,J$248,$G904=$G$250,J$250)</f>
        <v>19</v>
      </c>
      <c r="K904" t="str" cm="1">
        <f t="array" ref="K904">_xlfn.IFS($G904=$G$5,K$5,$G904=$G$6,K$6,$G904=$G$7,K$7,$G904=$G$8,K$8,$G904=$G$9,K$9,$G904=$G$10,K$10,$G904=$G$11,K$11,$G904=$G$12,K$12,$G904=$G$13,K$13,$G904=$G$15,K$15,$G904=$G$16,K$16,$G904=$G$17,K$17,$G904=$G$18,K$18,$G904=$G$19,K$19,$G904=$G$20,K$20,$G904=$G$21,K$21,$G904=$G$22,K$22,$G904=$G$25,K$25,$G904=$G$26,K$26,$G904=$G$27,K$27,$G904=$G$29,K$29,$G904=$G$31,K$31,$G904=$G$32,K$150,$G904=$G$248,K$248,$G904=$G$250,K$250)</f>
        <v>BG sentinel + BG lure7</v>
      </c>
      <c r="O904" s="69" t="str">
        <f t="shared" si="54"/>
        <v>A_SP_BCN_6_211014</v>
      </c>
      <c r="P904" s="64">
        <v>44483</v>
      </c>
      <c r="R904" s="72"/>
      <c r="S904" s="64">
        <v>44490</v>
      </c>
      <c r="U904" s="72"/>
      <c r="V904" s="54" t="s">
        <v>66</v>
      </c>
      <c r="X904" s="69">
        <f t="shared" si="71"/>
        <v>7</v>
      </c>
      <c r="Z904" s="45" t="s">
        <v>80</v>
      </c>
      <c r="AA904" s="69">
        <f t="shared" si="75"/>
        <v>1</v>
      </c>
      <c r="AB904" t="str">
        <f t="shared" si="73"/>
        <v>Adult</v>
      </c>
      <c r="AC904" s="69">
        <v>1</v>
      </c>
      <c r="AD904" s="69">
        <v>0</v>
      </c>
      <c r="AE904" s="45" t="str">
        <f t="shared" si="74"/>
        <v>Morphological</v>
      </c>
      <c r="AF904" s="56">
        <v>4</v>
      </c>
    </row>
    <row r="905" spans="1:32" ht="18" customHeight="1" x14ac:dyDescent="0.25">
      <c r="A905" s="45">
        <v>901</v>
      </c>
      <c r="B905" s="45" t="s">
        <v>60</v>
      </c>
      <c r="C905" s="45" t="s">
        <v>61</v>
      </c>
      <c r="D905" s="45" t="s">
        <v>62</v>
      </c>
      <c r="E905" s="45" t="s">
        <v>62</v>
      </c>
      <c r="F905" s="59" cm="1">
        <f t="array" ref="F905">_xlfn.IFS($G905=$G$5,F$5,$G905=$G$6,F$6,$G905=$G$7,F$7,$G905=$G$8,F$8,$G905=$G$9,F$9,$G905=$G$10,F$10,$G905=$G$11,F$11,$G905=$G$12,F$12,$G905=$G$13,F$13,$G905=$G$15,F$15,$G905=$G$16,F$16,$G905=$G$17,F$17,$G905=$G$18,F$18,$G905=$G$19,F$19,$G905=$G$20,F$20,$G905=$G$21,F$21,$G905=$G$22,F$22,$G905=$G$25,F$25,$G905=$G$26,F$26,$G905=$G$27,F$27,$G905=$G$29,F$29,$G905=$G$31,F$31,$G905=$G$32,F$32,$G905=$G$248,F$248,$G905=$G$250,F$250)</f>
        <v>8038</v>
      </c>
      <c r="G905" t="s">
        <v>74</v>
      </c>
      <c r="H905" s="60" cm="1">
        <f t="array" ref="H905">_xlfn.IFS($G905=$G$5,H$5,$G905=$G$6,H$6,$G905=$G$7,H$7,$G905=$G$8,H$8,$G905=$G$9,H$9,$G905=$G$10,H$10,$G905=$G$11,H$11,$G905=$G$12,H$12,$G905=$G$13,H$13,$G905=$G$15,H$15,$G905=$G$16,H$16,$G905=$G$17,H$17,$G905=$G$18,H$18,$G905=$G$19,H$19,$G905=$G$20,H$20,$G905=$G$21,H$21,$G905=$G$22,H$22,$G905=$G$25,H$25,$G905=$G$26,H$26,$G905=$G$27,H$27,$G905=$G$29,H$29,$G905=$G$31,H$31,$G905=$G$32,H$150,$G905=$G$248,H$248,$G905=$G$250,H$250)</f>
        <v>41.371864000000002</v>
      </c>
      <c r="I905" s="60" cm="1">
        <f t="array" ref="I905">_xlfn.IFS($G905=$G$5,I$5,$G905=$G$6,I$6,$G905=$G$7,I$7,$G905=$G$8,I$8,$G905=$G$9,I$9,$G905=$G$10,I$10,$G905=$G$11,I$11,$G905=$G$12,I$12,$G905=$G$13,I$13,$G905=$G$15,I$15,$G905=$G$16,I$16,$G905=$G$17,I$17,$G905=$G$18,I$18,$G905=$G$19,I$19,$G905=$G$20,I$20,$G905=$G$21,I$21,$G905=$G$22,I$22,$G905=$G$25,I$25,$G905=$G$26,I$26,$G905=$G$27,I$27,$G905=$G$29,I$29,$G905=$G$31,I$31,$G905=$G$32,I$150,$G905=$G$248,I$248,$G905=$G$250,I$250)</f>
        <v>2.173899</v>
      </c>
      <c r="J905" s="61" cm="1">
        <f t="array" ref="J905">_xlfn.IFS($G905=$G$5,J$5,$G905=$G$6,J$6,$G905=$G$7,J$7,$G905=$G$8,J$8,$G905=$G$9,J$9,$G905=$G$10,J$10,$G905=$G$11,J$11,$G905=$G$12,J$12,$G905=$G$13,J$13,$G905=$G$15,J$15,$G905=$G$16,J$16,$G905=$G$17,J$17,$G905=$G$18,J$18,$G905=$G$19,J$19,$G905=$G$20,J$20,$G905=$G$21,J$21,$G905=$G$22,J$22,$G905=$G$25,J$25,$G905=$G$26,J$26,$G905=$G$27,J$27,$G905=$G$29,J$29,$G905=$G$31,J$31,$G905=$G$32,J$150,$G905=$G$248,J$248,$G905=$G$250,J$250)</f>
        <v>5</v>
      </c>
      <c r="K905" t="str" cm="1">
        <f t="array" ref="K905">_xlfn.IFS($G905=$G$5,K$5,$G905=$G$6,K$6,$G905=$G$7,K$7,$G905=$G$8,K$8,$G905=$G$9,K$9,$G905=$G$10,K$10,$G905=$G$11,K$11,$G905=$G$12,K$12,$G905=$G$13,K$13,$G905=$G$15,K$15,$G905=$G$16,K$16,$G905=$G$17,K$17,$G905=$G$18,K$18,$G905=$G$19,K$19,$G905=$G$20,K$20,$G905=$G$21,K$21,$G905=$G$22,K$22,$G905=$G$25,K$25,$G905=$G$26,K$26,$G905=$G$27,K$27,$G905=$G$29,K$29,$G905=$G$31,K$31,$G905=$G$32,K$150,$G905=$G$248,K$248,$G905=$G$250,K$250)</f>
        <v>BG sentinel + BG lure7</v>
      </c>
      <c r="O905" s="69" t="str">
        <f t="shared" si="54"/>
        <v>A_SP_BCN_7_211014</v>
      </c>
      <c r="P905" s="64">
        <v>44483</v>
      </c>
      <c r="R905" s="72"/>
      <c r="S905" s="64">
        <v>44490</v>
      </c>
      <c r="U905" s="72"/>
      <c r="V905" s="54" t="s">
        <v>66</v>
      </c>
      <c r="X905" s="69">
        <f t="shared" ref="X905:X1067" si="76">S905-P905</f>
        <v>7</v>
      </c>
      <c r="Z905" s="69" t="s">
        <v>69</v>
      </c>
      <c r="AA905" s="69">
        <f t="shared" si="75"/>
        <v>11</v>
      </c>
      <c r="AB905" t="str">
        <f t="shared" si="73"/>
        <v>Adult</v>
      </c>
      <c r="AC905" s="69">
        <v>10</v>
      </c>
      <c r="AD905" s="69">
        <v>1</v>
      </c>
      <c r="AE905" s="45" t="str">
        <f t="shared" si="74"/>
        <v>Morphological</v>
      </c>
      <c r="AF905" s="56">
        <v>4</v>
      </c>
    </row>
    <row r="906" spans="1:32" ht="18" customHeight="1" x14ac:dyDescent="0.25">
      <c r="A906" s="45">
        <v>902</v>
      </c>
      <c r="B906" s="45" t="s">
        <v>60</v>
      </c>
      <c r="C906" s="45" t="s">
        <v>61</v>
      </c>
      <c r="D906" s="45" t="s">
        <v>62</v>
      </c>
      <c r="E906" s="45" t="s">
        <v>62</v>
      </c>
      <c r="F906" s="59" cm="1">
        <f t="array" ref="F906">_xlfn.IFS($G906=$G$5,F$5,$G906=$G$6,F$6,$G906=$G$7,F$7,$G906=$G$8,F$8,$G906=$G$9,F$9,$G906=$G$10,F$10,$G906=$G$11,F$11,$G906=$G$12,F$12,$G906=$G$13,F$13,$G906=$G$15,F$15,$G906=$G$16,F$16,$G906=$G$17,F$17,$G906=$G$18,F$18,$G906=$G$19,F$19,$G906=$G$20,F$20,$G906=$G$21,F$21,$G906=$G$22,F$22,$G906=$G$25,F$25,$G906=$G$26,F$26,$G906=$G$27,F$27,$G906=$G$29,F$29,$G906=$G$31,F$31,$G906=$G$32,F$32,$G906=$G$248,F$248,$G906=$G$250,F$250)</f>
        <v>8038</v>
      </c>
      <c r="G906" t="s">
        <v>74</v>
      </c>
      <c r="H906" s="60" cm="1">
        <f t="array" ref="H906">_xlfn.IFS($G906=$G$5,H$5,$G906=$G$6,H$6,$G906=$G$7,H$7,$G906=$G$8,H$8,$G906=$G$9,H$9,$G906=$G$10,H$10,$G906=$G$11,H$11,$G906=$G$12,H$12,$G906=$G$13,H$13,$G906=$G$15,H$15,$G906=$G$16,H$16,$G906=$G$17,H$17,$G906=$G$18,H$18,$G906=$G$19,H$19,$G906=$G$20,H$20,$G906=$G$21,H$21,$G906=$G$22,H$22,$G906=$G$25,H$25,$G906=$G$26,H$26,$G906=$G$27,H$27,$G906=$G$29,H$29,$G906=$G$31,H$31,$G906=$G$32,H$150,$G906=$G$248,H$248,$G906=$G$250,H$250)</f>
        <v>41.371864000000002</v>
      </c>
      <c r="I906" s="60" cm="1">
        <f t="array" ref="I906">_xlfn.IFS($G906=$G$5,I$5,$G906=$G$6,I$6,$G906=$G$7,I$7,$G906=$G$8,I$8,$G906=$G$9,I$9,$G906=$G$10,I$10,$G906=$G$11,I$11,$G906=$G$12,I$12,$G906=$G$13,I$13,$G906=$G$15,I$15,$G906=$G$16,I$16,$G906=$G$17,I$17,$G906=$G$18,I$18,$G906=$G$19,I$19,$G906=$G$20,I$20,$G906=$G$21,I$21,$G906=$G$22,I$22,$G906=$G$25,I$25,$G906=$G$26,I$26,$G906=$G$27,I$27,$G906=$G$29,I$29,$G906=$G$31,I$31,$G906=$G$32,I$150,$G906=$G$248,I$248,$G906=$G$250,I$250)</f>
        <v>2.173899</v>
      </c>
      <c r="J906" s="61" cm="1">
        <f t="array" ref="J906">_xlfn.IFS($G906=$G$5,J$5,$G906=$G$6,J$6,$G906=$G$7,J$7,$G906=$G$8,J$8,$G906=$G$9,J$9,$G906=$G$10,J$10,$G906=$G$11,J$11,$G906=$G$12,J$12,$G906=$G$13,J$13,$G906=$G$15,J$15,$G906=$G$16,J$16,$G906=$G$17,J$17,$G906=$G$18,J$18,$G906=$G$19,J$19,$G906=$G$20,J$20,$G906=$G$21,J$21,$G906=$G$22,J$22,$G906=$G$25,J$25,$G906=$G$26,J$26,$G906=$G$27,J$27,$G906=$G$29,J$29,$G906=$G$31,J$31,$G906=$G$32,J$150,$G906=$G$248,J$248,$G906=$G$250,J$250)</f>
        <v>5</v>
      </c>
      <c r="K906" t="str" cm="1">
        <f t="array" ref="K906">_xlfn.IFS($G906=$G$5,K$5,$G906=$G$6,K$6,$G906=$G$7,K$7,$G906=$G$8,K$8,$G906=$G$9,K$9,$G906=$G$10,K$10,$G906=$G$11,K$11,$G906=$G$12,K$12,$G906=$G$13,K$13,$G906=$G$15,K$15,$G906=$G$16,K$16,$G906=$G$17,K$17,$G906=$G$18,K$18,$G906=$G$19,K$19,$G906=$G$20,K$20,$G906=$G$21,K$21,$G906=$G$22,K$22,$G906=$G$25,K$25,$G906=$G$26,K$26,$G906=$G$27,K$27,$G906=$G$29,K$29,$G906=$G$31,K$31,$G906=$G$32,K$150,$G906=$G$248,K$248,$G906=$G$250,K$250)</f>
        <v>BG sentinel + BG lure7</v>
      </c>
      <c r="O906" s="69" t="str">
        <f t="shared" si="54"/>
        <v>A_SP_BCN_7_211014</v>
      </c>
      <c r="P906" s="64">
        <v>44483</v>
      </c>
      <c r="R906" s="72"/>
      <c r="S906" s="64">
        <v>44490</v>
      </c>
      <c r="U906" s="72"/>
      <c r="V906" s="54" t="s">
        <v>66</v>
      </c>
      <c r="X906" s="69">
        <f t="shared" si="76"/>
        <v>7</v>
      </c>
      <c r="Z906" s="45" t="s">
        <v>70</v>
      </c>
      <c r="AA906" s="69">
        <f t="shared" si="75"/>
        <v>1</v>
      </c>
      <c r="AB906" t="str">
        <f t="shared" si="73"/>
        <v>Adult</v>
      </c>
      <c r="AC906" s="69">
        <v>1</v>
      </c>
      <c r="AD906" s="69">
        <v>0</v>
      </c>
      <c r="AE906" s="45" t="str">
        <f t="shared" si="74"/>
        <v>Morphological</v>
      </c>
      <c r="AF906" s="56">
        <v>4</v>
      </c>
    </row>
    <row r="907" spans="1:32" ht="18" customHeight="1" x14ac:dyDescent="0.25">
      <c r="A907" s="45">
        <v>903</v>
      </c>
      <c r="B907" s="45" t="s">
        <v>60</v>
      </c>
      <c r="C907" s="45" t="s">
        <v>61</v>
      </c>
      <c r="D907" s="45" t="s">
        <v>62</v>
      </c>
      <c r="E907" s="45" t="s">
        <v>62</v>
      </c>
      <c r="F907" s="59" cm="1">
        <f t="array" ref="F907">_xlfn.IFS($G907=$G$5,F$5,$G907=$G$6,F$6,$G907=$G$7,F$7,$G907=$G$8,F$8,$G907=$G$9,F$9,$G907=$G$10,F$10,$G907=$G$11,F$11,$G907=$G$12,F$12,$G907=$G$13,F$13,$G907=$G$15,F$15,$G907=$G$16,F$16,$G907=$G$17,F$17,$G907=$G$18,F$18,$G907=$G$19,F$19,$G907=$G$20,F$20,$G907=$G$21,F$21,$G907=$G$22,F$22,$G907=$G$25,F$25,$G907=$G$26,F$26,$G907=$G$27,F$27,$G907=$G$29,F$29,$G907=$G$31,F$31,$G907=$G$32,F$32,$G907=$G$248,F$248,$G907=$G$250,F$250)</f>
        <v>8038</v>
      </c>
      <c r="G907" t="s">
        <v>75</v>
      </c>
      <c r="H907" s="60" cm="1">
        <f t="array" ref="H907">_xlfn.IFS($G907=$G$5,H$5,$G907=$G$6,H$6,$G907=$G$7,H$7,$G907=$G$8,H$8,$G907=$G$9,H$9,$G907=$G$10,H$10,$G907=$G$11,H$11,$G907=$G$12,H$12,$G907=$G$13,H$13,$G907=$G$15,H$15,$G907=$G$16,H$16,$G907=$G$17,H$17,$G907=$G$18,H$18,$G907=$G$19,H$19,$G907=$G$20,H$20,$G907=$G$21,H$21,$G907=$G$22,H$22,$G907=$G$25,H$25,$G907=$G$26,H$26,$G907=$G$27,H$27,$G907=$G$29,H$29,$G907=$G$31,H$31,$G907=$G$32,H$150,$G907=$G$248,H$248,$G907=$G$250,H$250)</f>
        <v>41.368589</v>
      </c>
      <c r="I907" s="60" cm="1">
        <f t="array" ref="I907">_xlfn.IFS($G907=$G$5,I$5,$G907=$G$6,I$6,$G907=$G$7,I$7,$G907=$G$8,I$8,$G907=$G$9,I$9,$G907=$G$10,I$10,$G907=$G$11,I$11,$G907=$G$12,I$12,$G907=$G$13,I$13,$G907=$G$15,I$15,$G907=$G$16,I$16,$G907=$G$17,I$17,$G907=$G$18,I$18,$G907=$G$19,I$19,$G907=$G$20,I$20,$G907=$G$21,I$21,$G907=$G$22,I$22,$G907=$G$25,I$25,$G907=$G$26,I$26,$G907=$G$27,I$27,$G907=$G$29,I$29,$G907=$G$31,I$31,$G907=$G$32,I$150,$G907=$G$248,I$248,$G907=$G$250,I$250)</f>
        <v>2.1620900000000001</v>
      </c>
      <c r="J907" s="61" cm="1">
        <f t="array" ref="J907">_xlfn.IFS($G907=$G$5,J$5,$G907=$G$6,J$6,$G907=$G$7,J$7,$G907=$G$8,J$8,$G907=$G$9,J$9,$G907=$G$10,J$10,$G907=$G$11,J$11,$G907=$G$12,J$12,$G907=$G$13,J$13,$G907=$G$15,J$15,$G907=$G$16,J$16,$G907=$G$17,J$17,$G907=$G$18,J$18,$G907=$G$19,J$19,$G907=$G$20,J$20,$G907=$G$21,J$21,$G907=$G$22,J$22,$G907=$G$25,J$25,$G907=$G$26,J$26,$G907=$G$27,J$27,$G907=$G$29,J$29,$G907=$G$31,J$31,$G907=$G$32,J$150,$G907=$G$248,J$248,$G907=$G$250,J$250)</f>
        <v>95</v>
      </c>
      <c r="K907" t="str" cm="1">
        <f t="array" ref="K907">_xlfn.IFS($G907=$G$5,K$5,$G907=$G$6,K$6,$G907=$G$7,K$7,$G907=$G$8,K$8,$G907=$G$9,K$9,$G907=$G$10,K$10,$G907=$G$11,K$11,$G907=$G$12,K$12,$G907=$G$13,K$13,$G907=$G$15,K$15,$G907=$G$16,K$16,$G907=$G$17,K$17,$G907=$G$18,K$18,$G907=$G$19,K$19,$G907=$G$20,K$20,$G907=$G$21,K$21,$G907=$G$22,K$22,$G907=$G$25,K$25,$G907=$G$26,K$26,$G907=$G$27,K$27,$G907=$G$29,K$29,$G907=$G$31,K$31,$G907=$G$32,K$150,$G907=$G$248,K$248,$G907=$G$250,K$250)</f>
        <v>BG sentinel + BG lure7</v>
      </c>
      <c r="O907" s="69" t="str">
        <f t="shared" si="54"/>
        <v>A_SP_BCN_8_211014</v>
      </c>
      <c r="P907" s="64">
        <v>44483</v>
      </c>
      <c r="R907" s="72"/>
      <c r="S907" s="64">
        <v>44490</v>
      </c>
      <c r="U907" s="72"/>
      <c r="V907" s="54" t="s">
        <v>66</v>
      </c>
      <c r="X907" s="69">
        <f t="shared" si="76"/>
        <v>7</v>
      </c>
      <c r="Z907" s="69" t="s">
        <v>69</v>
      </c>
      <c r="AA907" s="69">
        <f t="shared" si="75"/>
        <v>43</v>
      </c>
      <c r="AB907" t="str">
        <f t="shared" si="73"/>
        <v>Adult</v>
      </c>
      <c r="AC907" s="69">
        <v>40</v>
      </c>
      <c r="AD907" s="69">
        <v>3</v>
      </c>
      <c r="AE907" s="45" t="str">
        <f t="shared" si="74"/>
        <v>Morphological</v>
      </c>
      <c r="AF907" s="56">
        <v>4</v>
      </c>
    </row>
    <row r="908" spans="1:32" ht="18" customHeight="1" x14ac:dyDescent="0.25">
      <c r="A908" s="45">
        <v>904</v>
      </c>
      <c r="B908" s="45" t="s">
        <v>60</v>
      </c>
      <c r="C908" s="45" t="s">
        <v>61</v>
      </c>
      <c r="D908" s="45" t="s">
        <v>62</v>
      </c>
      <c r="E908" s="45" t="s">
        <v>62</v>
      </c>
      <c r="F908" s="59" cm="1">
        <f t="array" ref="F908">_xlfn.IFS($G908=$G$5,F$5,$G908=$G$6,F$6,$G908=$G$7,F$7,$G908=$G$8,F$8,$G908=$G$9,F$9,$G908=$G$10,F$10,$G908=$G$11,F$11,$G908=$G$12,F$12,$G908=$G$13,F$13,$G908=$G$15,F$15,$G908=$G$16,F$16,$G908=$G$17,F$17,$G908=$G$18,F$18,$G908=$G$19,F$19,$G908=$G$20,F$20,$G908=$G$21,F$21,$G908=$G$22,F$22,$G908=$G$25,F$25,$G908=$G$26,F$26,$G908=$G$27,F$27,$G908=$G$29,F$29,$G908=$G$31,F$31,$G908=$G$32,F$32,$G908=$G$248,F$248,$G908=$G$250,F$250)</f>
        <v>8034</v>
      </c>
      <c r="G908" t="s">
        <v>78</v>
      </c>
      <c r="H908" s="60" cm="1">
        <f t="array" ref="H908">_xlfn.IFS($G908=$G$5,H$5,$G908=$G$6,H$6,$G908=$G$7,H$7,$G908=$G$8,H$8,$G908=$G$9,H$9,$G908=$G$10,H$10,$G908=$G$11,H$11,$G908=$G$12,H$12,$G908=$G$13,H$13,$G908=$G$15,H$15,$G908=$G$16,H$16,$G908=$G$17,H$17,$G908=$G$18,H$18,$G908=$G$19,H$19,$G908=$G$20,H$20,$G908=$G$21,H$21,$G908=$G$22,H$22,$G908=$G$25,H$25,$G908=$G$26,H$26,$G908=$G$27,H$27,$G908=$G$29,H$29,$G908=$G$31,H$31,$G908=$G$32,H$150,$G908=$G$248,H$248,$G908=$G$250,H$250)</f>
        <v>41.393644999999999</v>
      </c>
      <c r="I908" s="60" cm="1">
        <f t="array" ref="I908">_xlfn.IFS($G908=$G$5,I$5,$G908=$G$6,I$6,$G908=$G$7,I$7,$G908=$G$8,I$8,$G908=$G$9,I$9,$G908=$G$10,I$10,$G908=$G$11,I$11,$G908=$G$12,I$12,$G908=$G$13,I$13,$G908=$G$15,I$15,$G908=$G$16,I$16,$G908=$G$17,I$17,$G908=$G$18,I$18,$G908=$G$19,I$19,$G908=$G$20,I$20,$G908=$G$21,I$21,$G908=$G$22,I$22,$G908=$G$25,I$25,$G908=$G$26,I$26,$G908=$G$27,I$27,$G908=$G$29,I$29,$G908=$G$31,I$31,$G908=$G$32,I$150,$G908=$G$248,I$248,$G908=$G$250,I$250)</f>
        <v>2.1216780000000002</v>
      </c>
      <c r="J908" s="61" cm="1">
        <f t="array" ref="J908">_xlfn.IFS($G908=$G$5,J$5,$G908=$G$6,J$6,$G908=$G$7,J$7,$G908=$G$8,J$8,$G908=$G$9,J$9,$G908=$G$10,J$10,$G908=$G$11,J$11,$G908=$G$12,J$12,$G908=$G$13,J$13,$G908=$G$15,J$15,$G908=$G$16,J$16,$G908=$G$17,J$17,$G908=$G$18,J$18,$G908=$G$19,J$19,$G908=$G$20,J$20,$G908=$G$21,J$21,$G908=$G$22,J$22,$G908=$G$25,J$25,$G908=$G$26,J$26,$G908=$G$27,J$27,$G908=$G$29,J$29,$G908=$G$31,J$31,$G908=$G$32,J$150,$G908=$G$248,J$248,$G908=$G$250,J$250)</f>
        <v>98</v>
      </c>
      <c r="K908" t="str" cm="1">
        <f t="array" ref="K908">_xlfn.IFS($G908=$G$5,K$5,$G908=$G$6,K$6,$G908=$G$7,K$7,$G908=$G$8,K$8,$G908=$G$9,K$9,$G908=$G$10,K$10,$G908=$G$11,K$11,$G908=$G$12,K$12,$G908=$G$13,K$13,$G908=$G$15,K$15,$G908=$G$16,K$16,$G908=$G$17,K$17,$G908=$G$18,K$18,$G908=$G$19,K$19,$G908=$G$20,K$20,$G908=$G$21,K$21,$G908=$G$22,K$22,$G908=$G$25,K$25,$G908=$G$26,K$26,$G908=$G$27,K$27,$G908=$G$29,K$29,$G908=$G$31,K$31,$G908=$G$32,K$150,$G908=$G$248,K$248,$G908=$G$250,K$250)</f>
        <v>BG sentinel + BG lure7</v>
      </c>
      <c r="O908" s="69" t="str">
        <f t="shared" si="54"/>
        <v>A_SP_BCN_9_211013</v>
      </c>
      <c r="P908" s="64">
        <v>44482</v>
      </c>
      <c r="R908" s="72"/>
      <c r="S908" s="64">
        <v>44489</v>
      </c>
      <c r="U908" s="72"/>
      <c r="V908" s="54" t="s">
        <v>66</v>
      </c>
      <c r="X908" s="69">
        <f t="shared" si="76"/>
        <v>7</v>
      </c>
      <c r="Z908" s="69" t="s">
        <v>69</v>
      </c>
      <c r="AA908" s="69">
        <f t="shared" si="75"/>
        <v>1</v>
      </c>
      <c r="AB908" t="str">
        <f t="shared" si="73"/>
        <v>Adult</v>
      </c>
      <c r="AC908" s="69">
        <v>1</v>
      </c>
      <c r="AD908" s="69">
        <v>0</v>
      </c>
      <c r="AE908" s="45" t="str">
        <f t="shared" si="74"/>
        <v>Morphological</v>
      </c>
      <c r="AF908" s="56">
        <v>4</v>
      </c>
    </row>
    <row r="909" spans="1:32" ht="18" customHeight="1" x14ac:dyDescent="0.25">
      <c r="A909" s="45">
        <v>905</v>
      </c>
      <c r="B909" s="45" t="s">
        <v>60</v>
      </c>
      <c r="C909" s="45" t="s">
        <v>61</v>
      </c>
      <c r="D909" s="45" t="s">
        <v>62</v>
      </c>
      <c r="E909" s="45" t="s">
        <v>62</v>
      </c>
      <c r="F909" s="59" cm="1">
        <f t="array" ref="F909">_xlfn.IFS($G909=$G$5,F$5,$G909=$G$6,F$6,$G909=$G$7,F$7,$G909=$G$8,F$8,$G909=$G$9,F$9,$G909=$G$10,F$10,$G909=$G$11,F$11,$G909=$G$12,F$12,$G909=$G$13,F$13,$G909=$G$15,F$15,$G909=$G$16,F$16,$G909=$G$17,F$17,$G909=$G$18,F$18,$G909=$G$19,F$19,$G909=$G$20,F$20,$G909=$G$21,F$21,$G909=$G$22,F$22,$G909=$G$25,F$25,$G909=$G$26,F$26,$G909=$G$27,F$27,$G909=$G$29,F$29,$G909=$G$31,F$31,$G909=$G$32,F$32,$G909=$G$248,F$248,$G909=$G$250,F$250)</f>
        <v>8034</v>
      </c>
      <c r="G909" t="s">
        <v>78</v>
      </c>
      <c r="H909" s="60" cm="1">
        <f t="array" ref="H909">_xlfn.IFS($G909=$G$5,H$5,$G909=$G$6,H$6,$G909=$G$7,H$7,$G909=$G$8,H$8,$G909=$G$9,H$9,$G909=$G$10,H$10,$G909=$G$11,H$11,$G909=$G$12,H$12,$G909=$G$13,H$13,$G909=$G$15,H$15,$G909=$G$16,H$16,$G909=$G$17,H$17,$G909=$G$18,H$18,$G909=$G$19,H$19,$G909=$G$20,H$20,$G909=$G$21,H$21,$G909=$G$22,H$22,$G909=$G$25,H$25,$G909=$G$26,H$26,$G909=$G$27,H$27,$G909=$G$29,H$29,$G909=$G$31,H$31,$G909=$G$32,H$150,$G909=$G$248,H$248,$G909=$G$250,H$250)</f>
        <v>41.393644999999999</v>
      </c>
      <c r="I909" s="60" cm="1">
        <f t="array" ref="I909">_xlfn.IFS($G909=$G$5,I$5,$G909=$G$6,I$6,$G909=$G$7,I$7,$G909=$G$8,I$8,$G909=$G$9,I$9,$G909=$G$10,I$10,$G909=$G$11,I$11,$G909=$G$12,I$12,$G909=$G$13,I$13,$G909=$G$15,I$15,$G909=$G$16,I$16,$G909=$G$17,I$17,$G909=$G$18,I$18,$G909=$G$19,I$19,$G909=$G$20,I$20,$G909=$G$21,I$21,$G909=$G$22,I$22,$G909=$G$25,I$25,$G909=$G$26,I$26,$G909=$G$27,I$27,$G909=$G$29,I$29,$G909=$G$31,I$31,$G909=$G$32,I$150,$G909=$G$248,I$248,$G909=$G$250,I$250)</f>
        <v>2.1216780000000002</v>
      </c>
      <c r="J909" s="61" cm="1">
        <f t="array" ref="J909">_xlfn.IFS($G909=$G$5,J$5,$G909=$G$6,J$6,$G909=$G$7,J$7,$G909=$G$8,J$8,$G909=$G$9,J$9,$G909=$G$10,J$10,$G909=$G$11,J$11,$G909=$G$12,J$12,$G909=$G$13,J$13,$G909=$G$15,J$15,$G909=$G$16,J$16,$G909=$G$17,J$17,$G909=$G$18,J$18,$G909=$G$19,J$19,$G909=$G$20,J$20,$G909=$G$21,J$21,$G909=$G$22,J$22,$G909=$G$25,J$25,$G909=$G$26,J$26,$G909=$G$27,J$27,$G909=$G$29,J$29,$G909=$G$31,J$31,$G909=$G$32,J$150,$G909=$G$248,J$248,$G909=$G$250,J$250)</f>
        <v>98</v>
      </c>
      <c r="K909" t="str" cm="1">
        <f t="array" ref="K909">_xlfn.IFS($G909=$G$5,K$5,$G909=$G$6,K$6,$G909=$G$7,K$7,$G909=$G$8,K$8,$G909=$G$9,K$9,$G909=$G$10,K$10,$G909=$G$11,K$11,$G909=$G$12,K$12,$G909=$G$13,K$13,$G909=$G$15,K$15,$G909=$G$16,K$16,$G909=$G$17,K$17,$G909=$G$18,K$18,$G909=$G$19,K$19,$G909=$G$20,K$20,$G909=$G$21,K$21,$G909=$G$22,K$22,$G909=$G$25,K$25,$G909=$G$26,K$26,$G909=$G$27,K$27,$G909=$G$29,K$29,$G909=$G$31,K$31,$G909=$G$32,K$150,$G909=$G$248,K$248,$G909=$G$250,K$250)</f>
        <v>BG sentinel + BG lure7</v>
      </c>
      <c r="O909" s="69" t="str">
        <f t="shared" si="54"/>
        <v>A_SP_BCN_9_211013</v>
      </c>
      <c r="P909" s="64">
        <v>44482</v>
      </c>
      <c r="R909" s="72"/>
      <c r="S909" s="64">
        <v>44489</v>
      </c>
      <c r="U909" s="72"/>
      <c r="V909" s="54" t="s">
        <v>66</v>
      </c>
      <c r="X909" s="69">
        <f t="shared" si="76"/>
        <v>7</v>
      </c>
      <c r="Z909" s="45" t="s">
        <v>70</v>
      </c>
      <c r="AA909" s="69">
        <f t="shared" si="75"/>
        <v>1</v>
      </c>
      <c r="AB909" t="str">
        <f t="shared" si="73"/>
        <v>Adult</v>
      </c>
      <c r="AC909" s="69">
        <v>1</v>
      </c>
      <c r="AD909" s="69">
        <v>0</v>
      </c>
      <c r="AE909" s="45" t="str">
        <f t="shared" si="74"/>
        <v>Morphological</v>
      </c>
      <c r="AF909" s="56">
        <v>4</v>
      </c>
    </row>
    <row r="910" spans="1:32" ht="18" customHeight="1" x14ac:dyDescent="0.25">
      <c r="A910" s="45">
        <v>906</v>
      </c>
      <c r="B910" s="45" t="s">
        <v>60</v>
      </c>
      <c r="C910" s="45" t="s">
        <v>61</v>
      </c>
      <c r="D910" s="45" t="s">
        <v>62</v>
      </c>
      <c r="E910" s="45" t="s">
        <v>62</v>
      </c>
      <c r="F910" s="59" cm="1">
        <f t="array" ref="F910">_xlfn.IFS($G910=$G$5,F$5,$G910=$G$6,F$6,$G910=$G$7,F$7,$G910=$G$8,F$8,$G910=$G$9,F$9,$G910=$G$10,F$10,$G910=$G$11,F$11,$G910=$G$12,F$12,$G910=$G$13,F$13,$G910=$G$15,F$15,$G910=$G$16,F$16,$G910=$G$17,F$17,$G910=$G$18,F$18,$G910=$G$19,F$19,$G910=$G$20,F$20,$G910=$G$21,F$21,$G910=$G$22,F$22,$G910=$G$25,F$25,$G910=$G$26,F$26,$G910=$G$27,F$27,$G910=$G$29,F$29,$G910=$G$31,F$31,$G910=$G$32,F$32,$G910=$G$248,F$248,$G910=$G$250,F$250)</f>
        <v>8034</v>
      </c>
      <c r="G910" t="s">
        <v>78</v>
      </c>
      <c r="H910" s="60" cm="1">
        <f t="array" ref="H910">_xlfn.IFS($G910=$G$5,H$5,$G910=$G$6,H$6,$G910=$G$7,H$7,$G910=$G$8,H$8,$G910=$G$9,H$9,$G910=$G$10,H$10,$G910=$G$11,H$11,$G910=$G$12,H$12,$G910=$G$13,H$13,$G910=$G$15,H$15,$G910=$G$16,H$16,$G910=$G$17,H$17,$G910=$G$18,H$18,$G910=$G$19,H$19,$G910=$G$20,H$20,$G910=$G$21,H$21,$G910=$G$22,H$22,$G910=$G$25,H$25,$G910=$G$26,H$26,$G910=$G$27,H$27,$G910=$G$29,H$29,$G910=$G$31,H$31,$G910=$G$32,H$150,$G910=$G$248,H$248,$G910=$G$250,H$250)</f>
        <v>41.393644999999999</v>
      </c>
      <c r="I910" s="60" cm="1">
        <f t="array" ref="I910">_xlfn.IFS($G910=$G$5,I$5,$G910=$G$6,I$6,$G910=$G$7,I$7,$G910=$G$8,I$8,$G910=$G$9,I$9,$G910=$G$10,I$10,$G910=$G$11,I$11,$G910=$G$12,I$12,$G910=$G$13,I$13,$G910=$G$15,I$15,$G910=$G$16,I$16,$G910=$G$17,I$17,$G910=$G$18,I$18,$G910=$G$19,I$19,$G910=$G$20,I$20,$G910=$G$21,I$21,$G910=$G$22,I$22,$G910=$G$25,I$25,$G910=$G$26,I$26,$G910=$G$27,I$27,$G910=$G$29,I$29,$G910=$G$31,I$31,$G910=$G$32,I$150,$G910=$G$248,I$248,$G910=$G$250,I$250)</f>
        <v>2.1216780000000002</v>
      </c>
      <c r="J910" s="61" cm="1">
        <f t="array" ref="J910">_xlfn.IFS($G910=$G$5,J$5,$G910=$G$6,J$6,$G910=$G$7,J$7,$G910=$G$8,J$8,$G910=$G$9,J$9,$G910=$G$10,J$10,$G910=$G$11,J$11,$G910=$G$12,J$12,$G910=$G$13,J$13,$G910=$G$15,J$15,$G910=$G$16,J$16,$G910=$G$17,J$17,$G910=$G$18,J$18,$G910=$G$19,J$19,$G910=$G$20,J$20,$G910=$G$21,J$21,$G910=$G$22,J$22,$G910=$G$25,J$25,$G910=$G$26,J$26,$G910=$G$27,J$27,$G910=$G$29,J$29,$G910=$G$31,J$31,$G910=$G$32,J$150,$G910=$G$248,J$248,$G910=$G$250,J$250)</f>
        <v>98</v>
      </c>
      <c r="K910" t="str" cm="1">
        <f t="array" ref="K910">_xlfn.IFS($G910=$G$5,K$5,$G910=$G$6,K$6,$G910=$G$7,K$7,$G910=$G$8,K$8,$G910=$G$9,K$9,$G910=$G$10,K$10,$G910=$G$11,K$11,$G910=$G$12,K$12,$G910=$G$13,K$13,$G910=$G$15,K$15,$G910=$G$16,K$16,$G910=$G$17,K$17,$G910=$G$18,K$18,$G910=$G$19,K$19,$G910=$G$20,K$20,$G910=$G$21,K$21,$G910=$G$22,K$22,$G910=$G$25,K$25,$G910=$G$26,K$26,$G910=$G$27,K$27,$G910=$G$29,K$29,$G910=$G$31,K$31,$G910=$G$32,K$150,$G910=$G$248,K$248,$G910=$G$250,K$250)</f>
        <v>BG sentinel + BG lure7</v>
      </c>
      <c r="O910" s="69" t="str">
        <f t="shared" si="54"/>
        <v>A_SP_BCN_9_211013</v>
      </c>
      <c r="P910" s="64">
        <v>44482</v>
      </c>
      <c r="R910" s="72"/>
      <c r="S910" s="64">
        <v>44489</v>
      </c>
      <c r="U910" s="72"/>
      <c r="V910" s="54" t="s">
        <v>66</v>
      </c>
      <c r="X910" s="69">
        <f t="shared" si="76"/>
        <v>7</v>
      </c>
      <c r="Z910" s="45" t="s">
        <v>80</v>
      </c>
      <c r="AA910" s="69">
        <f t="shared" si="75"/>
        <v>3</v>
      </c>
      <c r="AB910" t="str">
        <f t="shared" si="73"/>
        <v>Adult</v>
      </c>
      <c r="AC910" s="69">
        <v>2</v>
      </c>
      <c r="AD910" s="69">
        <v>1</v>
      </c>
      <c r="AE910" s="45" t="str">
        <f t="shared" si="74"/>
        <v>Morphological</v>
      </c>
      <c r="AF910" s="56">
        <v>4</v>
      </c>
    </row>
    <row r="911" spans="1:32" ht="18" customHeight="1" x14ac:dyDescent="0.25">
      <c r="A911" s="45">
        <v>907</v>
      </c>
      <c r="B911" s="45" t="s">
        <v>60</v>
      </c>
      <c r="C911" s="45" t="s">
        <v>61</v>
      </c>
      <c r="D911" s="45" t="s">
        <v>62</v>
      </c>
      <c r="E911" s="45" t="s">
        <v>62</v>
      </c>
      <c r="F911" s="59" cm="1">
        <f t="array" ref="F911">_xlfn.IFS($G911=$G$5,F$5,$G911=$G$6,F$6,$G911=$G$7,F$7,$G911=$G$8,F$8,$G911=$G$9,F$9,$G911=$G$10,F$10,$G911=$G$11,F$11,$G911=$G$12,F$12,$G911=$G$13,F$13,$G911=$G$15,F$15,$G911=$G$16,F$16,$G911=$G$17,F$17,$G911=$G$18,F$18,$G911=$G$19,F$19,$G911=$G$20,F$20,$G911=$G$21,F$21,$G911=$G$22,F$22,$G911=$G$25,F$25,$G911=$G$26,F$26,$G911=$G$27,F$27,$G911=$G$29,F$29,$G911=$G$31,F$31,$G911=$G$32,F$32,$G911=$G$248,F$248,$G911=$G$250,F$250)</f>
        <v>8040</v>
      </c>
      <c r="G911" t="s">
        <v>81</v>
      </c>
      <c r="H911" s="60" cm="1">
        <f t="array" ref="H911">_xlfn.IFS($G911=$G$5,H$5,$G911=$G$6,H$6,$G911=$G$7,H$7,$G911=$G$8,H$8,$G911=$G$9,H$9,$G911=$G$10,H$10,$G911=$G$11,H$11,$G911=$G$12,H$12,$G911=$G$13,H$13,$G911=$G$15,H$15,$G911=$G$16,H$16,$G911=$G$17,H$17,$G911=$G$18,H$18,$G911=$G$19,H$19,$G911=$G$20,H$20,$G911=$G$21,H$21,$G911=$G$22,H$22,$G911=$G$25,H$25,$G911=$G$26,H$26,$G911=$G$27,H$27,$G911=$G$29,H$29,$G911=$G$31,H$31,$G911=$G$32,H$150,$G911=$G$248,H$248,$G911=$G$250,H$250)</f>
        <v>41.343685000000001</v>
      </c>
      <c r="I911" s="60" cm="1">
        <f t="array" ref="I911">_xlfn.IFS($G911=$G$5,I$5,$G911=$G$6,I$6,$G911=$G$7,I$7,$G911=$G$8,I$8,$G911=$G$9,I$9,$G911=$G$10,I$10,$G911=$G$11,I$11,$G911=$G$12,I$12,$G911=$G$13,I$13,$G911=$G$15,I$15,$G911=$G$16,I$16,$G911=$G$17,I$17,$G911=$G$18,I$18,$G911=$G$19,I$19,$G911=$G$20,I$20,$G911=$G$21,I$21,$G911=$G$22,I$22,$G911=$G$25,I$25,$G911=$G$26,I$26,$G911=$G$27,I$27,$G911=$G$29,I$29,$G911=$G$31,I$31,$G911=$G$32,I$150,$G911=$G$248,I$248,$G911=$G$250,I$250)</f>
        <v>2.1441490000000001</v>
      </c>
      <c r="J911" s="61" cm="1">
        <f t="array" ref="J911">_xlfn.IFS($G911=$G$5,J$5,$G911=$G$6,J$6,$G911=$G$7,J$7,$G911=$G$8,J$8,$G911=$G$9,J$9,$G911=$G$10,J$10,$G911=$G$11,J$11,$G911=$G$12,J$12,$G911=$G$13,J$13,$G911=$G$15,J$15,$G911=$G$16,J$16,$G911=$G$17,J$17,$G911=$G$18,J$18,$G911=$G$19,J$19,$G911=$G$20,J$20,$G911=$G$21,J$21,$G911=$G$22,J$22,$G911=$G$25,J$25,$G911=$G$26,J$26,$G911=$G$27,J$27,$G911=$G$29,J$29,$G911=$G$31,J$31,$G911=$G$32,J$150,$G911=$G$248,J$248,$G911=$G$250,J$250)</f>
        <v>4</v>
      </c>
      <c r="K911" t="str" cm="1">
        <f t="array" ref="K911">_xlfn.IFS($G911=$G$5,K$5,$G911=$G$6,K$6,$G911=$G$7,K$7,$G911=$G$8,K$8,$G911=$G$9,K$9,$G911=$G$10,K$10,$G911=$G$11,K$11,$G911=$G$12,K$12,$G911=$G$13,K$13,$G911=$G$15,K$15,$G911=$G$16,K$16,$G911=$G$17,K$17,$G911=$G$18,K$18,$G911=$G$19,K$19,$G911=$G$20,K$20,$G911=$G$21,K$21,$G911=$G$22,K$22,$G911=$G$25,K$25,$G911=$G$26,K$26,$G911=$G$27,K$27,$G911=$G$29,K$29,$G911=$G$31,K$31,$G911=$G$32,K$150,$G911=$G$248,K$248,$G911=$G$250,K$250)</f>
        <v>BG sentinel + BG lure7</v>
      </c>
      <c r="O911" s="69" t="str">
        <f t="shared" si="54"/>
        <v>A_SP_BCN_10_211014</v>
      </c>
      <c r="P911" s="64">
        <v>44483</v>
      </c>
      <c r="R911" s="72"/>
      <c r="S911" s="64">
        <v>44490</v>
      </c>
      <c r="U911" s="72"/>
      <c r="V911" s="54" t="s">
        <v>66</v>
      </c>
      <c r="X911" s="69">
        <f t="shared" si="76"/>
        <v>7</v>
      </c>
      <c r="Z911" s="69" t="s">
        <v>69</v>
      </c>
      <c r="AA911" s="69">
        <f t="shared" si="75"/>
        <v>2</v>
      </c>
      <c r="AB911" t="str">
        <f t="shared" si="73"/>
        <v>Adult</v>
      </c>
      <c r="AC911" s="69">
        <v>0</v>
      </c>
      <c r="AD911" s="69">
        <v>2</v>
      </c>
      <c r="AE911" s="45" t="str">
        <f t="shared" si="74"/>
        <v>Morphological</v>
      </c>
      <c r="AF911" s="56">
        <v>4</v>
      </c>
    </row>
    <row r="912" spans="1:32" ht="18" customHeight="1" x14ac:dyDescent="0.25">
      <c r="A912" s="45">
        <v>908</v>
      </c>
      <c r="B912" s="45" t="s">
        <v>60</v>
      </c>
      <c r="C912" s="45" t="s">
        <v>61</v>
      </c>
      <c r="D912" s="45" t="s">
        <v>62</v>
      </c>
      <c r="E912" s="45" t="s">
        <v>62</v>
      </c>
      <c r="F912" s="59" cm="1">
        <f t="array" ref="F912">_xlfn.IFS($G912=$G$5,F$5,$G912=$G$6,F$6,$G912=$G$7,F$7,$G912=$G$8,F$8,$G912=$G$9,F$9,$G912=$G$10,F$10,$G912=$G$11,F$11,$G912=$G$12,F$12,$G912=$G$13,F$13,$G912=$G$15,F$15,$G912=$G$16,F$16,$G912=$G$17,F$17,$G912=$G$18,F$18,$G912=$G$19,F$19,$G912=$G$20,F$20,$G912=$G$21,F$21,$G912=$G$22,F$22,$G912=$G$25,F$25,$G912=$G$26,F$26,$G912=$G$27,F$27,$G912=$G$29,F$29,$G912=$G$31,F$31,$G912=$G$32,F$32,$G912=$G$248,F$248,$G912=$G$250,F$250)</f>
        <v>8040</v>
      </c>
      <c r="G912" t="s">
        <v>81</v>
      </c>
      <c r="H912" s="60" cm="1">
        <f t="array" ref="H912">_xlfn.IFS($G912=$G$5,H$5,$G912=$G$6,H$6,$G912=$G$7,H$7,$G912=$G$8,H$8,$G912=$G$9,H$9,$G912=$G$10,H$10,$G912=$G$11,H$11,$G912=$G$12,H$12,$G912=$G$13,H$13,$G912=$G$15,H$15,$G912=$G$16,H$16,$G912=$G$17,H$17,$G912=$G$18,H$18,$G912=$G$19,H$19,$G912=$G$20,H$20,$G912=$G$21,H$21,$G912=$G$22,H$22,$G912=$G$25,H$25,$G912=$G$26,H$26,$G912=$G$27,H$27,$G912=$G$29,H$29,$G912=$G$31,H$31,$G912=$G$32,H$150,$G912=$G$248,H$248,$G912=$G$250,H$250)</f>
        <v>41.343685000000001</v>
      </c>
      <c r="I912" s="60" cm="1">
        <f t="array" ref="I912">_xlfn.IFS($G912=$G$5,I$5,$G912=$G$6,I$6,$G912=$G$7,I$7,$G912=$G$8,I$8,$G912=$G$9,I$9,$G912=$G$10,I$10,$G912=$G$11,I$11,$G912=$G$12,I$12,$G912=$G$13,I$13,$G912=$G$15,I$15,$G912=$G$16,I$16,$G912=$G$17,I$17,$G912=$G$18,I$18,$G912=$G$19,I$19,$G912=$G$20,I$20,$G912=$G$21,I$21,$G912=$G$22,I$22,$G912=$G$25,I$25,$G912=$G$26,I$26,$G912=$G$27,I$27,$G912=$G$29,I$29,$G912=$G$31,I$31,$G912=$G$32,I$150,$G912=$G$248,I$248,$G912=$G$250,I$250)</f>
        <v>2.1441490000000001</v>
      </c>
      <c r="J912" s="61" cm="1">
        <f t="array" ref="J912">_xlfn.IFS($G912=$G$5,J$5,$G912=$G$6,J$6,$G912=$G$7,J$7,$G912=$G$8,J$8,$G912=$G$9,J$9,$G912=$G$10,J$10,$G912=$G$11,J$11,$G912=$G$12,J$12,$G912=$G$13,J$13,$G912=$G$15,J$15,$G912=$G$16,J$16,$G912=$G$17,J$17,$G912=$G$18,J$18,$G912=$G$19,J$19,$G912=$G$20,J$20,$G912=$G$21,J$21,$G912=$G$22,J$22,$G912=$G$25,J$25,$G912=$G$26,J$26,$G912=$G$27,J$27,$G912=$G$29,J$29,$G912=$G$31,J$31,$G912=$G$32,J$150,$G912=$G$248,J$248,$G912=$G$250,J$250)</f>
        <v>4</v>
      </c>
      <c r="K912" t="str" cm="1">
        <f t="array" ref="K912">_xlfn.IFS($G912=$G$5,K$5,$G912=$G$6,K$6,$G912=$G$7,K$7,$G912=$G$8,K$8,$G912=$G$9,K$9,$G912=$G$10,K$10,$G912=$G$11,K$11,$G912=$G$12,K$12,$G912=$G$13,K$13,$G912=$G$15,K$15,$G912=$G$16,K$16,$G912=$G$17,K$17,$G912=$G$18,K$18,$G912=$G$19,K$19,$G912=$G$20,K$20,$G912=$G$21,K$21,$G912=$G$22,K$22,$G912=$G$25,K$25,$G912=$G$26,K$26,$G912=$G$27,K$27,$G912=$G$29,K$29,$G912=$G$31,K$31,$G912=$G$32,K$150,$G912=$G$248,K$248,$G912=$G$250,K$250)</f>
        <v>BG sentinel + BG lure7</v>
      </c>
      <c r="O912" s="69" t="str">
        <f t="shared" si="54"/>
        <v>A_SP_BCN_10_211014</v>
      </c>
      <c r="P912" s="64">
        <v>44483</v>
      </c>
      <c r="R912" s="72"/>
      <c r="S912" s="64">
        <v>44490</v>
      </c>
      <c r="U912" s="72"/>
      <c r="V912" s="54" t="s">
        <v>66</v>
      </c>
      <c r="X912" s="69">
        <f t="shared" si="76"/>
        <v>7</v>
      </c>
      <c r="Z912" s="45" t="s">
        <v>80</v>
      </c>
      <c r="AA912" s="69">
        <f t="shared" si="75"/>
        <v>2</v>
      </c>
      <c r="AB912" t="str">
        <f t="shared" si="73"/>
        <v>Adult</v>
      </c>
      <c r="AC912" s="69">
        <v>0</v>
      </c>
      <c r="AD912" s="69">
        <v>2</v>
      </c>
      <c r="AE912" s="45" t="str">
        <f t="shared" si="74"/>
        <v>Morphological</v>
      </c>
      <c r="AF912" s="56">
        <v>4</v>
      </c>
    </row>
    <row r="913" spans="1:32" ht="18" customHeight="1" x14ac:dyDescent="0.25">
      <c r="A913" s="45">
        <v>909</v>
      </c>
      <c r="B913" s="45" t="s">
        <v>60</v>
      </c>
      <c r="C913" s="45" t="s">
        <v>61</v>
      </c>
      <c r="D913" s="45" t="s">
        <v>62</v>
      </c>
      <c r="E913" s="45" t="s">
        <v>62</v>
      </c>
      <c r="F913" s="59" cm="1">
        <f t="array" ref="F913">_xlfn.IFS($G913=$G$5,F$5,$G913=$G$6,F$6,$G913=$G$7,F$7,$G913=$G$8,F$8,$G913=$G$9,F$9,$G913=$G$10,F$10,$G913=$G$11,F$11,$G913=$G$12,F$12,$G913=$G$13,F$13,$G913=$G$15,F$15,$G913=$G$16,F$16,$G913=$G$17,F$17,$G913=$G$18,F$18,$G913=$G$19,F$19,$G913=$G$20,F$20,$G913=$G$21,F$21,$G913=$G$22,F$22,$G913=$G$25,F$25,$G913=$G$26,F$26,$G913=$G$27,F$27,$G913=$G$29,F$29,$G913=$G$31,F$31,$G913=$G$32,F$32,$G913=$G$248,F$248,$G913=$G$250,F$250)</f>
        <v>8038</v>
      </c>
      <c r="G913" t="s">
        <v>82</v>
      </c>
      <c r="H913" s="60" cm="1">
        <f t="array" ref="H913">_xlfn.IFS($G913=$G$5,H$5,$G913=$G$6,H$6,$G913=$G$7,H$7,$G913=$G$8,H$8,$G913=$G$9,H$9,$G913=$G$10,H$10,$G913=$G$11,H$11,$G913=$G$12,H$12,$G913=$G$13,H$13,$G913=$G$15,H$15,$G913=$G$16,H$16,$G913=$G$17,H$17,$G913=$G$18,H$18,$G913=$G$19,H$19,$G913=$G$20,H$20,$G913=$G$21,H$21,$G913=$G$22,H$22,$G913=$G$25,H$25,$G913=$G$26,H$26,$G913=$G$27,H$27,$G913=$G$29,H$29,$G913=$G$31,H$31,$G913=$G$32,H$150,$G913=$G$248,H$248,$G913=$G$250,H$250)</f>
        <v>41.367429999999999</v>
      </c>
      <c r="I913" s="60" cm="1">
        <f t="array" ref="I913">_xlfn.IFS($G913=$G$5,I$5,$G913=$G$6,I$6,$G913=$G$7,I$7,$G913=$G$8,I$8,$G913=$G$9,I$9,$G913=$G$10,I$10,$G913=$G$11,I$11,$G913=$G$12,I$12,$G913=$G$13,I$13,$G913=$G$15,I$15,$G913=$G$16,I$16,$G913=$G$17,I$17,$G913=$G$18,I$18,$G913=$G$19,I$19,$G913=$G$20,I$20,$G913=$G$21,I$21,$G913=$G$22,I$22,$G913=$G$25,I$25,$G913=$G$26,I$26,$G913=$G$27,I$27,$G913=$G$29,I$29,$G913=$G$31,I$31,$G913=$G$32,I$150,$G913=$G$248,I$248,$G913=$G$250,I$250)</f>
        <v>2.1569609999999999</v>
      </c>
      <c r="J913" s="61" cm="1">
        <f t="array" ref="J913">_xlfn.IFS($G913=$G$5,J$5,$G913=$G$6,J$6,$G913=$G$7,J$7,$G913=$G$8,J$8,$G913=$G$9,J$9,$G913=$G$10,J$10,$G913=$G$11,J$11,$G913=$G$12,J$12,$G913=$G$13,J$13,$G913=$G$15,J$15,$G913=$G$16,J$16,$G913=$G$17,J$17,$G913=$G$18,J$18,$G913=$G$19,J$19,$G913=$G$20,J$20,$G913=$G$21,J$21,$G913=$G$22,J$22,$G913=$G$25,J$25,$G913=$G$26,J$26,$G913=$G$27,J$27,$G913=$G$29,J$29,$G913=$G$31,J$31,$G913=$G$32,J$150,$G913=$G$248,J$248,$G913=$G$250,J$250)</f>
        <v>91</v>
      </c>
      <c r="K913" t="str" cm="1">
        <f t="array" ref="K913">_xlfn.IFS($G913=$G$5,K$5,$G913=$G$6,K$6,$G913=$G$7,K$7,$G913=$G$8,K$8,$G913=$G$9,K$9,$G913=$G$10,K$10,$G913=$G$11,K$11,$G913=$G$12,K$12,$G913=$G$13,K$13,$G913=$G$15,K$15,$G913=$G$16,K$16,$G913=$G$17,K$17,$G913=$G$18,K$18,$G913=$G$19,K$19,$G913=$G$20,K$20,$G913=$G$21,K$21,$G913=$G$22,K$22,$G913=$G$25,K$25,$G913=$G$26,K$26,$G913=$G$27,K$27,$G913=$G$29,K$29,$G913=$G$31,K$31,$G913=$G$32,K$150,$G913=$G$248,K$248,$G913=$G$250,K$250)</f>
        <v>BG sentinel + BG lure7</v>
      </c>
      <c r="O913" s="69" t="str">
        <f t="shared" si="54"/>
        <v>A_SP_BCN_11_211014</v>
      </c>
      <c r="P913" s="64">
        <v>44483</v>
      </c>
      <c r="R913" s="72"/>
      <c r="S913" s="64">
        <v>44490</v>
      </c>
      <c r="U913" s="72"/>
      <c r="V913" s="54" t="s">
        <v>66</v>
      </c>
      <c r="X913" s="69">
        <f t="shared" si="76"/>
        <v>7</v>
      </c>
      <c r="Z913" s="69" t="s">
        <v>69</v>
      </c>
      <c r="AA913" s="69">
        <f t="shared" si="75"/>
        <v>31</v>
      </c>
      <c r="AB913" t="str">
        <f t="shared" si="73"/>
        <v>Adult</v>
      </c>
      <c r="AC913" s="69">
        <v>27</v>
      </c>
      <c r="AD913" s="69">
        <v>4</v>
      </c>
      <c r="AE913" s="45" t="str">
        <f t="shared" si="74"/>
        <v>Morphological</v>
      </c>
      <c r="AF913" s="56">
        <v>4</v>
      </c>
    </row>
    <row r="914" spans="1:32" ht="18" customHeight="1" x14ac:dyDescent="0.25">
      <c r="A914" s="45">
        <v>910</v>
      </c>
      <c r="B914" s="45" t="s">
        <v>60</v>
      </c>
      <c r="C914" s="45" t="s">
        <v>61</v>
      </c>
      <c r="D914" s="45" t="s">
        <v>62</v>
      </c>
      <c r="E914" s="45" t="s">
        <v>62</v>
      </c>
      <c r="F914" s="59" cm="1">
        <f t="array" ref="F914">_xlfn.IFS($G914=$G$5,F$5,$G914=$G$6,F$6,$G914=$G$7,F$7,$G914=$G$8,F$8,$G914=$G$9,F$9,$G914=$G$10,F$10,$G914=$G$11,F$11,$G914=$G$12,F$12,$G914=$G$13,F$13,$G914=$G$15,F$15,$G914=$G$16,F$16,$G914=$G$17,F$17,$G914=$G$18,F$18,$G914=$G$19,F$19,$G914=$G$20,F$20,$G914=$G$21,F$21,$G914=$G$22,F$22,$G914=$G$25,F$25,$G914=$G$26,F$26,$G914=$G$27,F$27,$G914=$G$29,F$29,$G914=$G$31,F$31,$G914=$G$32,F$32,$G914=$G$248,F$248,$G914=$G$250,F$250)</f>
        <v>8038</v>
      </c>
      <c r="G914" t="s">
        <v>84</v>
      </c>
      <c r="H914" s="60" cm="1">
        <f t="array" ref="H914">_xlfn.IFS($G914=$G$5,H$5,$G914=$G$6,H$6,$G914=$G$7,H$7,$G914=$G$8,H$8,$G914=$G$9,H$9,$G914=$G$10,H$10,$G914=$G$11,H$11,$G914=$G$12,H$12,$G914=$G$13,H$13,$G914=$G$15,H$15,$G914=$G$16,H$16,$G914=$G$17,H$17,$G914=$G$18,H$18,$G914=$G$19,H$19,$G914=$G$20,H$20,$G914=$G$21,H$21,$G914=$G$22,H$22,$G914=$G$25,H$25,$G914=$G$26,H$26,$G914=$G$27,H$27,$G914=$G$29,H$29,$G914=$G$31,H$31,$G914=$G$32,H$150,$G914=$G$248,H$248,$G914=$G$250,H$250)</f>
        <v>41.363377999999997</v>
      </c>
      <c r="I914" s="60" cm="1">
        <f t="array" ref="I914">_xlfn.IFS($G914=$G$5,I$5,$G914=$G$6,I$6,$G914=$G$7,I$7,$G914=$G$8,I$8,$G914=$G$9,I$9,$G914=$G$10,I$10,$G914=$G$11,I$11,$G914=$G$12,I$12,$G914=$G$13,I$13,$G914=$G$15,I$15,$G914=$G$16,I$16,$G914=$G$17,I$17,$G914=$G$18,I$18,$G914=$G$19,I$19,$G914=$G$20,I$20,$G914=$G$21,I$21,$G914=$G$22,I$22,$G914=$G$25,I$25,$G914=$G$26,I$26,$G914=$G$27,I$27,$G914=$G$29,I$29,$G914=$G$31,I$31,$G914=$G$32,I$150,$G914=$G$248,I$248,$G914=$G$250,I$250)</f>
        <v>2.164879</v>
      </c>
      <c r="J914" s="61" cm="1">
        <f t="array" ref="J914">_xlfn.IFS($G914=$G$5,J$5,$G914=$G$6,J$6,$G914=$G$7,J$7,$G914=$G$8,J$8,$G914=$G$9,J$9,$G914=$G$10,J$10,$G914=$G$11,J$11,$G914=$G$12,J$12,$G914=$G$13,J$13,$G914=$G$15,J$15,$G914=$G$16,J$16,$G914=$G$17,J$17,$G914=$G$18,J$18,$G914=$G$19,J$19,$G914=$G$20,J$20,$G914=$G$21,J$21,$G914=$G$22,J$22,$G914=$G$25,J$25,$G914=$G$26,J$26,$G914=$G$27,J$27,$G914=$G$29,J$29,$G914=$G$31,J$31,$G914=$G$32,J$150,$G914=$G$248,J$248,$G914=$G$250,J$250)</f>
        <v>185</v>
      </c>
      <c r="K914" t="str" cm="1">
        <f t="array" ref="K914">_xlfn.IFS($G914=$G$5,K$5,$G914=$G$6,K$6,$G914=$G$7,K$7,$G914=$G$8,K$8,$G914=$G$9,K$9,$G914=$G$10,K$10,$G914=$G$11,K$11,$G914=$G$12,K$12,$G914=$G$13,K$13,$G914=$G$15,K$15,$G914=$G$16,K$16,$G914=$G$17,K$17,$G914=$G$18,K$18,$G914=$G$19,K$19,$G914=$G$20,K$20,$G914=$G$21,K$21,$G914=$G$22,K$22,$G914=$G$25,K$25,$G914=$G$26,K$26,$G914=$G$27,K$27,$G914=$G$29,K$29,$G914=$G$31,K$31,$G914=$G$32,K$150,$G914=$G$248,K$248,$G914=$G$250,K$250)</f>
        <v>BG sentinel + BG lure7</v>
      </c>
      <c r="O914" s="69" t="str">
        <f t="shared" si="54"/>
        <v>A_SP_BCN_12_211014</v>
      </c>
      <c r="P914" s="64">
        <v>44483</v>
      </c>
      <c r="R914" s="72"/>
      <c r="S914" s="64">
        <v>44490</v>
      </c>
      <c r="U914" s="72"/>
      <c r="V914" s="54" t="s">
        <v>66</v>
      </c>
      <c r="X914" s="69">
        <f t="shared" si="76"/>
        <v>7</v>
      </c>
      <c r="Z914" s="69" t="s">
        <v>69</v>
      </c>
      <c r="AA914" s="69">
        <f t="shared" si="75"/>
        <v>5</v>
      </c>
      <c r="AB914" t="str">
        <f t="shared" si="73"/>
        <v>Adult</v>
      </c>
      <c r="AC914" s="69">
        <v>5</v>
      </c>
      <c r="AD914" s="69">
        <v>0</v>
      </c>
      <c r="AE914" s="45" t="str">
        <f t="shared" si="74"/>
        <v>Morphological</v>
      </c>
      <c r="AF914" s="56">
        <v>4</v>
      </c>
    </row>
    <row r="915" spans="1:32" ht="18" customHeight="1" x14ac:dyDescent="0.25">
      <c r="A915" s="45">
        <v>911</v>
      </c>
      <c r="B915" s="45" t="s">
        <v>60</v>
      </c>
      <c r="C915" s="45" t="s">
        <v>61</v>
      </c>
      <c r="D915" s="45" t="s">
        <v>62</v>
      </c>
      <c r="E915" s="45" t="s">
        <v>62</v>
      </c>
      <c r="F915" s="59" cm="1">
        <f t="array" ref="F915">_xlfn.IFS($G915=$G$5,F$5,$G915=$G$6,F$6,$G915=$G$7,F$7,$G915=$G$8,F$8,$G915=$G$9,F$9,$G915=$G$10,F$10,$G915=$G$11,F$11,$G915=$G$12,F$12,$G915=$G$13,F$13,$G915=$G$15,F$15,$G915=$G$16,F$16,$G915=$G$17,F$17,$G915=$G$18,F$18,$G915=$G$19,F$19,$G915=$G$20,F$20,$G915=$G$21,F$21,$G915=$G$22,F$22,$G915=$G$25,F$25,$G915=$G$26,F$26,$G915=$G$27,F$27,$G915=$G$29,F$29,$G915=$G$31,F$31,$G915=$G$32,F$32,$G915=$G$248,F$248,$G915=$G$250,F$250)</f>
        <v>8038</v>
      </c>
      <c r="G915" t="s">
        <v>84</v>
      </c>
      <c r="H915" s="60" cm="1">
        <f t="array" ref="H915">_xlfn.IFS($G915=$G$5,H$5,$G915=$G$6,H$6,$G915=$G$7,H$7,$G915=$G$8,H$8,$G915=$G$9,H$9,$G915=$G$10,H$10,$G915=$G$11,H$11,$G915=$G$12,H$12,$G915=$G$13,H$13,$G915=$G$15,H$15,$G915=$G$16,H$16,$G915=$G$17,H$17,$G915=$G$18,H$18,$G915=$G$19,H$19,$G915=$G$20,H$20,$G915=$G$21,H$21,$G915=$G$22,H$22,$G915=$G$25,H$25,$G915=$G$26,H$26,$G915=$G$27,H$27,$G915=$G$29,H$29,$G915=$G$31,H$31,$G915=$G$32,H$150,$G915=$G$248,H$248,$G915=$G$250,H$250)</f>
        <v>41.363377999999997</v>
      </c>
      <c r="I915" s="60" cm="1">
        <f t="array" ref="I915">_xlfn.IFS($G915=$G$5,I$5,$G915=$G$6,I$6,$G915=$G$7,I$7,$G915=$G$8,I$8,$G915=$G$9,I$9,$G915=$G$10,I$10,$G915=$G$11,I$11,$G915=$G$12,I$12,$G915=$G$13,I$13,$G915=$G$15,I$15,$G915=$G$16,I$16,$G915=$G$17,I$17,$G915=$G$18,I$18,$G915=$G$19,I$19,$G915=$G$20,I$20,$G915=$G$21,I$21,$G915=$G$22,I$22,$G915=$G$25,I$25,$G915=$G$26,I$26,$G915=$G$27,I$27,$G915=$G$29,I$29,$G915=$G$31,I$31,$G915=$G$32,I$150,$G915=$G$248,I$248,$G915=$G$250,I$250)</f>
        <v>2.164879</v>
      </c>
      <c r="J915" s="61" cm="1">
        <f t="array" ref="J915">_xlfn.IFS($G915=$G$5,J$5,$G915=$G$6,J$6,$G915=$G$7,J$7,$G915=$G$8,J$8,$G915=$G$9,J$9,$G915=$G$10,J$10,$G915=$G$11,J$11,$G915=$G$12,J$12,$G915=$G$13,J$13,$G915=$G$15,J$15,$G915=$G$16,J$16,$G915=$G$17,J$17,$G915=$G$18,J$18,$G915=$G$19,J$19,$G915=$G$20,J$20,$G915=$G$21,J$21,$G915=$G$22,J$22,$G915=$G$25,J$25,$G915=$G$26,J$26,$G915=$G$27,J$27,$G915=$G$29,J$29,$G915=$G$31,J$31,$G915=$G$32,J$150,$G915=$G$248,J$248,$G915=$G$250,J$250)</f>
        <v>185</v>
      </c>
      <c r="K915" t="str" cm="1">
        <f t="array" ref="K915">_xlfn.IFS($G915=$G$5,K$5,$G915=$G$6,K$6,$G915=$G$7,K$7,$G915=$G$8,K$8,$G915=$G$9,K$9,$G915=$G$10,K$10,$G915=$G$11,K$11,$G915=$G$12,K$12,$G915=$G$13,K$13,$G915=$G$15,K$15,$G915=$G$16,K$16,$G915=$G$17,K$17,$G915=$G$18,K$18,$G915=$G$19,K$19,$G915=$G$20,K$20,$G915=$G$21,K$21,$G915=$G$22,K$22,$G915=$G$25,K$25,$G915=$G$26,K$26,$G915=$G$27,K$27,$G915=$G$29,K$29,$G915=$G$31,K$31,$G915=$G$32,K$150,$G915=$G$248,K$248,$G915=$G$250,K$250)</f>
        <v>BG sentinel + BG lure7</v>
      </c>
      <c r="O915" s="69" t="str">
        <f t="shared" si="54"/>
        <v>A_SP_BCN_12_211014</v>
      </c>
      <c r="P915" s="64">
        <v>44483</v>
      </c>
      <c r="R915" s="72"/>
      <c r="S915" s="64">
        <v>44490</v>
      </c>
      <c r="U915" s="72"/>
      <c r="V915" s="54" t="s">
        <v>66</v>
      </c>
      <c r="X915" s="69">
        <f t="shared" si="76"/>
        <v>7</v>
      </c>
      <c r="Z915" s="45" t="s">
        <v>70</v>
      </c>
      <c r="AA915" s="69">
        <f t="shared" si="75"/>
        <v>24</v>
      </c>
      <c r="AB915" t="str">
        <f t="shared" si="73"/>
        <v>Adult</v>
      </c>
      <c r="AC915" s="69">
        <v>22</v>
      </c>
      <c r="AD915" s="69">
        <v>2</v>
      </c>
      <c r="AE915" s="45" t="str">
        <f t="shared" si="74"/>
        <v>Morphological</v>
      </c>
      <c r="AF915" s="56">
        <v>4</v>
      </c>
    </row>
    <row r="916" spans="1:32" ht="18" customHeight="1" x14ac:dyDescent="0.25">
      <c r="A916" s="45">
        <v>912</v>
      </c>
      <c r="B916" s="45" t="s">
        <v>60</v>
      </c>
      <c r="C916" s="45" t="s">
        <v>61</v>
      </c>
      <c r="D916" s="45" t="s">
        <v>62</v>
      </c>
      <c r="E916" s="45" t="s">
        <v>62</v>
      </c>
      <c r="F916" s="59" cm="1">
        <f t="array" ref="F916">_xlfn.IFS($G916=$G$5,F$5,$G916=$G$6,F$6,$G916=$G$7,F$7,$G916=$G$8,F$8,$G916=$G$9,F$9,$G916=$G$10,F$10,$G916=$G$11,F$11,$G916=$G$12,F$12,$G916=$G$13,F$13,$G916=$G$15,F$15,$G916=$G$16,F$16,$G916=$G$17,F$17,$G916=$G$18,F$18,$G916=$G$19,F$19,$G916=$G$20,F$20,$G916=$G$21,F$21,$G916=$G$22,F$22,$G916=$G$25,F$25,$G916=$G$26,F$26,$G916=$G$27,F$27,$G916=$G$29,F$29,$G916=$G$31,F$31,$G916=$G$32,F$32,$G916=$G$248,F$248,$G916=$G$250,F$250)</f>
        <v>8038</v>
      </c>
      <c r="G916" t="s">
        <v>84</v>
      </c>
      <c r="H916" s="60" cm="1">
        <f t="array" ref="H916">_xlfn.IFS($G916=$G$5,H$5,$G916=$G$6,H$6,$G916=$G$7,H$7,$G916=$G$8,H$8,$G916=$G$9,H$9,$G916=$G$10,H$10,$G916=$G$11,H$11,$G916=$G$12,H$12,$G916=$G$13,H$13,$G916=$G$15,H$15,$G916=$G$16,H$16,$G916=$G$17,H$17,$G916=$G$18,H$18,$G916=$G$19,H$19,$G916=$G$20,H$20,$G916=$G$21,H$21,$G916=$G$22,H$22,$G916=$G$25,H$25,$G916=$G$26,H$26,$G916=$G$27,H$27,$G916=$G$29,H$29,$G916=$G$31,H$31,$G916=$G$32,H$150,$G916=$G$248,H$248,$G916=$G$250,H$250)</f>
        <v>41.363377999999997</v>
      </c>
      <c r="I916" s="60" cm="1">
        <f t="array" ref="I916">_xlfn.IFS($G916=$G$5,I$5,$G916=$G$6,I$6,$G916=$G$7,I$7,$G916=$G$8,I$8,$G916=$G$9,I$9,$G916=$G$10,I$10,$G916=$G$11,I$11,$G916=$G$12,I$12,$G916=$G$13,I$13,$G916=$G$15,I$15,$G916=$G$16,I$16,$G916=$G$17,I$17,$G916=$G$18,I$18,$G916=$G$19,I$19,$G916=$G$20,I$20,$G916=$G$21,I$21,$G916=$G$22,I$22,$G916=$G$25,I$25,$G916=$G$26,I$26,$G916=$G$27,I$27,$G916=$G$29,I$29,$G916=$G$31,I$31,$G916=$G$32,I$150,$G916=$G$248,I$248,$G916=$G$250,I$250)</f>
        <v>2.164879</v>
      </c>
      <c r="J916" s="61" cm="1">
        <f t="array" ref="J916">_xlfn.IFS($G916=$G$5,J$5,$G916=$G$6,J$6,$G916=$G$7,J$7,$G916=$G$8,J$8,$G916=$G$9,J$9,$G916=$G$10,J$10,$G916=$G$11,J$11,$G916=$G$12,J$12,$G916=$G$13,J$13,$G916=$G$15,J$15,$G916=$G$16,J$16,$G916=$G$17,J$17,$G916=$G$18,J$18,$G916=$G$19,J$19,$G916=$G$20,J$20,$G916=$G$21,J$21,$G916=$G$22,J$22,$G916=$G$25,J$25,$G916=$G$26,J$26,$G916=$G$27,J$27,$G916=$G$29,J$29,$G916=$G$31,J$31,$G916=$G$32,J$150,$G916=$G$248,J$248,$G916=$G$250,J$250)</f>
        <v>185</v>
      </c>
      <c r="K916" t="str" cm="1">
        <f t="array" ref="K916">_xlfn.IFS($G916=$G$5,K$5,$G916=$G$6,K$6,$G916=$G$7,K$7,$G916=$G$8,K$8,$G916=$G$9,K$9,$G916=$G$10,K$10,$G916=$G$11,K$11,$G916=$G$12,K$12,$G916=$G$13,K$13,$G916=$G$15,K$15,$G916=$G$16,K$16,$G916=$G$17,K$17,$G916=$G$18,K$18,$G916=$G$19,K$19,$G916=$G$20,K$20,$G916=$G$21,K$21,$G916=$G$22,K$22,$G916=$G$25,K$25,$G916=$G$26,K$26,$G916=$G$27,K$27,$G916=$G$29,K$29,$G916=$G$31,K$31,$G916=$G$32,K$150,$G916=$G$248,K$248,$G916=$G$250,K$250)</f>
        <v>BG sentinel + BG lure7</v>
      </c>
      <c r="O916" s="69" t="str">
        <f t="shared" si="54"/>
        <v>A_SP_BCN_12_211014</v>
      </c>
      <c r="P916" s="64">
        <v>44483</v>
      </c>
      <c r="R916" s="72"/>
      <c r="S916" s="64">
        <v>44490</v>
      </c>
      <c r="U916" s="72"/>
      <c r="V916" s="54" t="s">
        <v>66</v>
      </c>
      <c r="X916" s="69">
        <f t="shared" si="76"/>
        <v>7</v>
      </c>
      <c r="Z916" s="45" t="s">
        <v>80</v>
      </c>
      <c r="AA916" s="69">
        <f t="shared" si="75"/>
        <v>1</v>
      </c>
      <c r="AB916" t="str">
        <f t="shared" si="73"/>
        <v>Adult</v>
      </c>
      <c r="AC916" s="69">
        <v>0</v>
      </c>
      <c r="AD916" s="69">
        <v>1</v>
      </c>
      <c r="AE916" s="45" t="str">
        <f t="shared" si="74"/>
        <v>Morphological</v>
      </c>
      <c r="AF916" s="56">
        <v>4</v>
      </c>
    </row>
    <row r="917" spans="1:32" ht="18" customHeight="1" x14ac:dyDescent="0.25">
      <c r="A917" s="45">
        <v>913</v>
      </c>
      <c r="B917" s="45" t="s">
        <v>60</v>
      </c>
      <c r="C917" s="45" t="s">
        <v>61</v>
      </c>
      <c r="D917" s="45" t="s">
        <v>62</v>
      </c>
      <c r="E917" s="45" t="s">
        <v>62</v>
      </c>
      <c r="F917" s="59" cm="1">
        <f t="array" ref="F917">_xlfn.IFS($G917=$G$5,F$5,$G917=$G$6,F$6,$G917=$G$7,F$7,$G917=$G$8,F$8,$G917=$G$9,F$9,$G917=$G$10,F$10,$G917=$G$11,F$11,$G917=$G$12,F$12,$G917=$G$13,F$13,$G917=$G$15,F$15,$G917=$G$16,F$16,$G917=$G$17,F$17,$G917=$G$18,F$18,$G917=$G$19,F$19,$G917=$G$20,F$20,$G917=$G$21,F$21,$G917=$G$22,F$22,$G917=$G$25,F$25,$G917=$G$26,F$26,$G917=$G$27,F$27,$G917=$G$29,F$29,$G917=$G$31,F$31,$G917=$G$32,F$32,$G917=$G$248,F$248,$G917=$G$250,F$250)</f>
        <v>8035</v>
      </c>
      <c r="G917" t="s">
        <v>85</v>
      </c>
      <c r="H917" s="60" cm="1">
        <f t="array" ref="H917">_xlfn.IFS($G917=$G$5,H$5,$G917=$G$6,H$6,$G917=$G$7,H$7,$G917=$G$8,H$8,$G917=$G$9,H$9,$G917=$G$10,H$10,$G917=$G$11,H$11,$G917=$G$12,H$12,$G917=$G$13,H$13,$G917=$G$15,H$15,$G917=$G$16,H$16,$G917=$G$17,H$17,$G917=$G$18,H$18,$G917=$G$19,H$19,$G917=$G$20,H$20,$G917=$G$21,H$21,$G917=$G$22,H$22,$G917=$G$25,H$25,$G917=$G$26,H$26,$G917=$G$27,H$27,$G917=$G$29,H$29,$G917=$G$31,H$31,$G917=$G$32,H$150,$G917=$G$248,H$248,$G917=$G$250,H$250)</f>
        <v>41.434472</v>
      </c>
      <c r="I917" s="60" cm="1">
        <f t="array" ref="I917">_xlfn.IFS($G917=$G$5,I$5,$G917=$G$6,I$6,$G917=$G$7,I$7,$G917=$G$8,I$8,$G917=$G$9,I$9,$G917=$G$10,I$10,$G917=$G$11,I$11,$G917=$G$12,I$12,$G917=$G$13,I$13,$G917=$G$15,I$15,$G917=$G$16,I$16,$G917=$G$17,I$17,$G917=$G$18,I$18,$G917=$G$19,I$19,$G917=$G$20,I$20,$G917=$G$21,I$21,$G917=$G$22,I$22,$G917=$G$25,I$25,$G917=$G$26,I$26,$G917=$G$27,I$27,$G917=$G$29,I$29,$G917=$G$31,I$31,$G917=$G$32,I$150,$G917=$G$248,I$248,$G917=$G$250,I$250)</f>
        <v>2.1315789999999999</v>
      </c>
      <c r="J917" s="61" cm="1">
        <f t="array" ref="J917">_xlfn.IFS($G917=$G$5,J$5,$G917=$G$6,J$6,$G917=$G$7,J$7,$G917=$G$8,J$8,$G917=$G$9,J$9,$G917=$G$10,J$10,$G917=$G$11,J$11,$G917=$G$12,J$12,$G917=$G$13,J$13,$G917=$G$15,J$15,$G917=$G$16,J$16,$G917=$G$17,J$17,$G917=$G$18,J$18,$G917=$G$19,J$19,$G917=$G$20,J$20,$G917=$G$21,J$21,$G917=$G$22,J$22,$G917=$G$25,J$25,$G917=$G$26,J$26,$G917=$G$27,J$27,$G917=$G$29,J$29,$G917=$G$31,J$31,$G917=$G$32,J$150,$G917=$G$248,J$248,$G917=$G$250,J$250)</f>
        <v>365</v>
      </c>
      <c r="K917" t="str" cm="1">
        <f t="array" ref="K917">_xlfn.IFS($G917=$G$5,K$5,$G917=$G$6,K$6,$G917=$G$7,K$7,$G917=$G$8,K$8,$G917=$G$9,K$9,$G917=$G$10,K$10,$G917=$G$11,K$11,$G917=$G$12,K$12,$G917=$G$13,K$13,$G917=$G$15,K$15,$G917=$G$16,K$16,$G917=$G$17,K$17,$G917=$G$18,K$18,$G917=$G$19,K$19,$G917=$G$20,K$20,$G917=$G$21,K$21,$G917=$G$22,K$22,$G917=$G$25,K$25,$G917=$G$26,K$26,$G917=$G$27,K$27,$G917=$G$29,K$29,$G917=$G$31,K$31,$G917=$G$32,K$150,$G917=$G$248,K$248,$G917=$G$250,K$250)</f>
        <v>BG sentinel + BG lure7</v>
      </c>
      <c r="O917" s="69" t="str">
        <f t="shared" si="54"/>
        <v>A_SP_BCN_13_211013</v>
      </c>
      <c r="P917" s="64">
        <v>44482</v>
      </c>
      <c r="R917" s="72"/>
      <c r="S917" s="64">
        <v>44489</v>
      </c>
      <c r="U917" s="72"/>
      <c r="V917" s="54" t="s">
        <v>66</v>
      </c>
      <c r="X917" s="69">
        <f t="shared" si="76"/>
        <v>7</v>
      </c>
      <c r="Z917" s="69" t="s">
        <v>69</v>
      </c>
      <c r="AA917" s="69">
        <f t="shared" si="75"/>
        <v>1</v>
      </c>
      <c r="AB917" t="str">
        <f t="shared" si="73"/>
        <v>Adult</v>
      </c>
      <c r="AC917" s="69">
        <v>1</v>
      </c>
      <c r="AD917" s="69">
        <v>0</v>
      </c>
      <c r="AE917" s="45" t="str">
        <f t="shared" si="74"/>
        <v>Morphological</v>
      </c>
      <c r="AF917" s="56">
        <v>4</v>
      </c>
    </row>
    <row r="918" spans="1:32" ht="18" customHeight="1" x14ac:dyDescent="0.25">
      <c r="A918" s="45">
        <v>914</v>
      </c>
      <c r="B918" s="45" t="s">
        <v>60</v>
      </c>
      <c r="C918" s="45" t="s">
        <v>61</v>
      </c>
      <c r="D918" s="45" t="s">
        <v>62</v>
      </c>
      <c r="E918" s="45" t="s">
        <v>62</v>
      </c>
      <c r="F918" s="59" cm="1">
        <f t="array" ref="F918">_xlfn.IFS($G918=$G$5,F$5,$G918=$G$6,F$6,$G918=$G$7,F$7,$G918=$G$8,F$8,$G918=$G$9,F$9,$G918=$G$10,F$10,$G918=$G$11,F$11,$G918=$G$12,F$12,$G918=$G$13,F$13,$G918=$G$15,F$15,$G918=$G$16,F$16,$G918=$G$17,F$17,$G918=$G$18,F$18,$G918=$G$19,F$19,$G918=$G$20,F$20,$G918=$G$21,F$21,$G918=$G$22,F$22,$G918=$G$25,F$25,$G918=$G$26,F$26,$G918=$G$27,F$27,$G918=$G$29,F$29,$G918=$G$31,F$31,$G918=$G$32,F$32,$G918=$G$248,F$248,$G918=$G$250,F$250)</f>
        <v>8035</v>
      </c>
      <c r="G918" t="s">
        <v>85</v>
      </c>
      <c r="H918" s="60" cm="1">
        <f t="array" ref="H918">_xlfn.IFS($G918=$G$5,H$5,$G918=$G$6,H$6,$G918=$G$7,H$7,$G918=$G$8,H$8,$G918=$G$9,H$9,$G918=$G$10,H$10,$G918=$G$11,H$11,$G918=$G$12,H$12,$G918=$G$13,H$13,$G918=$G$15,H$15,$G918=$G$16,H$16,$G918=$G$17,H$17,$G918=$G$18,H$18,$G918=$G$19,H$19,$G918=$G$20,H$20,$G918=$G$21,H$21,$G918=$G$22,H$22,$G918=$G$25,H$25,$G918=$G$26,H$26,$G918=$G$27,H$27,$G918=$G$29,H$29,$G918=$G$31,H$31,$G918=$G$32,H$150,$G918=$G$248,H$248,$G918=$G$250,H$250)</f>
        <v>41.434472</v>
      </c>
      <c r="I918" s="60" cm="1">
        <f t="array" ref="I918">_xlfn.IFS($G918=$G$5,I$5,$G918=$G$6,I$6,$G918=$G$7,I$7,$G918=$G$8,I$8,$G918=$G$9,I$9,$G918=$G$10,I$10,$G918=$G$11,I$11,$G918=$G$12,I$12,$G918=$G$13,I$13,$G918=$G$15,I$15,$G918=$G$16,I$16,$G918=$G$17,I$17,$G918=$G$18,I$18,$G918=$G$19,I$19,$G918=$G$20,I$20,$G918=$G$21,I$21,$G918=$G$22,I$22,$G918=$G$25,I$25,$G918=$G$26,I$26,$G918=$G$27,I$27,$G918=$G$29,I$29,$G918=$G$31,I$31,$G918=$G$32,I$150,$G918=$G$248,I$248,$G918=$G$250,I$250)</f>
        <v>2.1315789999999999</v>
      </c>
      <c r="J918" s="61" cm="1">
        <f t="array" ref="J918">_xlfn.IFS($G918=$G$5,J$5,$G918=$G$6,J$6,$G918=$G$7,J$7,$G918=$G$8,J$8,$G918=$G$9,J$9,$G918=$G$10,J$10,$G918=$G$11,J$11,$G918=$G$12,J$12,$G918=$G$13,J$13,$G918=$G$15,J$15,$G918=$G$16,J$16,$G918=$G$17,J$17,$G918=$G$18,J$18,$G918=$G$19,J$19,$G918=$G$20,J$20,$G918=$G$21,J$21,$G918=$G$22,J$22,$G918=$G$25,J$25,$G918=$G$26,J$26,$G918=$G$27,J$27,$G918=$G$29,J$29,$G918=$G$31,J$31,$G918=$G$32,J$150,$G918=$G$248,J$248,$G918=$G$250,J$250)</f>
        <v>365</v>
      </c>
      <c r="K918" t="str" cm="1">
        <f t="array" ref="K918">_xlfn.IFS($G918=$G$5,K$5,$G918=$G$6,K$6,$G918=$G$7,K$7,$G918=$G$8,K$8,$G918=$G$9,K$9,$G918=$G$10,K$10,$G918=$G$11,K$11,$G918=$G$12,K$12,$G918=$G$13,K$13,$G918=$G$15,K$15,$G918=$G$16,K$16,$G918=$G$17,K$17,$G918=$G$18,K$18,$G918=$G$19,K$19,$G918=$G$20,K$20,$G918=$G$21,K$21,$G918=$G$22,K$22,$G918=$G$25,K$25,$G918=$G$26,K$26,$G918=$G$27,K$27,$G918=$G$29,K$29,$G918=$G$31,K$31,$G918=$G$32,K$150,$G918=$G$248,K$248,$G918=$G$250,K$250)</f>
        <v>BG sentinel + BG lure7</v>
      </c>
      <c r="O918" s="69" t="str">
        <f t="shared" si="54"/>
        <v>A_SP_BCN_13_211013</v>
      </c>
      <c r="P918" s="64">
        <v>44482</v>
      </c>
      <c r="R918" s="72"/>
      <c r="S918" s="64">
        <v>44489</v>
      </c>
      <c r="U918" s="72"/>
      <c r="V918" s="54" t="s">
        <v>66</v>
      </c>
      <c r="X918" s="69">
        <f t="shared" si="76"/>
        <v>7</v>
      </c>
      <c r="Z918" s="45" t="s">
        <v>70</v>
      </c>
      <c r="AA918" s="69">
        <f t="shared" si="75"/>
        <v>1</v>
      </c>
      <c r="AB918" t="str">
        <f t="shared" si="73"/>
        <v>Adult</v>
      </c>
      <c r="AC918" s="69">
        <v>1</v>
      </c>
      <c r="AD918" s="69">
        <v>0</v>
      </c>
      <c r="AE918" s="45" t="str">
        <f t="shared" si="74"/>
        <v>Morphological</v>
      </c>
      <c r="AF918" s="56">
        <v>4</v>
      </c>
    </row>
    <row r="919" spans="1:32" ht="18" customHeight="1" x14ac:dyDescent="0.25">
      <c r="A919" s="45">
        <v>915</v>
      </c>
      <c r="B919" s="45" t="s">
        <v>60</v>
      </c>
      <c r="C919" s="45" t="s">
        <v>61</v>
      </c>
      <c r="D919" s="45" t="s">
        <v>62</v>
      </c>
      <c r="E919" s="45" t="s">
        <v>62</v>
      </c>
      <c r="F919" s="59" cm="1">
        <f t="array" ref="F919">_xlfn.IFS($G919=$G$5,F$5,$G919=$G$6,F$6,$G919=$G$7,F$7,$G919=$G$8,F$8,$G919=$G$9,F$9,$G919=$G$10,F$10,$G919=$G$11,F$11,$G919=$G$12,F$12,$G919=$G$13,F$13,$G919=$G$15,F$15,$G919=$G$16,F$16,$G919=$G$17,F$17,$G919=$G$18,F$18,$G919=$G$19,F$19,$G919=$G$20,F$20,$G919=$G$21,F$21,$G919=$G$22,F$22,$G919=$G$25,F$25,$G919=$G$26,F$26,$G919=$G$27,F$27,$G919=$G$29,F$29,$G919=$G$31,F$31,$G919=$G$32,F$32,$G919=$G$248,F$248,$G919=$G$250,F$250)</f>
        <v>8035</v>
      </c>
      <c r="G919" t="s">
        <v>85</v>
      </c>
      <c r="H919" s="60" cm="1">
        <f t="array" ref="H919">_xlfn.IFS($G919=$G$5,H$5,$G919=$G$6,H$6,$G919=$G$7,H$7,$G919=$G$8,H$8,$G919=$G$9,H$9,$G919=$G$10,H$10,$G919=$G$11,H$11,$G919=$G$12,H$12,$G919=$G$13,H$13,$G919=$G$15,H$15,$G919=$G$16,H$16,$G919=$G$17,H$17,$G919=$G$18,H$18,$G919=$G$19,H$19,$G919=$G$20,H$20,$G919=$G$21,H$21,$G919=$G$22,H$22,$G919=$G$25,H$25,$G919=$G$26,H$26,$G919=$G$27,H$27,$G919=$G$29,H$29,$G919=$G$31,H$31,$G919=$G$32,H$150,$G919=$G$248,H$248,$G919=$G$250,H$250)</f>
        <v>41.434472</v>
      </c>
      <c r="I919" s="60" cm="1">
        <f t="array" ref="I919">_xlfn.IFS($G919=$G$5,I$5,$G919=$G$6,I$6,$G919=$G$7,I$7,$G919=$G$8,I$8,$G919=$G$9,I$9,$G919=$G$10,I$10,$G919=$G$11,I$11,$G919=$G$12,I$12,$G919=$G$13,I$13,$G919=$G$15,I$15,$G919=$G$16,I$16,$G919=$G$17,I$17,$G919=$G$18,I$18,$G919=$G$19,I$19,$G919=$G$20,I$20,$G919=$G$21,I$21,$G919=$G$22,I$22,$G919=$G$25,I$25,$G919=$G$26,I$26,$G919=$G$27,I$27,$G919=$G$29,I$29,$G919=$G$31,I$31,$G919=$G$32,I$150,$G919=$G$248,I$248,$G919=$G$250,I$250)</f>
        <v>2.1315789999999999</v>
      </c>
      <c r="J919" s="61" cm="1">
        <f t="array" ref="J919">_xlfn.IFS($G919=$G$5,J$5,$G919=$G$6,J$6,$G919=$G$7,J$7,$G919=$G$8,J$8,$G919=$G$9,J$9,$G919=$G$10,J$10,$G919=$G$11,J$11,$G919=$G$12,J$12,$G919=$G$13,J$13,$G919=$G$15,J$15,$G919=$G$16,J$16,$G919=$G$17,J$17,$G919=$G$18,J$18,$G919=$G$19,J$19,$G919=$G$20,J$20,$G919=$G$21,J$21,$G919=$G$22,J$22,$G919=$G$25,J$25,$G919=$G$26,J$26,$G919=$G$27,J$27,$G919=$G$29,J$29,$G919=$G$31,J$31,$G919=$G$32,J$150,$G919=$G$248,J$248,$G919=$G$250,J$250)</f>
        <v>365</v>
      </c>
      <c r="K919" t="str" cm="1">
        <f t="array" ref="K919">_xlfn.IFS($G919=$G$5,K$5,$G919=$G$6,K$6,$G919=$G$7,K$7,$G919=$G$8,K$8,$G919=$G$9,K$9,$G919=$G$10,K$10,$G919=$G$11,K$11,$G919=$G$12,K$12,$G919=$G$13,K$13,$G919=$G$15,K$15,$G919=$G$16,K$16,$G919=$G$17,K$17,$G919=$G$18,K$18,$G919=$G$19,K$19,$G919=$G$20,K$20,$G919=$G$21,K$21,$G919=$G$22,K$22,$G919=$G$25,K$25,$G919=$G$26,K$26,$G919=$G$27,K$27,$G919=$G$29,K$29,$G919=$G$31,K$31,$G919=$G$32,K$150,$G919=$G$248,K$248,$G919=$G$250,K$250)</f>
        <v>BG sentinel + BG lure7</v>
      </c>
      <c r="O919" s="69" t="str">
        <f t="shared" si="54"/>
        <v>A_SP_BCN_13_211013</v>
      </c>
      <c r="P919" s="64">
        <v>44482</v>
      </c>
      <c r="R919" s="72"/>
      <c r="S919" s="64">
        <v>44489</v>
      </c>
      <c r="U919" s="72"/>
      <c r="V919" s="54" t="s">
        <v>66</v>
      </c>
      <c r="X919" s="69">
        <f t="shared" si="76"/>
        <v>7</v>
      </c>
      <c r="Z919" s="45" t="s">
        <v>80</v>
      </c>
      <c r="AA919" s="69">
        <f t="shared" si="75"/>
        <v>1</v>
      </c>
      <c r="AB919" t="str">
        <f t="shared" si="73"/>
        <v>Adult</v>
      </c>
      <c r="AC919" s="69">
        <v>1</v>
      </c>
      <c r="AD919" s="69">
        <v>0</v>
      </c>
      <c r="AE919" s="45" t="str">
        <f t="shared" si="74"/>
        <v>Morphological</v>
      </c>
      <c r="AF919" s="56">
        <v>4</v>
      </c>
    </row>
    <row r="920" spans="1:32" ht="18" customHeight="1" x14ac:dyDescent="0.25">
      <c r="A920" s="45">
        <v>916</v>
      </c>
      <c r="B920" s="45" t="s">
        <v>60</v>
      </c>
      <c r="C920" s="45" t="s">
        <v>61</v>
      </c>
      <c r="D920" s="45" t="s">
        <v>62</v>
      </c>
      <c r="E920" s="45" t="s">
        <v>62</v>
      </c>
      <c r="F920" s="59" cm="1">
        <f t="array" ref="F920">_xlfn.IFS($G920=$G$5,F$5,$G920=$G$6,F$6,$G920=$G$7,F$7,$G920=$G$8,F$8,$G920=$G$9,F$9,$G920=$G$10,F$10,$G920=$G$11,F$11,$G920=$G$12,F$12,$G920=$G$13,F$13,$G920=$G$15,F$15,$G920=$G$16,F$16,$G920=$G$17,F$17,$G920=$G$18,F$18,$G920=$G$19,F$19,$G920=$G$20,F$20,$G920=$G$21,F$21,$G920=$G$22,F$22,$G920=$G$25,F$25,$G920=$G$26,F$26,$G920=$G$27,F$27,$G920=$G$29,F$29,$G920=$G$31,F$31,$G920=$G$32,F$32,$G920=$G$248,F$248,$G920=$G$250,F$250)</f>
        <v>8017</v>
      </c>
      <c r="G920" t="s">
        <v>86</v>
      </c>
      <c r="H920" s="60" cm="1">
        <f t="array" ref="H920">_xlfn.IFS($G920=$G$5,H$5,$G920=$G$6,H$6,$G920=$G$7,H$7,$G920=$G$8,H$8,$G920=$G$9,H$9,$G920=$G$10,H$10,$G920=$G$11,H$11,$G920=$G$12,H$12,$G920=$G$13,H$13,$G920=$G$15,H$15,$G920=$G$16,H$16,$G920=$G$17,H$17,$G920=$G$18,H$18,$G920=$G$19,H$19,$G920=$G$20,H$20,$G920=$G$21,H$21,$G920=$G$22,H$22,$G920=$G$25,H$25,$G920=$G$26,H$26,$G920=$G$27,H$27,$G920=$G$29,H$29,$G920=$G$31,H$31,$G920=$G$32,H$150,$G920=$G$248,H$248,$G920=$G$250,H$250)</f>
        <v>41.428533999999999</v>
      </c>
      <c r="I920" s="60" cm="1">
        <f t="array" ref="I920">_xlfn.IFS($G920=$G$5,I$5,$G920=$G$6,I$6,$G920=$G$7,I$7,$G920=$G$8,I$8,$G920=$G$9,I$9,$G920=$G$10,I$10,$G920=$G$11,I$11,$G920=$G$12,I$12,$G920=$G$13,I$13,$G920=$G$15,I$15,$G920=$G$16,I$16,$G920=$G$17,I$17,$G920=$G$18,I$18,$G920=$G$19,I$19,$G920=$G$20,I$20,$G920=$G$21,I$21,$G920=$G$22,I$22,$G920=$G$25,I$25,$G920=$G$26,I$26,$G920=$G$27,I$27,$G920=$G$29,I$29,$G920=$G$31,I$31,$G920=$G$32,I$150,$G920=$G$248,I$248,$G920=$G$250,I$250)</f>
        <v>2.090954</v>
      </c>
      <c r="J920" s="61" cm="1">
        <f t="array" ref="J920">_xlfn.IFS($G920=$G$5,J$5,$G920=$G$6,J$6,$G920=$G$7,J$7,$G920=$G$8,J$8,$G920=$G$9,J$9,$G920=$G$10,J$10,$G920=$G$11,J$11,$G920=$G$12,J$12,$G920=$G$13,J$13,$G920=$G$15,J$15,$G920=$G$16,J$16,$G920=$G$17,J$17,$G920=$G$18,J$18,$G920=$G$19,J$19,$G920=$G$20,J$20,$G920=$G$21,J$21,$G920=$G$22,J$22,$G920=$G$25,J$25,$G920=$G$26,J$26,$G920=$G$27,J$27,$G920=$G$29,J$29,$G920=$G$31,J$31,$G920=$G$32,J$150,$G920=$G$248,J$248,$G920=$G$250,J$250)</f>
        <v>215</v>
      </c>
      <c r="K920" t="str" cm="1">
        <f t="array" ref="K920">_xlfn.IFS($G920=$G$5,K$5,$G920=$G$6,K$6,$G920=$G$7,K$7,$G920=$G$8,K$8,$G920=$G$9,K$9,$G920=$G$10,K$10,$G920=$G$11,K$11,$G920=$G$12,K$12,$G920=$G$13,K$13,$G920=$G$15,K$15,$G920=$G$16,K$16,$G920=$G$17,K$17,$G920=$G$18,K$18,$G920=$G$19,K$19,$G920=$G$20,K$20,$G920=$G$21,K$21,$G920=$G$22,K$22,$G920=$G$25,K$25,$G920=$G$26,K$26,$G920=$G$27,K$27,$G920=$G$29,K$29,$G920=$G$31,K$31,$G920=$G$32,K$150,$G920=$G$248,K$248,$G920=$G$250,K$250)</f>
        <v>BG sentinel + BG lure7</v>
      </c>
      <c r="O920" s="69" t="str">
        <f t="shared" ref="O920:O983" si="77">G920&amp;"_"&amp;TEXT(P920, "AAMMDD")</f>
        <v>A_SP_BCN_14_211013</v>
      </c>
      <c r="P920" s="64">
        <v>44482</v>
      </c>
      <c r="R920" s="72"/>
      <c r="S920" s="64">
        <v>44489</v>
      </c>
      <c r="U920" s="72"/>
      <c r="V920" s="54" t="s">
        <v>66</v>
      </c>
      <c r="W920" t="s">
        <v>165</v>
      </c>
      <c r="X920" s="69">
        <f t="shared" si="76"/>
        <v>7</v>
      </c>
      <c r="Z920" s="69" t="s">
        <v>69</v>
      </c>
      <c r="AA920" s="69">
        <f t="shared" si="75"/>
        <v>6</v>
      </c>
      <c r="AB920" t="str">
        <f t="shared" si="73"/>
        <v>Adult</v>
      </c>
      <c r="AC920" s="69">
        <v>6</v>
      </c>
      <c r="AD920" s="81">
        <v>0</v>
      </c>
      <c r="AE920" s="45" t="str">
        <f t="shared" si="74"/>
        <v>Morphological</v>
      </c>
      <c r="AF920" s="56">
        <v>4</v>
      </c>
    </row>
    <row r="921" spans="1:32" ht="18" customHeight="1" x14ac:dyDescent="0.25">
      <c r="A921" s="45">
        <v>917</v>
      </c>
      <c r="B921" s="45" t="s">
        <v>60</v>
      </c>
      <c r="C921" s="45" t="s">
        <v>61</v>
      </c>
      <c r="D921" s="45" t="s">
        <v>62</v>
      </c>
      <c r="E921" s="45" t="s">
        <v>62</v>
      </c>
      <c r="F921" s="59" cm="1">
        <f t="array" ref="F921">_xlfn.IFS($G921=$G$5,F$5,$G921=$G$6,F$6,$G921=$G$7,F$7,$G921=$G$8,F$8,$G921=$G$9,F$9,$G921=$G$10,F$10,$G921=$G$11,F$11,$G921=$G$12,F$12,$G921=$G$13,F$13,$G921=$G$15,F$15,$G921=$G$16,F$16,$G921=$G$17,F$17,$G921=$G$18,F$18,$G921=$G$19,F$19,$G921=$G$20,F$20,$G921=$G$21,F$21,$G921=$G$22,F$22,$G921=$G$25,F$25,$G921=$G$26,F$26,$G921=$G$27,F$27,$G921=$G$29,F$29,$G921=$G$31,F$31,$G921=$G$32,F$32,$G921=$G$248,F$248,$G921=$G$250,F$250)</f>
        <v>8017</v>
      </c>
      <c r="G921" t="s">
        <v>86</v>
      </c>
      <c r="H921" s="60" cm="1">
        <f t="array" ref="H921">_xlfn.IFS($G921=$G$5,H$5,$G921=$G$6,H$6,$G921=$G$7,H$7,$G921=$G$8,H$8,$G921=$G$9,H$9,$G921=$G$10,H$10,$G921=$G$11,H$11,$G921=$G$12,H$12,$G921=$G$13,H$13,$G921=$G$15,H$15,$G921=$G$16,H$16,$G921=$G$17,H$17,$G921=$G$18,H$18,$G921=$G$19,H$19,$G921=$G$20,H$20,$G921=$G$21,H$21,$G921=$G$22,H$22,$G921=$G$25,H$25,$G921=$G$26,H$26,$G921=$G$27,H$27,$G921=$G$29,H$29,$G921=$G$31,H$31,$G921=$G$32,H$150,$G921=$G$248,H$248,$G921=$G$250,H$250)</f>
        <v>41.428533999999999</v>
      </c>
      <c r="I921" s="60" cm="1">
        <f t="array" ref="I921">_xlfn.IFS($G921=$G$5,I$5,$G921=$G$6,I$6,$G921=$G$7,I$7,$G921=$G$8,I$8,$G921=$G$9,I$9,$G921=$G$10,I$10,$G921=$G$11,I$11,$G921=$G$12,I$12,$G921=$G$13,I$13,$G921=$G$15,I$15,$G921=$G$16,I$16,$G921=$G$17,I$17,$G921=$G$18,I$18,$G921=$G$19,I$19,$G921=$G$20,I$20,$G921=$G$21,I$21,$G921=$G$22,I$22,$G921=$G$25,I$25,$G921=$G$26,I$26,$G921=$G$27,I$27,$G921=$G$29,I$29,$G921=$G$31,I$31,$G921=$G$32,I$150,$G921=$G$248,I$248,$G921=$G$250,I$250)</f>
        <v>2.090954</v>
      </c>
      <c r="J921" s="61" cm="1">
        <f t="array" ref="J921">_xlfn.IFS($G921=$G$5,J$5,$G921=$G$6,J$6,$G921=$G$7,J$7,$G921=$G$8,J$8,$G921=$G$9,J$9,$G921=$G$10,J$10,$G921=$G$11,J$11,$G921=$G$12,J$12,$G921=$G$13,J$13,$G921=$G$15,J$15,$G921=$G$16,J$16,$G921=$G$17,J$17,$G921=$G$18,J$18,$G921=$G$19,J$19,$G921=$G$20,J$20,$G921=$G$21,J$21,$G921=$G$22,J$22,$G921=$G$25,J$25,$G921=$G$26,J$26,$G921=$G$27,J$27,$G921=$G$29,J$29,$G921=$G$31,J$31,$G921=$G$32,J$150,$G921=$G$248,J$248,$G921=$G$250,J$250)</f>
        <v>215</v>
      </c>
      <c r="K921" t="str" cm="1">
        <f t="array" ref="K921">_xlfn.IFS($G921=$G$5,K$5,$G921=$G$6,K$6,$G921=$G$7,K$7,$G921=$G$8,K$8,$G921=$G$9,K$9,$G921=$G$10,K$10,$G921=$G$11,K$11,$G921=$G$12,K$12,$G921=$G$13,K$13,$G921=$G$15,K$15,$G921=$G$16,K$16,$G921=$G$17,K$17,$G921=$G$18,K$18,$G921=$G$19,K$19,$G921=$G$20,K$20,$G921=$G$21,K$21,$G921=$G$22,K$22,$G921=$G$25,K$25,$G921=$G$26,K$26,$G921=$G$27,K$27,$G921=$G$29,K$29,$G921=$G$31,K$31,$G921=$G$32,K$150,$G921=$G$248,K$248,$G921=$G$250,K$250)</f>
        <v>BG sentinel + BG lure7</v>
      </c>
      <c r="O921" s="69" t="str">
        <f t="shared" si="77"/>
        <v>A_SP_BCN_14_211013</v>
      </c>
      <c r="P921" s="64">
        <v>44482</v>
      </c>
      <c r="R921" s="72"/>
      <c r="S921" s="64">
        <v>44489</v>
      </c>
      <c r="U921" s="72"/>
      <c r="V921" s="54" t="s">
        <v>66</v>
      </c>
      <c r="W921" t="s">
        <v>165</v>
      </c>
      <c r="X921" s="69">
        <f t="shared" si="76"/>
        <v>7</v>
      </c>
      <c r="Z921" s="45" t="s">
        <v>70</v>
      </c>
      <c r="AA921" s="69">
        <f t="shared" si="75"/>
        <v>2</v>
      </c>
      <c r="AB921" t="str">
        <f t="shared" si="73"/>
        <v>Adult</v>
      </c>
      <c r="AC921" s="69">
        <v>1</v>
      </c>
      <c r="AD921" s="69">
        <v>1</v>
      </c>
      <c r="AE921" s="45" t="str">
        <f t="shared" si="74"/>
        <v>Morphological</v>
      </c>
      <c r="AF921" s="56">
        <v>4</v>
      </c>
    </row>
    <row r="922" spans="1:32" ht="18" customHeight="1" x14ac:dyDescent="0.25">
      <c r="A922" s="45">
        <v>918</v>
      </c>
      <c r="B922" s="45" t="s">
        <v>60</v>
      </c>
      <c r="C922" s="45" t="s">
        <v>61</v>
      </c>
      <c r="D922" s="45" t="s">
        <v>62</v>
      </c>
      <c r="E922" s="45" t="s">
        <v>62</v>
      </c>
      <c r="F922" s="59" cm="1">
        <f t="array" ref="F922">_xlfn.IFS($G922=$G$5,F$5,$G922=$G$6,F$6,$G922=$G$7,F$7,$G922=$G$8,F$8,$G922=$G$9,F$9,$G922=$G$10,F$10,$G922=$G$11,F$11,$G922=$G$12,F$12,$G922=$G$13,F$13,$G922=$G$15,F$15,$G922=$G$16,F$16,$G922=$G$17,F$17,$G922=$G$18,F$18,$G922=$G$19,F$19,$G922=$G$20,F$20,$G922=$G$21,F$21,$G922=$G$22,F$22,$G922=$G$25,F$25,$G922=$G$26,F$26,$G922=$G$27,F$27,$G922=$G$29,F$29,$G922=$G$31,F$31,$G922=$G$32,F$32,$G922=$G$248,F$248,$G922=$G$250,F$250)</f>
        <v>8017</v>
      </c>
      <c r="G922" t="s">
        <v>87</v>
      </c>
      <c r="H922" s="60" cm="1">
        <f t="array" ref="H922">_xlfn.IFS($G922=$G$5,H$5,$G922=$G$6,H$6,$G922=$G$7,H$7,$G922=$G$8,H$8,$G922=$G$9,H$9,$G922=$G$10,H$10,$G922=$G$11,H$11,$G922=$G$12,H$12,$G922=$G$13,H$13,$G922=$G$15,H$15,$G922=$G$16,H$16,$G922=$G$17,H$17,$G922=$G$18,H$18,$G922=$G$19,H$19,$G922=$G$20,H$20,$G922=$G$21,H$21,$G922=$G$22,H$22,$G922=$G$25,H$25,$G922=$G$26,H$26,$G922=$G$27,H$27,$G922=$G$29,H$29,$G922=$G$31,H$31,$G922=$G$32,H$150,$G922=$G$248,H$248,$G922=$G$250,H$250)</f>
        <v>41.419471000000001</v>
      </c>
      <c r="I922" s="60" cm="1">
        <f t="array" ref="I922">_xlfn.IFS($G922=$G$5,I$5,$G922=$G$6,I$6,$G922=$G$7,I$7,$G922=$G$8,I$8,$G922=$G$9,I$9,$G922=$G$10,I$10,$G922=$G$11,I$11,$G922=$G$12,I$12,$G922=$G$13,I$13,$G922=$G$15,I$15,$G922=$G$16,I$16,$G922=$G$17,I$17,$G922=$G$18,I$18,$G922=$G$19,I$19,$G922=$G$20,I$20,$G922=$G$21,I$21,$G922=$G$22,I$22,$G922=$G$25,I$25,$G922=$G$26,I$26,$G922=$G$27,I$27,$G922=$G$29,I$29,$G922=$G$31,I$31,$G922=$G$32,I$150,$G922=$G$248,I$248,$G922=$G$250,I$250)</f>
        <v>2.1010149999999999</v>
      </c>
      <c r="J922" s="61" cm="1">
        <f t="array" ref="J922">_xlfn.IFS($G922=$G$5,J$5,$G922=$G$6,J$6,$G922=$G$7,J$7,$G922=$G$8,J$8,$G922=$G$9,J$9,$G922=$G$10,J$10,$G922=$G$11,J$11,$G922=$G$12,J$12,$G922=$G$13,J$13,$G922=$G$15,J$15,$G922=$G$16,J$16,$G922=$G$17,J$17,$G922=$G$18,J$18,$G922=$G$19,J$19,$G922=$G$20,J$20,$G922=$G$21,J$21,$G922=$G$22,J$22,$G922=$G$25,J$25,$G922=$G$26,J$26,$G922=$G$27,J$27,$G922=$G$29,J$29,$G922=$G$31,J$31,$G922=$G$32,J$150,$G922=$G$248,J$248,$G922=$G$250,J$250)</f>
        <v>284</v>
      </c>
      <c r="K922" t="str" cm="1">
        <f t="array" ref="K922">_xlfn.IFS($G922=$G$5,K$5,$G922=$G$6,K$6,$G922=$G$7,K$7,$G922=$G$8,K$8,$G922=$G$9,K$9,$G922=$G$10,K$10,$G922=$G$11,K$11,$G922=$G$12,K$12,$G922=$G$13,K$13,$G922=$G$15,K$15,$G922=$G$16,K$16,$G922=$G$17,K$17,$G922=$G$18,K$18,$G922=$G$19,K$19,$G922=$G$20,K$20,$G922=$G$21,K$21,$G922=$G$22,K$22,$G922=$G$25,K$25,$G922=$G$26,K$26,$G922=$G$27,K$27,$G922=$G$29,K$29,$G922=$G$31,K$31,$G922=$G$32,K$150,$G922=$G$248,K$248,$G922=$G$250,K$250)</f>
        <v>BG sentinel + BG lure7</v>
      </c>
      <c r="O922" s="69" t="str">
        <f t="shared" si="77"/>
        <v>A_SP_BCN_15_211013</v>
      </c>
      <c r="P922" s="64">
        <v>44482</v>
      </c>
      <c r="R922" s="72"/>
      <c r="S922" s="64">
        <v>44489</v>
      </c>
      <c r="U922" s="72"/>
      <c r="V922" s="54" t="s">
        <v>66</v>
      </c>
      <c r="X922" s="69">
        <f t="shared" si="76"/>
        <v>7</v>
      </c>
      <c r="Z922" s="69" t="s">
        <v>69</v>
      </c>
      <c r="AA922" s="69">
        <f t="shared" si="75"/>
        <v>4</v>
      </c>
      <c r="AB922" t="str">
        <f t="shared" si="73"/>
        <v>Adult</v>
      </c>
      <c r="AC922" s="69">
        <v>4</v>
      </c>
      <c r="AD922" s="69">
        <v>0</v>
      </c>
      <c r="AE922" s="45" t="str">
        <f t="shared" si="74"/>
        <v>Morphological</v>
      </c>
      <c r="AF922" s="56">
        <v>4</v>
      </c>
    </row>
    <row r="923" spans="1:32" ht="18" customHeight="1" x14ac:dyDescent="0.25">
      <c r="A923" s="45">
        <v>919</v>
      </c>
      <c r="B923" s="45" t="s">
        <v>60</v>
      </c>
      <c r="C923" s="45" t="s">
        <v>61</v>
      </c>
      <c r="D923" s="45" t="s">
        <v>62</v>
      </c>
      <c r="E923" s="45" t="s">
        <v>62</v>
      </c>
      <c r="F923" s="59" cm="1">
        <f t="array" ref="F923">_xlfn.IFS($G923=$G$5,F$5,$G923=$G$6,F$6,$G923=$G$7,F$7,$G923=$G$8,F$8,$G923=$G$9,F$9,$G923=$G$10,F$10,$G923=$G$11,F$11,$G923=$G$12,F$12,$G923=$G$13,F$13,$G923=$G$15,F$15,$G923=$G$16,F$16,$G923=$G$17,F$17,$G923=$G$18,F$18,$G923=$G$19,F$19,$G923=$G$20,F$20,$G923=$G$21,F$21,$G923=$G$22,F$22,$G923=$G$25,F$25,$G923=$G$26,F$26,$G923=$G$27,F$27,$G923=$G$29,F$29,$G923=$G$31,F$31,$G923=$G$32,F$32,$G923=$G$248,F$248,$G923=$G$250,F$250)</f>
        <v>8017</v>
      </c>
      <c r="G923" t="s">
        <v>88</v>
      </c>
      <c r="H923" s="60" cm="1">
        <f t="array" ref="H923">_xlfn.IFS($G923=$G$5,H$5,$G923=$G$6,H$6,$G923=$G$7,H$7,$G923=$G$8,H$8,$G923=$G$9,H$9,$G923=$G$10,H$10,$G923=$G$11,H$11,$G923=$G$12,H$12,$G923=$G$13,H$13,$G923=$G$15,H$15,$G923=$G$16,H$16,$G923=$G$17,H$17,$G923=$G$18,H$18,$G923=$G$19,H$19,$G923=$G$20,H$20,$G923=$G$21,H$21,$G923=$G$22,H$22,$G923=$G$25,H$25,$G923=$G$26,H$26,$G923=$G$27,H$27,$G923=$G$29,H$29,$G923=$G$31,H$31,$G923=$G$32,H$150,$G923=$G$248,H$248,$G923=$G$250,H$250)</f>
        <v>41.398387</v>
      </c>
      <c r="I923" s="60" cm="1">
        <f t="array" ref="I923">_xlfn.IFS($G923=$G$5,I$5,$G923=$G$6,I$6,$G923=$G$7,I$7,$G923=$G$8,I$8,$G923=$G$9,I$9,$G923=$G$10,I$10,$G923=$G$11,I$11,$G923=$G$12,I$12,$G923=$G$13,I$13,$G923=$G$15,I$15,$G923=$G$16,I$16,$G923=$G$17,I$17,$G923=$G$18,I$18,$G923=$G$19,I$19,$G923=$G$20,I$20,$G923=$G$21,I$21,$G923=$G$22,I$22,$G923=$G$25,I$25,$G923=$G$26,I$26,$G923=$G$27,I$27,$G923=$G$29,I$29,$G923=$G$31,I$31,$G923=$G$32,I$150,$G923=$G$248,I$248,$G923=$G$250,I$250)</f>
        <v>2.1244429999999999</v>
      </c>
      <c r="J923" s="61" cm="1">
        <f t="array" ref="J923">_xlfn.IFS($G923=$G$5,J$5,$G923=$G$6,J$6,$G923=$G$7,J$7,$G923=$G$8,J$8,$G923=$G$9,J$9,$G923=$G$10,J$10,$G923=$G$11,J$11,$G923=$G$12,J$12,$G923=$G$13,J$13,$G923=$G$15,J$15,$G923=$G$16,J$16,$G923=$G$17,J$17,$G923=$G$18,J$18,$G923=$G$19,J$19,$G923=$G$20,J$20,$G923=$G$21,J$21,$G923=$G$22,J$22,$G923=$G$25,J$25,$G923=$G$26,J$26,$G923=$G$27,J$27,$G923=$G$29,J$29,$G923=$G$31,J$31,$G923=$G$32,J$150,$G923=$G$248,J$248,$G923=$G$250,J$250)</f>
        <v>106</v>
      </c>
      <c r="K923" t="str" cm="1">
        <f t="array" ref="K923">_xlfn.IFS($G923=$G$5,K$5,$G923=$G$6,K$6,$G923=$G$7,K$7,$G923=$G$8,K$8,$G923=$G$9,K$9,$G923=$G$10,K$10,$G923=$G$11,K$11,$G923=$G$12,K$12,$G923=$G$13,K$13,$G923=$G$15,K$15,$G923=$G$16,K$16,$G923=$G$17,K$17,$G923=$G$18,K$18,$G923=$G$19,K$19,$G923=$G$20,K$20,$G923=$G$21,K$21,$G923=$G$22,K$22,$G923=$G$25,K$25,$G923=$G$26,K$26,$G923=$G$27,K$27,$G923=$G$29,K$29,$G923=$G$31,K$31,$G923=$G$32,K$150,$G923=$G$248,K$248,$G923=$G$250,K$250)</f>
        <v>BG sentinel + BG lure7</v>
      </c>
      <c r="O923" s="69" t="str">
        <f t="shared" si="77"/>
        <v>A_SP_BCN_16_211013</v>
      </c>
      <c r="P923" s="64">
        <v>44482</v>
      </c>
      <c r="R923" s="72"/>
      <c r="S923" s="64">
        <v>44489</v>
      </c>
      <c r="U923" s="72"/>
      <c r="V923" s="54" t="s">
        <v>66</v>
      </c>
      <c r="X923" s="69">
        <f t="shared" si="76"/>
        <v>7</v>
      </c>
      <c r="Z923" s="69" t="s">
        <v>69</v>
      </c>
      <c r="AA923" s="69">
        <f t="shared" si="75"/>
        <v>61</v>
      </c>
      <c r="AB923" t="str">
        <f t="shared" si="73"/>
        <v>Adult</v>
      </c>
      <c r="AC923" s="69">
        <v>36</v>
      </c>
      <c r="AD923" s="69">
        <v>25</v>
      </c>
      <c r="AE923" s="45" t="str">
        <f t="shared" si="74"/>
        <v>Morphological</v>
      </c>
      <c r="AF923" s="56">
        <v>4</v>
      </c>
    </row>
    <row r="924" spans="1:32" ht="18" customHeight="1" x14ac:dyDescent="0.25">
      <c r="A924" s="45">
        <v>920</v>
      </c>
      <c r="B924" s="45" t="s">
        <v>60</v>
      </c>
      <c r="C924" s="45" t="s">
        <v>61</v>
      </c>
      <c r="D924" s="45" t="s">
        <v>62</v>
      </c>
      <c r="E924" s="45" t="s">
        <v>62</v>
      </c>
      <c r="F924" s="59" cm="1">
        <f t="array" ref="F924">_xlfn.IFS($G924=$G$5,F$5,$G924=$G$6,F$6,$G924=$G$7,F$7,$G924=$G$8,F$8,$G924=$G$9,F$9,$G924=$G$10,F$10,$G924=$G$11,F$11,$G924=$G$12,F$12,$G924=$G$13,F$13,$G924=$G$15,F$15,$G924=$G$16,F$16,$G924=$G$17,F$17,$G924=$G$18,F$18,$G924=$G$19,F$19,$G924=$G$20,F$20,$G924=$G$21,F$21,$G924=$G$22,F$22,$G924=$G$25,F$25,$G924=$G$26,F$26,$G924=$G$27,F$27,$G924=$G$29,F$29,$G924=$G$31,F$31,$G924=$G$32,F$32,$G924=$G$248,F$248,$G924=$G$250,F$250)</f>
        <v>8017</v>
      </c>
      <c r="G924" t="s">
        <v>88</v>
      </c>
      <c r="H924" s="60" cm="1">
        <f t="array" ref="H924">_xlfn.IFS($G924=$G$5,H$5,$G924=$G$6,H$6,$G924=$G$7,H$7,$G924=$G$8,H$8,$G924=$G$9,H$9,$G924=$G$10,H$10,$G924=$G$11,H$11,$G924=$G$12,H$12,$G924=$G$13,H$13,$G924=$G$15,H$15,$G924=$G$16,H$16,$G924=$G$17,H$17,$G924=$G$18,H$18,$G924=$G$19,H$19,$G924=$G$20,H$20,$G924=$G$21,H$21,$G924=$G$22,H$22,$G924=$G$25,H$25,$G924=$G$26,H$26,$G924=$G$27,H$27,$G924=$G$29,H$29,$G924=$G$31,H$31,$G924=$G$32,H$150,$G924=$G$248,H$248,$G924=$G$250,H$250)</f>
        <v>41.398387</v>
      </c>
      <c r="I924" s="60" cm="1">
        <f t="array" ref="I924">_xlfn.IFS($G924=$G$5,I$5,$G924=$G$6,I$6,$G924=$G$7,I$7,$G924=$G$8,I$8,$G924=$G$9,I$9,$G924=$G$10,I$10,$G924=$G$11,I$11,$G924=$G$12,I$12,$G924=$G$13,I$13,$G924=$G$15,I$15,$G924=$G$16,I$16,$G924=$G$17,I$17,$G924=$G$18,I$18,$G924=$G$19,I$19,$G924=$G$20,I$20,$G924=$G$21,I$21,$G924=$G$22,I$22,$G924=$G$25,I$25,$G924=$G$26,I$26,$G924=$G$27,I$27,$G924=$G$29,I$29,$G924=$G$31,I$31,$G924=$G$32,I$150,$G924=$G$248,I$248,$G924=$G$250,I$250)</f>
        <v>2.1244429999999999</v>
      </c>
      <c r="J924" s="61" cm="1">
        <f t="array" ref="J924">_xlfn.IFS($G924=$G$5,J$5,$G924=$G$6,J$6,$G924=$G$7,J$7,$G924=$G$8,J$8,$G924=$G$9,J$9,$G924=$G$10,J$10,$G924=$G$11,J$11,$G924=$G$12,J$12,$G924=$G$13,J$13,$G924=$G$15,J$15,$G924=$G$16,J$16,$G924=$G$17,J$17,$G924=$G$18,J$18,$G924=$G$19,J$19,$G924=$G$20,J$20,$G924=$G$21,J$21,$G924=$G$22,J$22,$G924=$G$25,J$25,$G924=$G$26,J$26,$G924=$G$27,J$27,$G924=$G$29,J$29,$G924=$G$31,J$31,$G924=$G$32,J$150,$G924=$G$248,J$248,$G924=$G$250,J$250)</f>
        <v>106</v>
      </c>
      <c r="K924" t="str" cm="1">
        <f t="array" ref="K924">_xlfn.IFS($G924=$G$5,K$5,$G924=$G$6,K$6,$G924=$G$7,K$7,$G924=$G$8,K$8,$G924=$G$9,K$9,$G924=$G$10,K$10,$G924=$G$11,K$11,$G924=$G$12,K$12,$G924=$G$13,K$13,$G924=$G$15,K$15,$G924=$G$16,K$16,$G924=$G$17,K$17,$G924=$G$18,K$18,$G924=$G$19,K$19,$G924=$G$20,K$20,$G924=$G$21,K$21,$G924=$G$22,K$22,$G924=$G$25,K$25,$G924=$G$26,K$26,$G924=$G$27,K$27,$G924=$G$29,K$29,$G924=$G$31,K$31,$G924=$G$32,K$150,$G924=$G$248,K$248,$G924=$G$250,K$250)</f>
        <v>BG sentinel + BG lure7</v>
      </c>
      <c r="O924" s="69" t="str">
        <f t="shared" si="77"/>
        <v>A_SP_BCN_16_211013</v>
      </c>
      <c r="P924" s="64">
        <v>44482</v>
      </c>
      <c r="R924" s="72"/>
      <c r="S924" s="64">
        <v>44489</v>
      </c>
      <c r="U924" s="72"/>
      <c r="V924" s="54" t="s">
        <v>66</v>
      </c>
      <c r="X924" s="69">
        <f t="shared" si="76"/>
        <v>7</v>
      </c>
      <c r="Z924" s="45" t="s">
        <v>70</v>
      </c>
      <c r="AA924" s="69">
        <f t="shared" si="75"/>
        <v>10</v>
      </c>
      <c r="AB924" t="str">
        <f t="shared" si="73"/>
        <v>Adult</v>
      </c>
      <c r="AC924" s="69">
        <v>2</v>
      </c>
      <c r="AD924" s="69">
        <v>8</v>
      </c>
      <c r="AE924" s="45" t="str">
        <f t="shared" si="74"/>
        <v>Morphological</v>
      </c>
      <c r="AF924" s="56">
        <v>4</v>
      </c>
    </row>
    <row r="925" spans="1:32" ht="18" customHeight="1" x14ac:dyDescent="0.25">
      <c r="A925" s="45">
        <v>921</v>
      </c>
      <c r="B925" s="45" t="s">
        <v>60</v>
      </c>
      <c r="C925" s="45" t="s">
        <v>61</v>
      </c>
      <c r="D925" s="45" t="s">
        <v>62</v>
      </c>
      <c r="E925" s="45" t="s">
        <v>62</v>
      </c>
      <c r="F925" s="59" cm="1">
        <f t="array" ref="F925">_xlfn.IFS($G925=$G$5,F$5,$G925=$G$6,F$6,$G925=$G$7,F$7,$G925=$G$8,F$8,$G925=$G$9,F$9,$G925=$G$10,F$10,$G925=$G$11,F$11,$G925=$G$12,F$12,$G925=$G$13,F$13,$G925=$G$15,F$15,$G925=$G$16,F$16,$G925=$G$17,F$17,$G925=$G$18,F$18,$G925=$G$19,F$19,$G925=$G$20,F$20,$G925=$G$21,F$21,$G925=$G$22,F$22,$G925=$G$25,F$25,$G925=$G$26,F$26,$G925=$G$27,F$27,$G925=$G$29,F$29,$G925=$G$31,F$31,$G925=$G$32,F$32,$G925=$G$248,F$248,$G925=$G$250,F$250)</f>
        <v>8023</v>
      </c>
      <c r="G925" t="s">
        <v>89</v>
      </c>
      <c r="H925" s="60" cm="1">
        <f t="array" ref="H925">_xlfn.IFS($G925=$G$5,H$5,$G925=$G$6,H$6,$G925=$G$7,H$7,$G925=$G$8,H$8,$G925=$G$9,H$9,$G925=$G$10,H$10,$G925=$G$11,H$11,$G925=$G$12,H$12,$G925=$G$13,H$13,$G925=$G$15,H$15,$G925=$G$16,H$16,$G925=$G$17,H$17,$G925=$G$18,H$18,$G925=$G$19,H$19,$G925=$G$20,H$20,$G925=$G$21,H$21,$G925=$G$22,H$22,$G925=$G$25,H$25,$G925=$G$26,H$26,$G925=$G$27,H$27,$G925=$G$29,H$29,$G925=$G$31,H$31,$G925=$G$32,H$150,$G925=$G$248,H$248,$G925=$G$250,H$250)</f>
        <v>41.417256000000002</v>
      </c>
      <c r="I925" s="60" cm="1">
        <f t="array" ref="I925">_xlfn.IFS($G925=$G$5,I$5,$G925=$G$6,I$6,$G925=$G$7,I$7,$G925=$G$8,I$8,$G925=$G$9,I$9,$G925=$G$10,I$10,$G925=$G$11,I$11,$G925=$G$12,I$12,$G925=$G$13,I$13,$G925=$G$15,I$15,$G925=$G$16,I$16,$G925=$G$17,I$17,$G925=$G$18,I$18,$G925=$G$19,I$19,$G925=$G$20,I$20,$G925=$G$21,I$21,$G925=$G$22,I$22,$G925=$G$25,I$25,$G925=$G$26,I$26,$G925=$G$27,I$27,$G925=$G$29,I$29,$G925=$G$31,I$31,$G925=$G$32,I$150,$G925=$G$248,I$248,$G925=$G$250,I$250)</f>
        <v>2.1455709999999999</v>
      </c>
      <c r="J925" s="61" cm="1">
        <f t="array" ref="J925">_xlfn.IFS($G925=$G$5,J$5,$G925=$G$6,J$6,$G925=$G$7,J$7,$G925=$G$8,J$8,$G925=$G$9,J$9,$G925=$G$10,J$10,$G925=$G$11,J$11,$G925=$G$12,J$12,$G925=$G$13,J$13,$G925=$G$15,J$15,$G925=$G$16,J$16,$G925=$G$17,J$17,$G925=$G$18,J$18,$G925=$G$19,J$19,$G925=$G$20,J$20,$G925=$G$21,J$21,$G925=$G$22,J$22,$G925=$G$25,J$25,$G925=$G$26,J$26,$G925=$G$27,J$27,$G925=$G$29,J$29,$G925=$G$31,J$31,$G925=$G$32,J$150,$G925=$G$248,J$248,$G925=$G$250,J$250)</f>
        <v>186</v>
      </c>
      <c r="K925" t="str" cm="1">
        <f t="array" ref="K925">_xlfn.IFS($G925=$G$5,K$5,$G925=$G$6,K$6,$G925=$G$7,K$7,$G925=$G$8,K$8,$G925=$G$9,K$9,$G925=$G$10,K$10,$G925=$G$11,K$11,$G925=$G$12,K$12,$G925=$G$13,K$13,$G925=$G$15,K$15,$G925=$G$16,K$16,$G925=$G$17,K$17,$G925=$G$18,K$18,$G925=$G$19,K$19,$G925=$G$20,K$20,$G925=$G$21,K$21,$G925=$G$22,K$22,$G925=$G$25,K$25,$G925=$G$26,K$26,$G925=$G$27,K$27,$G925=$G$29,K$29,$G925=$G$31,K$31,$G925=$G$32,K$150,$G925=$G$248,K$248,$G925=$G$250,K$250)</f>
        <v>BG sentinel + BG lure7</v>
      </c>
      <c r="O925" s="69" t="str">
        <f t="shared" si="77"/>
        <v>A_SP_BCN_17_211013</v>
      </c>
      <c r="P925" s="64">
        <v>44482</v>
      </c>
      <c r="R925" s="72"/>
      <c r="S925" s="64">
        <v>44489</v>
      </c>
      <c r="U925" s="72"/>
      <c r="V925" s="54" t="s">
        <v>66</v>
      </c>
      <c r="X925" s="69">
        <f t="shared" si="76"/>
        <v>7</v>
      </c>
      <c r="Z925" s="69" t="s">
        <v>69</v>
      </c>
      <c r="AA925" s="69">
        <f t="shared" si="75"/>
        <v>2</v>
      </c>
      <c r="AB925" t="str">
        <f t="shared" si="73"/>
        <v>Adult</v>
      </c>
      <c r="AC925" s="69">
        <v>2</v>
      </c>
      <c r="AD925" s="69">
        <v>0</v>
      </c>
      <c r="AE925" s="45" t="str">
        <f t="shared" si="74"/>
        <v>Morphological</v>
      </c>
      <c r="AF925" s="56">
        <v>4</v>
      </c>
    </row>
    <row r="926" spans="1:32" ht="18" customHeight="1" x14ac:dyDescent="0.25">
      <c r="A926" s="45">
        <v>922</v>
      </c>
      <c r="B926" s="45" t="s">
        <v>60</v>
      </c>
      <c r="C926" s="45" t="s">
        <v>61</v>
      </c>
      <c r="D926" s="45" t="s">
        <v>62</v>
      </c>
      <c r="E926" s="45" t="s">
        <v>62</v>
      </c>
      <c r="F926" s="59" cm="1">
        <f t="array" ref="F926">_xlfn.IFS($G926=$G$5,F$5,$G926=$G$6,F$6,$G926=$G$7,F$7,$G926=$G$8,F$8,$G926=$G$9,F$9,$G926=$G$10,F$10,$G926=$G$11,F$11,$G926=$G$12,F$12,$G926=$G$13,F$13,$G926=$G$15,F$15,$G926=$G$16,F$16,$G926=$G$17,F$17,$G926=$G$18,F$18,$G926=$G$19,F$19,$G926=$G$20,F$20,$G926=$G$21,F$21,$G926=$G$22,F$22,$G926=$G$25,F$25,$G926=$G$26,F$26,$G926=$G$27,F$27,$G926=$G$29,F$29,$G926=$G$31,F$31,$G926=$G$32,F$32,$G926=$G$248,F$248,$G926=$G$250,F$250)</f>
        <v>8023</v>
      </c>
      <c r="G926" t="s">
        <v>89</v>
      </c>
      <c r="H926" s="60" cm="1">
        <f t="array" ref="H926">_xlfn.IFS($G926=$G$5,H$5,$G926=$G$6,H$6,$G926=$G$7,H$7,$G926=$G$8,H$8,$G926=$G$9,H$9,$G926=$G$10,H$10,$G926=$G$11,H$11,$G926=$G$12,H$12,$G926=$G$13,H$13,$G926=$G$15,H$15,$G926=$G$16,H$16,$G926=$G$17,H$17,$G926=$G$18,H$18,$G926=$G$19,H$19,$G926=$G$20,H$20,$G926=$G$21,H$21,$G926=$G$22,H$22,$G926=$G$25,H$25,$G926=$G$26,H$26,$G926=$G$27,H$27,$G926=$G$29,H$29,$G926=$G$31,H$31,$G926=$G$32,H$150,$G926=$G$248,H$248,$G926=$G$250,H$250)</f>
        <v>41.417256000000002</v>
      </c>
      <c r="I926" s="60" cm="1">
        <f t="array" ref="I926">_xlfn.IFS($G926=$G$5,I$5,$G926=$G$6,I$6,$G926=$G$7,I$7,$G926=$G$8,I$8,$G926=$G$9,I$9,$G926=$G$10,I$10,$G926=$G$11,I$11,$G926=$G$12,I$12,$G926=$G$13,I$13,$G926=$G$15,I$15,$G926=$G$16,I$16,$G926=$G$17,I$17,$G926=$G$18,I$18,$G926=$G$19,I$19,$G926=$G$20,I$20,$G926=$G$21,I$21,$G926=$G$22,I$22,$G926=$G$25,I$25,$G926=$G$26,I$26,$G926=$G$27,I$27,$G926=$G$29,I$29,$G926=$G$31,I$31,$G926=$G$32,I$150,$G926=$G$248,I$248,$G926=$G$250,I$250)</f>
        <v>2.1455709999999999</v>
      </c>
      <c r="J926" s="61" cm="1">
        <f t="array" ref="J926">_xlfn.IFS($G926=$G$5,J$5,$G926=$G$6,J$6,$G926=$G$7,J$7,$G926=$G$8,J$8,$G926=$G$9,J$9,$G926=$G$10,J$10,$G926=$G$11,J$11,$G926=$G$12,J$12,$G926=$G$13,J$13,$G926=$G$15,J$15,$G926=$G$16,J$16,$G926=$G$17,J$17,$G926=$G$18,J$18,$G926=$G$19,J$19,$G926=$G$20,J$20,$G926=$G$21,J$21,$G926=$G$22,J$22,$G926=$G$25,J$25,$G926=$G$26,J$26,$G926=$G$27,J$27,$G926=$G$29,J$29,$G926=$G$31,J$31,$G926=$G$32,J$150,$G926=$G$248,J$248,$G926=$G$250,J$250)</f>
        <v>186</v>
      </c>
      <c r="K926" t="str" cm="1">
        <f t="array" ref="K926">_xlfn.IFS($G926=$G$5,K$5,$G926=$G$6,K$6,$G926=$G$7,K$7,$G926=$G$8,K$8,$G926=$G$9,K$9,$G926=$G$10,K$10,$G926=$G$11,K$11,$G926=$G$12,K$12,$G926=$G$13,K$13,$G926=$G$15,K$15,$G926=$G$16,K$16,$G926=$G$17,K$17,$G926=$G$18,K$18,$G926=$G$19,K$19,$G926=$G$20,K$20,$G926=$G$21,K$21,$G926=$G$22,K$22,$G926=$G$25,K$25,$G926=$G$26,K$26,$G926=$G$27,K$27,$G926=$G$29,K$29,$G926=$G$31,K$31,$G926=$G$32,K$150,$G926=$G$248,K$248,$G926=$G$250,K$250)</f>
        <v>BG sentinel + BG lure7</v>
      </c>
      <c r="O926" s="69" t="str">
        <f t="shared" si="77"/>
        <v>A_SP_BCN_17_211013</v>
      </c>
      <c r="P926" s="64">
        <v>44482</v>
      </c>
      <c r="R926" s="72"/>
      <c r="S926" s="64">
        <v>44489</v>
      </c>
      <c r="U926" s="72"/>
      <c r="V926" s="54" t="s">
        <v>66</v>
      </c>
      <c r="X926" s="69">
        <f t="shared" si="76"/>
        <v>7</v>
      </c>
      <c r="Z926" s="45" t="s">
        <v>70</v>
      </c>
      <c r="AA926" s="69">
        <f t="shared" si="75"/>
        <v>1</v>
      </c>
      <c r="AB926" t="str">
        <f t="shared" si="73"/>
        <v>Adult</v>
      </c>
      <c r="AC926" s="69">
        <v>1</v>
      </c>
      <c r="AD926" s="69">
        <v>0</v>
      </c>
      <c r="AE926" s="45" t="str">
        <f t="shared" si="74"/>
        <v>Morphological</v>
      </c>
      <c r="AF926" s="56">
        <v>4</v>
      </c>
    </row>
    <row r="927" spans="1:32" ht="18" customHeight="1" x14ac:dyDescent="0.25">
      <c r="A927" s="45">
        <v>923</v>
      </c>
      <c r="B927" s="45" t="s">
        <v>60</v>
      </c>
      <c r="C927" s="45" t="s">
        <v>61</v>
      </c>
      <c r="D927" s="45" t="s">
        <v>62</v>
      </c>
      <c r="E927" s="45" t="s">
        <v>62</v>
      </c>
      <c r="F927" s="59" cm="1">
        <f t="array" ref="F927">_xlfn.IFS($G927=$G$5,F$5,$G927=$G$6,F$6,$G927=$G$7,F$7,$G927=$G$8,F$8,$G927=$G$9,F$9,$G927=$G$10,F$10,$G927=$G$11,F$11,$G927=$G$12,F$12,$G927=$G$13,F$13,$G927=$G$15,F$15,$G927=$G$16,F$16,$G927=$G$17,F$17,$G927=$G$18,F$18,$G927=$G$19,F$19,$G927=$G$20,F$20,$G927=$G$21,F$21,$G927=$G$22,F$22,$G927=$G$25,F$25,$G927=$G$26,F$26,$G927=$G$27,F$27,$G927=$G$29,F$29,$G927=$G$31,F$31,$G927=$G$32,F$32,$G927=$G$248,F$248,$G927=$G$250,F$250)</f>
        <v>8031</v>
      </c>
      <c r="G927" t="s">
        <v>92</v>
      </c>
      <c r="H927" s="60" cm="1">
        <f t="array" ref="H927">_xlfn.IFS($G927=$G$5,H$5,$G927=$G$6,H$6,$G927=$G$7,H$7,$G927=$G$8,H$8,$G927=$G$9,H$9,$G927=$G$10,H$10,$G927=$G$11,H$11,$G927=$G$12,H$12,$G927=$G$13,H$13,$G927=$G$15,H$15,$G927=$G$16,H$16,$G927=$G$17,H$17,$G927=$G$18,H$18,$G927=$G$19,H$19,$G927=$G$20,H$20,$G927=$G$21,H$21,$G927=$G$22,H$22,$G927=$G$25,H$25,$G927=$G$26,H$26,$G927=$G$27,H$27,$G927=$G$29,H$29,$G927=$G$31,H$31,$G927=$G$32,H$150,$G927=$G$248,H$248,$G927=$G$250,H$250)</f>
        <v>41.433618000000003</v>
      </c>
      <c r="I927" s="60" cm="1">
        <f t="array" ref="I927">_xlfn.IFS($G927=$G$5,I$5,$G927=$G$6,I$6,$G927=$G$7,I$7,$G927=$G$8,I$8,$G927=$G$9,I$9,$G927=$G$10,I$10,$G927=$G$11,I$11,$G927=$G$12,I$12,$G927=$G$13,I$13,$G927=$G$15,I$15,$G927=$G$16,I$16,$G927=$G$17,I$17,$G927=$G$18,I$18,$G927=$G$19,I$19,$G927=$G$20,I$20,$G927=$G$21,I$21,$G927=$G$22,I$22,$G927=$G$25,I$25,$G927=$G$26,I$26,$G927=$G$27,I$27,$G927=$G$29,I$29,$G927=$G$31,I$31,$G927=$G$32,I$150,$G927=$G$248,I$248,$G927=$G$250,I$250)</f>
        <v>2.1677469999999999</v>
      </c>
      <c r="J927" s="61" cm="1">
        <f t="array" ref="J927">_xlfn.IFS($G927=$G$5,J$5,$G927=$G$6,J$6,$G927=$G$7,J$7,$G927=$G$8,J$8,$G927=$G$9,J$9,$G927=$G$10,J$10,$G927=$G$11,J$11,$G927=$G$12,J$12,$G927=$G$13,J$13,$G927=$G$15,J$15,$G927=$G$16,J$16,$G927=$G$17,J$17,$G927=$G$18,J$18,$G927=$G$19,J$19,$G927=$G$20,J$20,$G927=$G$21,J$21,$G927=$G$22,J$22,$G927=$G$25,J$25,$G927=$G$26,J$26,$G927=$G$27,J$27,$G927=$G$29,J$29,$G927=$G$31,J$31,$G927=$G$32,J$150,$G927=$G$248,J$248,$G927=$G$250,J$250)</f>
        <v>96.85</v>
      </c>
      <c r="K927" t="str" cm="1">
        <f t="array" ref="K927">_xlfn.IFS($G927=$G$5,K$5,$G927=$G$6,K$6,$G927=$G$7,K$7,$G927=$G$8,K$8,$G927=$G$9,K$9,$G927=$G$10,K$10,$G927=$G$11,K$11,$G927=$G$12,K$12,$G927=$G$13,K$13,$G927=$G$15,K$15,$G927=$G$16,K$16,$G927=$G$17,K$17,$G927=$G$18,K$18,$G927=$G$19,K$19,$G927=$G$20,K$20,$G927=$G$21,K$21,$G927=$G$22,K$22,$G927=$G$25,K$25,$G927=$G$26,K$26,$G927=$G$27,K$27,$G927=$G$29,K$29,$G927=$G$31,K$31,$G927=$G$32,K$150,$G927=$G$248,K$248,$G927=$G$250,K$250)</f>
        <v>BG sentinel + BG lure7</v>
      </c>
      <c r="O927" s="69" t="str">
        <f t="shared" si="77"/>
        <v>A_SP_BCN_18_211013</v>
      </c>
      <c r="P927" s="64">
        <v>44482</v>
      </c>
      <c r="R927" s="72"/>
      <c r="S927" s="64">
        <v>44489</v>
      </c>
      <c r="U927" s="72"/>
      <c r="V927" s="54" t="s">
        <v>66</v>
      </c>
      <c r="X927" s="69">
        <f t="shared" si="76"/>
        <v>7</v>
      </c>
      <c r="Z927" s="69" t="s">
        <v>69</v>
      </c>
      <c r="AA927" s="69">
        <f t="shared" si="75"/>
        <v>6</v>
      </c>
      <c r="AB927" t="str">
        <f t="shared" si="73"/>
        <v>Adult</v>
      </c>
      <c r="AC927" s="69">
        <v>6</v>
      </c>
      <c r="AD927" s="69">
        <v>0</v>
      </c>
      <c r="AE927" s="45" t="str">
        <f t="shared" si="74"/>
        <v>Morphological</v>
      </c>
      <c r="AF927" s="56">
        <v>4</v>
      </c>
    </row>
    <row r="928" spans="1:32" ht="18" customHeight="1" x14ac:dyDescent="0.25">
      <c r="A928" s="45">
        <v>924</v>
      </c>
      <c r="B928" s="45" t="s">
        <v>60</v>
      </c>
      <c r="C928" s="45" t="s">
        <v>61</v>
      </c>
      <c r="D928" s="45" t="s">
        <v>62</v>
      </c>
      <c r="E928" s="45" t="s">
        <v>62</v>
      </c>
      <c r="F928" s="59" cm="1">
        <f t="array" ref="F928">_xlfn.IFS($G928=$G$5,F$5,$G928=$G$6,F$6,$G928=$G$7,F$7,$G928=$G$8,F$8,$G928=$G$9,F$9,$G928=$G$10,F$10,$G928=$G$11,F$11,$G928=$G$12,F$12,$G928=$G$13,F$13,$G928=$G$15,F$15,$G928=$G$16,F$16,$G928=$G$17,F$17,$G928=$G$18,F$18,$G928=$G$19,F$19,$G928=$G$20,F$20,$G928=$G$21,F$21,$G928=$G$22,F$22,$G928=$G$25,F$25,$G928=$G$26,F$26,$G928=$G$27,F$27,$G928=$G$29,F$29,$G928=$G$31,F$31,$G928=$G$32,F$32,$G928=$G$248,F$248,$G928=$G$250,F$250)</f>
        <v>8031</v>
      </c>
      <c r="G928" t="s">
        <v>92</v>
      </c>
      <c r="H928" s="60" cm="1">
        <f t="array" ref="H928">_xlfn.IFS($G928=$G$5,H$5,$G928=$G$6,H$6,$G928=$G$7,H$7,$G928=$G$8,H$8,$G928=$G$9,H$9,$G928=$G$10,H$10,$G928=$G$11,H$11,$G928=$G$12,H$12,$G928=$G$13,H$13,$G928=$G$15,H$15,$G928=$G$16,H$16,$G928=$G$17,H$17,$G928=$G$18,H$18,$G928=$G$19,H$19,$G928=$G$20,H$20,$G928=$G$21,H$21,$G928=$G$22,H$22,$G928=$G$25,H$25,$G928=$G$26,H$26,$G928=$G$27,H$27,$G928=$G$29,H$29,$G928=$G$31,H$31,$G928=$G$32,H$150,$G928=$G$248,H$248,$G928=$G$250,H$250)</f>
        <v>41.433618000000003</v>
      </c>
      <c r="I928" s="60" cm="1">
        <f t="array" ref="I928">_xlfn.IFS($G928=$G$5,I$5,$G928=$G$6,I$6,$G928=$G$7,I$7,$G928=$G$8,I$8,$G928=$G$9,I$9,$G928=$G$10,I$10,$G928=$G$11,I$11,$G928=$G$12,I$12,$G928=$G$13,I$13,$G928=$G$15,I$15,$G928=$G$16,I$16,$G928=$G$17,I$17,$G928=$G$18,I$18,$G928=$G$19,I$19,$G928=$G$20,I$20,$G928=$G$21,I$21,$G928=$G$22,I$22,$G928=$G$25,I$25,$G928=$G$26,I$26,$G928=$G$27,I$27,$G928=$G$29,I$29,$G928=$G$31,I$31,$G928=$G$32,I$150,$G928=$G$248,I$248,$G928=$G$250,I$250)</f>
        <v>2.1677469999999999</v>
      </c>
      <c r="J928" s="61" cm="1">
        <f t="array" ref="J928">_xlfn.IFS($G928=$G$5,J$5,$G928=$G$6,J$6,$G928=$G$7,J$7,$G928=$G$8,J$8,$G928=$G$9,J$9,$G928=$G$10,J$10,$G928=$G$11,J$11,$G928=$G$12,J$12,$G928=$G$13,J$13,$G928=$G$15,J$15,$G928=$G$16,J$16,$G928=$G$17,J$17,$G928=$G$18,J$18,$G928=$G$19,J$19,$G928=$G$20,J$20,$G928=$G$21,J$21,$G928=$G$22,J$22,$G928=$G$25,J$25,$G928=$G$26,J$26,$G928=$G$27,J$27,$G928=$G$29,J$29,$G928=$G$31,J$31,$G928=$G$32,J$150,$G928=$G$248,J$248,$G928=$G$250,J$250)</f>
        <v>96.85</v>
      </c>
      <c r="K928" t="str" cm="1">
        <f t="array" ref="K928">_xlfn.IFS($G928=$G$5,K$5,$G928=$G$6,K$6,$G928=$G$7,K$7,$G928=$G$8,K$8,$G928=$G$9,K$9,$G928=$G$10,K$10,$G928=$G$11,K$11,$G928=$G$12,K$12,$G928=$G$13,K$13,$G928=$G$15,K$15,$G928=$G$16,K$16,$G928=$G$17,K$17,$G928=$G$18,K$18,$G928=$G$19,K$19,$G928=$G$20,K$20,$G928=$G$21,K$21,$G928=$G$22,K$22,$G928=$G$25,K$25,$G928=$G$26,K$26,$G928=$G$27,K$27,$G928=$G$29,K$29,$G928=$G$31,K$31,$G928=$G$32,K$150,$G928=$G$248,K$248,$G928=$G$250,K$250)</f>
        <v>BG sentinel + BG lure7</v>
      </c>
      <c r="O928" s="69" t="str">
        <f t="shared" si="77"/>
        <v>A_SP_BCN_18_211013</v>
      </c>
      <c r="P928" s="64">
        <v>44482</v>
      </c>
      <c r="R928" s="72"/>
      <c r="S928" s="64">
        <v>44489</v>
      </c>
      <c r="U928" s="72"/>
      <c r="V928" s="54" t="s">
        <v>66</v>
      </c>
      <c r="X928" s="69">
        <f t="shared" si="76"/>
        <v>7</v>
      </c>
      <c r="Z928" s="45" t="s">
        <v>70</v>
      </c>
      <c r="AA928" s="69">
        <f t="shared" si="75"/>
        <v>1</v>
      </c>
      <c r="AB928" t="str">
        <f t="shared" si="73"/>
        <v>Adult</v>
      </c>
      <c r="AC928" s="69">
        <v>1</v>
      </c>
      <c r="AD928" s="69">
        <v>0</v>
      </c>
      <c r="AE928" s="45" t="str">
        <f t="shared" si="74"/>
        <v>Morphological</v>
      </c>
      <c r="AF928" s="56">
        <v>4</v>
      </c>
    </row>
    <row r="929" spans="1:32" ht="18" customHeight="1" x14ac:dyDescent="0.25">
      <c r="A929" s="45">
        <v>925</v>
      </c>
      <c r="B929" s="45" t="s">
        <v>60</v>
      </c>
      <c r="C929" s="45" t="s">
        <v>61</v>
      </c>
      <c r="D929" s="45" t="s">
        <v>62</v>
      </c>
      <c r="E929" s="45" t="s">
        <v>62</v>
      </c>
      <c r="F929" s="59" cm="1">
        <f t="array" ref="F929">_xlfn.IFS($G929=$G$5,F$5,$G929=$G$6,F$6,$G929=$G$7,F$7,$G929=$G$8,F$8,$G929=$G$9,F$9,$G929=$G$10,F$10,$G929=$G$11,F$11,$G929=$G$12,F$12,$G929=$G$13,F$13,$G929=$G$15,F$15,$G929=$G$16,F$16,$G929=$G$17,F$17,$G929=$G$18,F$18,$G929=$G$19,F$19,$G929=$G$20,F$20,$G929=$G$21,F$21,$G929=$G$22,F$22,$G929=$G$25,F$25,$G929=$G$26,F$26,$G929=$G$27,F$27,$G929=$G$29,F$29,$G929=$G$31,F$31,$G929=$G$32,F$32,$G929=$G$248,F$248,$G929=$G$250,F$250)</f>
        <v>8031</v>
      </c>
      <c r="G929" t="s">
        <v>92</v>
      </c>
      <c r="H929" s="60" cm="1">
        <f t="array" ref="H929">_xlfn.IFS($G929=$G$5,H$5,$G929=$G$6,H$6,$G929=$G$7,H$7,$G929=$G$8,H$8,$G929=$G$9,H$9,$G929=$G$10,H$10,$G929=$G$11,H$11,$G929=$G$12,H$12,$G929=$G$13,H$13,$G929=$G$15,H$15,$G929=$G$16,H$16,$G929=$G$17,H$17,$G929=$G$18,H$18,$G929=$G$19,H$19,$G929=$G$20,H$20,$G929=$G$21,H$21,$G929=$G$22,H$22,$G929=$G$25,H$25,$G929=$G$26,H$26,$G929=$G$27,H$27,$G929=$G$29,H$29,$G929=$G$31,H$31,$G929=$G$32,H$150,$G929=$G$248,H$248,$G929=$G$250,H$250)</f>
        <v>41.433618000000003</v>
      </c>
      <c r="I929" s="60" cm="1">
        <f t="array" ref="I929">_xlfn.IFS($G929=$G$5,I$5,$G929=$G$6,I$6,$G929=$G$7,I$7,$G929=$G$8,I$8,$G929=$G$9,I$9,$G929=$G$10,I$10,$G929=$G$11,I$11,$G929=$G$12,I$12,$G929=$G$13,I$13,$G929=$G$15,I$15,$G929=$G$16,I$16,$G929=$G$17,I$17,$G929=$G$18,I$18,$G929=$G$19,I$19,$G929=$G$20,I$20,$G929=$G$21,I$21,$G929=$G$22,I$22,$G929=$G$25,I$25,$G929=$G$26,I$26,$G929=$G$27,I$27,$G929=$G$29,I$29,$G929=$G$31,I$31,$G929=$G$32,I$150,$G929=$G$248,I$248,$G929=$G$250,I$250)</f>
        <v>2.1677469999999999</v>
      </c>
      <c r="J929" s="61" cm="1">
        <f t="array" ref="J929">_xlfn.IFS($G929=$G$5,J$5,$G929=$G$6,J$6,$G929=$G$7,J$7,$G929=$G$8,J$8,$G929=$G$9,J$9,$G929=$G$10,J$10,$G929=$G$11,J$11,$G929=$G$12,J$12,$G929=$G$13,J$13,$G929=$G$15,J$15,$G929=$G$16,J$16,$G929=$G$17,J$17,$G929=$G$18,J$18,$G929=$G$19,J$19,$G929=$G$20,J$20,$G929=$G$21,J$21,$G929=$G$22,J$22,$G929=$G$25,J$25,$G929=$G$26,J$26,$G929=$G$27,J$27,$G929=$G$29,J$29,$G929=$G$31,J$31,$G929=$G$32,J$150,$G929=$G$248,J$248,$G929=$G$250,J$250)</f>
        <v>96.85</v>
      </c>
      <c r="K929" t="str" cm="1">
        <f t="array" ref="K929">_xlfn.IFS($G929=$G$5,K$5,$G929=$G$6,K$6,$G929=$G$7,K$7,$G929=$G$8,K$8,$G929=$G$9,K$9,$G929=$G$10,K$10,$G929=$G$11,K$11,$G929=$G$12,K$12,$G929=$G$13,K$13,$G929=$G$15,K$15,$G929=$G$16,K$16,$G929=$G$17,K$17,$G929=$G$18,K$18,$G929=$G$19,K$19,$G929=$G$20,K$20,$G929=$G$21,K$21,$G929=$G$22,K$22,$G929=$G$25,K$25,$G929=$G$26,K$26,$G929=$G$27,K$27,$G929=$G$29,K$29,$G929=$G$31,K$31,$G929=$G$32,K$150,$G929=$G$248,K$248,$G929=$G$250,K$250)</f>
        <v>BG sentinel + BG lure7</v>
      </c>
      <c r="O929" s="69" t="str">
        <f t="shared" si="77"/>
        <v>A_SP_BCN_18_211013</v>
      </c>
      <c r="P929" s="64">
        <v>44482</v>
      </c>
      <c r="R929" s="72"/>
      <c r="S929" s="64">
        <v>44489</v>
      </c>
      <c r="U929" s="72"/>
      <c r="V929" s="54" t="s">
        <v>66</v>
      </c>
      <c r="X929" s="69">
        <f t="shared" si="76"/>
        <v>7</v>
      </c>
      <c r="Z929" s="45" t="s">
        <v>80</v>
      </c>
      <c r="AA929" s="69">
        <f t="shared" si="75"/>
        <v>2</v>
      </c>
      <c r="AB929" t="str">
        <f t="shared" si="73"/>
        <v>Adult</v>
      </c>
      <c r="AC929" s="69">
        <v>2</v>
      </c>
      <c r="AD929" s="69">
        <v>0</v>
      </c>
      <c r="AE929" s="45" t="str">
        <f t="shared" si="74"/>
        <v>Morphological</v>
      </c>
      <c r="AF929" s="56">
        <v>4</v>
      </c>
    </row>
    <row r="930" spans="1:32" ht="18" customHeight="1" x14ac:dyDescent="0.25">
      <c r="A930" s="45">
        <v>926</v>
      </c>
      <c r="B930" s="45" t="s">
        <v>60</v>
      </c>
      <c r="C930" s="45" t="s">
        <v>61</v>
      </c>
      <c r="D930" s="45" t="s">
        <v>62</v>
      </c>
      <c r="E930" s="45" t="s">
        <v>62</v>
      </c>
      <c r="F930" s="59" cm="1">
        <f t="array" ref="F930">_xlfn.IFS($G930=$G$5,F$5,$G930=$G$6,F$6,$G930=$G$7,F$7,$G930=$G$8,F$8,$G930=$G$9,F$9,$G930=$G$10,F$10,$G930=$G$11,F$11,$G930=$G$12,F$12,$G930=$G$13,F$13,$G930=$G$15,F$15,$G930=$G$16,F$16,$G930=$G$17,F$17,$G930=$G$18,F$18,$G930=$G$19,F$19,$G930=$G$20,F$20,$G930=$G$21,F$21,$G930=$G$22,F$22,$G930=$G$25,F$25,$G930=$G$26,F$26,$G930=$G$27,F$27,$G930=$G$29,F$29,$G930=$G$31,F$31,$G930=$G$32,F$32,$G930=$G$248,F$248,$G930=$G$250,F$250)</f>
        <v>8038</v>
      </c>
      <c r="G930" t="s">
        <v>93</v>
      </c>
      <c r="H930" s="60" cm="1">
        <f t="array" ref="H930">_xlfn.IFS($G930=$G$5,H$5,$G930=$G$6,H$6,$G930=$G$7,H$7,$G930=$G$8,H$8,$G930=$G$9,H$9,$G930=$G$10,H$10,$G930=$G$11,H$11,$G930=$G$12,H$12,$G930=$G$13,H$13,$G930=$G$15,H$15,$G930=$G$16,H$16,$G930=$G$17,H$17,$G930=$G$18,H$18,$G930=$G$19,H$19,$G930=$G$20,H$20,$G930=$G$21,H$21,$G930=$G$22,H$22,$G930=$G$25,H$25,$G930=$G$26,H$26,$G930=$G$27,H$27,$G930=$G$29,H$29,$G930=$G$31,H$31,$G930=$G$32,H$150,$G930=$G$248,H$248,$G930=$G$250,H$250)</f>
        <v>41.359864999999999</v>
      </c>
      <c r="I930" s="60" cm="1">
        <f t="array" ref="I930">_xlfn.IFS($G930=$G$5,I$5,$G930=$G$6,I$6,$G930=$G$7,I$7,$G930=$G$8,I$8,$G930=$G$9,I$9,$G930=$G$10,I$10,$G930=$G$11,I$11,$G930=$G$12,I$12,$G930=$G$13,I$13,$G930=$G$15,I$15,$G930=$G$16,I$16,$G930=$G$17,I$17,$G930=$G$18,I$18,$G930=$G$19,I$19,$G930=$G$20,I$20,$G930=$G$21,I$21,$G930=$G$22,I$22,$G930=$G$25,I$25,$G930=$G$26,I$26,$G930=$G$27,I$27,$G930=$G$29,I$29,$G930=$G$31,I$31,$G930=$G$32,I$150,$G930=$G$248,I$248,$G930=$G$250,I$250)</f>
        <v>2.1445430000000001</v>
      </c>
      <c r="J930" s="61" cm="1">
        <f t="array" ref="J930">_xlfn.IFS($G930=$G$5,J$5,$G930=$G$6,J$6,$G930=$G$7,J$7,$G930=$G$8,J$8,$G930=$G$9,J$9,$G930=$G$10,J$10,$G930=$G$11,J$11,$G930=$G$12,J$12,$G930=$G$13,J$13,$G930=$G$15,J$15,$G930=$G$16,J$16,$G930=$G$17,J$17,$G930=$G$18,J$18,$G930=$G$19,J$19,$G930=$G$20,J$20,$G930=$G$21,J$21,$G930=$G$22,J$22,$G930=$G$25,J$25,$G930=$G$26,J$26,$G930=$G$27,J$27,$G930=$G$29,J$29,$G930=$G$31,J$31,$G930=$G$32,J$150,$G930=$G$248,J$248,$G930=$G$250,J$250)</f>
        <v>11.4</v>
      </c>
      <c r="K930" t="str" cm="1">
        <f t="array" ref="K930">_xlfn.IFS($G930=$G$5,K$5,$G930=$G$6,K$6,$G930=$G$7,K$7,$G930=$G$8,K$8,$G930=$G$9,K$9,$G930=$G$10,K$10,$G930=$G$11,K$11,$G930=$G$12,K$12,$G930=$G$13,K$13,$G930=$G$15,K$15,$G930=$G$16,K$16,$G930=$G$17,K$17,$G930=$G$18,K$18,$G930=$G$19,K$19,$G930=$G$20,K$20,$G930=$G$21,K$21,$G930=$G$22,K$22,$G930=$G$25,K$25,$G930=$G$26,K$26,$G930=$G$27,K$27,$G930=$G$29,K$29,$G930=$G$31,K$31,$G930=$G$32,K$150,$G930=$G$248,K$248,$G930=$G$250,K$250)</f>
        <v>BG sentinel + BG lure7</v>
      </c>
      <c r="O930" s="69" t="str">
        <f t="shared" si="77"/>
        <v>A_SP_BCN_19_211014</v>
      </c>
      <c r="P930" s="64">
        <v>44483</v>
      </c>
      <c r="R930" s="72"/>
      <c r="S930" s="64">
        <v>44490</v>
      </c>
      <c r="U930" s="72"/>
      <c r="V930" s="79" t="s">
        <v>166</v>
      </c>
      <c r="X930" s="69">
        <f t="shared" si="76"/>
        <v>7</v>
      </c>
      <c r="Z930" s="69" t="s">
        <v>69</v>
      </c>
      <c r="AA930" s="69">
        <f t="shared" si="75"/>
        <v>54</v>
      </c>
      <c r="AB930" t="str">
        <f t="shared" si="73"/>
        <v>Adult</v>
      </c>
      <c r="AC930" s="69">
        <v>41</v>
      </c>
      <c r="AD930" s="69">
        <v>13</v>
      </c>
      <c r="AE930" s="45" t="str">
        <f t="shared" si="74"/>
        <v>Morphological</v>
      </c>
      <c r="AF930" s="56">
        <v>2</v>
      </c>
    </row>
    <row r="931" spans="1:32" ht="18" customHeight="1" x14ac:dyDescent="0.25">
      <c r="A931" s="45">
        <v>927</v>
      </c>
      <c r="B931" s="45" t="s">
        <v>60</v>
      </c>
      <c r="C931" s="45" t="s">
        <v>61</v>
      </c>
      <c r="D931" s="45" t="s">
        <v>62</v>
      </c>
      <c r="E931" s="45" t="s">
        <v>62</v>
      </c>
      <c r="F931" s="59" cm="1">
        <f t="array" ref="F931">_xlfn.IFS($G931=$G$5,F$5,$G931=$G$6,F$6,$G931=$G$7,F$7,$G931=$G$8,F$8,$G931=$G$9,F$9,$G931=$G$10,F$10,$G931=$G$11,F$11,$G931=$G$12,F$12,$G931=$G$13,F$13,$G931=$G$15,F$15,$G931=$G$16,F$16,$G931=$G$17,F$17,$G931=$G$18,F$18,$G931=$G$19,F$19,$G931=$G$20,F$20,$G931=$G$21,F$21,$G931=$G$22,F$22,$G931=$G$25,F$25,$G931=$G$26,F$26,$G931=$G$27,F$27,$G931=$G$29,F$29,$G931=$G$31,F$31,$G931=$G$32,F$32,$G931=$G$248,F$248,$G931=$G$250,F$250)</f>
        <v>8038</v>
      </c>
      <c r="G931" t="s">
        <v>93</v>
      </c>
      <c r="H931" s="60" cm="1">
        <f t="array" ref="H931">_xlfn.IFS($G931=$G$5,H$5,$G931=$G$6,H$6,$G931=$G$7,H$7,$G931=$G$8,H$8,$G931=$G$9,H$9,$G931=$G$10,H$10,$G931=$G$11,H$11,$G931=$G$12,H$12,$G931=$G$13,H$13,$G931=$G$15,H$15,$G931=$G$16,H$16,$G931=$G$17,H$17,$G931=$G$18,H$18,$G931=$G$19,H$19,$G931=$G$20,H$20,$G931=$G$21,H$21,$G931=$G$22,H$22,$G931=$G$25,H$25,$G931=$G$26,H$26,$G931=$G$27,H$27,$G931=$G$29,H$29,$G931=$G$31,H$31,$G931=$G$32,H$150,$G931=$G$248,H$248,$G931=$G$250,H$250)</f>
        <v>41.359864999999999</v>
      </c>
      <c r="I931" s="60" cm="1">
        <f t="array" ref="I931">_xlfn.IFS($G931=$G$5,I$5,$G931=$G$6,I$6,$G931=$G$7,I$7,$G931=$G$8,I$8,$G931=$G$9,I$9,$G931=$G$10,I$10,$G931=$G$11,I$11,$G931=$G$12,I$12,$G931=$G$13,I$13,$G931=$G$15,I$15,$G931=$G$16,I$16,$G931=$G$17,I$17,$G931=$G$18,I$18,$G931=$G$19,I$19,$G931=$G$20,I$20,$G931=$G$21,I$21,$G931=$G$22,I$22,$G931=$G$25,I$25,$G931=$G$26,I$26,$G931=$G$27,I$27,$G931=$G$29,I$29,$G931=$G$31,I$31,$G931=$G$32,I$150,$G931=$G$248,I$248,$G931=$G$250,I$250)</f>
        <v>2.1445430000000001</v>
      </c>
      <c r="J931" s="61" cm="1">
        <f t="array" ref="J931">_xlfn.IFS($G931=$G$5,J$5,$G931=$G$6,J$6,$G931=$G$7,J$7,$G931=$G$8,J$8,$G931=$G$9,J$9,$G931=$G$10,J$10,$G931=$G$11,J$11,$G931=$G$12,J$12,$G931=$G$13,J$13,$G931=$G$15,J$15,$G931=$G$16,J$16,$G931=$G$17,J$17,$G931=$G$18,J$18,$G931=$G$19,J$19,$G931=$G$20,J$20,$G931=$G$21,J$21,$G931=$G$22,J$22,$G931=$G$25,J$25,$G931=$G$26,J$26,$G931=$G$27,J$27,$G931=$G$29,J$29,$G931=$G$31,J$31,$G931=$G$32,J$150,$G931=$G$248,J$248,$G931=$G$250,J$250)</f>
        <v>11.4</v>
      </c>
      <c r="K931" t="str" cm="1">
        <f t="array" ref="K931">_xlfn.IFS($G931=$G$5,K$5,$G931=$G$6,K$6,$G931=$G$7,K$7,$G931=$G$8,K$8,$G931=$G$9,K$9,$G931=$G$10,K$10,$G931=$G$11,K$11,$G931=$G$12,K$12,$G931=$G$13,K$13,$G931=$G$15,K$15,$G931=$G$16,K$16,$G931=$G$17,K$17,$G931=$G$18,K$18,$G931=$G$19,K$19,$G931=$G$20,K$20,$G931=$G$21,K$21,$G931=$G$22,K$22,$G931=$G$25,K$25,$G931=$G$26,K$26,$G931=$G$27,K$27,$G931=$G$29,K$29,$G931=$G$31,K$31,$G931=$G$32,K$150,$G931=$G$248,K$248,$G931=$G$250,K$250)</f>
        <v>BG sentinel + BG lure7</v>
      </c>
      <c r="O931" s="69" t="str">
        <f t="shared" si="77"/>
        <v>A_SP_BCN_19_211014</v>
      </c>
      <c r="P931" s="64">
        <v>44483</v>
      </c>
      <c r="R931" s="72"/>
      <c r="S931" s="64">
        <v>44490</v>
      </c>
      <c r="U931" s="72"/>
      <c r="V931" s="79" t="s">
        <v>166</v>
      </c>
      <c r="X931" s="69">
        <f t="shared" si="76"/>
        <v>7</v>
      </c>
      <c r="Z931" s="45" t="s">
        <v>70</v>
      </c>
      <c r="AA931" s="69">
        <f t="shared" si="75"/>
        <v>10</v>
      </c>
      <c r="AB931" t="str">
        <f t="shared" si="73"/>
        <v>Adult</v>
      </c>
      <c r="AC931" s="69">
        <v>9</v>
      </c>
      <c r="AD931" s="69">
        <v>1</v>
      </c>
      <c r="AE931" s="45" t="str">
        <f t="shared" si="74"/>
        <v>Morphological</v>
      </c>
      <c r="AF931" s="56">
        <v>2</v>
      </c>
    </row>
    <row r="932" spans="1:32" ht="18" customHeight="1" x14ac:dyDescent="0.25">
      <c r="A932" s="45">
        <v>928</v>
      </c>
      <c r="B932" s="45" t="s">
        <v>60</v>
      </c>
      <c r="C932" s="45" t="s">
        <v>61</v>
      </c>
      <c r="D932" s="45" t="s">
        <v>62</v>
      </c>
      <c r="E932" s="45" t="s">
        <v>62</v>
      </c>
      <c r="F932" s="59" cm="1">
        <f t="array" ref="F932">_xlfn.IFS($G932=$G$5,F$5,$G932=$G$6,F$6,$G932=$G$7,F$7,$G932=$G$8,F$8,$G932=$G$9,F$9,$G932=$G$10,F$10,$G932=$G$11,F$11,$G932=$G$12,F$12,$G932=$G$13,F$13,$G932=$G$15,F$15,$G932=$G$16,F$16,$G932=$G$17,F$17,$G932=$G$18,F$18,$G932=$G$19,F$19,$G932=$G$20,F$20,$G932=$G$21,F$21,$G932=$G$22,F$22,$G932=$G$25,F$25,$G932=$G$26,F$26,$G932=$G$27,F$27,$G932=$G$29,F$29,$G932=$G$31,F$31,$G932=$G$32,F$32,$G932=$G$248,F$248,$G932=$G$250,F$250)</f>
        <v>8038</v>
      </c>
      <c r="G932" t="s">
        <v>93</v>
      </c>
      <c r="H932" s="60" cm="1">
        <f t="array" ref="H932">_xlfn.IFS($G932=$G$5,H$5,$G932=$G$6,H$6,$G932=$G$7,H$7,$G932=$G$8,H$8,$G932=$G$9,H$9,$G932=$G$10,H$10,$G932=$G$11,H$11,$G932=$G$12,H$12,$G932=$G$13,H$13,$G932=$G$15,H$15,$G932=$G$16,H$16,$G932=$G$17,H$17,$G932=$G$18,H$18,$G932=$G$19,H$19,$G932=$G$20,H$20,$G932=$G$21,H$21,$G932=$G$22,H$22,$G932=$G$25,H$25,$G932=$G$26,H$26,$G932=$G$27,H$27,$G932=$G$29,H$29,$G932=$G$31,H$31,$G932=$G$32,H$150,$G932=$G$248,H$248,$G932=$G$250,H$250)</f>
        <v>41.359864999999999</v>
      </c>
      <c r="I932" s="60" cm="1">
        <f t="array" ref="I932">_xlfn.IFS($G932=$G$5,I$5,$G932=$G$6,I$6,$G932=$G$7,I$7,$G932=$G$8,I$8,$G932=$G$9,I$9,$G932=$G$10,I$10,$G932=$G$11,I$11,$G932=$G$12,I$12,$G932=$G$13,I$13,$G932=$G$15,I$15,$G932=$G$16,I$16,$G932=$G$17,I$17,$G932=$G$18,I$18,$G932=$G$19,I$19,$G932=$G$20,I$20,$G932=$G$21,I$21,$G932=$G$22,I$22,$G932=$G$25,I$25,$G932=$G$26,I$26,$G932=$G$27,I$27,$G932=$G$29,I$29,$G932=$G$31,I$31,$G932=$G$32,I$150,$G932=$G$248,I$248,$G932=$G$250,I$250)</f>
        <v>2.1445430000000001</v>
      </c>
      <c r="J932" s="61" cm="1">
        <f t="array" ref="J932">_xlfn.IFS($G932=$G$5,J$5,$G932=$G$6,J$6,$G932=$G$7,J$7,$G932=$G$8,J$8,$G932=$G$9,J$9,$G932=$G$10,J$10,$G932=$G$11,J$11,$G932=$G$12,J$12,$G932=$G$13,J$13,$G932=$G$15,J$15,$G932=$G$16,J$16,$G932=$G$17,J$17,$G932=$G$18,J$18,$G932=$G$19,J$19,$G932=$G$20,J$20,$G932=$G$21,J$21,$G932=$G$22,J$22,$G932=$G$25,J$25,$G932=$G$26,J$26,$G932=$G$27,J$27,$G932=$G$29,J$29,$G932=$G$31,J$31,$G932=$G$32,J$150,$G932=$G$248,J$248,$G932=$G$250,J$250)</f>
        <v>11.4</v>
      </c>
      <c r="K932" t="str" cm="1">
        <f t="array" ref="K932">_xlfn.IFS($G932=$G$5,K$5,$G932=$G$6,K$6,$G932=$G$7,K$7,$G932=$G$8,K$8,$G932=$G$9,K$9,$G932=$G$10,K$10,$G932=$G$11,K$11,$G932=$G$12,K$12,$G932=$G$13,K$13,$G932=$G$15,K$15,$G932=$G$16,K$16,$G932=$G$17,K$17,$G932=$G$18,K$18,$G932=$G$19,K$19,$G932=$G$20,K$20,$G932=$G$21,K$21,$G932=$G$22,K$22,$G932=$G$25,K$25,$G932=$G$26,K$26,$G932=$G$27,K$27,$G932=$G$29,K$29,$G932=$G$31,K$31,$G932=$G$32,K$150,$G932=$G$248,K$248,$G932=$G$250,K$250)</f>
        <v>BG sentinel + BG lure7</v>
      </c>
      <c r="O932" s="69" t="str">
        <f t="shared" si="77"/>
        <v>A_SP_BCN_19_211014</v>
      </c>
      <c r="P932" s="64">
        <v>44483</v>
      </c>
      <c r="R932" s="72"/>
      <c r="S932" s="64">
        <v>44490</v>
      </c>
      <c r="U932" s="72"/>
      <c r="V932" s="79" t="s">
        <v>166</v>
      </c>
      <c r="X932" s="69">
        <f t="shared" si="76"/>
        <v>7</v>
      </c>
      <c r="Z932" s="45" t="s">
        <v>80</v>
      </c>
      <c r="AA932" s="69">
        <f t="shared" si="75"/>
        <v>1</v>
      </c>
      <c r="AB932" t="str">
        <f t="shared" si="73"/>
        <v>Adult</v>
      </c>
      <c r="AC932" s="69">
        <v>1</v>
      </c>
      <c r="AD932" s="69">
        <v>0</v>
      </c>
      <c r="AE932" s="45" t="str">
        <f t="shared" si="74"/>
        <v>Morphological</v>
      </c>
      <c r="AF932" s="56">
        <v>2</v>
      </c>
    </row>
    <row r="933" spans="1:32" ht="18" customHeight="1" x14ac:dyDescent="0.25">
      <c r="A933" s="45">
        <v>929</v>
      </c>
      <c r="B933" s="45" t="s">
        <v>60</v>
      </c>
      <c r="C933" s="45" t="s">
        <v>61</v>
      </c>
      <c r="D933" s="45" t="s">
        <v>62</v>
      </c>
      <c r="E933" s="45" t="s">
        <v>62</v>
      </c>
      <c r="F933" s="59" cm="1">
        <f t="array" ref="F933">_xlfn.IFS($G933=$G$5,F$5,$G933=$G$6,F$6,$G933=$G$7,F$7,$G933=$G$8,F$8,$G933=$G$9,F$9,$G933=$G$10,F$10,$G933=$G$11,F$11,$G933=$G$12,F$12,$G933=$G$13,F$13,$G933=$G$15,F$15,$G933=$G$16,F$16,$G933=$G$17,F$17,$G933=$G$18,F$18,$G933=$G$19,F$19,$G933=$G$20,F$20,$G933=$G$21,F$21,$G933=$G$22,F$22,$G933=$G$25,F$25,$G933=$G$26,F$26,$G933=$G$27,F$27,$G933=$G$29,F$29,$G933=$G$31,F$31,$G933=$G$32,F$32,$G933=$G$248,F$248,$G933=$G$250,F$250)</f>
        <v>8002</v>
      </c>
      <c r="G933" t="s">
        <v>94</v>
      </c>
      <c r="H933" s="60" cm="1">
        <f t="array" ref="H933">_xlfn.IFS($G933=$G$5,H$5,$G933=$G$6,H$6,$G933=$G$7,H$7,$G933=$G$8,H$8,$G933=$G$9,H$9,$G933=$G$10,H$10,$G933=$G$11,H$11,$G933=$G$12,H$12,$G933=$G$13,H$13,$G933=$G$15,H$15,$G933=$G$16,H$16,$G933=$G$17,H$17,$G933=$G$18,H$18,$G933=$G$19,H$19,$G933=$G$20,H$20,$G933=$G$21,H$21,$G933=$G$22,H$22,$G933=$G$25,H$25,$G933=$G$26,H$26,$G933=$G$27,H$27,$G933=$G$29,H$29,$G933=$G$31,H$31,$G933=$G$32,H$150,$G933=$G$248,H$248,$G933=$G$250,H$250)</f>
        <v>41.385213</v>
      </c>
      <c r="I933" s="60" cm="1">
        <f t="array" ref="I933">_xlfn.IFS($G933=$G$5,I$5,$G933=$G$6,I$6,$G933=$G$7,I$7,$G933=$G$8,I$8,$G933=$G$9,I$9,$G933=$G$10,I$10,$G933=$G$11,I$11,$G933=$G$12,I$12,$G933=$G$13,I$13,$G933=$G$15,I$15,$G933=$G$16,I$16,$G933=$G$17,I$17,$G933=$G$18,I$18,$G933=$G$19,I$19,$G933=$G$20,I$20,$G933=$G$21,I$21,$G933=$G$22,I$22,$G933=$G$25,I$25,$G933=$G$26,I$26,$G933=$G$27,I$27,$G933=$G$29,I$29,$G933=$G$31,I$31,$G933=$G$32,I$150,$G933=$G$248,I$248,$G933=$G$250,I$250)</f>
        <v>2.174852</v>
      </c>
      <c r="J933" s="61" cm="1">
        <f t="array" ref="J933">_xlfn.IFS($G933=$G$5,J$5,$G933=$G$6,J$6,$G933=$G$7,J$7,$G933=$G$8,J$8,$G933=$G$9,J$9,$G933=$G$10,J$10,$G933=$G$11,J$11,$G933=$G$12,J$12,$G933=$G$13,J$13,$G933=$G$15,J$15,$G933=$G$16,J$16,$G933=$G$17,J$17,$G933=$G$18,J$18,$G933=$G$19,J$19,$G933=$G$20,J$20,$G933=$G$21,J$21,$G933=$G$22,J$22,$G933=$G$25,J$25,$G933=$G$26,J$26,$G933=$G$27,J$27,$G933=$G$29,J$29,$G933=$G$31,J$31,$G933=$G$32,J$150,$G933=$G$248,J$248,$G933=$G$250,J$250)</f>
        <v>14</v>
      </c>
      <c r="K933" t="str" cm="1">
        <f t="array" ref="K933">_xlfn.IFS($G933=$G$5,K$5,$G933=$G$6,K$6,$G933=$G$7,K$7,$G933=$G$8,K$8,$G933=$G$9,K$9,$G933=$G$10,K$10,$G933=$G$11,K$11,$G933=$G$12,K$12,$G933=$G$13,K$13,$G933=$G$15,K$15,$G933=$G$16,K$16,$G933=$G$17,K$17,$G933=$G$18,K$18,$G933=$G$19,K$19,$G933=$G$20,K$20,$G933=$G$21,K$21,$G933=$G$22,K$22,$G933=$G$25,K$25,$G933=$G$26,K$26,$G933=$G$27,K$27,$G933=$G$29,K$29,$G933=$G$31,K$31,$G933=$G$32,K$150,$G933=$G$248,K$248,$G933=$G$250,K$250)</f>
        <v>BG sentinel + BG lure7</v>
      </c>
      <c r="O933" s="69" t="str">
        <f t="shared" si="77"/>
        <v>A_SP_BCN_20_211014</v>
      </c>
      <c r="P933" s="64">
        <v>44483</v>
      </c>
      <c r="R933" s="72"/>
      <c r="S933" s="64">
        <v>44490</v>
      </c>
      <c r="U933" s="72"/>
      <c r="V933" s="54" t="s">
        <v>66</v>
      </c>
      <c r="X933" s="69">
        <f t="shared" si="76"/>
        <v>7</v>
      </c>
      <c r="Z933" s="69" t="s">
        <v>69</v>
      </c>
      <c r="AA933" s="69">
        <f t="shared" si="75"/>
        <v>29</v>
      </c>
      <c r="AB933" t="str">
        <f t="shared" si="73"/>
        <v>Adult</v>
      </c>
      <c r="AC933" s="69">
        <v>28</v>
      </c>
      <c r="AD933" s="69">
        <v>1</v>
      </c>
      <c r="AE933" s="45" t="str">
        <f t="shared" si="74"/>
        <v>Morphological</v>
      </c>
      <c r="AF933" s="56">
        <v>4</v>
      </c>
    </row>
    <row r="934" spans="1:32" ht="18" customHeight="1" x14ac:dyDescent="0.25">
      <c r="A934" s="45">
        <v>930</v>
      </c>
      <c r="B934" s="45" t="s">
        <v>60</v>
      </c>
      <c r="C934" s="45" t="s">
        <v>61</v>
      </c>
      <c r="D934" s="45" t="s">
        <v>62</v>
      </c>
      <c r="E934" s="45" t="s">
        <v>62</v>
      </c>
      <c r="F934" s="59" cm="1">
        <f t="array" ref="F934">_xlfn.IFS($G934=$G$5,F$5,$G934=$G$6,F$6,$G934=$G$7,F$7,$G934=$G$8,F$8,$G934=$G$9,F$9,$G934=$G$10,F$10,$G934=$G$11,F$11,$G934=$G$12,F$12,$G934=$G$13,F$13,$G934=$G$15,F$15,$G934=$G$16,F$16,$G934=$G$17,F$17,$G934=$G$18,F$18,$G934=$G$19,F$19,$G934=$G$20,F$20,$G934=$G$21,F$21,$G934=$G$22,F$22,$G934=$G$25,F$25,$G934=$G$26,F$26,$G934=$G$27,F$27,$G934=$G$29,F$29,$G934=$G$31,F$31,$G934=$G$32,F$32,$G934=$G$248,F$248,$G934=$G$250,F$250)</f>
        <v>8002</v>
      </c>
      <c r="G934" t="s">
        <v>94</v>
      </c>
      <c r="H934" s="60" cm="1">
        <f t="array" ref="H934">_xlfn.IFS($G934=$G$5,H$5,$G934=$G$6,H$6,$G934=$G$7,H$7,$G934=$G$8,H$8,$G934=$G$9,H$9,$G934=$G$10,H$10,$G934=$G$11,H$11,$G934=$G$12,H$12,$G934=$G$13,H$13,$G934=$G$15,H$15,$G934=$G$16,H$16,$G934=$G$17,H$17,$G934=$G$18,H$18,$G934=$G$19,H$19,$G934=$G$20,H$20,$G934=$G$21,H$21,$G934=$G$22,H$22,$G934=$G$25,H$25,$G934=$G$26,H$26,$G934=$G$27,H$27,$G934=$G$29,H$29,$G934=$G$31,H$31,$G934=$G$32,H$150,$G934=$G$248,H$248,$G934=$G$250,H$250)</f>
        <v>41.385213</v>
      </c>
      <c r="I934" s="60" cm="1">
        <f t="array" ref="I934">_xlfn.IFS($G934=$G$5,I$5,$G934=$G$6,I$6,$G934=$G$7,I$7,$G934=$G$8,I$8,$G934=$G$9,I$9,$G934=$G$10,I$10,$G934=$G$11,I$11,$G934=$G$12,I$12,$G934=$G$13,I$13,$G934=$G$15,I$15,$G934=$G$16,I$16,$G934=$G$17,I$17,$G934=$G$18,I$18,$G934=$G$19,I$19,$G934=$G$20,I$20,$G934=$G$21,I$21,$G934=$G$22,I$22,$G934=$G$25,I$25,$G934=$G$26,I$26,$G934=$G$27,I$27,$G934=$G$29,I$29,$G934=$G$31,I$31,$G934=$G$32,I$150,$G934=$G$248,I$248,$G934=$G$250,I$250)</f>
        <v>2.174852</v>
      </c>
      <c r="J934" s="61" cm="1">
        <f t="array" ref="J934">_xlfn.IFS($G934=$G$5,J$5,$G934=$G$6,J$6,$G934=$G$7,J$7,$G934=$G$8,J$8,$G934=$G$9,J$9,$G934=$G$10,J$10,$G934=$G$11,J$11,$G934=$G$12,J$12,$G934=$G$13,J$13,$G934=$G$15,J$15,$G934=$G$16,J$16,$G934=$G$17,J$17,$G934=$G$18,J$18,$G934=$G$19,J$19,$G934=$G$20,J$20,$G934=$G$21,J$21,$G934=$G$22,J$22,$G934=$G$25,J$25,$G934=$G$26,J$26,$G934=$G$27,J$27,$G934=$G$29,J$29,$G934=$G$31,J$31,$G934=$G$32,J$150,$G934=$G$248,J$248,$G934=$G$250,J$250)</f>
        <v>14</v>
      </c>
      <c r="K934" t="str" cm="1">
        <f t="array" ref="K934">_xlfn.IFS($G934=$G$5,K$5,$G934=$G$6,K$6,$G934=$G$7,K$7,$G934=$G$8,K$8,$G934=$G$9,K$9,$G934=$G$10,K$10,$G934=$G$11,K$11,$G934=$G$12,K$12,$G934=$G$13,K$13,$G934=$G$15,K$15,$G934=$G$16,K$16,$G934=$G$17,K$17,$G934=$G$18,K$18,$G934=$G$19,K$19,$G934=$G$20,K$20,$G934=$G$21,K$21,$G934=$G$22,K$22,$G934=$G$25,K$25,$G934=$G$26,K$26,$G934=$G$27,K$27,$G934=$G$29,K$29,$G934=$G$31,K$31,$G934=$G$32,K$150,$G934=$G$248,K$248,$G934=$G$250,K$250)</f>
        <v>BG sentinel + BG lure7</v>
      </c>
      <c r="O934" s="69" t="str">
        <f t="shared" si="77"/>
        <v>A_SP_BCN_20_211014</v>
      </c>
      <c r="P934" s="64">
        <v>44483</v>
      </c>
      <c r="R934" s="72"/>
      <c r="S934" s="64">
        <v>44490</v>
      </c>
      <c r="U934" s="72"/>
      <c r="V934" s="54" t="s">
        <v>66</v>
      </c>
      <c r="X934" s="69">
        <f t="shared" si="76"/>
        <v>7</v>
      </c>
      <c r="Z934" s="45" t="s">
        <v>70</v>
      </c>
      <c r="AA934" s="69">
        <f t="shared" si="75"/>
        <v>4</v>
      </c>
      <c r="AB934" t="str">
        <f t="shared" si="73"/>
        <v>Adult</v>
      </c>
      <c r="AC934" s="69">
        <v>3</v>
      </c>
      <c r="AD934" s="69">
        <v>1</v>
      </c>
      <c r="AE934" s="45" t="str">
        <f t="shared" si="74"/>
        <v>Morphological</v>
      </c>
      <c r="AF934" s="56">
        <v>4</v>
      </c>
    </row>
    <row r="935" spans="1:32" ht="18" customHeight="1" x14ac:dyDescent="0.25">
      <c r="A935" s="45">
        <v>931</v>
      </c>
      <c r="B935" s="45" t="s">
        <v>60</v>
      </c>
      <c r="C935" s="45" t="s">
        <v>61</v>
      </c>
      <c r="D935" s="45" t="s">
        <v>62</v>
      </c>
      <c r="E935" s="45" t="s">
        <v>62</v>
      </c>
      <c r="F935" s="59" cm="1">
        <f t="array" ref="F935">_xlfn.IFS($G935=$G$5,F$5,$G935=$G$6,F$6,$G935=$G$7,F$7,$G935=$G$8,F$8,$G935=$G$9,F$9,$G935=$G$10,F$10,$G935=$G$11,F$11,$G935=$G$12,F$12,$G935=$G$13,F$13,$G935=$G$15,F$15,$G935=$G$16,F$16,$G935=$G$17,F$17,$G935=$G$18,F$18,$G935=$G$19,F$19,$G935=$G$20,F$20,$G935=$G$21,F$21,$G935=$G$22,F$22,$G935=$G$25,F$25,$G935=$G$26,F$26,$G935=$G$27,F$27,$G935=$G$29,F$29,$G935=$G$31,F$31,$G935=$G$32,F$32,$G935=$G$248,F$248,$G935=$G$250,F$250)</f>
        <v>8002</v>
      </c>
      <c r="G935" t="s">
        <v>94</v>
      </c>
      <c r="H935" s="60" cm="1">
        <f t="array" ref="H935">_xlfn.IFS($G935=$G$5,H$5,$G935=$G$6,H$6,$G935=$G$7,H$7,$G935=$G$8,H$8,$G935=$G$9,H$9,$G935=$G$10,H$10,$G935=$G$11,H$11,$G935=$G$12,H$12,$G935=$G$13,H$13,$G935=$G$15,H$15,$G935=$G$16,H$16,$G935=$G$17,H$17,$G935=$G$18,H$18,$G935=$G$19,H$19,$G935=$G$20,H$20,$G935=$G$21,H$21,$G935=$G$22,H$22,$G935=$G$25,H$25,$G935=$G$26,H$26,$G935=$G$27,H$27,$G935=$G$29,H$29,$G935=$G$31,H$31,$G935=$G$32,H$150,$G935=$G$248,H$248,$G935=$G$250,H$250)</f>
        <v>41.385213</v>
      </c>
      <c r="I935" s="60" cm="1">
        <f t="array" ref="I935">_xlfn.IFS($G935=$G$5,I$5,$G935=$G$6,I$6,$G935=$G$7,I$7,$G935=$G$8,I$8,$G935=$G$9,I$9,$G935=$G$10,I$10,$G935=$G$11,I$11,$G935=$G$12,I$12,$G935=$G$13,I$13,$G935=$G$15,I$15,$G935=$G$16,I$16,$G935=$G$17,I$17,$G935=$G$18,I$18,$G935=$G$19,I$19,$G935=$G$20,I$20,$G935=$G$21,I$21,$G935=$G$22,I$22,$G935=$G$25,I$25,$G935=$G$26,I$26,$G935=$G$27,I$27,$G935=$G$29,I$29,$G935=$G$31,I$31,$G935=$G$32,I$150,$G935=$G$248,I$248,$G935=$G$250,I$250)</f>
        <v>2.174852</v>
      </c>
      <c r="J935" s="61" cm="1">
        <f t="array" ref="J935">_xlfn.IFS($G935=$G$5,J$5,$G935=$G$6,J$6,$G935=$G$7,J$7,$G935=$G$8,J$8,$G935=$G$9,J$9,$G935=$G$10,J$10,$G935=$G$11,J$11,$G935=$G$12,J$12,$G935=$G$13,J$13,$G935=$G$15,J$15,$G935=$G$16,J$16,$G935=$G$17,J$17,$G935=$G$18,J$18,$G935=$G$19,J$19,$G935=$G$20,J$20,$G935=$G$21,J$21,$G935=$G$22,J$22,$G935=$G$25,J$25,$G935=$G$26,J$26,$G935=$G$27,J$27,$G935=$G$29,J$29,$G935=$G$31,J$31,$G935=$G$32,J$150,$G935=$G$248,J$248,$G935=$G$250,J$250)</f>
        <v>14</v>
      </c>
      <c r="K935" t="str" cm="1">
        <f t="array" ref="K935">_xlfn.IFS($G935=$G$5,K$5,$G935=$G$6,K$6,$G935=$G$7,K$7,$G935=$G$8,K$8,$G935=$G$9,K$9,$G935=$G$10,K$10,$G935=$G$11,K$11,$G935=$G$12,K$12,$G935=$G$13,K$13,$G935=$G$15,K$15,$G935=$G$16,K$16,$G935=$G$17,K$17,$G935=$G$18,K$18,$G935=$G$19,K$19,$G935=$G$20,K$20,$G935=$G$21,K$21,$G935=$G$22,K$22,$G935=$G$25,K$25,$G935=$G$26,K$26,$G935=$G$27,K$27,$G935=$G$29,K$29,$G935=$G$31,K$31,$G935=$G$32,K$150,$G935=$G$248,K$248,$G935=$G$250,K$250)</f>
        <v>BG sentinel + BG lure7</v>
      </c>
      <c r="O935" s="69" t="str">
        <f t="shared" si="77"/>
        <v>A_SP_BCN_20_211014</v>
      </c>
      <c r="P935" s="64">
        <v>44483</v>
      </c>
      <c r="R935" s="72"/>
      <c r="S935" s="64">
        <v>44490</v>
      </c>
      <c r="U935" s="72"/>
      <c r="V935" s="54" t="s">
        <v>66</v>
      </c>
      <c r="X935" s="69">
        <f t="shared" si="76"/>
        <v>7</v>
      </c>
      <c r="Z935" s="45" t="s">
        <v>80</v>
      </c>
      <c r="AA935" s="69">
        <f t="shared" si="75"/>
        <v>3</v>
      </c>
      <c r="AB935" t="str">
        <f t="shared" si="73"/>
        <v>Adult</v>
      </c>
      <c r="AC935" s="69">
        <v>2</v>
      </c>
      <c r="AD935" s="69">
        <v>1</v>
      </c>
      <c r="AE935" s="45" t="str">
        <f t="shared" si="74"/>
        <v>Morphological</v>
      </c>
      <c r="AF935" s="56">
        <v>4</v>
      </c>
    </row>
    <row r="936" spans="1:32" ht="18" customHeight="1" x14ac:dyDescent="0.25">
      <c r="A936" s="45">
        <v>932</v>
      </c>
      <c r="B936" s="45" t="s">
        <v>60</v>
      </c>
      <c r="C936" s="45" t="s">
        <v>61</v>
      </c>
      <c r="D936" s="45" t="s">
        <v>62</v>
      </c>
      <c r="E936" s="45" t="s">
        <v>62</v>
      </c>
      <c r="F936" s="59" cm="1">
        <f t="array" ref="F936">_xlfn.IFS($G936=$G$5,F$5,$G936=$G$6,F$6,$G936=$G$7,F$7,$G936=$G$8,F$8,$G936=$G$9,F$9,$G936=$G$10,F$10,$G936=$G$11,F$11,$G936=$G$12,F$12,$G936=$G$13,F$13,$G936=$G$15,F$15,$G936=$G$16,F$16,$G936=$G$17,F$17,$G936=$G$18,F$18,$G936=$G$19,F$19,$G936=$G$20,F$20,$G936=$G$21,F$21,$G936=$G$22,F$22,$G936=$G$25,F$25,$G936=$G$26,F$26,$G936=$G$27,F$27,$G936=$G$29,F$29,$G936=$G$31,F$31,$G936=$G$32,F$32,$G936=$G$248,F$248,$G936=$G$250,F$250)</f>
        <v>8017</v>
      </c>
      <c r="G936" t="s">
        <v>98</v>
      </c>
      <c r="H936" s="60" cm="1">
        <f t="array" ref="H936">_xlfn.IFS($G936=$G$5,H$5,$G936=$G$6,H$6,$G936=$G$7,H$7,$G936=$G$8,H$8,$G936=$G$9,H$9,$G936=$G$10,H$10,$G936=$G$11,H$11,$G936=$G$12,H$12,$G936=$G$13,H$13,$G936=$G$15,H$15,$G936=$G$16,H$16,$G936=$G$17,H$17,$G936=$G$18,H$18,$G936=$G$19,H$19,$G936=$G$20,H$20,$G936=$G$21,H$21,$G936=$G$22,H$22,$G936=$G$25,H$25,$G936=$G$26,H$26,$G936=$G$27,H$27,$G936=$G$29,H$29,$G936=$G$31,H$31,$G936=$G$32,H$150,$G936=$G$248,H$248,$G936=$G$250,H$250)</f>
        <v>41.430315999999998</v>
      </c>
      <c r="I936" s="60" cm="1">
        <f t="array" ref="I936">_xlfn.IFS($G936=$G$5,I$5,$G936=$G$6,I$6,$G936=$G$7,I$7,$G936=$G$8,I$8,$G936=$G$9,I$9,$G936=$G$10,I$10,$G936=$G$11,I$11,$G936=$G$12,I$12,$G936=$G$13,I$13,$G936=$G$15,I$15,$G936=$G$16,I$16,$G936=$G$17,I$17,$G936=$G$18,I$18,$G936=$G$19,I$19,$G936=$G$20,I$20,$G936=$G$21,I$21,$G936=$G$22,I$22,$G936=$G$25,I$25,$G936=$G$26,I$26,$G936=$G$27,I$27,$G936=$G$29,I$29,$G936=$G$31,I$31,$G936=$G$32,I$150,$G936=$G$248,I$248,$G936=$G$250,I$250)</f>
        <v>2.077556</v>
      </c>
      <c r="J936" s="61" cm="1">
        <f t="array" ref="J936">_xlfn.IFS($G936=$G$5,J$5,$G936=$G$6,J$6,$G936=$G$7,J$7,$G936=$G$8,J$8,$G936=$G$9,J$9,$G936=$G$10,J$10,$G936=$G$11,J$11,$G936=$G$12,J$12,$G936=$G$13,J$13,$G936=$G$15,J$15,$G936=$G$16,J$16,$G936=$G$17,J$17,$G936=$G$18,J$18,$G936=$G$19,J$19,$G936=$G$20,J$20,$G936=$G$21,J$21,$G936=$G$22,J$22,$G936=$G$25,J$25,$G936=$G$26,J$26,$G936=$G$27,J$27,$G936=$G$29,J$29,$G936=$G$31,J$31,$G936=$G$32,J$150,$G936=$G$248,J$248,$G936=$G$250,J$250)</f>
        <v>243.3</v>
      </c>
      <c r="K936" t="str" cm="1">
        <f t="array" ref="K936">_xlfn.IFS($G936=$G$5,K$5,$G936=$G$6,K$6,$G936=$G$7,K$7,$G936=$G$8,K$8,$G936=$G$9,K$9,$G936=$G$10,K$10,$G936=$G$11,K$11,$G936=$G$12,K$12,$G936=$G$13,K$13,$G936=$G$15,K$15,$G936=$G$16,K$16,$G936=$G$17,K$17,$G936=$G$18,K$18,$G936=$G$19,K$19,$G936=$G$20,K$20,$G936=$G$21,K$21,$G936=$G$22,K$22,$G936=$G$25,K$25,$G936=$G$26,K$26,$G936=$G$27,K$27,$G936=$G$29,K$29,$G936=$G$31,K$31,$G936=$G$32,K$150,$G936=$G$248,K$248,$G936=$G$250,K$250)</f>
        <v>BG sentinel + BG lure7</v>
      </c>
      <c r="O936" s="69" t="str">
        <f t="shared" si="77"/>
        <v>A_SP_BCN_22_211013</v>
      </c>
      <c r="P936" s="64">
        <v>44482</v>
      </c>
      <c r="R936" s="72"/>
      <c r="S936" s="64">
        <v>44489</v>
      </c>
      <c r="U936" s="72"/>
      <c r="V936" s="54" t="s">
        <v>66</v>
      </c>
      <c r="X936" s="69">
        <f t="shared" si="76"/>
        <v>7</v>
      </c>
      <c r="Z936" s="45" t="s">
        <v>70</v>
      </c>
      <c r="AA936" s="69">
        <f t="shared" si="75"/>
        <v>5</v>
      </c>
      <c r="AB936" t="str">
        <f t="shared" si="73"/>
        <v>Adult</v>
      </c>
      <c r="AC936" s="69">
        <v>4</v>
      </c>
      <c r="AD936" s="69">
        <v>1</v>
      </c>
      <c r="AE936" s="45" t="str">
        <f t="shared" si="74"/>
        <v>Morphological</v>
      </c>
      <c r="AF936" s="56">
        <v>4</v>
      </c>
    </row>
    <row r="937" spans="1:32" ht="18" customHeight="1" x14ac:dyDescent="0.25">
      <c r="A937" s="45">
        <v>933</v>
      </c>
      <c r="B937" s="45" t="s">
        <v>60</v>
      </c>
      <c r="C937" s="45" t="s">
        <v>61</v>
      </c>
      <c r="D937" s="45" t="s">
        <v>62</v>
      </c>
      <c r="E937" s="45" t="s">
        <v>62</v>
      </c>
      <c r="F937" s="59" cm="1">
        <f t="array" ref="F937">_xlfn.IFS($G937=$G$5,F$5,$G937=$G$6,F$6,$G937=$G$7,F$7,$G937=$G$8,F$8,$G937=$G$9,F$9,$G937=$G$10,F$10,$G937=$G$11,F$11,$G937=$G$12,F$12,$G937=$G$13,F$13,$G937=$G$15,F$15,$G937=$G$16,F$16,$G937=$G$17,F$17,$G937=$G$18,F$18,$G937=$G$19,F$19,$G937=$G$20,F$20,$G937=$G$21,F$21,$G937=$G$22,F$22,$G937=$G$25,F$25,$G937=$G$26,F$26,$G937=$G$27,F$27,$G937=$G$29,F$29,$G937=$G$31,F$31,$G937=$G$32,F$32,$G937=$G$248,F$248,$G937=$G$250,F$250)</f>
        <v>8017</v>
      </c>
      <c r="G937" t="s">
        <v>98</v>
      </c>
      <c r="H937" s="60" cm="1">
        <f t="array" ref="H937">_xlfn.IFS($G937=$G$5,H$5,$G937=$G$6,H$6,$G937=$G$7,H$7,$G937=$G$8,H$8,$G937=$G$9,H$9,$G937=$G$10,H$10,$G937=$G$11,H$11,$G937=$G$12,H$12,$G937=$G$13,H$13,$G937=$G$15,H$15,$G937=$G$16,H$16,$G937=$G$17,H$17,$G937=$G$18,H$18,$G937=$G$19,H$19,$G937=$G$20,H$20,$G937=$G$21,H$21,$G937=$G$22,H$22,$G937=$G$25,H$25,$G937=$G$26,H$26,$G937=$G$27,H$27,$G937=$G$29,H$29,$G937=$G$31,H$31,$G937=$G$32,H$150,$G937=$G$248,H$248,$G937=$G$250,H$250)</f>
        <v>41.430315999999998</v>
      </c>
      <c r="I937" s="60" cm="1">
        <f t="array" ref="I937">_xlfn.IFS($G937=$G$5,I$5,$G937=$G$6,I$6,$G937=$G$7,I$7,$G937=$G$8,I$8,$G937=$G$9,I$9,$G937=$G$10,I$10,$G937=$G$11,I$11,$G937=$G$12,I$12,$G937=$G$13,I$13,$G937=$G$15,I$15,$G937=$G$16,I$16,$G937=$G$17,I$17,$G937=$G$18,I$18,$G937=$G$19,I$19,$G937=$G$20,I$20,$G937=$G$21,I$21,$G937=$G$22,I$22,$G937=$G$25,I$25,$G937=$G$26,I$26,$G937=$G$27,I$27,$G937=$G$29,I$29,$G937=$G$31,I$31,$G937=$G$32,I$150,$G937=$G$248,I$248,$G937=$G$250,I$250)</f>
        <v>2.077556</v>
      </c>
      <c r="J937" s="61" cm="1">
        <f t="array" ref="J937">_xlfn.IFS($G937=$G$5,J$5,$G937=$G$6,J$6,$G937=$G$7,J$7,$G937=$G$8,J$8,$G937=$G$9,J$9,$G937=$G$10,J$10,$G937=$G$11,J$11,$G937=$G$12,J$12,$G937=$G$13,J$13,$G937=$G$15,J$15,$G937=$G$16,J$16,$G937=$G$17,J$17,$G937=$G$18,J$18,$G937=$G$19,J$19,$G937=$G$20,J$20,$G937=$G$21,J$21,$G937=$G$22,J$22,$G937=$G$25,J$25,$G937=$G$26,J$26,$G937=$G$27,J$27,$G937=$G$29,J$29,$G937=$G$31,J$31,$G937=$G$32,J$150,$G937=$G$248,J$248,$G937=$G$250,J$250)</f>
        <v>243.3</v>
      </c>
      <c r="K937" t="str" cm="1">
        <f t="array" ref="K937">_xlfn.IFS($G937=$G$5,K$5,$G937=$G$6,K$6,$G937=$G$7,K$7,$G937=$G$8,K$8,$G937=$G$9,K$9,$G937=$G$10,K$10,$G937=$G$11,K$11,$G937=$G$12,K$12,$G937=$G$13,K$13,$G937=$G$15,K$15,$G937=$G$16,K$16,$G937=$G$17,K$17,$G937=$G$18,K$18,$G937=$G$19,K$19,$G937=$G$20,K$20,$G937=$G$21,K$21,$G937=$G$22,K$22,$G937=$G$25,K$25,$G937=$G$26,K$26,$G937=$G$27,K$27,$G937=$G$29,K$29,$G937=$G$31,K$31,$G937=$G$32,K$150,$G937=$G$248,K$248,$G937=$G$250,K$250)</f>
        <v>BG sentinel + BG lure7</v>
      </c>
      <c r="O937" s="69" t="str">
        <f t="shared" si="77"/>
        <v>A_SP_BCN_22_211013</v>
      </c>
      <c r="P937" s="64">
        <v>44482</v>
      </c>
      <c r="R937" s="72"/>
      <c r="S937" s="64">
        <v>44489</v>
      </c>
      <c r="U937" s="72"/>
      <c r="V937" s="54" t="s">
        <v>66</v>
      </c>
      <c r="X937" s="69">
        <f t="shared" si="76"/>
        <v>7</v>
      </c>
      <c r="Z937" s="45" t="s">
        <v>80</v>
      </c>
      <c r="AA937" s="69">
        <f t="shared" si="75"/>
        <v>3</v>
      </c>
      <c r="AB937" t="str">
        <f t="shared" si="73"/>
        <v>Adult</v>
      </c>
      <c r="AC937" s="69">
        <v>1</v>
      </c>
      <c r="AD937" s="69">
        <v>2</v>
      </c>
      <c r="AE937" s="45" t="str">
        <f t="shared" si="74"/>
        <v>Morphological</v>
      </c>
      <c r="AF937" s="56">
        <v>4</v>
      </c>
    </row>
    <row r="938" spans="1:32" ht="18" customHeight="1" x14ac:dyDescent="0.25">
      <c r="A938" s="45">
        <v>934</v>
      </c>
      <c r="B938" s="45" t="s">
        <v>60</v>
      </c>
      <c r="C938" s="45" t="s">
        <v>61</v>
      </c>
      <c r="D938" s="45" t="s">
        <v>62</v>
      </c>
      <c r="E938" s="45" t="s">
        <v>62</v>
      </c>
      <c r="F938" s="59" cm="1">
        <f t="array" ref="F938">_xlfn.IFS($G938=$G$5,F$5,$G938=$G$6,F$6,$G938=$G$7,F$7,$G938=$G$8,F$8,$G938=$G$9,F$9,$G938=$G$10,F$10,$G938=$G$11,F$11,$G938=$G$12,F$12,$G938=$G$13,F$13,$G938=$G$15,F$15,$G938=$G$16,F$16,$G938=$G$17,F$17,$G938=$G$18,F$18,$G938=$G$19,F$19,$G938=$G$20,F$20,$G938=$G$21,F$21,$G938=$G$22,F$22,$G938=$G$25,F$25,$G938=$G$26,F$26,$G938=$G$27,F$27,$G938=$G$29,F$29,$G938=$G$31,F$31,$G938=$G$32,F$32,$G938=$G$248,F$248,$G938=$G$250,F$250)</f>
        <v>8038</v>
      </c>
      <c r="G938" t="s">
        <v>103</v>
      </c>
      <c r="H938" s="60" cm="1">
        <f t="array" ref="H938">_xlfn.IFS($G938=$G$5,H$5,$G938=$G$6,H$6,$G938=$G$7,H$7,$G938=$G$8,H$8,$G938=$G$9,H$9,$G938=$G$10,H$10,$G938=$G$11,H$11,$G938=$G$12,H$12,$G938=$G$13,H$13,$G938=$G$15,H$15,$G938=$G$16,H$16,$G938=$G$17,H$17,$G938=$G$18,H$18,$G938=$G$19,H$19,$G938=$G$20,H$20,$G938=$G$21,H$21,$G938=$G$22,H$22,$G938=$G$25,H$25,$G938=$G$26,H$26,$G938=$G$27,H$27,$G938=$G$29,H$29,$G938=$G$31,H$31,$G938=$G$32,H$150,$G938=$G$248,H$248,$G938=$G$250,H$250)</f>
        <v>41.367100000000001</v>
      </c>
      <c r="I938" s="60" cm="1">
        <f t="array" ref="I938">_xlfn.IFS($G938=$G$5,I$5,$G938=$G$6,I$6,$G938=$G$7,I$7,$G938=$G$8,I$8,$G938=$G$9,I$9,$G938=$G$10,I$10,$G938=$G$11,I$11,$G938=$G$12,I$12,$G938=$G$13,I$13,$G938=$G$15,I$15,$G938=$G$16,I$16,$G938=$G$17,I$17,$G938=$G$18,I$18,$G938=$G$19,I$19,$G938=$G$20,I$20,$G938=$G$21,I$21,$G938=$G$22,I$22,$G938=$G$25,I$25,$G938=$G$26,I$26,$G938=$G$27,I$27,$G938=$G$29,I$29,$G938=$G$31,I$31,$G938=$G$32,I$150,$G938=$G$248,I$248,$G938=$G$250,I$250)</f>
        <v>2.1539079999999999</v>
      </c>
      <c r="J938" s="61" cm="1">
        <f t="array" ref="J938">_xlfn.IFS($G938=$G$5,J$5,$G938=$G$6,J$6,$G938=$G$7,J$7,$G938=$G$8,J$8,$G938=$G$9,J$9,$G938=$G$10,J$10,$G938=$G$11,J$11,$G938=$G$12,J$12,$G938=$G$13,J$13,$G938=$G$15,J$15,$G938=$G$16,J$16,$G938=$G$17,J$17,$G938=$G$18,J$18,$G938=$G$19,J$19,$G938=$G$20,J$20,$G938=$G$21,J$21,$G938=$G$22,J$22,$G938=$G$25,J$25,$G938=$G$26,J$26,$G938=$G$27,J$27,$G938=$G$29,J$29,$G938=$G$31,J$31,$G938=$G$32,J$150,$G938=$G$248,J$248,$G938=$G$250,J$250)</f>
        <v>68</v>
      </c>
      <c r="K938" t="str" cm="1">
        <f t="array" ref="K938">_xlfn.IFS($G938=$G$5,K$5,$G938=$G$6,K$6,$G938=$G$7,K$7,$G938=$G$8,K$8,$G938=$G$9,K$9,$G938=$G$10,K$10,$G938=$G$11,K$11,$G938=$G$12,K$12,$G938=$G$13,K$13,$G938=$G$15,K$15,$G938=$G$16,K$16,$G938=$G$17,K$17,$G938=$G$18,K$18,$G938=$G$19,K$19,$G938=$G$20,K$20,$G938=$G$21,K$21,$G938=$G$22,K$22,$G938=$G$25,K$25,$G938=$G$26,K$26,$G938=$G$27,K$27,$G938=$G$29,K$29,$G938=$G$31,K$31,$G938=$G$32,K$150,$G938=$G$248,K$248,$G938=$G$250,K$250)</f>
        <v>BG sentinel + BG lure7</v>
      </c>
      <c r="O938" s="69" t="str">
        <f t="shared" si="77"/>
        <v>A_SP_BCN_23_211014</v>
      </c>
      <c r="P938" s="64">
        <v>44483</v>
      </c>
      <c r="R938" s="72"/>
      <c r="S938" s="64">
        <v>44490</v>
      </c>
      <c r="U938" s="72"/>
      <c r="V938" s="54" t="s">
        <v>66</v>
      </c>
      <c r="X938" s="69">
        <f t="shared" si="76"/>
        <v>7</v>
      </c>
      <c r="Z938" s="69" t="s">
        <v>69</v>
      </c>
      <c r="AA938" s="69">
        <f t="shared" si="75"/>
        <v>20</v>
      </c>
      <c r="AB938" t="str">
        <f t="shared" si="73"/>
        <v>Adult</v>
      </c>
      <c r="AC938" s="69">
        <v>17</v>
      </c>
      <c r="AD938" s="69">
        <v>3</v>
      </c>
      <c r="AE938" s="45" t="str">
        <f t="shared" si="74"/>
        <v>Morphological</v>
      </c>
      <c r="AF938" s="56">
        <v>4</v>
      </c>
    </row>
    <row r="939" spans="1:32" ht="18" customHeight="1" x14ac:dyDescent="0.25">
      <c r="A939" s="45">
        <v>935</v>
      </c>
      <c r="B939" s="45" t="s">
        <v>60</v>
      </c>
      <c r="C939" s="45" t="s">
        <v>61</v>
      </c>
      <c r="D939" s="45" t="s">
        <v>62</v>
      </c>
      <c r="E939" s="45" t="s">
        <v>62</v>
      </c>
      <c r="F939" s="59" cm="1">
        <f t="array" ref="F939">_xlfn.IFS($G939=$G$5,F$5,$G939=$G$6,F$6,$G939=$G$7,F$7,$G939=$G$8,F$8,$G939=$G$9,F$9,$G939=$G$10,F$10,$G939=$G$11,F$11,$G939=$G$12,F$12,$G939=$G$13,F$13,$G939=$G$15,F$15,$G939=$G$16,F$16,$G939=$G$17,F$17,$G939=$G$18,F$18,$G939=$G$19,F$19,$G939=$G$20,F$20,$G939=$G$21,F$21,$G939=$G$22,F$22,$G939=$G$25,F$25,$G939=$G$26,F$26,$G939=$G$27,F$27,$G939=$G$29,F$29,$G939=$G$31,F$31,$G939=$G$32,F$32,$G939=$G$248,F$248,$G939=$G$250,F$250)</f>
        <v>8015</v>
      </c>
      <c r="G939" t="s">
        <v>109</v>
      </c>
      <c r="H939" s="60" cm="1">
        <f t="array" ref="H939">_xlfn.IFS($G939=$G$5,H$5,$G939=$G$6,H$6,$G939=$G$7,H$7,$G939=$G$8,H$8,$G939=$G$9,H$9,$G939=$G$10,H$10,$G939=$G$11,H$11,$G939=$G$12,H$12,$G939=$G$13,H$13,$G939=$G$15,H$15,$G939=$G$16,H$16,$G939=$G$17,H$17,$G939=$G$18,H$18,$G939=$G$19,H$19,$G939=$G$20,H$20,$G939=$G$21,H$21,$G939=$G$22,H$22,$G939=$G$25,H$25,$G939=$G$26,H$26,$G939=$G$27,H$27,$G939=$G$29,H$29,$G939=$G$31,H$31,$G939=$G$32,H$150,$G939=$G$248,H$248,$G939=$G$250,H$250)</f>
        <v>41.381725000000003</v>
      </c>
      <c r="I939" s="60" cm="1">
        <f t="array" ref="I939">_xlfn.IFS($G939=$G$5,I$5,$G939=$G$6,I$6,$G939=$G$7,I$7,$G939=$G$8,I$8,$G939=$G$9,I$9,$G939=$G$10,I$10,$G939=$G$11,I$11,$G939=$G$12,I$12,$G939=$G$13,I$13,$G939=$G$15,I$15,$G939=$G$16,I$16,$G939=$G$17,I$17,$G939=$G$18,I$18,$G939=$G$19,I$19,$G939=$G$20,I$20,$G939=$G$21,I$21,$G939=$G$22,I$22,$G939=$G$25,I$25,$G939=$G$26,I$26,$G939=$G$27,I$27,$G939=$G$29,I$29,$G939=$G$31,I$31,$G939=$G$32,I$150,$G939=$G$248,I$248,$G939=$G$250,I$250)</f>
        <v>2.1543679999999998</v>
      </c>
      <c r="J939" s="61" cm="1">
        <f t="array" ref="J939">_xlfn.IFS($G939=$G$5,J$5,$G939=$G$6,J$6,$G939=$G$7,J$7,$G939=$G$8,J$8,$G939=$G$9,J$9,$G939=$G$10,J$10,$G939=$G$11,J$11,$G939=$G$12,J$12,$G939=$G$13,J$13,$G939=$G$15,J$15,$G939=$G$16,J$16,$G939=$G$17,J$17,$G939=$G$18,J$18,$G939=$G$19,J$19,$G939=$G$20,J$20,$G939=$G$21,J$21,$G939=$G$22,J$22,$G939=$G$25,J$25,$G939=$G$26,J$26,$G939=$G$27,J$27,$G939=$G$29,J$29,$G939=$G$31,J$31,$G939=$G$32,J$150,$G939=$G$248,J$248,$G939=$G$250,J$250)</f>
        <v>20.7</v>
      </c>
      <c r="K939" t="str" cm="1">
        <f t="array" ref="K939">_xlfn.IFS($G939=$G$5,K$5,$G939=$G$6,K$6,$G939=$G$7,K$7,$G939=$G$8,K$8,$G939=$G$9,K$9,$G939=$G$10,K$10,$G939=$G$11,K$11,$G939=$G$12,K$12,$G939=$G$13,K$13,$G939=$G$15,K$15,$G939=$G$16,K$16,$G939=$G$17,K$17,$G939=$G$18,K$18,$G939=$G$19,K$19,$G939=$G$20,K$20,$G939=$G$21,K$21,$G939=$G$22,K$22,$G939=$G$25,K$25,$G939=$G$26,K$26,$G939=$G$27,K$27,$G939=$G$29,K$29,$G939=$G$31,K$31,$G939=$G$32,K$150,$G939=$G$248,K$248,$G939=$G$250,K$250)</f>
        <v>BG sentinel + BG lure7</v>
      </c>
      <c r="O939" s="69" t="str">
        <f t="shared" si="77"/>
        <v>A_SP_BCN_24_211014</v>
      </c>
      <c r="P939" s="64">
        <v>44483</v>
      </c>
      <c r="R939" s="72"/>
      <c r="S939" s="64">
        <v>44490</v>
      </c>
      <c r="U939" s="72"/>
      <c r="V939" s="54" t="s">
        <v>66</v>
      </c>
      <c r="X939" s="69">
        <f t="shared" si="76"/>
        <v>7</v>
      </c>
      <c r="Z939" s="69" t="s">
        <v>69</v>
      </c>
      <c r="AA939" s="69">
        <f t="shared" si="75"/>
        <v>23</v>
      </c>
      <c r="AB939" t="str">
        <f t="shared" si="73"/>
        <v>Adult</v>
      </c>
      <c r="AC939" s="69">
        <v>11</v>
      </c>
      <c r="AD939" s="69">
        <v>12</v>
      </c>
      <c r="AE939" s="45" t="str">
        <f t="shared" si="74"/>
        <v>Morphological</v>
      </c>
      <c r="AF939" s="56">
        <v>4</v>
      </c>
    </row>
    <row r="940" spans="1:32" ht="18" customHeight="1" x14ac:dyDescent="0.25">
      <c r="A940" s="45">
        <v>936</v>
      </c>
      <c r="B940" s="45" t="s">
        <v>60</v>
      </c>
      <c r="C940" s="45" t="s">
        <v>61</v>
      </c>
      <c r="D940" s="45" t="s">
        <v>62</v>
      </c>
      <c r="E940" s="45" t="s">
        <v>62</v>
      </c>
      <c r="F940" s="59" cm="1">
        <f t="array" ref="F940">_xlfn.IFS($G940=$G$5,F$5,$G940=$G$6,F$6,$G940=$G$7,F$7,$G940=$G$8,F$8,$G940=$G$9,F$9,$G940=$G$10,F$10,$G940=$G$11,F$11,$G940=$G$12,F$12,$G940=$G$13,F$13,$G940=$G$15,F$15,$G940=$G$16,F$16,$G940=$G$17,F$17,$G940=$G$18,F$18,$G940=$G$19,F$19,$G940=$G$20,F$20,$G940=$G$21,F$21,$G940=$G$22,F$22,$G940=$G$25,F$25,$G940=$G$26,F$26,$G940=$G$27,F$27,$G940=$G$29,F$29,$G940=$G$31,F$31,$G940=$G$32,F$32,$G940=$G$248,F$248,$G940=$G$250,F$250)</f>
        <v>8024</v>
      </c>
      <c r="G940" t="s">
        <v>63</v>
      </c>
      <c r="H940" s="60" cm="1">
        <f t="array" ref="H940">_xlfn.IFS($G940=$G$5,H$5,$G940=$G$6,H$6,$G940=$G$7,H$7,$G940=$G$8,H$8,$G940=$G$9,H$9,$G940=$G$10,H$10,$G940=$G$11,H$11,$G940=$G$12,H$12,$G940=$G$13,H$13,$G940=$G$15,H$15,$G940=$G$16,H$16,$G940=$G$17,H$17,$G940=$G$18,H$18,$G940=$G$19,H$19,$G940=$G$20,H$20,$G940=$G$21,H$21,$G940=$G$22,H$22,$G940=$G$25,H$25,$G940=$G$26,H$26,$G940=$G$27,H$27,$G940=$G$29,H$29,$G940=$G$31,H$31,$G940=$G$32,H$150,$G940=$G$248,H$248,$G940=$G$250,H$250)</f>
        <v>41.413573999999997</v>
      </c>
      <c r="I940" s="60" cm="1">
        <f t="array" ref="I940">_xlfn.IFS($G940=$G$5,I$5,$G940=$G$6,I$6,$G940=$G$7,I$7,$G940=$G$8,I$8,$G940=$G$9,I$9,$G940=$G$10,I$10,$G940=$G$11,I$11,$G940=$G$12,I$12,$G940=$G$13,I$13,$G940=$G$15,I$15,$G940=$G$16,I$16,$G940=$G$17,I$17,$G940=$G$18,I$18,$G940=$G$19,I$19,$G940=$G$20,I$20,$G940=$G$21,I$21,$G940=$G$22,I$22,$G940=$G$25,I$25,$G940=$G$26,I$26,$G940=$G$27,I$27,$G940=$G$29,I$29,$G940=$G$31,I$31,$G940=$G$32,I$150,$G940=$G$248,I$248,$G940=$G$250,I$250)</f>
        <v>2.1520730000000001</v>
      </c>
      <c r="J940" s="61" cm="1">
        <f t="array" ref="J940">_xlfn.IFS($G940=$G$5,J$5,$G940=$G$6,J$6,$G940=$G$7,J$7,$G940=$G$8,J$8,$G940=$G$9,J$9,$G940=$G$10,J$10,$G940=$G$11,J$11,$G940=$G$12,J$12,$G940=$G$13,J$13,$G940=$G$15,J$15,$G940=$G$16,J$16,$G940=$G$17,J$17,$G940=$G$18,J$18,$G940=$G$19,J$19,$G940=$G$20,J$20,$G940=$G$21,J$21,$G940=$G$22,J$22,$G940=$G$25,J$25,$G940=$G$26,J$26,$G940=$G$27,J$27,$G940=$G$29,J$29,$G940=$G$31,J$31,$G940=$G$32,J$150,$G940=$G$248,J$248,$G940=$G$250,J$250)</f>
        <v>141</v>
      </c>
      <c r="K940" t="str" cm="1">
        <f t="array" ref="K940">_xlfn.IFS($G940=$G$5,K$5,$G940=$G$6,K$6,$G940=$G$7,K$7,$G940=$G$8,K$8,$G940=$G$9,K$9,$G940=$G$10,K$10,$G940=$G$11,K$11,$G940=$G$12,K$12,$G940=$G$13,K$13,$G940=$G$15,K$15,$G940=$G$16,K$16,$G940=$G$17,K$17,$G940=$G$18,K$18,$G940=$G$19,K$19,$G940=$G$20,K$20,$G940=$G$21,K$21,$G940=$G$22,K$22,$G940=$G$25,K$25,$G940=$G$26,K$26,$G940=$G$27,K$27,$G940=$G$29,K$29,$G940=$G$31,K$31,$G940=$G$32,K$150,$G940=$G$248,K$248,$G940=$G$250,K$250)</f>
        <v>BG sentinel + BG lure7</v>
      </c>
      <c r="O940" s="69" t="str">
        <f t="shared" si="77"/>
        <v>A_SP_BCN_1_211020</v>
      </c>
      <c r="P940" s="64">
        <v>44489</v>
      </c>
      <c r="R940" s="72"/>
      <c r="S940" s="64">
        <v>44496</v>
      </c>
      <c r="U940" s="72"/>
      <c r="V940" s="54" t="s">
        <v>66</v>
      </c>
      <c r="X940" s="69">
        <f t="shared" si="76"/>
        <v>7</v>
      </c>
      <c r="Z940" s="69" t="s">
        <v>69</v>
      </c>
      <c r="AA940" s="69">
        <f t="shared" ref="AA940:AA1089" si="78">SUM(AC940:AD940)</f>
        <v>91</v>
      </c>
      <c r="AB940" t="str">
        <f t="shared" si="73"/>
        <v>Adult</v>
      </c>
      <c r="AC940" s="69">
        <v>70</v>
      </c>
      <c r="AD940" s="69">
        <v>21</v>
      </c>
      <c r="AE940" s="45" t="str">
        <f t="shared" si="74"/>
        <v>Morphological</v>
      </c>
      <c r="AF940" s="56">
        <v>4</v>
      </c>
    </row>
    <row r="941" spans="1:32" ht="18" customHeight="1" x14ac:dyDescent="0.25">
      <c r="A941" s="45">
        <v>937</v>
      </c>
      <c r="B941" s="45" t="s">
        <v>60</v>
      </c>
      <c r="C941" s="45" t="s">
        <v>61</v>
      </c>
      <c r="D941" s="45" t="s">
        <v>62</v>
      </c>
      <c r="E941" s="45" t="s">
        <v>62</v>
      </c>
      <c r="F941" s="59" cm="1">
        <f t="array" ref="F941">_xlfn.IFS($G941=$G$5,F$5,$G941=$G$6,F$6,$G941=$G$7,F$7,$G941=$G$8,F$8,$G941=$G$9,F$9,$G941=$G$10,F$10,$G941=$G$11,F$11,$G941=$G$12,F$12,$G941=$G$13,F$13,$G941=$G$15,F$15,$G941=$G$16,F$16,$G941=$G$17,F$17,$G941=$G$18,F$18,$G941=$G$19,F$19,$G941=$G$20,F$20,$G941=$G$21,F$21,$G941=$G$22,F$22,$G941=$G$25,F$25,$G941=$G$26,F$26,$G941=$G$27,F$27,$G941=$G$29,F$29,$G941=$G$31,F$31,$G941=$G$32,F$32,$G941=$G$248,F$248,$G941=$G$250,F$250)</f>
        <v>8024</v>
      </c>
      <c r="G941" t="s">
        <v>63</v>
      </c>
      <c r="H941" s="60" cm="1">
        <f t="array" ref="H941">_xlfn.IFS($G941=$G$5,H$5,$G941=$G$6,H$6,$G941=$G$7,H$7,$G941=$G$8,H$8,$G941=$G$9,H$9,$G941=$G$10,H$10,$G941=$G$11,H$11,$G941=$G$12,H$12,$G941=$G$13,H$13,$G941=$G$15,H$15,$G941=$G$16,H$16,$G941=$G$17,H$17,$G941=$G$18,H$18,$G941=$G$19,H$19,$G941=$G$20,H$20,$G941=$G$21,H$21,$G941=$G$22,H$22,$G941=$G$25,H$25,$G941=$G$26,H$26,$G941=$G$27,H$27,$G941=$G$29,H$29,$G941=$G$31,H$31,$G941=$G$32,H$150,$G941=$G$248,H$248,$G941=$G$250,H$250)</f>
        <v>41.413573999999997</v>
      </c>
      <c r="I941" s="60" cm="1">
        <f t="array" ref="I941">_xlfn.IFS($G941=$G$5,I$5,$G941=$G$6,I$6,$G941=$G$7,I$7,$G941=$G$8,I$8,$G941=$G$9,I$9,$G941=$G$10,I$10,$G941=$G$11,I$11,$G941=$G$12,I$12,$G941=$G$13,I$13,$G941=$G$15,I$15,$G941=$G$16,I$16,$G941=$G$17,I$17,$G941=$G$18,I$18,$G941=$G$19,I$19,$G941=$G$20,I$20,$G941=$G$21,I$21,$G941=$G$22,I$22,$G941=$G$25,I$25,$G941=$G$26,I$26,$G941=$G$27,I$27,$G941=$G$29,I$29,$G941=$G$31,I$31,$G941=$G$32,I$150,$G941=$G$248,I$248,$G941=$G$250,I$250)</f>
        <v>2.1520730000000001</v>
      </c>
      <c r="J941" s="61" cm="1">
        <f t="array" ref="J941">_xlfn.IFS($G941=$G$5,J$5,$G941=$G$6,J$6,$G941=$G$7,J$7,$G941=$G$8,J$8,$G941=$G$9,J$9,$G941=$G$10,J$10,$G941=$G$11,J$11,$G941=$G$12,J$12,$G941=$G$13,J$13,$G941=$G$15,J$15,$G941=$G$16,J$16,$G941=$G$17,J$17,$G941=$G$18,J$18,$G941=$G$19,J$19,$G941=$G$20,J$20,$G941=$G$21,J$21,$G941=$G$22,J$22,$G941=$G$25,J$25,$G941=$G$26,J$26,$G941=$G$27,J$27,$G941=$G$29,J$29,$G941=$G$31,J$31,$G941=$G$32,J$150,$G941=$G$248,J$248,$G941=$G$250,J$250)</f>
        <v>141</v>
      </c>
      <c r="K941" t="str" cm="1">
        <f t="array" ref="K941">_xlfn.IFS($G941=$G$5,K$5,$G941=$G$6,K$6,$G941=$G$7,K$7,$G941=$G$8,K$8,$G941=$G$9,K$9,$G941=$G$10,K$10,$G941=$G$11,K$11,$G941=$G$12,K$12,$G941=$G$13,K$13,$G941=$G$15,K$15,$G941=$G$16,K$16,$G941=$G$17,K$17,$G941=$G$18,K$18,$G941=$G$19,K$19,$G941=$G$20,K$20,$G941=$G$21,K$21,$G941=$G$22,K$22,$G941=$G$25,K$25,$G941=$G$26,K$26,$G941=$G$27,K$27,$G941=$G$29,K$29,$G941=$G$31,K$31,$G941=$G$32,K$150,$G941=$G$248,K$248,$G941=$G$250,K$250)</f>
        <v>BG sentinel + BG lure7</v>
      </c>
      <c r="O941" s="69" t="str">
        <f t="shared" si="77"/>
        <v>A_SP_BCN_1_211020</v>
      </c>
      <c r="P941" s="64">
        <v>44489</v>
      </c>
      <c r="R941" s="72"/>
      <c r="S941" s="64">
        <v>44496</v>
      </c>
      <c r="U941" s="72"/>
      <c r="V941" s="54" t="s">
        <v>66</v>
      </c>
      <c r="X941" s="69">
        <f t="shared" si="76"/>
        <v>7</v>
      </c>
      <c r="Z941" s="45" t="s">
        <v>70</v>
      </c>
      <c r="AA941" s="69">
        <f t="shared" si="78"/>
        <v>1</v>
      </c>
      <c r="AB941" t="str">
        <f t="shared" si="73"/>
        <v>Adult</v>
      </c>
      <c r="AC941" s="69">
        <v>0</v>
      </c>
      <c r="AD941" s="69">
        <v>1</v>
      </c>
      <c r="AE941" s="45" t="str">
        <f t="shared" si="74"/>
        <v>Morphological</v>
      </c>
      <c r="AF941" s="56">
        <v>4</v>
      </c>
    </row>
    <row r="942" spans="1:32" ht="18" customHeight="1" x14ac:dyDescent="0.25">
      <c r="A942" s="45">
        <v>938</v>
      </c>
      <c r="B942" s="45" t="s">
        <v>60</v>
      </c>
      <c r="C942" s="45" t="s">
        <v>61</v>
      </c>
      <c r="D942" s="45" t="s">
        <v>62</v>
      </c>
      <c r="E942" s="45" t="s">
        <v>62</v>
      </c>
      <c r="F942" s="59" cm="1">
        <f t="array" ref="F942">_xlfn.IFS($G942=$G$5,F$5,$G942=$G$6,F$6,$G942=$G$7,F$7,$G942=$G$8,F$8,$G942=$G$9,F$9,$G942=$G$10,F$10,$G942=$G$11,F$11,$G942=$G$12,F$12,$G942=$G$13,F$13,$G942=$G$15,F$15,$G942=$G$16,F$16,$G942=$G$17,F$17,$G942=$G$18,F$18,$G942=$G$19,F$19,$G942=$G$20,F$20,$G942=$G$21,F$21,$G942=$G$22,F$22,$G942=$G$25,F$25,$G942=$G$26,F$26,$G942=$G$27,F$27,$G942=$G$29,F$29,$G942=$G$31,F$31,$G942=$G$32,F$32,$G942=$G$248,F$248,$G942=$G$250,F$250)</f>
        <v>8024</v>
      </c>
      <c r="G942" t="s">
        <v>63</v>
      </c>
      <c r="H942" s="60" cm="1">
        <f t="array" ref="H942">_xlfn.IFS($G942=$G$5,H$5,$G942=$G$6,H$6,$G942=$G$7,H$7,$G942=$G$8,H$8,$G942=$G$9,H$9,$G942=$G$10,H$10,$G942=$G$11,H$11,$G942=$G$12,H$12,$G942=$G$13,H$13,$G942=$G$15,H$15,$G942=$G$16,H$16,$G942=$G$17,H$17,$G942=$G$18,H$18,$G942=$G$19,H$19,$G942=$G$20,H$20,$G942=$G$21,H$21,$G942=$G$22,H$22,$G942=$G$25,H$25,$G942=$G$26,H$26,$G942=$G$27,H$27,$G942=$G$29,H$29,$G942=$G$31,H$31,$G942=$G$32,H$150,$G942=$G$248,H$248,$G942=$G$250,H$250)</f>
        <v>41.413573999999997</v>
      </c>
      <c r="I942" s="60" cm="1">
        <f t="array" ref="I942">_xlfn.IFS($G942=$G$5,I$5,$G942=$G$6,I$6,$G942=$G$7,I$7,$G942=$G$8,I$8,$G942=$G$9,I$9,$G942=$G$10,I$10,$G942=$G$11,I$11,$G942=$G$12,I$12,$G942=$G$13,I$13,$G942=$G$15,I$15,$G942=$G$16,I$16,$G942=$G$17,I$17,$G942=$G$18,I$18,$G942=$G$19,I$19,$G942=$G$20,I$20,$G942=$G$21,I$21,$G942=$G$22,I$22,$G942=$G$25,I$25,$G942=$G$26,I$26,$G942=$G$27,I$27,$G942=$G$29,I$29,$G942=$G$31,I$31,$G942=$G$32,I$150,$G942=$G$248,I$248,$G942=$G$250,I$250)</f>
        <v>2.1520730000000001</v>
      </c>
      <c r="J942" s="61" cm="1">
        <f t="array" ref="J942">_xlfn.IFS($G942=$G$5,J$5,$G942=$G$6,J$6,$G942=$G$7,J$7,$G942=$G$8,J$8,$G942=$G$9,J$9,$G942=$G$10,J$10,$G942=$G$11,J$11,$G942=$G$12,J$12,$G942=$G$13,J$13,$G942=$G$15,J$15,$G942=$G$16,J$16,$G942=$G$17,J$17,$G942=$G$18,J$18,$G942=$G$19,J$19,$G942=$G$20,J$20,$G942=$G$21,J$21,$G942=$G$22,J$22,$G942=$G$25,J$25,$G942=$G$26,J$26,$G942=$G$27,J$27,$G942=$G$29,J$29,$G942=$G$31,J$31,$G942=$G$32,J$150,$G942=$G$248,J$248,$G942=$G$250,J$250)</f>
        <v>141</v>
      </c>
      <c r="K942" t="str" cm="1">
        <f t="array" ref="K942">_xlfn.IFS($G942=$G$5,K$5,$G942=$G$6,K$6,$G942=$G$7,K$7,$G942=$G$8,K$8,$G942=$G$9,K$9,$G942=$G$10,K$10,$G942=$G$11,K$11,$G942=$G$12,K$12,$G942=$G$13,K$13,$G942=$G$15,K$15,$G942=$G$16,K$16,$G942=$G$17,K$17,$G942=$G$18,K$18,$G942=$G$19,K$19,$G942=$G$20,K$20,$G942=$G$21,K$21,$G942=$G$22,K$22,$G942=$G$25,K$25,$G942=$G$26,K$26,$G942=$G$27,K$27,$G942=$G$29,K$29,$G942=$G$31,K$31,$G942=$G$32,K$150,$G942=$G$248,K$248,$G942=$G$250,K$250)</f>
        <v>BG sentinel + BG lure7</v>
      </c>
      <c r="O942" s="69" t="str">
        <f t="shared" si="77"/>
        <v>A_SP_BCN_1_211020</v>
      </c>
      <c r="P942" s="64">
        <v>44489</v>
      </c>
      <c r="R942" s="72"/>
      <c r="S942" s="64">
        <v>44496</v>
      </c>
      <c r="U942" s="72"/>
      <c r="V942" s="54" t="s">
        <v>66</v>
      </c>
      <c r="X942" s="69">
        <f t="shared" si="76"/>
        <v>7</v>
      </c>
      <c r="Z942" s="45" t="s">
        <v>80</v>
      </c>
      <c r="AA942" s="69">
        <f t="shared" si="78"/>
        <v>1</v>
      </c>
      <c r="AB942" t="str">
        <f t="shared" si="73"/>
        <v>Adult</v>
      </c>
      <c r="AC942" s="69">
        <v>0</v>
      </c>
      <c r="AD942" s="69">
        <v>1</v>
      </c>
      <c r="AE942" s="45" t="str">
        <f t="shared" si="74"/>
        <v>Morphological</v>
      </c>
      <c r="AF942" s="56">
        <v>4</v>
      </c>
    </row>
    <row r="943" spans="1:32" ht="18" customHeight="1" x14ac:dyDescent="0.25">
      <c r="A943" s="45">
        <v>939</v>
      </c>
      <c r="B943" s="45" t="s">
        <v>60</v>
      </c>
      <c r="C943" s="45" t="s">
        <v>61</v>
      </c>
      <c r="D943" s="45" t="s">
        <v>62</v>
      </c>
      <c r="E943" s="45" t="s">
        <v>62</v>
      </c>
      <c r="F943" s="59" cm="1">
        <f t="array" ref="F943">_xlfn.IFS($G943=$G$5,F$5,$G943=$G$6,F$6,$G943=$G$7,F$7,$G943=$G$8,F$8,$G943=$G$9,F$9,$G943=$G$10,F$10,$G943=$G$11,F$11,$G943=$G$12,F$12,$G943=$G$13,F$13,$G943=$G$15,F$15,$G943=$G$16,F$16,$G943=$G$17,F$17,$G943=$G$18,F$18,$G943=$G$19,F$19,$G943=$G$20,F$20,$G943=$G$21,F$21,$G943=$G$22,F$22,$G943=$G$25,F$25,$G943=$G$26,F$26,$G943=$G$27,F$27,$G943=$G$29,F$29,$G943=$G$31,F$31,$G943=$G$32,F$32,$G943=$G$248,F$248,$G943=$G$250,F$250)</f>
        <v>8035</v>
      </c>
      <c r="G943" t="s">
        <v>67</v>
      </c>
      <c r="H943" s="60" cm="1">
        <f t="array" ref="H943">_xlfn.IFS($G943=$G$5,H$5,$G943=$G$6,H$6,$G943=$G$7,H$7,$G943=$G$8,H$8,$G943=$G$9,H$9,$G943=$G$10,H$10,$G943=$G$11,H$11,$G943=$G$12,H$12,$G943=$G$13,H$13,$G943=$G$15,H$15,$G943=$G$16,H$16,$G943=$G$17,H$17,$G943=$G$18,H$18,$G943=$G$19,H$19,$G943=$G$20,H$20,$G943=$G$21,H$21,$G943=$G$22,H$22,$G943=$G$25,H$25,$G943=$G$26,H$26,$G943=$G$27,H$27,$G943=$G$29,H$29,$G943=$G$31,H$31,$G943=$G$32,H$150,$G943=$G$248,H$248,$G943=$G$250,H$250)</f>
        <v>41.424387000000003</v>
      </c>
      <c r="I943" s="60" cm="1">
        <f t="array" ref="I943">_xlfn.IFS($G943=$G$5,I$5,$G943=$G$6,I$6,$G943=$G$7,I$7,$G943=$G$8,I$8,$G943=$G$9,I$9,$G943=$G$10,I$10,$G943=$G$11,I$11,$G943=$G$12,I$12,$G943=$G$13,I$13,$G943=$G$15,I$15,$G943=$G$16,I$16,$G943=$G$17,I$17,$G943=$G$18,I$18,$G943=$G$19,I$19,$G943=$G$20,I$20,$G943=$G$21,I$21,$G943=$G$22,I$22,$G943=$G$25,I$25,$G943=$G$26,I$26,$G943=$G$27,I$27,$G943=$G$29,I$29,$G943=$G$31,I$31,$G943=$G$32,I$150,$G943=$G$248,I$248,$G943=$G$250,I$250)</f>
        <v>2.1431439999999999</v>
      </c>
      <c r="J943" s="61" cm="1">
        <f t="array" ref="J943">_xlfn.IFS($G943=$G$5,J$5,$G943=$G$6,J$6,$G943=$G$7,J$7,$G943=$G$8,J$8,$G943=$G$9,J$9,$G943=$G$10,J$10,$G943=$G$11,J$11,$G943=$G$12,J$12,$G943=$G$13,J$13,$G943=$G$15,J$15,$G943=$G$16,J$16,$G943=$G$17,J$17,$G943=$G$18,J$18,$G943=$G$19,J$19,$G943=$G$20,J$20,$G943=$G$21,J$21,$G943=$G$22,J$22,$G943=$G$25,J$25,$G943=$G$26,J$26,$G943=$G$27,J$27,$G943=$G$29,J$29,$G943=$G$31,J$31,$G943=$G$32,J$150,$G943=$G$248,J$248,$G943=$G$250,J$250)</f>
        <v>160</v>
      </c>
      <c r="K943" t="str" cm="1">
        <f t="array" ref="K943">_xlfn.IFS($G943=$G$5,K$5,$G943=$G$6,K$6,$G943=$G$7,K$7,$G943=$G$8,K$8,$G943=$G$9,K$9,$G943=$G$10,K$10,$G943=$G$11,K$11,$G943=$G$12,K$12,$G943=$G$13,K$13,$G943=$G$15,K$15,$G943=$G$16,K$16,$G943=$G$17,K$17,$G943=$G$18,K$18,$G943=$G$19,K$19,$G943=$G$20,K$20,$G943=$G$21,K$21,$G943=$G$22,K$22,$G943=$G$25,K$25,$G943=$G$26,K$26,$G943=$G$27,K$27,$G943=$G$29,K$29,$G943=$G$31,K$31,$G943=$G$32,K$150,$G943=$G$248,K$248,$G943=$G$250,K$250)</f>
        <v>BG sentinel + BG lure7</v>
      </c>
      <c r="O943" s="69" t="str">
        <f t="shared" si="77"/>
        <v>A_SP_BCN_2_211020</v>
      </c>
      <c r="P943" s="64">
        <v>44489</v>
      </c>
      <c r="R943" s="72"/>
      <c r="S943" s="64">
        <v>44496</v>
      </c>
      <c r="U943" s="72"/>
      <c r="V943" s="54" t="s">
        <v>66</v>
      </c>
      <c r="X943" s="69">
        <f t="shared" si="76"/>
        <v>7</v>
      </c>
      <c r="Z943" s="69" t="s">
        <v>69</v>
      </c>
      <c r="AA943" s="69">
        <f t="shared" ref="AA943" si="79">SUM(AC943:AD943)</f>
        <v>4</v>
      </c>
      <c r="AB943" t="str">
        <f t="shared" si="73"/>
        <v>Adult</v>
      </c>
      <c r="AC943" s="69">
        <v>3</v>
      </c>
      <c r="AD943" s="69">
        <v>1</v>
      </c>
      <c r="AE943" s="45" t="str">
        <f t="shared" si="74"/>
        <v>Morphological</v>
      </c>
      <c r="AF943" s="56">
        <v>4</v>
      </c>
    </row>
    <row r="944" spans="1:32" ht="18" customHeight="1" x14ac:dyDescent="0.25">
      <c r="A944" s="45">
        <v>940</v>
      </c>
      <c r="B944" s="45" t="s">
        <v>60</v>
      </c>
      <c r="C944" s="45" t="s">
        <v>61</v>
      </c>
      <c r="D944" s="45" t="s">
        <v>62</v>
      </c>
      <c r="E944" s="45" t="s">
        <v>62</v>
      </c>
      <c r="F944" s="59" cm="1">
        <f t="array" ref="F944">_xlfn.IFS($G944=$G$5,F$5,$G944=$G$6,F$6,$G944=$G$7,F$7,$G944=$G$8,F$8,$G944=$G$9,F$9,$G944=$G$10,F$10,$G944=$G$11,F$11,$G944=$G$12,F$12,$G944=$G$13,F$13,$G944=$G$15,F$15,$G944=$G$16,F$16,$G944=$G$17,F$17,$G944=$G$18,F$18,$G944=$G$19,F$19,$G944=$G$20,F$20,$G944=$G$21,F$21,$G944=$G$22,F$22,$G944=$G$25,F$25,$G944=$G$26,F$26,$G944=$G$27,F$27,$G944=$G$29,F$29,$G944=$G$31,F$31,$G944=$G$32,F$32,$G944=$G$248,F$248,$G944=$G$250,F$250)</f>
        <v>8016</v>
      </c>
      <c r="G944" t="s">
        <v>68</v>
      </c>
      <c r="H944" s="60" cm="1">
        <f t="array" ref="H944">_xlfn.IFS($G944=$G$5,H$5,$G944=$G$6,H$6,$G944=$G$7,H$7,$G944=$G$8,H$8,$G944=$G$9,H$9,$G944=$G$10,H$10,$G944=$G$11,H$11,$G944=$G$12,H$12,$G944=$G$13,H$13,$G944=$G$15,H$15,$G944=$G$16,H$16,$G944=$G$17,H$17,$G944=$G$18,H$18,$G944=$G$19,H$19,$G944=$G$20,H$20,$G944=$G$21,H$21,$G944=$G$22,H$22,$G944=$G$25,H$25,$G944=$G$26,H$26,$G944=$G$27,H$27,$G944=$G$29,H$29,$G944=$G$31,H$31,$G944=$G$32,H$150,$G944=$G$248,H$248,$G944=$G$250,H$250)</f>
        <v>41.437435000000001</v>
      </c>
      <c r="I944" s="60" cm="1">
        <f t="array" ref="I944">_xlfn.IFS($G944=$G$5,I$5,$G944=$G$6,I$6,$G944=$G$7,I$7,$G944=$G$8,I$8,$G944=$G$9,I$9,$G944=$G$10,I$10,$G944=$G$11,I$11,$G944=$G$12,I$12,$G944=$G$13,I$13,$G944=$G$15,I$15,$G944=$G$16,I$16,$G944=$G$17,I$17,$G944=$G$18,I$18,$G944=$G$19,I$19,$G944=$G$20,I$20,$G944=$G$21,I$21,$G944=$G$22,I$22,$G944=$G$25,I$25,$G944=$G$26,I$26,$G944=$G$27,I$27,$G944=$G$29,I$29,$G944=$G$31,I$31,$G944=$G$32,I$150,$G944=$G$248,I$248,$G944=$G$250,I$250)</f>
        <v>2.1812779999999998</v>
      </c>
      <c r="J944" s="61" cm="1">
        <f t="array" ref="J944">_xlfn.IFS($G944=$G$5,J$5,$G944=$G$6,J$6,$G944=$G$7,J$7,$G944=$G$8,J$8,$G944=$G$9,J$9,$G944=$G$10,J$10,$G944=$G$11,J$11,$G944=$G$12,J$12,$G944=$G$13,J$13,$G944=$G$15,J$15,$G944=$G$16,J$16,$G944=$G$17,J$17,$G944=$G$18,J$18,$G944=$G$19,J$19,$G944=$G$20,J$20,$G944=$G$21,J$21,$G944=$G$22,J$22,$G944=$G$25,J$25,$G944=$G$26,J$26,$G944=$G$27,J$27,$G944=$G$29,J$29,$G944=$G$31,J$31,$G944=$G$32,J$150,$G944=$G$248,J$248,$G944=$G$250,J$250)</f>
        <v>47</v>
      </c>
      <c r="K944" t="str" cm="1">
        <f t="array" ref="K944">_xlfn.IFS($G944=$G$5,K$5,$G944=$G$6,K$6,$G944=$G$7,K$7,$G944=$G$8,K$8,$G944=$G$9,K$9,$G944=$G$10,K$10,$G944=$G$11,K$11,$G944=$G$12,K$12,$G944=$G$13,K$13,$G944=$G$15,K$15,$G944=$G$16,K$16,$G944=$G$17,K$17,$G944=$G$18,K$18,$G944=$G$19,K$19,$G944=$G$20,K$20,$G944=$G$21,K$21,$G944=$G$22,K$22,$G944=$G$25,K$25,$G944=$G$26,K$26,$G944=$G$27,K$27,$G944=$G$29,K$29,$G944=$G$31,K$31,$G944=$G$32,K$150,$G944=$G$248,K$248,$G944=$G$250,K$250)</f>
        <v>BG sentinel + BG lure7</v>
      </c>
      <c r="O944" s="69" t="str">
        <f t="shared" si="77"/>
        <v>A_SP_BCN_3_211020</v>
      </c>
      <c r="P944" s="64">
        <v>44489</v>
      </c>
      <c r="R944" s="72"/>
      <c r="S944" s="64">
        <v>44496</v>
      </c>
      <c r="U944" s="72"/>
      <c r="V944" s="54" t="s">
        <v>66</v>
      </c>
      <c r="X944" s="69">
        <f t="shared" si="76"/>
        <v>7</v>
      </c>
      <c r="Z944" s="69" t="s">
        <v>69</v>
      </c>
      <c r="AA944" s="69">
        <f t="shared" ref="AA944:AA1093" si="80">SUM(AC944:AD944)</f>
        <v>3</v>
      </c>
      <c r="AB944" t="str">
        <f t="shared" si="73"/>
        <v>Adult</v>
      </c>
      <c r="AC944" s="69">
        <v>3</v>
      </c>
      <c r="AD944" s="69">
        <v>0</v>
      </c>
      <c r="AE944" s="45" t="str">
        <f t="shared" si="74"/>
        <v>Morphological</v>
      </c>
      <c r="AF944" s="56">
        <v>4</v>
      </c>
    </row>
    <row r="945" spans="1:32" ht="18" customHeight="1" x14ac:dyDescent="0.25">
      <c r="A945" s="45">
        <v>941</v>
      </c>
      <c r="B945" s="45" t="s">
        <v>60</v>
      </c>
      <c r="C945" s="45" t="s">
        <v>61</v>
      </c>
      <c r="D945" s="45" t="s">
        <v>62</v>
      </c>
      <c r="E945" s="45" t="s">
        <v>62</v>
      </c>
      <c r="F945" s="59" cm="1">
        <f t="array" ref="F945">_xlfn.IFS($G945=$G$5,F$5,$G945=$G$6,F$6,$G945=$G$7,F$7,$G945=$G$8,F$8,$G945=$G$9,F$9,$G945=$G$10,F$10,$G945=$G$11,F$11,$G945=$G$12,F$12,$G945=$G$13,F$13,$G945=$G$15,F$15,$G945=$G$16,F$16,$G945=$G$17,F$17,$G945=$G$18,F$18,$G945=$G$19,F$19,$G945=$G$20,F$20,$G945=$G$21,F$21,$G945=$G$22,F$22,$G945=$G$25,F$25,$G945=$G$26,F$26,$G945=$G$27,F$27,$G945=$G$29,F$29,$G945=$G$31,F$31,$G945=$G$32,F$32,$G945=$G$248,F$248,$G945=$G$250,F$250)</f>
        <v>8016</v>
      </c>
      <c r="G945" t="s">
        <v>68</v>
      </c>
      <c r="H945" s="60" cm="1">
        <f t="array" ref="H945">_xlfn.IFS($G945=$G$5,H$5,$G945=$G$6,H$6,$G945=$G$7,H$7,$G945=$G$8,H$8,$G945=$G$9,H$9,$G945=$G$10,H$10,$G945=$G$11,H$11,$G945=$G$12,H$12,$G945=$G$13,H$13,$G945=$G$15,H$15,$G945=$G$16,H$16,$G945=$G$17,H$17,$G945=$G$18,H$18,$G945=$G$19,H$19,$G945=$G$20,H$20,$G945=$G$21,H$21,$G945=$G$22,H$22,$G945=$G$25,H$25,$G945=$G$26,H$26,$G945=$G$27,H$27,$G945=$G$29,H$29,$G945=$G$31,H$31,$G945=$G$32,H$150,$G945=$G$248,H$248,$G945=$G$250,H$250)</f>
        <v>41.437435000000001</v>
      </c>
      <c r="I945" s="60" cm="1">
        <f t="array" ref="I945">_xlfn.IFS($G945=$G$5,I$5,$G945=$G$6,I$6,$G945=$G$7,I$7,$G945=$G$8,I$8,$G945=$G$9,I$9,$G945=$G$10,I$10,$G945=$G$11,I$11,$G945=$G$12,I$12,$G945=$G$13,I$13,$G945=$G$15,I$15,$G945=$G$16,I$16,$G945=$G$17,I$17,$G945=$G$18,I$18,$G945=$G$19,I$19,$G945=$G$20,I$20,$G945=$G$21,I$21,$G945=$G$22,I$22,$G945=$G$25,I$25,$G945=$G$26,I$26,$G945=$G$27,I$27,$G945=$G$29,I$29,$G945=$G$31,I$31,$G945=$G$32,I$150,$G945=$G$248,I$248,$G945=$G$250,I$250)</f>
        <v>2.1812779999999998</v>
      </c>
      <c r="J945" s="61" cm="1">
        <f t="array" ref="J945">_xlfn.IFS($G945=$G$5,J$5,$G945=$G$6,J$6,$G945=$G$7,J$7,$G945=$G$8,J$8,$G945=$G$9,J$9,$G945=$G$10,J$10,$G945=$G$11,J$11,$G945=$G$12,J$12,$G945=$G$13,J$13,$G945=$G$15,J$15,$G945=$G$16,J$16,$G945=$G$17,J$17,$G945=$G$18,J$18,$G945=$G$19,J$19,$G945=$G$20,J$20,$G945=$G$21,J$21,$G945=$G$22,J$22,$G945=$G$25,J$25,$G945=$G$26,J$26,$G945=$G$27,J$27,$G945=$G$29,J$29,$G945=$G$31,J$31,$G945=$G$32,J$150,$G945=$G$248,J$248,$G945=$G$250,J$250)</f>
        <v>47</v>
      </c>
      <c r="K945" t="str" cm="1">
        <f t="array" ref="K945">_xlfn.IFS($G945=$G$5,K$5,$G945=$G$6,K$6,$G945=$G$7,K$7,$G945=$G$8,K$8,$G945=$G$9,K$9,$G945=$G$10,K$10,$G945=$G$11,K$11,$G945=$G$12,K$12,$G945=$G$13,K$13,$G945=$G$15,K$15,$G945=$G$16,K$16,$G945=$G$17,K$17,$G945=$G$18,K$18,$G945=$G$19,K$19,$G945=$G$20,K$20,$G945=$G$21,K$21,$G945=$G$22,K$22,$G945=$G$25,K$25,$G945=$G$26,K$26,$G945=$G$27,K$27,$G945=$G$29,K$29,$G945=$G$31,K$31,$G945=$G$32,K$150,$G945=$G$248,K$248,$G945=$G$250,K$250)</f>
        <v>BG sentinel + BG lure7</v>
      </c>
      <c r="O945" s="69" t="str">
        <f t="shared" si="77"/>
        <v>A_SP_BCN_3_211020</v>
      </c>
      <c r="P945" s="64">
        <v>44489</v>
      </c>
      <c r="R945" s="72"/>
      <c r="S945" s="64">
        <v>44496</v>
      </c>
      <c r="U945" s="72"/>
      <c r="V945" s="54" t="s">
        <v>66</v>
      </c>
      <c r="X945" s="69">
        <f t="shared" si="76"/>
        <v>7</v>
      </c>
      <c r="Z945" s="45" t="s">
        <v>70</v>
      </c>
      <c r="AA945" s="69">
        <f t="shared" si="80"/>
        <v>4</v>
      </c>
      <c r="AB945" t="str">
        <f t="shared" si="73"/>
        <v>Adult</v>
      </c>
      <c r="AC945" s="69">
        <v>4</v>
      </c>
      <c r="AD945" s="69">
        <v>0</v>
      </c>
      <c r="AE945" s="45" t="str">
        <f t="shared" si="74"/>
        <v>Morphological</v>
      </c>
      <c r="AF945" s="56">
        <v>4</v>
      </c>
    </row>
    <row r="946" spans="1:32" ht="18" customHeight="1" x14ac:dyDescent="0.25">
      <c r="A946" s="45">
        <v>942</v>
      </c>
      <c r="B946" s="45" t="s">
        <v>60</v>
      </c>
      <c r="C946" s="45" t="s">
        <v>61</v>
      </c>
      <c r="D946" s="45" t="s">
        <v>62</v>
      </c>
      <c r="E946" s="45" t="s">
        <v>62</v>
      </c>
      <c r="F946" s="59" cm="1">
        <f t="array" ref="F946">_xlfn.IFS($G946=$G$5,F$5,$G946=$G$6,F$6,$G946=$G$7,F$7,$G946=$G$8,F$8,$G946=$G$9,F$9,$G946=$G$10,F$10,$G946=$G$11,F$11,$G946=$G$12,F$12,$G946=$G$13,F$13,$G946=$G$15,F$15,$G946=$G$16,F$16,$G946=$G$17,F$17,$G946=$G$18,F$18,$G946=$G$19,F$19,$G946=$G$20,F$20,$G946=$G$21,F$21,$G946=$G$22,F$22,$G946=$G$25,F$25,$G946=$G$26,F$26,$G946=$G$27,F$27,$G946=$G$29,F$29,$G946=$G$31,F$31,$G946=$G$32,F$32,$G946=$G$248,F$248,$G946=$G$250,F$250)</f>
        <v>8018</v>
      </c>
      <c r="G946" t="s">
        <v>71</v>
      </c>
      <c r="H946" s="60" cm="1">
        <f t="array" ref="H946">_xlfn.IFS($G946=$G$5,H$5,$G946=$G$6,H$6,$G946=$G$7,H$7,$G946=$G$8,H$8,$G946=$G$9,H$9,$G946=$G$10,H$10,$G946=$G$11,H$11,$G946=$G$12,H$12,$G946=$G$13,H$13,$G946=$G$15,H$15,$G946=$G$16,H$16,$G946=$G$17,H$17,$G946=$G$18,H$18,$G946=$G$19,H$19,$G946=$G$20,H$20,$G946=$G$21,H$21,$G946=$G$22,H$22,$G946=$G$25,H$25,$G946=$G$26,H$26,$G946=$G$27,H$27,$G946=$G$29,H$29,$G946=$G$31,H$31,$G946=$G$32,H$150,$G946=$G$248,H$248,$G946=$G$250,H$250)</f>
        <v>41.410684000000003</v>
      </c>
      <c r="I946" s="60" cm="1">
        <f t="array" ref="I946">_xlfn.IFS($G946=$G$5,I$5,$G946=$G$6,I$6,$G946=$G$7,I$7,$G946=$G$8,I$8,$G946=$G$9,I$9,$G946=$G$10,I$10,$G946=$G$11,I$11,$G946=$G$12,I$12,$G946=$G$13,I$13,$G946=$G$15,I$15,$G946=$G$16,I$16,$G946=$G$17,I$17,$G946=$G$18,I$18,$G946=$G$19,I$19,$G946=$G$20,I$20,$G946=$G$21,I$21,$G946=$G$22,I$22,$G946=$G$25,I$25,$G946=$G$26,I$26,$G946=$G$27,I$27,$G946=$G$29,I$29,$G946=$G$31,I$31,$G946=$G$32,I$150,$G946=$G$248,I$248,$G946=$G$250,I$250)</f>
        <v>2.2208019999999999</v>
      </c>
      <c r="J946" s="61" cm="1">
        <f t="array" ref="J946">_xlfn.IFS($G946=$G$5,J$5,$G946=$G$6,J$6,$G946=$G$7,J$7,$G946=$G$8,J$8,$G946=$G$9,J$9,$G946=$G$10,J$10,$G946=$G$11,J$11,$G946=$G$12,J$12,$G946=$G$13,J$13,$G946=$G$15,J$15,$G946=$G$16,J$16,$G946=$G$17,J$17,$G946=$G$18,J$18,$G946=$G$19,J$19,$G946=$G$20,J$20,$G946=$G$21,J$21,$G946=$G$22,J$22,$G946=$G$25,J$25,$G946=$G$26,J$26,$G946=$G$27,J$27,$G946=$G$29,J$29,$G946=$G$31,J$31,$G946=$G$32,J$150,$G946=$G$248,J$248,$G946=$G$250,J$250)</f>
        <v>4</v>
      </c>
      <c r="K946" t="str" cm="1">
        <f t="array" ref="K946">_xlfn.IFS($G946=$G$5,K$5,$G946=$G$6,K$6,$G946=$G$7,K$7,$G946=$G$8,K$8,$G946=$G$9,K$9,$G946=$G$10,K$10,$G946=$G$11,K$11,$G946=$G$12,K$12,$G946=$G$13,K$13,$G946=$G$15,K$15,$G946=$G$16,K$16,$G946=$G$17,K$17,$G946=$G$18,K$18,$G946=$G$19,K$19,$G946=$G$20,K$20,$G946=$G$21,K$21,$G946=$G$22,K$22,$G946=$G$25,K$25,$G946=$G$26,K$26,$G946=$G$27,K$27,$G946=$G$29,K$29,$G946=$G$31,K$31,$G946=$G$32,K$150,$G946=$G$248,K$248,$G946=$G$250,K$250)</f>
        <v>BG sentinel + BG lure7</v>
      </c>
      <c r="O946" s="69" t="str">
        <f t="shared" si="77"/>
        <v>A_SP_BCN_4_211021</v>
      </c>
      <c r="P946" s="64">
        <v>44490</v>
      </c>
      <c r="R946" s="72"/>
      <c r="S946" s="64">
        <v>44497</v>
      </c>
      <c r="U946" s="72"/>
      <c r="V946" s="54" t="s">
        <v>66</v>
      </c>
      <c r="X946" s="69">
        <f t="shared" si="76"/>
        <v>7</v>
      </c>
      <c r="Z946" s="69" t="s">
        <v>69</v>
      </c>
      <c r="AA946" s="69">
        <f t="shared" si="80"/>
        <v>5</v>
      </c>
      <c r="AB946" t="str">
        <f t="shared" si="73"/>
        <v>Adult</v>
      </c>
      <c r="AC946" s="69">
        <v>5</v>
      </c>
      <c r="AD946" s="69">
        <v>0</v>
      </c>
      <c r="AE946" s="45" t="str">
        <f t="shared" si="74"/>
        <v>Morphological</v>
      </c>
      <c r="AF946" s="56">
        <v>4</v>
      </c>
    </row>
    <row r="947" spans="1:32" ht="18" customHeight="1" x14ac:dyDescent="0.25">
      <c r="A947" s="45">
        <v>943</v>
      </c>
      <c r="B947" s="45" t="s">
        <v>60</v>
      </c>
      <c r="C947" s="45" t="s">
        <v>61</v>
      </c>
      <c r="D947" s="45" t="s">
        <v>62</v>
      </c>
      <c r="E947" s="45" t="s">
        <v>62</v>
      </c>
      <c r="F947" s="59" cm="1">
        <f t="array" ref="F947">_xlfn.IFS($G947=$G$5,F$5,$G947=$G$6,F$6,$G947=$G$7,F$7,$G947=$G$8,F$8,$G947=$G$9,F$9,$G947=$G$10,F$10,$G947=$G$11,F$11,$G947=$G$12,F$12,$G947=$G$13,F$13,$G947=$G$15,F$15,$G947=$G$16,F$16,$G947=$G$17,F$17,$G947=$G$18,F$18,$G947=$G$19,F$19,$G947=$G$20,F$20,$G947=$G$21,F$21,$G947=$G$22,F$22,$G947=$G$25,F$25,$G947=$G$26,F$26,$G947=$G$27,F$27,$G947=$G$29,F$29,$G947=$G$31,F$31,$G947=$G$32,F$32,$G947=$G$248,F$248,$G947=$G$250,F$250)</f>
        <v>8018</v>
      </c>
      <c r="G947" t="s">
        <v>71</v>
      </c>
      <c r="H947" s="60" cm="1">
        <f t="array" ref="H947">_xlfn.IFS($G947=$G$5,H$5,$G947=$G$6,H$6,$G947=$G$7,H$7,$G947=$G$8,H$8,$G947=$G$9,H$9,$G947=$G$10,H$10,$G947=$G$11,H$11,$G947=$G$12,H$12,$G947=$G$13,H$13,$G947=$G$15,H$15,$G947=$G$16,H$16,$G947=$G$17,H$17,$G947=$G$18,H$18,$G947=$G$19,H$19,$G947=$G$20,H$20,$G947=$G$21,H$21,$G947=$G$22,H$22,$G947=$G$25,H$25,$G947=$G$26,H$26,$G947=$G$27,H$27,$G947=$G$29,H$29,$G947=$G$31,H$31,$G947=$G$32,H$150,$G947=$G$248,H$248,$G947=$G$250,H$250)</f>
        <v>41.410684000000003</v>
      </c>
      <c r="I947" s="60" cm="1">
        <f t="array" ref="I947">_xlfn.IFS($G947=$G$5,I$5,$G947=$G$6,I$6,$G947=$G$7,I$7,$G947=$G$8,I$8,$G947=$G$9,I$9,$G947=$G$10,I$10,$G947=$G$11,I$11,$G947=$G$12,I$12,$G947=$G$13,I$13,$G947=$G$15,I$15,$G947=$G$16,I$16,$G947=$G$17,I$17,$G947=$G$18,I$18,$G947=$G$19,I$19,$G947=$G$20,I$20,$G947=$G$21,I$21,$G947=$G$22,I$22,$G947=$G$25,I$25,$G947=$G$26,I$26,$G947=$G$27,I$27,$G947=$G$29,I$29,$G947=$G$31,I$31,$G947=$G$32,I$150,$G947=$G$248,I$248,$G947=$G$250,I$250)</f>
        <v>2.2208019999999999</v>
      </c>
      <c r="J947" s="61" cm="1">
        <f t="array" ref="J947">_xlfn.IFS($G947=$G$5,J$5,$G947=$G$6,J$6,$G947=$G$7,J$7,$G947=$G$8,J$8,$G947=$G$9,J$9,$G947=$G$10,J$10,$G947=$G$11,J$11,$G947=$G$12,J$12,$G947=$G$13,J$13,$G947=$G$15,J$15,$G947=$G$16,J$16,$G947=$G$17,J$17,$G947=$G$18,J$18,$G947=$G$19,J$19,$G947=$G$20,J$20,$G947=$G$21,J$21,$G947=$G$22,J$22,$G947=$G$25,J$25,$G947=$G$26,J$26,$G947=$G$27,J$27,$G947=$G$29,J$29,$G947=$G$31,J$31,$G947=$G$32,J$150,$G947=$G$248,J$248,$G947=$G$250,J$250)</f>
        <v>4</v>
      </c>
      <c r="K947" t="str" cm="1">
        <f t="array" ref="K947">_xlfn.IFS($G947=$G$5,K$5,$G947=$G$6,K$6,$G947=$G$7,K$7,$G947=$G$8,K$8,$G947=$G$9,K$9,$G947=$G$10,K$10,$G947=$G$11,K$11,$G947=$G$12,K$12,$G947=$G$13,K$13,$G947=$G$15,K$15,$G947=$G$16,K$16,$G947=$G$17,K$17,$G947=$G$18,K$18,$G947=$G$19,K$19,$G947=$G$20,K$20,$G947=$G$21,K$21,$G947=$G$22,K$22,$G947=$G$25,K$25,$G947=$G$26,K$26,$G947=$G$27,K$27,$G947=$G$29,K$29,$G947=$G$31,K$31,$G947=$G$32,K$150,$G947=$G$248,K$248,$G947=$G$250,K$250)</f>
        <v>BG sentinel + BG lure7</v>
      </c>
      <c r="O947" s="69" t="str">
        <f t="shared" si="77"/>
        <v>A_SP_BCN_4_211021</v>
      </c>
      <c r="P947" s="64">
        <v>44490</v>
      </c>
      <c r="R947" s="72"/>
      <c r="S947" s="64">
        <v>44497</v>
      </c>
      <c r="U947" s="72"/>
      <c r="V947" s="54" t="s">
        <v>66</v>
      </c>
      <c r="X947" s="69">
        <f t="shared" si="76"/>
        <v>7</v>
      </c>
      <c r="Z947" s="45" t="s">
        <v>70</v>
      </c>
      <c r="AA947" s="69">
        <f t="shared" si="80"/>
        <v>1</v>
      </c>
      <c r="AB947" t="str">
        <f t="shared" si="73"/>
        <v>Adult</v>
      </c>
      <c r="AC947" s="69">
        <v>1</v>
      </c>
      <c r="AD947" s="69">
        <v>0</v>
      </c>
      <c r="AE947" s="45" t="str">
        <f t="shared" si="74"/>
        <v>Morphological</v>
      </c>
      <c r="AF947" s="56">
        <v>4</v>
      </c>
    </row>
    <row r="948" spans="1:32" ht="18" customHeight="1" x14ac:dyDescent="0.25">
      <c r="A948" s="45">
        <v>944</v>
      </c>
      <c r="B948" s="45" t="s">
        <v>60</v>
      </c>
      <c r="C948" s="45" t="s">
        <v>61</v>
      </c>
      <c r="D948" s="45" t="s">
        <v>62</v>
      </c>
      <c r="E948" s="45" t="s">
        <v>62</v>
      </c>
      <c r="F948" s="59" cm="1">
        <f t="array" ref="F948">_xlfn.IFS($G948=$G$5,F$5,$G948=$G$6,F$6,$G948=$G$7,F$7,$G948=$G$8,F$8,$G948=$G$9,F$9,$G948=$G$10,F$10,$G948=$G$11,F$11,$G948=$G$12,F$12,$G948=$G$13,F$13,$G948=$G$15,F$15,$G948=$G$16,F$16,$G948=$G$17,F$17,$G948=$G$18,F$18,$G948=$G$19,F$19,$G948=$G$20,F$20,$G948=$G$21,F$21,$G948=$G$22,F$22,$G948=$G$25,F$25,$G948=$G$26,F$26,$G948=$G$27,F$27,$G948=$G$29,F$29,$G948=$G$31,F$31,$G948=$G$32,F$32,$G948=$G$248,F$248,$G948=$G$250,F$250)</f>
        <v>8019</v>
      </c>
      <c r="G948" t="s">
        <v>72</v>
      </c>
      <c r="H948" s="60" cm="1">
        <f t="array" ref="H948">_xlfn.IFS($G948=$G$5,H$5,$G948=$G$6,H$6,$G948=$G$7,H$7,$G948=$G$8,H$8,$G948=$G$9,H$9,$G948=$G$10,H$10,$G948=$G$11,H$11,$G948=$G$12,H$12,$G948=$G$13,H$13,$G948=$G$15,H$15,$G948=$G$16,H$16,$G948=$G$17,H$17,$G948=$G$18,H$18,$G948=$G$19,H$19,$G948=$G$20,H$20,$G948=$G$21,H$21,$G948=$G$22,H$22,$G948=$G$25,H$25,$G948=$G$26,H$26,$G948=$G$27,H$27,$G948=$G$29,H$29,$G948=$G$31,H$31,$G948=$G$32,H$150,$G948=$G$248,H$248,$G948=$G$250,H$250)</f>
        <v>41.382339999999999</v>
      </c>
      <c r="I948" s="60" cm="1">
        <f t="array" ref="I948">_xlfn.IFS($G948=$G$5,I$5,$G948=$G$6,I$6,$G948=$G$7,I$7,$G948=$G$8,I$8,$G948=$G$9,I$9,$G948=$G$10,I$10,$G948=$G$11,I$11,$G948=$G$12,I$12,$G948=$G$13,I$13,$G948=$G$15,I$15,$G948=$G$16,I$16,$G948=$G$17,I$17,$G948=$G$18,I$18,$G948=$G$19,I$19,$G948=$G$20,I$20,$G948=$G$21,I$21,$G948=$G$22,I$22,$G948=$G$25,I$25,$G948=$G$26,I$26,$G948=$G$27,I$27,$G948=$G$29,I$29,$G948=$G$31,I$31,$G948=$G$32,I$150,$G948=$G$248,I$248,$G948=$G$250,I$250)</f>
        <v>2.1714790000000002</v>
      </c>
      <c r="J948" s="61" cm="1">
        <f t="array" ref="J948">_xlfn.IFS($G948=$G$5,J$5,$G948=$G$6,J$6,$G948=$G$7,J$7,$G948=$G$8,J$8,$G948=$G$9,J$9,$G948=$G$10,J$10,$G948=$G$11,J$11,$G948=$G$12,J$12,$G948=$G$13,J$13,$G948=$G$15,J$15,$G948=$G$16,J$16,$G948=$G$17,J$17,$G948=$G$18,J$18,$G948=$G$19,J$19,$G948=$G$20,J$20,$G948=$G$21,J$21,$G948=$G$22,J$22,$G948=$G$25,J$25,$G948=$G$26,J$26,$G948=$G$27,J$27,$G948=$G$29,J$29,$G948=$G$31,J$31,$G948=$G$32,J$150,$G948=$G$248,J$248,$G948=$G$250,J$250)</f>
        <v>18</v>
      </c>
      <c r="K948" t="str" cm="1">
        <f t="array" ref="K948">_xlfn.IFS($G948=$G$5,K$5,$G948=$G$6,K$6,$G948=$G$7,K$7,$G948=$G$8,K$8,$G948=$G$9,K$9,$G948=$G$10,K$10,$G948=$G$11,K$11,$G948=$G$12,K$12,$G948=$G$13,K$13,$G948=$G$15,K$15,$G948=$G$16,K$16,$G948=$G$17,K$17,$G948=$G$18,K$18,$G948=$G$19,K$19,$G948=$G$20,K$20,$G948=$G$21,K$21,$G948=$G$22,K$22,$G948=$G$25,K$25,$G948=$G$26,K$26,$G948=$G$27,K$27,$G948=$G$29,K$29,$G948=$G$31,K$31,$G948=$G$32,K$150,$G948=$G$248,K$248,$G948=$G$250,K$250)</f>
        <v>BG sentinel + BG lure7</v>
      </c>
      <c r="O948" s="69" t="str">
        <f t="shared" si="77"/>
        <v>A_SP_BCN_5_211021</v>
      </c>
      <c r="P948" s="64">
        <v>44490</v>
      </c>
      <c r="R948" s="72"/>
      <c r="S948" s="64">
        <v>44497</v>
      </c>
      <c r="U948" s="72"/>
      <c r="V948" s="54" t="s">
        <v>66</v>
      </c>
      <c r="X948" s="69">
        <f t="shared" si="76"/>
        <v>7</v>
      </c>
      <c r="Z948" s="45" t="s">
        <v>70</v>
      </c>
      <c r="AA948" s="69">
        <f t="shared" si="80"/>
        <v>5</v>
      </c>
      <c r="AB948" t="str">
        <f t="shared" si="73"/>
        <v>Adult</v>
      </c>
      <c r="AC948" s="69">
        <v>4</v>
      </c>
      <c r="AD948" s="69">
        <v>1</v>
      </c>
      <c r="AE948" s="45" t="str">
        <f t="shared" si="74"/>
        <v>Morphological</v>
      </c>
      <c r="AF948" s="56">
        <v>4</v>
      </c>
    </row>
    <row r="949" spans="1:32" ht="18" customHeight="1" x14ac:dyDescent="0.25">
      <c r="A949" s="45">
        <v>945</v>
      </c>
      <c r="B949" s="45" t="s">
        <v>60</v>
      </c>
      <c r="C949" s="45" t="s">
        <v>61</v>
      </c>
      <c r="D949" s="45" t="s">
        <v>62</v>
      </c>
      <c r="E949" s="45" t="s">
        <v>62</v>
      </c>
      <c r="F949" s="59" cm="1">
        <f t="array" ref="F949">_xlfn.IFS($G949=$G$5,F$5,$G949=$G$6,F$6,$G949=$G$7,F$7,$G949=$G$8,F$8,$G949=$G$9,F$9,$G949=$G$10,F$10,$G949=$G$11,F$11,$G949=$G$12,F$12,$G949=$G$13,F$13,$G949=$G$15,F$15,$G949=$G$16,F$16,$G949=$G$17,F$17,$G949=$G$18,F$18,$G949=$G$19,F$19,$G949=$G$20,F$20,$G949=$G$21,F$21,$G949=$G$22,F$22,$G949=$G$25,F$25,$G949=$G$26,F$26,$G949=$G$27,F$27,$G949=$G$29,F$29,$G949=$G$31,F$31,$G949=$G$32,F$32,$G949=$G$248,F$248,$G949=$G$250,F$250)</f>
        <v>8002</v>
      </c>
      <c r="G949" t="s">
        <v>73</v>
      </c>
      <c r="H949" s="60" cm="1">
        <f t="array" ref="H949">_xlfn.IFS($G949=$G$5,H$5,$G949=$G$6,H$6,$G949=$G$7,H$7,$G949=$G$8,H$8,$G949=$G$9,H$9,$G949=$G$10,H$10,$G949=$G$11,H$11,$G949=$G$12,H$12,$G949=$G$13,H$13,$G949=$G$15,H$15,$G949=$G$16,H$16,$G949=$G$17,H$17,$G949=$G$18,H$18,$G949=$G$19,H$19,$G949=$G$20,H$20,$G949=$G$21,H$21,$G949=$G$22,H$22,$G949=$G$25,H$25,$G949=$G$26,H$26,$G949=$G$27,H$27,$G949=$G$29,H$29,$G949=$G$31,H$31,$G949=$G$32,H$150,$G949=$G$248,H$248,$G949=$G$250,H$250)</f>
        <v>41.371864000000002</v>
      </c>
      <c r="I949" s="60" cm="1">
        <f t="array" ref="I949">_xlfn.IFS($G949=$G$5,I$5,$G949=$G$6,I$6,$G949=$G$7,I$7,$G949=$G$8,I$8,$G949=$G$9,I$9,$G949=$G$10,I$10,$G949=$G$11,I$11,$G949=$G$12,I$12,$G949=$G$13,I$13,$G949=$G$15,I$15,$G949=$G$16,I$16,$G949=$G$17,I$17,$G949=$G$18,I$18,$G949=$G$19,I$19,$G949=$G$20,I$20,$G949=$G$21,I$21,$G949=$G$22,I$22,$G949=$G$25,I$25,$G949=$G$26,I$26,$G949=$G$27,I$27,$G949=$G$29,I$29,$G949=$G$31,I$31,$G949=$G$32,I$150,$G949=$G$248,I$248,$G949=$G$250,I$250)</f>
        <v>2.173899</v>
      </c>
      <c r="J949" s="61" cm="1">
        <f t="array" ref="J949">_xlfn.IFS($G949=$G$5,J$5,$G949=$G$6,J$6,$G949=$G$7,J$7,$G949=$G$8,J$8,$G949=$G$9,J$9,$G949=$G$10,J$10,$G949=$G$11,J$11,$G949=$G$12,J$12,$G949=$G$13,J$13,$G949=$G$15,J$15,$G949=$G$16,J$16,$G949=$G$17,J$17,$G949=$G$18,J$18,$G949=$G$19,J$19,$G949=$G$20,J$20,$G949=$G$21,J$21,$G949=$G$22,J$22,$G949=$G$25,J$25,$G949=$G$26,J$26,$G949=$G$27,J$27,$G949=$G$29,J$29,$G949=$G$31,J$31,$G949=$G$32,J$150,$G949=$G$248,J$248,$G949=$G$250,J$250)</f>
        <v>19</v>
      </c>
      <c r="K949" t="str" cm="1">
        <f t="array" ref="K949">_xlfn.IFS($G949=$G$5,K$5,$G949=$G$6,K$6,$G949=$G$7,K$7,$G949=$G$8,K$8,$G949=$G$9,K$9,$G949=$G$10,K$10,$G949=$G$11,K$11,$G949=$G$12,K$12,$G949=$G$13,K$13,$G949=$G$15,K$15,$G949=$G$16,K$16,$G949=$G$17,K$17,$G949=$G$18,K$18,$G949=$G$19,K$19,$G949=$G$20,K$20,$G949=$G$21,K$21,$G949=$G$22,K$22,$G949=$G$25,K$25,$G949=$G$26,K$26,$G949=$G$27,K$27,$G949=$G$29,K$29,$G949=$G$31,K$31,$G949=$G$32,K$150,$G949=$G$248,K$248,$G949=$G$250,K$250)</f>
        <v>BG sentinel + BG lure7</v>
      </c>
      <c r="O949" s="69" t="str">
        <f t="shared" si="77"/>
        <v>A_SP_BCN_6_211021</v>
      </c>
      <c r="P949" s="64">
        <v>44490</v>
      </c>
      <c r="R949" s="72"/>
      <c r="S949" s="64">
        <v>44497</v>
      </c>
      <c r="U949" s="72"/>
      <c r="V949" s="54" t="s">
        <v>66</v>
      </c>
      <c r="X949" s="69">
        <f t="shared" si="76"/>
        <v>7</v>
      </c>
      <c r="Z949" s="69" t="s">
        <v>69</v>
      </c>
      <c r="AA949" s="69">
        <f t="shared" ref="AA949:AA1012" si="81">SUM(AC949:AD949)</f>
        <v>2</v>
      </c>
      <c r="AB949" t="str">
        <f t="shared" si="73"/>
        <v>Adult</v>
      </c>
      <c r="AC949" s="69">
        <v>2</v>
      </c>
      <c r="AD949" s="69">
        <v>0</v>
      </c>
      <c r="AE949" s="45" t="str">
        <f t="shared" si="74"/>
        <v>Morphological</v>
      </c>
      <c r="AF949" s="56">
        <v>4</v>
      </c>
    </row>
    <row r="950" spans="1:32" ht="18" customHeight="1" x14ac:dyDescent="0.25">
      <c r="A950" s="45">
        <v>946</v>
      </c>
      <c r="B950" s="45" t="s">
        <v>60</v>
      </c>
      <c r="C950" s="45" t="s">
        <v>61</v>
      </c>
      <c r="D950" s="45" t="s">
        <v>62</v>
      </c>
      <c r="E950" s="45" t="s">
        <v>62</v>
      </c>
      <c r="F950" s="59" cm="1">
        <f t="array" ref="F950">_xlfn.IFS($G950=$G$5,F$5,$G950=$G$6,F$6,$G950=$G$7,F$7,$G950=$G$8,F$8,$G950=$G$9,F$9,$G950=$G$10,F$10,$G950=$G$11,F$11,$G950=$G$12,F$12,$G950=$G$13,F$13,$G950=$G$15,F$15,$G950=$G$16,F$16,$G950=$G$17,F$17,$G950=$G$18,F$18,$G950=$G$19,F$19,$G950=$G$20,F$20,$G950=$G$21,F$21,$G950=$G$22,F$22,$G950=$G$25,F$25,$G950=$G$26,F$26,$G950=$G$27,F$27,$G950=$G$29,F$29,$G950=$G$31,F$31,$G950=$G$32,F$32,$G950=$G$248,F$248,$G950=$G$250,F$250)</f>
        <v>8002</v>
      </c>
      <c r="G950" t="s">
        <v>73</v>
      </c>
      <c r="H950" s="60" cm="1">
        <f t="array" ref="H950">_xlfn.IFS($G950=$G$5,H$5,$G950=$G$6,H$6,$G950=$G$7,H$7,$G950=$G$8,H$8,$G950=$G$9,H$9,$G950=$G$10,H$10,$G950=$G$11,H$11,$G950=$G$12,H$12,$G950=$G$13,H$13,$G950=$G$15,H$15,$G950=$G$16,H$16,$G950=$G$17,H$17,$G950=$G$18,H$18,$G950=$G$19,H$19,$G950=$G$20,H$20,$G950=$G$21,H$21,$G950=$G$22,H$22,$G950=$G$25,H$25,$G950=$G$26,H$26,$G950=$G$27,H$27,$G950=$G$29,H$29,$G950=$G$31,H$31,$G950=$G$32,H$150,$G950=$G$248,H$248,$G950=$G$250,H$250)</f>
        <v>41.371864000000002</v>
      </c>
      <c r="I950" s="60" cm="1">
        <f t="array" ref="I950">_xlfn.IFS($G950=$G$5,I$5,$G950=$G$6,I$6,$G950=$G$7,I$7,$G950=$G$8,I$8,$G950=$G$9,I$9,$G950=$G$10,I$10,$G950=$G$11,I$11,$G950=$G$12,I$12,$G950=$G$13,I$13,$G950=$G$15,I$15,$G950=$G$16,I$16,$G950=$G$17,I$17,$G950=$G$18,I$18,$G950=$G$19,I$19,$G950=$G$20,I$20,$G950=$G$21,I$21,$G950=$G$22,I$22,$G950=$G$25,I$25,$G950=$G$26,I$26,$G950=$G$27,I$27,$G950=$G$29,I$29,$G950=$G$31,I$31,$G950=$G$32,I$150,$G950=$G$248,I$248,$G950=$G$250,I$250)</f>
        <v>2.173899</v>
      </c>
      <c r="J950" s="61" cm="1">
        <f t="array" ref="J950">_xlfn.IFS($G950=$G$5,J$5,$G950=$G$6,J$6,$G950=$G$7,J$7,$G950=$G$8,J$8,$G950=$G$9,J$9,$G950=$G$10,J$10,$G950=$G$11,J$11,$G950=$G$12,J$12,$G950=$G$13,J$13,$G950=$G$15,J$15,$G950=$G$16,J$16,$G950=$G$17,J$17,$G950=$G$18,J$18,$G950=$G$19,J$19,$G950=$G$20,J$20,$G950=$G$21,J$21,$G950=$G$22,J$22,$G950=$G$25,J$25,$G950=$G$26,J$26,$G950=$G$27,J$27,$G950=$G$29,J$29,$G950=$G$31,J$31,$G950=$G$32,J$150,$G950=$G$248,J$248,$G950=$G$250,J$250)</f>
        <v>19</v>
      </c>
      <c r="K950" t="str" cm="1">
        <f t="array" ref="K950">_xlfn.IFS($G950=$G$5,K$5,$G950=$G$6,K$6,$G950=$G$7,K$7,$G950=$G$8,K$8,$G950=$G$9,K$9,$G950=$G$10,K$10,$G950=$G$11,K$11,$G950=$G$12,K$12,$G950=$G$13,K$13,$G950=$G$15,K$15,$G950=$G$16,K$16,$G950=$G$17,K$17,$G950=$G$18,K$18,$G950=$G$19,K$19,$G950=$G$20,K$20,$G950=$G$21,K$21,$G950=$G$22,K$22,$G950=$G$25,K$25,$G950=$G$26,K$26,$G950=$G$27,K$27,$G950=$G$29,K$29,$G950=$G$31,K$31,$G950=$G$32,K$150,$G950=$G$248,K$248,$G950=$G$250,K$250)</f>
        <v>BG sentinel + BG lure7</v>
      </c>
      <c r="O950" s="69" t="str">
        <f t="shared" si="77"/>
        <v>A_SP_BCN_6_211021</v>
      </c>
      <c r="P950" s="64">
        <v>44490</v>
      </c>
      <c r="R950" s="72"/>
      <c r="S950" s="64">
        <v>44497</v>
      </c>
      <c r="U950" s="72"/>
      <c r="V950" s="54" t="s">
        <v>66</v>
      </c>
      <c r="X950" s="69">
        <f t="shared" si="76"/>
        <v>7</v>
      </c>
      <c r="Z950" s="45" t="s">
        <v>70</v>
      </c>
      <c r="AA950" s="69">
        <f t="shared" si="81"/>
        <v>4</v>
      </c>
      <c r="AB950" t="str">
        <f t="shared" si="73"/>
        <v>Adult</v>
      </c>
      <c r="AC950" s="69">
        <v>3</v>
      </c>
      <c r="AD950" s="69">
        <v>1</v>
      </c>
      <c r="AE950" s="45" t="str">
        <f t="shared" si="74"/>
        <v>Morphological</v>
      </c>
      <c r="AF950" s="56">
        <v>4</v>
      </c>
    </row>
    <row r="951" spans="1:32" ht="18" customHeight="1" x14ac:dyDescent="0.25">
      <c r="A951" s="45">
        <v>947</v>
      </c>
      <c r="B951" s="45" t="s">
        <v>60</v>
      </c>
      <c r="C951" s="45" t="s">
        <v>61</v>
      </c>
      <c r="D951" s="45" t="s">
        <v>62</v>
      </c>
      <c r="E951" s="45" t="s">
        <v>62</v>
      </c>
      <c r="F951" s="59" cm="1">
        <f t="array" ref="F951">_xlfn.IFS($G951=$G$5,F$5,$G951=$G$6,F$6,$G951=$G$7,F$7,$G951=$G$8,F$8,$G951=$G$9,F$9,$G951=$G$10,F$10,$G951=$G$11,F$11,$G951=$G$12,F$12,$G951=$G$13,F$13,$G951=$G$15,F$15,$G951=$G$16,F$16,$G951=$G$17,F$17,$G951=$G$18,F$18,$G951=$G$19,F$19,$G951=$G$20,F$20,$G951=$G$21,F$21,$G951=$G$22,F$22,$G951=$G$25,F$25,$G951=$G$26,F$26,$G951=$G$27,F$27,$G951=$G$29,F$29,$G951=$G$31,F$31,$G951=$G$32,F$32,$G951=$G$248,F$248,$G951=$G$250,F$250)</f>
        <v>8002</v>
      </c>
      <c r="G951" t="s">
        <v>73</v>
      </c>
      <c r="H951" s="60" cm="1">
        <f t="array" ref="H951">_xlfn.IFS($G951=$G$5,H$5,$G951=$G$6,H$6,$G951=$G$7,H$7,$G951=$G$8,H$8,$G951=$G$9,H$9,$G951=$G$10,H$10,$G951=$G$11,H$11,$G951=$G$12,H$12,$G951=$G$13,H$13,$G951=$G$15,H$15,$G951=$G$16,H$16,$G951=$G$17,H$17,$G951=$G$18,H$18,$G951=$G$19,H$19,$G951=$G$20,H$20,$G951=$G$21,H$21,$G951=$G$22,H$22,$G951=$G$25,H$25,$G951=$G$26,H$26,$G951=$G$27,H$27,$G951=$G$29,H$29,$G951=$G$31,H$31,$G951=$G$32,H$150,$G951=$G$248,H$248,$G951=$G$250,H$250)</f>
        <v>41.371864000000002</v>
      </c>
      <c r="I951" s="60" cm="1">
        <f t="array" ref="I951">_xlfn.IFS($G951=$G$5,I$5,$G951=$G$6,I$6,$G951=$G$7,I$7,$G951=$G$8,I$8,$G951=$G$9,I$9,$G951=$G$10,I$10,$G951=$G$11,I$11,$G951=$G$12,I$12,$G951=$G$13,I$13,$G951=$G$15,I$15,$G951=$G$16,I$16,$G951=$G$17,I$17,$G951=$G$18,I$18,$G951=$G$19,I$19,$G951=$G$20,I$20,$G951=$G$21,I$21,$G951=$G$22,I$22,$G951=$G$25,I$25,$G951=$G$26,I$26,$G951=$G$27,I$27,$G951=$G$29,I$29,$G951=$G$31,I$31,$G951=$G$32,I$150,$G951=$G$248,I$248,$G951=$G$250,I$250)</f>
        <v>2.173899</v>
      </c>
      <c r="J951" s="61" cm="1">
        <f t="array" ref="J951">_xlfn.IFS($G951=$G$5,J$5,$G951=$G$6,J$6,$G951=$G$7,J$7,$G951=$G$8,J$8,$G951=$G$9,J$9,$G951=$G$10,J$10,$G951=$G$11,J$11,$G951=$G$12,J$12,$G951=$G$13,J$13,$G951=$G$15,J$15,$G951=$G$16,J$16,$G951=$G$17,J$17,$G951=$G$18,J$18,$G951=$G$19,J$19,$G951=$G$20,J$20,$G951=$G$21,J$21,$G951=$G$22,J$22,$G951=$G$25,J$25,$G951=$G$26,J$26,$G951=$G$27,J$27,$G951=$G$29,J$29,$G951=$G$31,J$31,$G951=$G$32,J$150,$G951=$G$248,J$248,$G951=$G$250,J$250)</f>
        <v>19</v>
      </c>
      <c r="K951" t="str" cm="1">
        <f t="array" ref="K951">_xlfn.IFS($G951=$G$5,K$5,$G951=$G$6,K$6,$G951=$G$7,K$7,$G951=$G$8,K$8,$G951=$G$9,K$9,$G951=$G$10,K$10,$G951=$G$11,K$11,$G951=$G$12,K$12,$G951=$G$13,K$13,$G951=$G$15,K$15,$G951=$G$16,K$16,$G951=$G$17,K$17,$G951=$G$18,K$18,$G951=$G$19,K$19,$G951=$G$20,K$20,$G951=$G$21,K$21,$G951=$G$22,K$22,$G951=$G$25,K$25,$G951=$G$26,K$26,$G951=$G$27,K$27,$G951=$G$29,K$29,$G951=$G$31,K$31,$G951=$G$32,K$150,$G951=$G$248,K$248,$G951=$G$250,K$250)</f>
        <v>BG sentinel + BG lure7</v>
      </c>
      <c r="O951" s="69" t="str">
        <f t="shared" si="77"/>
        <v>A_SP_BCN_6_211021</v>
      </c>
      <c r="P951" s="64">
        <v>44490</v>
      </c>
      <c r="R951" s="72"/>
      <c r="S951" s="64">
        <v>44497</v>
      </c>
      <c r="U951" s="72"/>
      <c r="V951" s="54" t="s">
        <v>66</v>
      </c>
      <c r="X951" s="69">
        <f t="shared" si="76"/>
        <v>7</v>
      </c>
      <c r="Z951" s="45" t="s">
        <v>80</v>
      </c>
      <c r="AA951" s="69">
        <f t="shared" si="81"/>
        <v>2</v>
      </c>
      <c r="AB951" t="str">
        <f t="shared" si="73"/>
        <v>Adult</v>
      </c>
      <c r="AC951" s="69">
        <v>2</v>
      </c>
      <c r="AD951" s="69">
        <v>0</v>
      </c>
      <c r="AE951" s="45" t="str">
        <f t="shared" si="74"/>
        <v>Morphological</v>
      </c>
      <c r="AF951" s="56">
        <v>4</v>
      </c>
    </row>
    <row r="952" spans="1:32" ht="18" customHeight="1" x14ac:dyDescent="0.25">
      <c r="A952" s="45">
        <v>948</v>
      </c>
      <c r="B952" s="45" t="s">
        <v>60</v>
      </c>
      <c r="C952" s="45" t="s">
        <v>61</v>
      </c>
      <c r="D952" s="45" t="s">
        <v>62</v>
      </c>
      <c r="E952" s="45" t="s">
        <v>62</v>
      </c>
      <c r="F952" s="59" cm="1">
        <f t="array" ref="F952">_xlfn.IFS($G952=$G$5,F$5,$G952=$G$6,F$6,$G952=$G$7,F$7,$G952=$G$8,F$8,$G952=$G$9,F$9,$G952=$G$10,F$10,$G952=$G$11,F$11,$G952=$G$12,F$12,$G952=$G$13,F$13,$G952=$G$15,F$15,$G952=$G$16,F$16,$G952=$G$17,F$17,$G952=$G$18,F$18,$G952=$G$19,F$19,$G952=$G$20,F$20,$G952=$G$21,F$21,$G952=$G$22,F$22,$G952=$G$25,F$25,$G952=$G$26,F$26,$G952=$G$27,F$27,$G952=$G$29,F$29,$G952=$G$31,F$31,$G952=$G$32,F$32,$G952=$G$248,F$248,$G952=$G$250,F$250)</f>
        <v>8038</v>
      </c>
      <c r="G952" t="s">
        <v>74</v>
      </c>
      <c r="H952" s="60" cm="1">
        <f t="array" ref="H952">_xlfn.IFS($G952=$G$5,H$5,$G952=$G$6,H$6,$G952=$G$7,H$7,$G952=$G$8,H$8,$G952=$G$9,H$9,$G952=$G$10,H$10,$G952=$G$11,H$11,$G952=$G$12,H$12,$G952=$G$13,H$13,$G952=$G$15,H$15,$G952=$G$16,H$16,$G952=$G$17,H$17,$G952=$G$18,H$18,$G952=$G$19,H$19,$G952=$G$20,H$20,$G952=$G$21,H$21,$G952=$G$22,H$22,$G952=$G$25,H$25,$G952=$G$26,H$26,$G952=$G$27,H$27,$G952=$G$29,H$29,$G952=$G$31,H$31,$G952=$G$32,H$150,$G952=$G$248,H$248,$G952=$G$250,H$250)</f>
        <v>41.371864000000002</v>
      </c>
      <c r="I952" s="60" cm="1">
        <f t="array" ref="I952">_xlfn.IFS($G952=$G$5,I$5,$G952=$G$6,I$6,$G952=$G$7,I$7,$G952=$G$8,I$8,$G952=$G$9,I$9,$G952=$G$10,I$10,$G952=$G$11,I$11,$G952=$G$12,I$12,$G952=$G$13,I$13,$G952=$G$15,I$15,$G952=$G$16,I$16,$G952=$G$17,I$17,$G952=$G$18,I$18,$G952=$G$19,I$19,$G952=$G$20,I$20,$G952=$G$21,I$21,$G952=$G$22,I$22,$G952=$G$25,I$25,$G952=$G$26,I$26,$G952=$G$27,I$27,$G952=$G$29,I$29,$G952=$G$31,I$31,$G952=$G$32,I$150,$G952=$G$248,I$248,$G952=$G$250,I$250)</f>
        <v>2.173899</v>
      </c>
      <c r="J952" s="61" cm="1">
        <f t="array" ref="J952">_xlfn.IFS($G952=$G$5,J$5,$G952=$G$6,J$6,$G952=$G$7,J$7,$G952=$G$8,J$8,$G952=$G$9,J$9,$G952=$G$10,J$10,$G952=$G$11,J$11,$G952=$G$12,J$12,$G952=$G$13,J$13,$G952=$G$15,J$15,$G952=$G$16,J$16,$G952=$G$17,J$17,$G952=$G$18,J$18,$G952=$G$19,J$19,$G952=$G$20,J$20,$G952=$G$21,J$21,$G952=$G$22,J$22,$G952=$G$25,J$25,$G952=$G$26,J$26,$G952=$G$27,J$27,$G952=$G$29,J$29,$G952=$G$31,J$31,$G952=$G$32,J$150,$G952=$G$248,J$248,$G952=$G$250,J$250)</f>
        <v>5</v>
      </c>
      <c r="K952" t="str" cm="1">
        <f t="array" ref="K952">_xlfn.IFS($G952=$G$5,K$5,$G952=$G$6,K$6,$G952=$G$7,K$7,$G952=$G$8,K$8,$G952=$G$9,K$9,$G952=$G$10,K$10,$G952=$G$11,K$11,$G952=$G$12,K$12,$G952=$G$13,K$13,$G952=$G$15,K$15,$G952=$G$16,K$16,$G952=$G$17,K$17,$G952=$G$18,K$18,$G952=$G$19,K$19,$G952=$G$20,K$20,$G952=$G$21,K$21,$G952=$G$22,K$22,$G952=$G$25,K$25,$G952=$G$26,K$26,$G952=$G$27,K$27,$G952=$G$29,K$29,$G952=$G$31,K$31,$G952=$G$32,K$150,$G952=$G$248,K$248,$G952=$G$250,K$250)</f>
        <v>BG sentinel + BG lure7</v>
      </c>
      <c r="O952" s="69" t="str">
        <f t="shared" si="77"/>
        <v>A_SP_BCN_7_211021</v>
      </c>
      <c r="P952" s="64">
        <v>44490</v>
      </c>
      <c r="R952" s="72"/>
      <c r="S952" s="64">
        <v>44497</v>
      </c>
      <c r="U952" s="72"/>
      <c r="V952" s="54" t="s">
        <v>66</v>
      </c>
      <c r="X952" s="69">
        <f t="shared" si="76"/>
        <v>7</v>
      </c>
      <c r="Z952" s="69" t="s">
        <v>69</v>
      </c>
      <c r="AA952" s="69">
        <f t="shared" si="81"/>
        <v>4</v>
      </c>
      <c r="AB952" t="str">
        <f t="shared" si="73"/>
        <v>Adult</v>
      </c>
      <c r="AC952" s="69">
        <v>4</v>
      </c>
      <c r="AD952" s="69">
        <v>0</v>
      </c>
      <c r="AE952" s="45" t="str">
        <f t="shared" si="74"/>
        <v>Morphological</v>
      </c>
      <c r="AF952" s="56">
        <v>4</v>
      </c>
    </row>
    <row r="953" spans="1:32" ht="18" customHeight="1" x14ac:dyDescent="0.25">
      <c r="A953" s="45">
        <v>949</v>
      </c>
      <c r="B953" s="45" t="s">
        <v>60</v>
      </c>
      <c r="C953" s="45" t="s">
        <v>61</v>
      </c>
      <c r="D953" s="45" t="s">
        <v>62</v>
      </c>
      <c r="E953" s="45" t="s">
        <v>62</v>
      </c>
      <c r="F953" s="59" cm="1">
        <f t="array" ref="F953">_xlfn.IFS($G953=$G$5,F$5,$G953=$G$6,F$6,$G953=$G$7,F$7,$G953=$G$8,F$8,$G953=$G$9,F$9,$G953=$G$10,F$10,$G953=$G$11,F$11,$G953=$G$12,F$12,$G953=$G$13,F$13,$G953=$G$15,F$15,$G953=$G$16,F$16,$G953=$G$17,F$17,$G953=$G$18,F$18,$G953=$G$19,F$19,$G953=$G$20,F$20,$G953=$G$21,F$21,$G953=$G$22,F$22,$G953=$G$25,F$25,$G953=$G$26,F$26,$G953=$G$27,F$27,$G953=$G$29,F$29,$G953=$G$31,F$31,$G953=$G$32,F$32,$G953=$G$248,F$248,$G953=$G$250,F$250)</f>
        <v>8038</v>
      </c>
      <c r="G953" t="s">
        <v>74</v>
      </c>
      <c r="H953" s="60" cm="1">
        <f t="array" ref="H953">_xlfn.IFS($G953=$G$5,H$5,$G953=$G$6,H$6,$G953=$G$7,H$7,$G953=$G$8,H$8,$G953=$G$9,H$9,$G953=$G$10,H$10,$G953=$G$11,H$11,$G953=$G$12,H$12,$G953=$G$13,H$13,$G953=$G$15,H$15,$G953=$G$16,H$16,$G953=$G$17,H$17,$G953=$G$18,H$18,$G953=$G$19,H$19,$G953=$G$20,H$20,$G953=$G$21,H$21,$G953=$G$22,H$22,$G953=$G$25,H$25,$G953=$G$26,H$26,$G953=$G$27,H$27,$G953=$G$29,H$29,$G953=$G$31,H$31,$G953=$G$32,H$150,$G953=$G$248,H$248,$G953=$G$250,H$250)</f>
        <v>41.371864000000002</v>
      </c>
      <c r="I953" s="60" cm="1">
        <f t="array" ref="I953">_xlfn.IFS($G953=$G$5,I$5,$G953=$G$6,I$6,$G953=$G$7,I$7,$G953=$G$8,I$8,$G953=$G$9,I$9,$G953=$G$10,I$10,$G953=$G$11,I$11,$G953=$G$12,I$12,$G953=$G$13,I$13,$G953=$G$15,I$15,$G953=$G$16,I$16,$G953=$G$17,I$17,$G953=$G$18,I$18,$G953=$G$19,I$19,$G953=$G$20,I$20,$G953=$G$21,I$21,$G953=$G$22,I$22,$G953=$G$25,I$25,$G953=$G$26,I$26,$G953=$G$27,I$27,$G953=$G$29,I$29,$G953=$G$31,I$31,$G953=$G$32,I$150,$G953=$G$248,I$248,$G953=$G$250,I$250)</f>
        <v>2.173899</v>
      </c>
      <c r="J953" s="61" cm="1">
        <f t="array" ref="J953">_xlfn.IFS($G953=$G$5,J$5,$G953=$G$6,J$6,$G953=$G$7,J$7,$G953=$G$8,J$8,$G953=$G$9,J$9,$G953=$G$10,J$10,$G953=$G$11,J$11,$G953=$G$12,J$12,$G953=$G$13,J$13,$G953=$G$15,J$15,$G953=$G$16,J$16,$G953=$G$17,J$17,$G953=$G$18,J$18,$G953=$G$19,J$19,$G953=$G$20,J$20,$G953=$G$21,J$21,$G953=$G$22,J$22,$G953=$G$25,J$25,$G953=$G$26,J$26,$G953=$G$27,J$27,$G953=$G$29,J$29,$G953=$G$31,J$31,$G953=$G$32,J$150,$G953=$G$248,J$248,$G953=$G$250,J$250)</f>
        <v>5</v>
      </c>
      <c r="K953" t="str" cm="1">
        <f t="array" ref="K953">_xlfn.IFS($G953=$G$5,K$5,$G953=$G$6,K$6,$G953=$G$7,K$7,$G953=$G$8,K$8,$G953=$G$9,K$9,$G953=$G$10,K$10,$G953=$G$11,K$11,$G953=$G$12,K$12,$G953=$G$13,K$13,$G953=$G$15,K$15,$G953=$G$16,K$16,$G953=$G$17,K$17,$G953=$G$18,K$18,$G953=$G$19,K$19,$G953=$G$20,K$20,$G953=$G$21,K$21,$G953=$G$22,K$22,$G953=$G$25,K$25,$G953=$G$26,K$26,$G953=$G$27,K$27,$G953=$G$29,K$29,$G953=$G$31,K$31,$G953=$G$32,K$150,$G953=$G$248,K$248,$G953=$G$250,K$250)</f>
        <v>BG sentinel + BG lure7</v>
      </c>
      <c r="O953" s="69" t="str">
        <f t="shared" si="77"/>
        <v>A_SP_BCN_7_211021</v>
      </c>
      <c r="P953" s="64">
        <v>44490</v>
      </c>
      <c r="R953" s="72"/>
      <c r="S953" s="64">
        <v>44497</v>
      </c>
      <c r="U953" s="72"/>
      <c r="V953" s="54" t="s">
        <v>66</v>
      </c>
      <c r="X953" s="69">
        <f t="shared" si="76"/>
        <v>7</v>
      </c>
      <c r="Z953" s="45" t="s">
        <v>70</v>
      </c>
      <c r="AA953" s="69">
        <f t="shared" si="81"/>
        <v>3</v>
      </c>
      <c r="AB953" t="str">
        <f t="shared" si="73"/>
        <v>Adult</v>
      </c>
      <c r="AC953" s="69">
        <v>0</v>
      </c>
      <c r="AD953" s="69">
        <v>3</v>
      </c>
      <c r="AE953" s="45" t="str">
        <f t="shared" si="74"/>
        <v>Morphological</v>
      </c>
      <c r="AF953" s="56">
        <v>4</v>
      </c>
    </row>
    <row r="954" spans="1:32" ht="18" customHeight="1" x14ac:dyDescent="0.25">
      <c r="A954" s="45">
        <v>950</v>
      </c>
      <c r="B954" s="45" t="s">
        <v>60</v>
      </c>
      <c r="C954" s="45" t="s">
        <v>61</v>
      </c>
      <c r="D954" s="45" t="s">
        <v>62</v>
      </c>
      <c r="E954" s="45" t="s">
        <v>62</v>
      </c>
      <c r="F954" s="59" cm="1">
        <f t="array" ref="F954">_xlfn.IFS($G954=$G$5,F$5,$G954=$G$6,F$6,$G954=$G$7,F$7,$G954=$G$8,F$8,$G954=$G$9,F$9,$G954=$G$10,F$10,$G954=$G$11,F$11,$G954=$G$12,F$12,$G954=$G$13,F$13,$G954=$G$15,F$15,$G954=$G$16,F$16,$G954=$G$17,F$17,$G954=$G$18,F$18,$G954=$G$19,F$19,$G954=$G$20,F$20,$G954=$G$21,F$21,$G954=$G$22,F$22,$G954=$G$25,F$25,$G954=$G$26,F$26,$G954=$G$27,F$27,$G954=$G$29,F$29,$G954=$G$31,F$31,$G954=$G$32,F$32,$G954=$G$248,F$248,$G954=$G$250,F$250)</f>
        <v>8038</v>
      </c>
      <c r="G954" t="s">
        <v>75</v>
      </c>
      <c r="H954" s="60" cm="1">
        <f t="array" ref="H954">_xlfn.IFS($G954=$G$5,H$5,$G954=$G$6,H$6,$G954=$G$7,H$7,$G954=$G$8,H$8,$G954=$G$9,H$9,$G954=$G$10,H$10,$G954=$G$11,H$11,$G954=$G$12,H$12,$G954=$G$13,H$13,$G954=$G$15,H$15,$G954=$G$16,H$16,$G954=$G$17,H$17,$G954=$G$18,H$18,$G954=$G$19,H$19,$G954=$G$20,H$20,$G954=$G$21,H$21,$G954=$G$22,H$22,$G954=$G$25,H$25,$G954=$G$26,H$26,$G954=$G$27,H$27,$G954=$G$29,H$29,$G954=$G$31,H$31,$G954=$G$32,H$150,$G954=$G$248,H$248,$G954=$G$250,H$250)</f>
        <v>41.368589</v>
      </c>
      <c r="I954" s="60" cm="1">
        <f t="array" ref="I954">_xlfn.IFS($G954=$G$5,I$5,$G954=$G$6,I$6,$G954=$G$7,I$7,$G954=$G$8,I$8,$G954=$G$9,I$9,$G954=$G$10,I$10,$G954=$G$11,I$11,$G954=$G$12,I$12,$G954=$G$13,I$13,$G954=$G$15,I$15,$G954=$G$16,I$16,$G954=$G$17,I$17,$G954=$G$18,I$18,$G954=$G$19,I$19,$G954=$G$20,I$20,$G954=$G$21,I$21,$G954=$G$22,I$22,$G954=$G$25,I$25,$G954=$G$26,I$26,$G954=$G$27,I$27,$G954=$G$29,I$29,$G954=$G$31,I$31,$G954=$G$32,I$150,$G954=$G$248,I$248,$G954=$G$250,I$250)</f>
        <v>2.1620900000000001</v>
      </c>
      <c r="J954" s="61" cm="1">
        <f t="array" ref="J954">_xlfn.IFS($G954=$G$5,J$5,$G954=$G$6,J$6,$G954=$G$7,J$7,$G954=$G$8,J$8,$G954=$G$9,J$9,$G954=$G$10,J$10,$G954=$G$11,J$11,$G954=$G$12,J$12,$G954=$G$13,J$13,$G954=$G$15,J$15,$G954=$G$16,J$16,$G954=$G$17,J$17,$G954=$G$18,J$18,$G954=$G$19,J$19,$G954=$G$20,J$20,$G954=$G$21,J$21,$G954=$G$22,J$22,$G954=$G$25,J$25,$G954=$G$26,J$26,$G954=$G$27,J$27,$G954=$G$29,J$29,$G954=$G$31,J$31,$G954=$G$32,J$150,$G954=$G$248,J$248,$G954=$G$250,J$250)</f>
        <v>95</v>
      </c>
      <c r="K954" t="str" cm="1">
        <f t="array" ref="K954">_xlfn.IFS($G954=$G$5,K$5,$G954=$G$6,K$6,$G954=$G$7,K$7,$G954=$G$8,K$8,$G954=$G$9,K$9,$G954=$G$10,K$10,$G954=$G$11,K$11,$G954=$G$12,K$12,$G954=$G$13,K$13,$G954=$G$15,K$15,$G954=$G$16,K$16,$G954=$G$17,K$17,$G954=$G$18,K$18,$G954=$G$19,K$19,$G954=$G$20,K$20,$G954=$G$21,K$21,$G954=$G$22,K$22,$G954=$G$25,K$25,$G954=$G$26,K$26,$G954=$G$27,K$27,$G954=$G$29,K$29,$G954=$G$31,K$31,$G954=$G$32,K$150,$G954=$G$248,K$248,$G954=$G$250,K$250)</f>
        <v>BG sentinel + BG lure7</v>
      </c>
      <c r="O954" s="69" t="str">
        <f t="shared" si="77"/>
        <v>A_SP_BCN_8_211021</v>
      </c>
      <c r="P954" s="64">
        <v>44490</v>
      </c>
      <c r="R954" s="72"/>
      <c r="S954" s="64">
        <v>44498</v>
      </c>
      <c r="U954" s="72"/>
      <c r="V954" s="54" t="s">
        <v>66</v>
      </c>
      <c r="W954" t="s">
        <v>167</v>
      </c>
      <c r="X954" s="69">
        <f t="shared" si="76"/>
        <v>8</v>
      </c>
      <c r="Z954" s="69" t="s">
        <v>69</v>
      </c>
      <c r="AA954" s="69">
        <f t="shared" si="81"/>
        <v>43</v>
      </c>
      <c r="AB954" t="str">
        <f t="shared" si="73"/>
        <v>Adult</v>
      </c>
      <c r="AC954" s="69">
        <v>42</v>
      </c>
      <c r="AD954" s="69">
        <v>1</v>
      </c>
      <c r="AE954" s="45" t="str">
        <f t="shared" si="74"/>
        <v>Morphological</v>
      </c>
      <c r="AF954" s="56">
        <v>4</v>
      </c>
    </row>
    <row r="955" spans="1:32" ht="18" customHeight="1" x14ac:dyDescent="0.25">
      <c r="A955" s="45">
        <v>951</v>
      </c>
      <c r="B955" s="45" t="s">
        <v>60</v>
      </c>
      <c r="C955" s="45" t="s">
        <v>61</v>
      </c>
      <c r="D955" s="45" t="s">
        <v>62</v>
      </c>
      <c r="E955" s="45" t="s">
        <v>62</v>
      </c>
      <c r="F955" s="59" cm="1">
        <f t="array" ref="F955">_xlfn.IFS($G955=$G$5,F$5,$G955=$G$6,F$6,$G955=$G$7,F$7,$G955=$G$8,F$8,$G955=$G$9,F$9,$G955=$G$10,F$10,$G955=$G$11,F$11,$G955=$G$12,F$12,$G955=$G$13,F$13,$G955=$G$15,F$15,$G955=$G$16,F$16,$G955=$G$17,F$17,$G955=$G$18,F$18,$G955=$G$19,F$19,$G955=$G$20,F$20,$G955=$G$21,F$21,$G955=$G$22,F$22,$G955=$G$25,F$25,$G955=$G$26,F$26,$G955=$G$27,F$27,$G955=$G$29,F$29,$G955=$G$31,F$31,$G955=$G$32,F$32,$G955=$G$248,F$248,$G955=$G$250,F$250)</f>
        <v>8038</v>
      </c>
      <c r="G955" t="s">
        <v>75</v>
      </c>
      <c r="H955" s="60" cm="1">
        <f t="array" ref="H955">_xlfn.IFS($G955=$G$5,H$5,$G955=$G$6,H$6,$G955=$G$7,H$7,$G955=$G$8,H$8,$G955=$G$9,H$9,$G955=$G$10,H$10,$G955=$G$11,H$11,$G955=$G$12,H$12,$G955=$G$13,H$13,$G955=$G$15,H$15,$G955=$G$16,H$16,$G955=$G$17,H$17,$G955=$G$18,H$18,$G955=$G$19,H$19,$G955=$G$20,H$20,$G955=$G$21,H$21,$G955=$G$22,H$22,$G955=$G$25,H$25,$G955=$G$26,H$26,$G955=$G$27,H$27,$G955=$G$29,H$29,$G955=$G$31,H$31,$G955=$G$32,H$150,$G955=$G$248,H$248,$G955=$G$250,H$250)</f>
        <v>41.368589</v>
      </c>
      <c r="I955" s="60" cm="1">
        <f t="array" ref="I955">_xlfn.IFS($G955=$G$5,I$5,$G955=$G$6,I$6,$G955=$G$7,I$7,$G955=$G$8,I$8,$G955=$G$9,I$9,$G955=$G$10,I$10,$G955=$G$11,I$11,$G955=$G$12,I$12,$G955=$G$13,I$13,$G955=$G$15,I$15,$G955=$G$16,I$16,$G955=$G$17,I$17,$G955=$G$18,I$18,$G955=$G$19,I$19,$G955=$G$20,I$20,$G955=$G$21,I$21,$G955=$G$22,I$22,$G955=$G$25,I$25,$G955=$G$26,I$26,$G955=$G$27,I$27,$G955=$G$29,I$29,$G955=$G$31,I$31,$G955=$G$32,I$150,$G955=$G$248,I$248,$G955=$G$250,I$250)</f>
        <v>2.1620900000000001</v>
      </c>
      <c r="J955" s="61" cm="1">
        <f t="array" ref="J955">_xlfn.IFS($G955=$G$5,J$5,$G955=$G$6,J$6,$G955=$G$7,J$7,$G955=$G$8,J$8,$G955=$G$9,J$9,$G955=$G$10,J$10,$G955=$G$11,J$11,$G955=$G$12,J$12,$G955=$G$13,J$13,$G955=$G$15,J$15,$G955=$G$16,J$16,$G955=$G$17,J$17,$G955=$G$18,J$18,$G955=$G$19,J$19,$G955=$G$20,J$20,$G955=$G$21,J$21,$G955=$G$22,J$22,$G955=$G$25,J$25,$G955=$G$26,J$26,$G955=$G$27,J$27,$G955=$G$29,J$29,$G955=$G$31,J$31,$G955=$G$32,J$150,$G955=$G$248,J$248,$G955=$G$250,J$250)</f>
        <v>95</v>
      </c>
      <c r="K955" t="str" cm="1">
        <f t="array" ref="K955">_xlfn.IFS($G955=$G$5,K$5,$G955=$G$6,K$6,$G955=$G$7,K$7,$G955=$G$8,K$8,$G955=$G$9,K$9,$G955=$G$10,K$10,$G955=$G$11,K$11,$G955=$G$12,K$12,$G955=$G$13,K$13,$G955=$G$15,K$15,$G955=$G$16,K$16,$G955=$G$17,K$17,$G955=$G$18,K$18,$G955=$G$19,K$19,$G955=$G$20,K$20,$G955=$G$21,K$21,$G955=$G$22,K$22,$G955=$G$25,K$25,$G955=$G$26,K$26,$G955=$G$27,K$27,$G955=$G$29,K$29,$G955=$G$31,K$31,$G955=$G$32,K$150,$G955=$G$248,K$248,$G955=$G$250,K$250)</f>
        <v>BG sentinel + BG lure7</v>
      </c>
      <c r="O955" s="69" t="str">
        <f t="shared" si="77"/>
        <v>A_SP_BCN_8_211021</v>
      </c>
      <c r="P955" s="64">
        <v>44490</v>
      </c>
      <c r="R955" s="72"/>
      <c r="S955" s="64">
        <v>44498</v>
      </c>
      <c r="U955" s="72"/>
      <c r="V955" s="54" t="s">
        <v>66</v>
      </c>
      <c r="W955" t="s">
        <v>167</v>
      </c>
      <c r="X955" s="69">
        <f t="shared" si="76"/>
        <v>8</v>
      </c>
      <c r="Z955" s="45" t="s">
        <v>70</v>
      </c>
      <c r="AA955" s="69">
        <f t="shared" si="81"/>
        <v>1</v>
      </c>
      <c r="AB955" t="str">
        <f t="shared" si="73"/>
        <v>Adult</v>
      </c>
      <c r="AC955" s="69">
        <v>1</v>
      </c>
      <c r="AD955" s="69">
        <v>0</v>
      </c>
      <c r="AE955" s="45" t="str">
        <f t="shared" si="74"/>
        <v>Morphological</v>
      </c>
      <c r="AF955" s="56">
        <v>4</v>
      </c>
    </row>
    <row r="956" spans="1:32" ht="18" customHeight="1" x14ac:dyDescent="0.25">
      <c r="A956" s="45">
        <v>952</v>
      </c>
      <c r="B956" s="45" t="s">
        <v>60</v>
      </c>
      <c r="C956" s="45" t="s">
        <v>61</v>
      </c>
      <c r="D956" s="45" t="s">
        <v>62</v>
      </c>
      <c r="E956" s="45" t="s">
        <v>62</v>
      </c>
      <c r="F956" s="59" cm="1">
        <f t="array" ref="F956">_xlfn.IFS($G956=$G$5,F$5,$G956=$G$6,F$6,$G956=$G$7,F$7,$G956=$G$8,F$8,$G956=$G$9,F$9,$G956=$G$10,F$10,$G956=$G$11,F$11,$G956=$G$12,F$12,$G956=$G$13,F$13,$G956=$G$15,F$15,$G956=$G$16,F$16,$G956=$G$17,F$17,$G956=$G$18,F$18,$G956=$G$19,F$19,$G956=$G$20,F$20,$G956=$G$21,F$21,$G956=$G$22,F$22,$G956=$G$25,F$25,$G956=$G$26,F$26,$G956=$G$27,F$27,$G956=$G$29,F$29,$G956=$G$31,F$31,$G956=$G$32,F$32,$G956=$G$248,F$248,$G956=$G$250,F$250)</f>
        <v>8038</v>
      </c>
      <c r="G956" t="s">
        <v>75</v>
      </c>
      <c r="H956" s="60" cm="1">
        <f t="array" ref="H956">_xlfn.IFS($G956=$G$5,H$5,$G956=$G$6,H$6,$G956=$G$7,H$7,$G956=$G$8,H$8,$G956=$G$9,H$9,$G956=$G$10,H$10,$G956=$G$11,H$11,$G956=$G$12,H$12,$G956=$G$13,H$13,$G956=$G$15,H$15,$G956=$G$16,H$16,$G956=$G$17,H$17,$G956=$G$18,H$18,$G956=$G$19,H$19,$G956=$G$20,H$20,$G956=$G$21,H$21,$G956=$G$22,H$22,$G956=$G$25,H$25,$G956=$G$26,H$26,$G956=$G$27,H$27,$G956=$G$29,H$29,$G956=$G$31,H$31,$G956=$G$32,H$150,$G956=$G$248,H$248,$G956=$G$250,H$250)</f>
        <v>41.368589</v>
      </c>
      <c r="I956" s="60" cm="1">
        <f t="array" ref="I956">_xlfn.IFS($G956=$G$5,I$5,$G956=$G$6,I$6,$G956=$G$7,I$7,$G956=$G$8,I$8,$G956=$G$9,I$9,$G956=$G$10,I$10,$G956=$G$11,I$11,$G956=$G$12,I$12,$G956=$G$13,I$13,$G956=$G$15,I$15,$G956=$G$16,I$16,$G956=$G$17,I$17,$G956=$G$18,I$18,$G956=$G$19,I$19,$G956=$G$20,I$20,$G956=$G$21,I$21,$G956=$G$22,I$22,$G956=$G$25,I$25,$G956=$G$26,I$26,$G956=$G$27,I$27,$G956=$G$29,I$29,$G956=$G$31,I$31,$G956=$G$32,I$150,$G956=$G$248,I$248,$G956=$G$250,I$250)</f>
        <v>2.1620900000000001</v>
      </c>
      <c r="J956" s="61" cm="1">
        <f t="array" ref="J956">_xlfn.IFS($G956=$G$5,J$5,$G956=$G$6,J$6,$G956=$G$7,J$7,$G956=$G$8,J$8,$G956=$G$9,J$9,$G956=$G$10,J$10,$G956=$G$11,J$11,$G956=$G$12,J$12,$G956=$G$13,J$13,$G956=$G$15,J$15,$G956=$G$16,J$16,$G956=$G$17,J$17,$G956=$G$18,J$18,$G956=$G$19,J$19,$G956=$G$20,J$20,$G956=$G$21,J$21,$G956=$G$22,J$22,$G956=$G$25,J$25,$G956=$G$26,J$26,$G956=$G$27,J$27,$G956=$G$29,J$29,$G956=$G$31,J$31,$G956=$G$32,J$150,$G956=$G$248,J$248,$G956=$G$250,J$250)</f>
        <v>95</v>
      </c>
      <c r="K956" t="str" cm="1">
        <f t="array" ref="K956">_xlfn.IFS($G956=$G$5,K$5,$G956=$G$6,K$6,$G956=$G$7,K$7,$G956=$G$8,K$8,$G956=$G$9,K$9,$G956=$G$10,K$10,$G956=$G$11,K$11,$G956=$G$12,K$12,$G956=$G$13,K$13,$G956=$G$15,K$15,$G956=$G$16,K$16,$G956=$G$17,K$17,$G956=$G$18,K$18,$G956=$G$19,K$19,$G956=$G$20,K$20,$G956=$G$21,K$21,$G956=$G$22,K$22,$G956=$G$25,K$25,$G956=$G$26,K$26,$G956=$G$27,K$27,$G956=$G$29,K$29,$G956=$G$31,K$31,$G956=$G$32,K$150,$G956=$G$248,K$248,$G956=$G$250,K$250)</f>
        <v>BG sentinel + BG lure7</v>
      </c>
      <c r="O956" s="69" t="str">
        <f t="shared" si="77"/>
        <v>A_SP_BCN_8_211021</v>
      </c>
      <c r="P956" s="64">
        <v>44490</v>
      </c>
      <c r="R956" s="72"/>
      <c r="S956" s="64">
        <v>44498</v>
      </c>
      <c r="U956" s="72"/>
      <c r="V956" s="54" t="s">
        <v>66</v>
      </c>
      <c r="W956" t="s">
        <v>167</v>
      </c>
      <c r="X956" s="69">
        <f t="shared" si="76"/>
        <v>8</v>
      </c>
      <c r="Z956" s="45" t="s">
        <v>80</v>
      </c>
      <c r="AA956" s="69">
        <f t="shared" si="81"/>
        <v>6</v>
      </c>
      <c r="AB956" t="str">
        <f t="shared" si="73"/>
        <v>Adult</v>
      </c>
      <c r="AC956" s="69">
        <v>5</v>
      </c>
      <c r="AD956" s="69">
        <v>1</v>
      </c>
      <c r="AE956" s="45" t="str">
        <f t="shared" si="74"/>
        <v>Morphological</v>
      </c>
      <c r="AF956" s="56">
        <v>4</v>
      </c>
    </row>
    <row r="957" spans="1:32" ht="18" customHeight="1" x14ac:dyDescent="0.25">
      <c r="A957" s="45">
        <v>953</v>
      </c>
      <c r="B957" s="45" t="s">
        <v>60</v>
      </c>
      <c r="C957" s="45" t="s">
        <v>61</v>
      </c>
      <c r="D957" s="45" t="s">
        <v>62</v>
      </c>
      <c r="E957" s="45" t="s">
        <v>62</v>
      </c>
      <c r="F957" s="59" cm="1">
        <f t="array" ref="F957">_xlfn.IFS($G957=$G$5,F$5,$G957=$G$6,F$6,$G957=$G$7,F$7,$G957=$G$8,F$8,$G957=$G$9,F$9,$G957=$G$10,F$10,$G957=$G$11,F$11,$G957=$G$12,F$12,$G957=$G$13,F$13,$G957=$G$15,F$15,$G957=$G$16,F$16,$G957=$G$17,F$17,$G957=$G$18,F$18,$G957=$G$19,F$19,$G957=$G$20,F$20,$G957=$G$21,F$21,$G957=$G$22,F$22,$G957=$G$25,F$25,$G957=$G$26,F$26,$G957=$G$27,F$27,$G957=$G$29,F$29,$G957=$G$31,F$31,$G957=$G$32,F$32,$G957=$G$248,F$248,$G957=$G$250,F$250)</f>
        <v>8034</v>
      </c>
      <c r="G957" t="s">
        <v>78</v>
      </c>
      <c r="H957" s="60" cm="1">
        <f t="array" ref="H957">_xlfn.IFS($G957=$G$5,H$5,$G957=$G$6,H$6,$G957=$G$7,H$7,$G957=$G$8,H$8,$G957=$G$9,H$9,$G957=$G$10,H$10,$G957=$G$11,H$11,$G957=$G$12,H$12,$G957=$G$13,H$13,$G957=$G$15,H$15,$G957=$G$16,H$16,$G957=$G$17,H$17,$G957=$G$18,H$18,$G957=$G$19,H$19,$G957=$G$20,H$20,$G957=$G$21,H$21,$G957=$G$22,H$22,$G957=$G$25,H$25,$G957=$G$26,H$26,$G957=$G$27,H$27,$G957=$G$29,H$29,$G957=$G$31,H$31,$G957=$G$32,H$150,$G957=$G$248,H$248,$G957=$G$250,H$250)</f>
        <v>41.393644999999999</v>
      </c>
      <c r="I957" s="60" cm="1">
        <f t="array" ref="I957">_xlfn.IFS($G957=$G$5,I$5,$G957=$G$6,I$6,$G957=$G$7,I$7,$G957=$G$8,I$8,$G957=$G$9,I$9,$G957=$G$10,I$10,$G957=$G$11,I$11,$G957=$G$12,I$12,$G957=$G$13,I$13,$G957=$G$15,I$15,$G957=$G$16,I$16,$G957=$G$17,I$17,$G957=$G$18,I$18,$G957=$G$19,I$19,$G957=$G$20,I$20,$G957=$G$21,I$21,$G957=$G$22,I$22,$G957=$G$25,I$25,$G957=$G$26,I$26,$G957=$G$27,I$27,$G957=$G$29,I$29,$G957=$G$31,I$31,$G957=$G$32,I$150,$G957=$G$248,I$248,$G957=$G$250,I$250)</f>
        <v>2.1216780000000002</v>
      </c>
      <c r="J957" s="61" cm="1">
        <f t="array" ref="J957">_xlfn.IFS($G957=$G$5,J$5,$G957=$G$6,J$6,$G957=$G$7,J$7,$G957=$G$8,J$8,$G957=$G$9,J$9,$G957=$G$10,J$10,$G957=$G$11,J$11,$G957=$G$12,J$12,$G957=$G$13,J$13,$G957=$G$15,J$15,$G957=$G$16,J$16,$G957=$G$17,J$17,$G957=$G$18,J$18,$G957=$G$19,J$19,$G957=$G$20,J$20,$G957=$G$21,J$21,$G957=$G$22,J$22,$G957=$G$25,J$25,$G957=$G$26,J$26,$G957=$G$27,J$27,$G957=$G$29,J$29,$G957=$G$31,J$31,$G957=$G$32,J$150,$G957=$G$248,J$248,$G957=$G$250,J$250)</f>
        <v>98</v>
      </c>
      <c r="K957" t="str" cm="1">
        <f t="array" ref="K957">_xlfn.IFS($G957=$G$5,K$5,$G957=$G$6,K$6,$G957=$G$7,K$7,$G957=$G$8,K$8,$G957=$G$9,K$9,$G957=$G$10,K$10,$G957=$G$11,K$11,$G957=$G$12,K$12,$G957=$G$13,K$13,$G957=$G$15,K$15,$G957=$G$16,K$16,$G957=$G$17,K$17,$G957=$G$18,K$18,$G957=$G$19,K$19,$G957=$G$20,K$20,$G957=$G$21,K$21,$G957=$G$22,K$22,$G957=$G$25,K$25,$G957=$G$26,K$26,$G957=$G$27,K$27,$G957=$G$29,K$29,$G957=$G$31,K$31,$G957=$G$32,K$150,$G957=$G$248,K$248,$G957=$G$250,K$250)</f>
        <v>BG sentinel + BG lure7</v>
      </c>
      <c r="O957" s="69" t="str">
        <f t="shared" si="77"/>
        <v>A_SP_BCN_9_211020</v>
      </c>
      <c r="P957" s="64">
        <v>44489</v>
      </c>
      <c r="R957" s="72"/>
      <c r="S957" s="64">
        <v>44496</v>
      </c>
      <c r="U957" s="72"/>
      <c r="V957" s="54" t="s">
        <v>66</v>
      </c>
      <c r="X957" s="69">
        <f t="shared" si="76"/>
        <v>7</v>
      </c>
      <c r="Z957" s="69" t="s">
        <v>69</v>
      </c>
      <c r="AA957" s="69">
        <f t="shared" si="81"/>
        <v>2</v>
      </c>
      <c r="AB957" t="str">
        <f t="shared" si="73"/>
        <v>Adult</v>
      </c>
      <c r="AC957" s="69">
        <v>2</v>
      </c>
      <c r="AD957" s="69">
        <v>0</v>
      </c>
      <c r="AE957" s="45" t="str">
        <f t="shared" si="74"/>
        <v>Morphological</v>
      </c>
      <c r="AF957" s="56">
        <v>4</v>
      </c>
    </row>
    <row r="958" spans="1:32" ht="18" customHeight="1" x14ac:dyDescent="0.25">
      <c r="A958" s="45">
        <v>954</v>
      </c>
      <c r="B958" s="45" t="s">
        <v>60</v>
      </c>
      <c r="C958" s="45" t="s">
        <v>61</v>
      </c>
      <c r="D958" s="45" t="s">
        <v>62</v>
      </c>
      <c r="E958" s="45" t="s">
        <v>62</v>
      </c>
      <c r="F958" s="59" cm="1">
        <f t="array" ref="F958">_xlfn.IFS($G958=$G$5,F$5,$G958=$G$6,F$6,$G958=$G$7,F$7,$G958=$G$8,F$8,$G958=$G$9,F$9,$G958=$G$10,F$10,$G958=$G$11,F$11,$G958=$G$12,F$12,$G958=$G$13,F$13,$G958=$G$15,F$15,$G958=$G$16,F$16,$G958=$G$17,F$17,$G958=$G$18,F$18,$G958=$G$19,F$19,$G958=$G$20,F$20,$G958=$G$21,F$21,$G958=$G$22,F$22,$G958=$G$25,F$25,$G958=$G$26,F$26,$G958=$G$27,F$27,$G958=$G$29,F$29,$G958=$G$31,F$31,$G958=$G$32,F$32,$G958=$G$248,F$248,$G958=$G$250,F$250)</f>
        <v>8034</v>
      </c>
      <c r="G958" t="s">
        <v>78</v>
      </c>
      <c r="H958" s="60" cm="1">
        <f t="array" ref="H958">_xlfn.IFS($G958=$G$5,H$5,$G958=$G$6,H$6,$G958=$G$7,H$7,$G958=$G$8,H$8,$G958=$G$9,H$9,$G958=$G$10,H$10,$G958=$G$11,H$11,$G958=$G$12,H$12,$G958=$G$13,H$13,$G958=$G$15,H$15,$G958=$G$16,H$16,$G958=$G$17,H$17,$G958=$G$18,H$18,$G958=$G$19,H$19,$G958=$G$20,H$20,$G958=$G$21,H$21,$G958=$G$22,H$22,$G958=$G$25,H$25,$G958=$G$26,H$26,$G958=$G$27,H$27,$G958=$G$29,H$29,$G958=$G$31,H$31,$G958=$G$32,H$150,$G958=$G$248,H$248,$G958=$G$250,H$250)</f>
        <v>41.393644999999999</v>
      </c>
      <c r="I958" s="60" cm="1">
        <f t="array" ref="I958">_xlfn.IFS($G958=$G$5,I$5,$G958=$G$6,I$6,$G958=$G$7,I$7,$G958=$G$8,I$8,$G958=$G$9,I$9,$G958=$G$10,I$10,$G958=$G$11,I$11,$G958=$G$12,I$12,$G958=$G$13,I$13,$G958=$G$15,I$15,$G958=$G$16,I$16,$G958=$G$17,I$17,$G958=$G$18,I$18,$G958=$G$19,I$19,$G958=$G$20,I$20,$G958=$G$21,I$21,$G958=$G$22,I$22,$G958=$G$25,I$25,$G958=$G$26,I$26,$G958=$G$27,I$27,$G958=$G$29,I$29,$G958=$G$31,I$31,$G958=$G$32,I$150,$G958=$G$248,I$248,$G958=$G$250,I$250)</f>
        <v>2.1216780000000002</v>
      </c>
      <c r="J958" s="61" cm="1">
        <f t="array" ref="J958">_xlfn.IFS($G958=$G$5,J$5,$G958=$G$6,J$6,$G958=$G$7,J$7,$G958=$G$8,J$8,$G958=$G$9,J$9,$G958=$G$10,J$10,$G958=$G$11,J$11,$G958=$G$12,J$12,$G958=$G$13,J$13,$G958=$G$15,J$15,$G958=$G$16,J$16,$G958=$G$17,J$17,$G958=$G$18,J$18,$G958=$G$19,J$19,$G958=$G$20,J$20,$G958=$G$21,J$21,$G958=$G$22,J$22,$G958=$G$25,J$25,$G958=$G$26,J$26,$G958=$G$27,J$27,$G958=$G$29,J$29,$G958=$G$31,J$31,$G958=$G$32,J$150,$G958=$G$248,J$248,$G958=$G$250,J$250)</f>
        <v>98</v>
      </c>
      <c r="K958" t="str" cm="1">
        <f t="array" ref="K958">_xlfn.IFS($G958=$G$5,K$5,$G958=$G$6,K$6,$G958=$G$7,K$7,$G958=$G$8,K$8,$G958=$G$9,K$9,$G958=$G$10,K$10,$G958=$G$11,K$11,$G958=$G$12,K$12,$G958=$G$13,K$13,$G958=$G$15,K$15,$G958=$G$16,K$16,$G958=$G$17,K$17,$G958=$G$18,K$18,$G958=$G$19,K$19,$G958=$G$20,K$20,$G958=$G$21,K$21,$G958=$G$22,K$22,$G958=$G$25,K$25,$G958=$G$26,K$26,$G958=$G$27,K$27,$G958=$G$29,K$29,$G958=$G$31,K$31,$G958=$G$32,K$150,$G958=$G$248,K$248,$G958=$G$250,K$250)</f>
        <v>BG sentinel + BG lure7</v>
      </c>
      <c r="O958" s="69" t="str">
        <f t="shared" si="77"/>
        <v>A_SP_BCN_9_211020</v>
      </c>
      <c r="P958" s="64">
        <v>44489</v>
      </c>
      <c r="R958" s="72"/>
      <c r="S958" s="64">
        <v>44496</v>
      </c>
      <c r="U958" s="72"/>
      <c r="V958" s="54" t="s">
        <v>66</v>
      </c>
      <c r="X958" s="69">
        <f t="shared" si="76"/>
        <v>7</v>
      </c>
      <c r="Z958" s="45" t="s">
        <v>70</v>
      </c>
      <c r="AA958" s="69">
        <f t="shared" si="81"/>
        <v>1</v>
      </c>
      <c r="AB958" t="str">
        <f t="shared" si="73"/>
        <v>Adult</v>
      </c>
      <c r="AC958" s="69">
        <v>1</v>
      </c>
      <c r="AD958" s="69">
        <v>0</v>
      </c>
      <c r="AE958" s="45" t="str">
        <f t="shared" si="74"/>
        <v>Morphological</v>
      </c>
      <c r="AF958" s="56">
        <v>4</v>
      </c>
    </row>
    <row r="959" spans="1:32" ht="18" customHeight="1" x14ac:dyDescent="0.25">
      <c r="A959" s="45">
        <v>955</v>
      </c>
      <c r="B959" s="45" t="s">
        <v>60</v>
      </c>
      <c r="C959" s="45" t="s">
        <v>61</v>
      </c>
      <c r="D959" s="45" t="s">
        <v>62</v>
      </c>
      <c r="E959" s="45" t="s">
        <v>62</v>
      </c>
      <c r="F959" s="59" cm="1">
        <f t="array" ref="F959">_xlfn.IFS($G959=$G$5,F$5,$G959=$G$6,F$6,$G959=$G$7,F$7,$G959=$G$8,F$8,$G959=$G$9,F$9,$G959=$G$10,F$10,$G959=$G$11,F$11,$G959=$G$12,F$12,$G959=$G$13,F$13,$G959=$G$15,F$15,$G959=$G$16,F$16,$G959=$G$17,F$17,$G959=$G$18,F$18,$G959=$G$19,F$19,$G959=$G$20,F$20,$G959=$G$21,F$21,$G959=$G$22,F$22,$G959=$G$25,F$25,$G959=$G$26,F$26,$G959=$G$27,F$27,$G959=$G$29,F$29,$G959=$G$31,F$31,$G959=$G$32,F$32,$G959=$G$248,F$248,$G959=$G$250,F$250)</f>
        <v>8034</v>
      </c>
      <c r="G959" t="s">
        <v>78</v>
      </c>
      <c r="H959" s="60" cm="1">
        <f t="array" ref="H959">_xlfn.IFS($G959=$G$5,H$5,$G959=$G$6,H$6,$G959=$G$7,H$7,$G959=$G$8,H$8,$G959=$G$9,H$9,$G959=$G$10,H$10,$G959=$G$11,H$11,$G959=$G$12,H$12,$G959=$G$13,H$13,$G959=$G$15,H$15,$G959=$G$16,H$16,$G959=$G$17,H$17,$G959=$G$18,H$18,$G959=$G$19,H$19,$G959=$G$20,H$20,$G959=$G$21,H$21,$G959=$G$22,H$22,$G959=$G$25,H$25,$G959=$G$26,H$26,$G959=$G$27,H$27,$G959=$G$29,H$29,$G959=$G$31,H$31,$G959=$G$32,H$150,$G959=$G$248,H$248,$G959=$G$250,H$250)</f>
        <v>41.393644999999999</v>
      </c>
      <c r="I959" s="60" cm="1">
        <f t="array" ref="I959">_xlfn.IFS($G959=$G$5,I$5,$G959=$G$6,I$6,$G959=$G$7,I$7,$G959=$G$8,I$8,$G959=$G$9,I$9,$G959=$G$10,I$10,$G959=$G$11,I$11,$G959=$G$12,I$12,$G959=$G$13,I$13,$G959=$G$15,I$15,$G959=$G$16,I$16,$G959=$G$17,I$17,$G959=$G$18,I$18,$G959=$G$19,I$19,$G959=$G$20,I$20,$G959=$G$21,I$21,$G959=$G$22,I$22,$G959=$G$25,I$25,$G959=$G$26,I$26,$G959=$G$27,I$27,$G959=$G$29,I$29,$G959=$G$31,I$31,$G959=$G$32,I$150,$G959=$G$248,I$248,$G959=$G$250,I$250)</f>
        <v>2.1216780000000002</v>
      </c>
      <c r="J959" s="61" cm="1">
        <f t="array" ref="J959">_xlfn.IFS($G959=$G$5,J$5,$G959=$G$6,J$6,$G959=$G$7,J$7,$G959=$G$8,J$8,$G959=$G$9,J$9,$G959=$G$10,J$10,$G959=$G$11,J$11,$G959=$G$12,J$12,$G959=$G$13,J$13,$G959=$G$15,J$15,$G959=$G$16,J$16,$G959=$G$17,J$17,$G959=$G$18,J$18,$G959=$G$19,J$19,$G959=$G$20,J$20,$G959=$G$21,J$21,$G959=$G$22,J$22,$G959=$G$25,J$25,$G959=$G$26,J$26,$G959=$G$27,J$27,$G959=$G$29,J$29,$G959=$G$31,J$31,$G959=$G$32,J$150,$G959=$G$248,J$248,$G959=$G$250,J$250)</f>
        <v>98</v>
      </c>
      <c r="K959" t="str" cm="1">
        <f t="array" ref="K959">_xlfn.IFS($G959=$G$5,K$5,$G959=$G$6,K$6,$G959=$G$7,K$7,$G959=$G$8,K$8,$G959=$G$9,K$9,$G959=$G$10,K$10,$G959=$G$11,K$11,$G959=$G$12,K$12,$G959=$G$13,K$13,$G959=$G$15,K$15,$G959=$G$16,K$16,$G959=$G$17,K$17,$G959=$G$18,K$18,$G959=$G$19,K$19,$G959=$G$20,K$20,$G959=$G$21,K$21,$G959=$G$22,K$22,$G959=$G$25,K$25,$G959=$G$26,K$26,$G959=$G$27,K$27,$G959=$G$29,K$29,$G959=$G$31,K$31,$G959=$G$32,K$150,$G959=$G$248,K$248,$G959=$G$250,K$250)</f>
        <v>BG sentinel + BG lure7</v>
      </c>
      <c r="O959" s="69" t="str">
        <f t="shared" si="77"/>
        <v>A_SP_BCN_9_211020</v>
      </c>
      <c r="P959" s="64">
        <v>44489</v>
      </c>
      <c r="R959" s="72"/>
      <c r="S959" s="64">
        <v>44496</v>
      </c>
      <c r="U959" s="72"/>
      <c r="V959" s="54" t="s">
        <v>66</v>
      </c>
      <c r="X959" s="69">
        <f t="shared" si="76"/>
        <v>7</v>
      </c>
      <c r="Z959" s="45" t="s">
        <v>80</v>
      </c>
      <c r="AA959" s="69">
        <f t="shared" si="81"/>
        <v>2</v>
      </c>
      <c r="AB959" t="str">
        <f t="shared" si="73"/>
        <v>Adult</v>
      </c>
      <c r="AC959" s="69">
        <v>0</v>
      </c>
      <c r="AD959" s="69">
        <v>2</v>
      </c>
      <c r="AE959" s="45" t="str">
        <f t="shared" si="74"/>
        <v>Morphological</v>
      </c>
      <c r="AF959" s="56">
        <v>4</v>
      </c>
    </row>
    <row r="960" spans="1:32" ht="18" customHeight="1" x14ac:dyDescent="0.25">
      <c r="A960" s="45">
        <v>956</v>
      </c>
      <c r="B960" s="45" t="s">
        <v>60</v>
      </c>
      <c r="C960" s="45" t="s">
        <v>61</v>
      </c>
      <c r="D960" s="45" t="s">
        <v>62</v>
      </c>
      <c r="E960" s="45" t="s">
        <v>62</v>
      </c>
      <c r="F960" s="59" cm="1">
        <f t="array" ref="F960">_xlfn.IFS($G960=$G$5,F$5,$G960=$G$6,F$6,$G960=$G$7,F$7,$G960=$G$8,F$8,$G960=$G$9,F$9,$G960=$G$10,F$10,$G960=$G$11,F$11,$G960=$G$12,F$12,$G960=$G$13,F$13,$G960=$G$15,F$15,$G960=$G$16,F$16,$G960=$G$17,F$17,$G960=$G$18,F$18,$G960=$G$19,F$19,$G960=$G$20,F$20,$G960=$G$21,F$21,$G960=$G$22,F$22,$G960=$G$25,F$25,$G960=$G$26,F$26,$G960=$G$27,F$27,$G960=$G$29,F$29,$G960=$G$31,F$31,$G960=$G$32,F$32,$G960=$G$248,F$248,$G960=$G$250,F$250)</f>
        <v>8040</v>
      </c>
      <c r="G960" t="s">
        <v>81</v>
      </c>
      <c r="H960" s="60" cm="1">
        <f t="array" ref="H960">_xlfn.IFS($G960=$G$5,H$5,$G960=$G$6,H$6,$G960=$G$7,H$7,$G960=$G$8,H$8,$G960=$G$9,H$9,$G960=$G$10,H$10,$G960=$G$11,H$11,$G960=$G$12,H$12,$G960=$G$13,H$13,$G960=$G$15,H$15,$G960=$G$16,H$16,$G960=$G$17,H$17,$G960=$G$18,H$18,$G960=$G$19,H$19,$G960=$G$20,H$20,$G960=$G$21,H$21,$G960=$G$22,H$22,$G960=$G$25,H$25,$G960=$G$26,H$26,$G960=$G$27,H$27,$G960=$G$29,H$29,$G960=$G$31,H$31,$G960=$G$32,H$150,$G960=$G$248,H$248,$G960=$G$250,H$250)</f>
        <v>41.343685000000001</v>
      </c>
      <c r="I960" s="60" cm="1">
        <f t="array" ref="I960">_xlfn.IFS($G960=$G$5,I$5,$G960=$G$6,I$6,$G960=$G$7,I$7,$G960=$G$8,I$8,$G960=$G$9,I$9,$G960=$G$10,I$10,$G960=$G$11,I$11,$G960=$G$12,I$12,$G960=$G$13,I$13,$G960=$G$15,I$15,$G960=$G$16,I$16,$G960=$G$17,I$17,$G960=$G$18,I$18,$G960=$G$19,I$19,$G960=$G$20,I$20,$G960=$G$21,I$21,$G960=$G$22,I$22,$G960=$G$25,I$25,$G960=$G$26,I$26,$G960=$G$27,I$27,$G960=$G$29,I$29,$G960=$G$31,I$31,$G960=$G$32,I$150,$G960=$G$248,I$248,$G960=$G$250,I$250)</f>
        <v>2.1441490000000001</v>
      </c>
      <c r="J960" s="61" cm="1">
        <f t="array" ref="J960">_xlfn.IFS($G960=$G$5,J$5,$G960=$G$6,J$6,$G960=$G$7,J$7,$G960=$G$8,J$8,$G960=$G$9,J$9,$G960=$G$10,J$10,$G960=$G$11,J$11,$G960=$G$12,J$12,$G960=$G$13,J$13,$G960=$G$15,J$15,$G960=$G$16,J$16,$G960=$G$17,J$17,$G960=$G$18,J$18,$G960=$G$19,J$19,$G960=$G$20,J$20,$G960=$G$21,J$21,$G960=$G$22,J$22,$G960=$G$25,J$25,$G960=$G$26,J$26,$G960=$G$27,J$27,$G960=$G$29,J$29,$G960=$G$31,J$31,$G960=$G$32,J$150,$G960=$G$248,J$248,$G960=$G$250,J$250)</f>
        <v>4</v>
      </c>
      <c r="K960" t="str" cm="1">
        <f t="array" ref="K960">_xlfn.IFS($G960=$G$5,K$5,$G960=$G$6,K$6,$G960=$G$7,K$7,$G960=$G$8,K$8,$G960=$G$9,K$9,$G960=$G$10,K$10,$G960=$G$11,K$11,$G960=$G$12,K$12,$G960=$G$13,K$13,$G960=$G$15,K$15,$G960=$G$16,K$16,$G960=$G$17,K$17,$G960=$G$18,K$18,$G960=$G$19,K$19,$G960=$G$20,K$20,$G960=$G$21,K$21,$G960=$G$22,K$22,$G960=$G$25,K$25,$G960=$G$26,K$26,$G960=$G$27,K$27,$G960=$G$29,K$29,$G960=$G$31,K$31,$G960=$G$32,K$150,$G960=$G$248,K$248,$G960=$G$250,K$250)</f>
        <v>BG sentinel + BG lure7</v>
      </c>
      <c r="O960" s="69" t="str">
        <f t="shared" si="77"/>
        <v>A_SP_BCN_10_211021</v>
      </c>
      <c r="P960" s="64">
        <v>44490</v>
      </c>
      <c r="R960" s="72"/>
      <c r="S960" s="64">
        <v>44497</v>
      </c>
      <c r="U960" s="72"/>
      <c r="V960" s="54" t="s">
        <v>66</v>
      </c>
      <c r="X960" s="69">
        <f t="shared" si="76"/>
        <v>7</v>
      </c>
      <c r="Z960" s="69" t="s">
        <v>69</v>
      </c>
      <c r="AA960" s="69">
        <f t="shared" si="81"/>
        <v>2</v>
      </c>
      <c r="AB960" t="str">
        <f t="shared" si="73"/>
        <v>Adult</v>
      </c>
      <c r="AC960" s="69">
        <v>1</v>
      </c>
      <c r="AD960" s="69">
        <v>1</v>
      </c>
      <c r="AE960" s="45" t="str">
        <f t="shared" si="74"/>
        <v>Morphological</v>
      </c>
      <c r="AF960" s="56">
        <v>4</v>
      </c>
    </row>
    <row r="961" spans="1:32" ht="18" customHeight="1" x14ac:dyDescent="0.25">
      <c r="A961" s="45">
        <v>957</v>
      </c>
      <c r="B961" s="45" t="s">
        <v>60</v>
      </c>
      <c r="C961" s="45" t="s">
        <v>61</v>
      </c>
      <c r="D961" s="45" t="s">
        <v>62</v>
      </c>
      <c r="E961" s="45" t="s">
        <v>62</v>
      </c>
      <c r="F961" s="59" cm="1">
        <f t="array" ref="F961">_xlfn.IFS($G961=$G$5,F$5,$G961=$G$6,F$6,$G961=$G$7,F$7,$G961=$G$8,F$8,$G961=$G$9,F$9,$G961=$G$10,F$10,$G961=$G$11,F$11,$G961=$G$12,F$12,$G961=$G$13,F$13,$G961=$G$15,F$15,$G961=$G$16,F$16,$G961=$G$17,F$17,$G961=$G$18,F$18,$G961=$G$19,F$19,$G961=$G$20,F$20,$G961=$G$21,F$21,$G961=$G$22,F$22,$G961=$G$25,F$25,$G961=$G$26,F$26,$G961=$G$27,F$27,$G961=$G$29,F$29,$G961=$G$31,F$31,$G961=$G$32,F$32,$G961=$G$248,F$248,$G961=$G$250,F$250)</f>
        <v>8040</v>
      </c>
      <c r="G961" t="s">
        <v>81</v>
      </c>
      <c r="H961" s="60" cm="1">
        <f t="array" ref="H961">_xlfn.IFS($G961=$G$5,H$5,$G961=$G$6,H$6,$G961=$G$7,H$7,$G961=$G$8,H$8,$G961=$G$9,H$9,$G961=$G$10,H$10,$G961=$G$11,H$11,$G961=$G$12,H$12,$G961=$G$13,H$13,$G961=$G$15,H$15,$G961=$G$16,H$16,$G961=$G$17,H$17,$G961=$G$18,H$18,$G961=$G$19,H$19,$G961=$G$20,H$20,$G961=$G$21,H$21,$G961=$G$22,H$22,$G961=$G$25,H$25,$G961=$G$26,H$26,$G961=$G$27,H$27,$G961=$G$29,H$29,$G961=$G$31,H$31,$G961=$G$32,H$150,$G961=$G$248,H$248,$G961=$G$250,H$250)</f>
        <v>41.343685000000001</v>
      </c>
      <c r="I961" s="60" cm="1">
        <f t="array" ref="I961">_xlfn.IFS($G961=$G$5,I$5,$G961=$G$6,I$6,$G961=$G$7,I$7,$G961=$G$8,I$8,$G961=$G$9,I$9,$G961=$G$10,I$10,$G961=$G$11,I$11,$G961=$G$12,I$12,$G961=$G$13,I$13,$G961=$G$15,I$15,$G961=$G$16,I$16,$G961=$G$17,I$17,$G961=$G$18,I$18,$G961=$G$19,I$19,$G961=$G$20,I$20,$G961=$G$21,I$21,$G961=$G$22,I$22,$G961=$G$25,I$25,$G961=$G$26,I$26,$G961=$G$27,I$27,$G961=$G$29,I$29,$G961=$G$31,I$31,$G961=$G$32,I$150,$G961=$G$248,I$248,$G961=$G$250,I$250)</f>
        <v>2.1441490000000001</v>
      </c>
      <c r="J961" s="61" cm="1">
        <f t="array" ref="J961">_xlfn.IFS($G961=$G$5,J$5,$G961=$G$6,J$6,$G961=$G$7,J$7,$G961=$G$8,J$8,$G961=$G$9,J$9,$G961=$G$10,J$10,$G961=$G$11,J$11,$G961=$G$12,J$12,$G961=$G$13,J$13,$G961=$G$15,J$15,$G961=$G$16,J$16,$G961=$G$17,J$17,$G961=$G$18,J$18,$G961=$G$19,J$19,$G961=$G$20,J$20,$G961=$G$21,J$21,$G961=$G$22,J$22,$G961=$G$25,J$25,$G961=$G$26,J$26,$G961=$G$27,J$27,$G961=$G$29,J$29,$G961=$G$31,J$31,$G961=$G$32,J$150,$G961=$G$248,J$248,$G961=$G$250,J$250)</f>
        <v>4</v>
      </c>
      <c r="K961" t="str" cm="1">
        <f t="array" ref="K961">_xlfn.IFS($G961=$G$5,K$5,$G961=$G$6,K$6,$G961=$G$7,K$7,$G961=$G$8,K$8,$G961=$G$9,K$9,$G961=$G$10,K$10,$G961=$G$11,K$11,$G961=$G$12,K$12,$G961=$G$13,K$13,$G961=$G$15,K$15,$G961=$G$16,K$16,$G961=$G$17,K$17,$G961=$G$18,K$18,$G961=$G$19,K$19,$G961=$G$20,K$20,$G961=$G$21,K$21,$G961=$G$22,K$22,$G961=$G$25,K$25,$G961=$G$26,K$26,$G961=$G$27,K$27,$G961=$G$29,K$29,$G961=$G$31,K$31,$G961=$G$32,K$150,$G961=$G$248,K$248,$G961=$G$250,K$250)</f>
        <v>BG sentinel + BG lure7</v>
      </c>
      <c r="O961" s="69" t="str">
        <f t="shared" si="77"/>
        <v>A_SP_BCN_10_211021</v>
      </c>
      <c r="P961" s="64">
        <v>44490</v>
      </c>
      <c r="R961" s="72"/>
      <c r="S961" s="64">
        <v>44497</v>
      </c>
      <c r="U961" s="72"/>
      <c r="V961" s="54" t="s">
        <v>66</v>
      </c>
      <c r="X961" s="69">
        <f t="shared" si="76"/>
        <v>7</v>
      </c>
      <c r="Z961" s="45" t="s">
        <v>70</v>
      </c>
      <c r="AA961" s="69">
        <f t="shared" si="81"/>
        <v>2</v>
      </c>
      <c r="AB961" t="str">
        <f t="shared" si="73"/>
        <v>Adult</v>
      </c>
      <c r="AC961" s="69">
        <v>2</v>
      </c>
      <c r="AD961" s="69">
        <v>0</v>
      </c>
      <c r="AE961" s="45" t="str">
        <f t="shared" si="74"/>
        <v>Morphological</v>
      </c>
      <c r="AF961" s="56">
        <v>4</v>
      </c>
    </row>
    <row r="962" spans="1:32" ht="18" customHeight="1" x14ac:dyDescent="0.25">
      <c r="A962" s="45">
        <v>958</v>
      </c>
      <c r="B962" s="45" t="s">
        <v>60</v>
      </c>
      <c r="C962" s="45" t="s">
        <v>61</v>
      </c>
      <c r="D962" s="45" t="s">
        <v>62</v>
      </c>
      <c r="E962" s="45" t="s">
        <v>62</v>
      </c>
      <c r="F962" s="59" cm="1">
        <f t="array" ref="F962">_xlfn.IFS($G962=$G$5,F$5,$G962=$G$6,F$6,$G962=$G$7,F$7,$G962=$G$8,F$8,$G962=$G$9,F$9,$G962=$G$10,F$10,$G962=$G$11,F$11,$G962=$G$12,F$12,$G962=$G$13,F$13,$G962=$G$15,F$15,$G962=$G$16,F$16,$G962=$G$17,F$17,$G962=$G$18,F$18,$G962=$G$19,F$19,$G962=$G$20,F$20,$G962=$G$21,F$21,$G962=$G$22,F$22,$G962=$G$25,F$25,$G962=$G$26,F$26,$G962=$G$27,F$27,$G962=$G$29,F$29,$G962=$G$31,F$31,$G962=$G$32,F$32,$G962=$G$248,F$248,$G962=$G$250,F$250)</f>
        <v>8040</v>
      </c>
      <c r="G962" t="s">
        <v>81</v>
      </c>
      <c r="H962" s="60" cm="1">
        <f t="array" ref="H962">_xlfn.IFS($G962=$G$5,H$5,$G962=$G$6,H$6,$G962=$G$7,H$7,$G962=$G$8,H$8,$G962=$G$9,H$9,$G962=$G$10,H$10,$G962=$G$11,H$11,$G962=$G$12,H$12,$G962=$G$13,H$13,$G962=$G$15,H$15,$G962=$G$16,H$16,$G962=$G$17,H$17,$G962=$G$18,H$18,$G962=$G$19,H$19,$G962=$G$20,H$20,$G962=$G$21,H$21,$G962=$G$22,H$22,$G962=$G$25,H$25,$G962=$G$26,H$26,$G962=$G$27,H$27,$G962=$G$29,H$29,$G962=$G$31,H$31,$G962=$G$32,H$150,$G962=$G$248,H$248,$G962=$G$250,H$250)</f>
        <v>41.343685000000001</v>
      </c>
      <c r="I962" s="60" cm="1">
        <f t="array" ref="I962">_xlfn.IFS($G962=$G$5,I$5,$G962=$G$6,I$6,$G962=$G$7,I$7,$G962=$G$8,I$8,$G962=$G$9,I$9,$G962=$G$10,I$10,$G962=$G$11,I$11,$G962=$G$12,I$12,$G962=$G$13,I$13,$G962=$G$15,I$15,$G962=$G$16,I$16,$G962=$G$17,I$17,$G962=$G$18,I$18,$G962=$G$19,I$19,$G962=$G$20,I$20,$G962=$G$21,I$21,$G962=$G$22,I$22,$G962=$G$25,I$25,$G962=$G$26,I$26,$G962=$G$27,I$27,$G962=$G$29,I$29,$G962=$G$31,I$31,$G962=$G$32,I$150,$G962=$G$248,I$248,$G962=$G$250,I$250)</f>
        <v>2.1441490000000001</v>
      </c>
      <c r="J962" s="61" cm="1">
        <f t="array" ref="J962">_xlfn.IFS($G962=$G$5,J$5,$G962=$G$6,J$6,$G962=$G$7,J$7,$G962=$G$8,J$8,$G962=$G$9,J$9,$G962=$G$10,J$10,$G962=$G$11,J$11,$G962=$G$12,J$12,$G962=$G$13,J$13,$G962=$G$15,J$15,$G962=$G$16,J$16,$G962=$G$17,J$17,$G962=$G$18,J$18,$G962=$G$19,J$19,$G962=$G$20,J$20,$G962=$G$21,J$21,$G962=$G$22,J$22,$G962=$G$25,J$25,$G962=$G$26,J$26,$G962=$G$27,J$27,$G962=$G$29,J$29,$G962=$G$31,J$31,$G962=$G$32,J$150,$G962=$G$248,J$248,$G962=$G$250,J$250)</f>
        <v>4</v>
      </c>
      <c r="K962" t="str" cm="1">
        <f t="array" ref="K962">_xlfn.IFS($G962=$G$5,K$5,$G962=$G$6,K$6,$G962=$G$7,K$7,$G962=$G$8,K$8,$G962=$G$9,K$9,$G962=$G$10,K$10,$G962=$G$11,K$11,$G962=$G$12,K$12,$G962=$G$13,K$13,$G962=$G$15,K$15,$G962=$G$16,K$16,$G962=$G$17,K$17,$G962=$G$18,K$18,$G962=$G$19,K$19,$G962=$G$20,K$20,$G962=$G$21,K$21,$G962=$G$22,K$22,$G962=$G$25,K$25,$G962=$G$26,K$26,$G962=$G$27,K$27,$G962=$G$29,K$29,$G962=$G$31,K$31,$G962=$G$32,K$150,$G962=$G$248,K$248,$G962=$G$250,K$250)</f>
        <v>BG sentinel + BG lure7</v>
      </c>
      <c r="O962" s="69" t="str">
        <f t="shared" si="77"/>
        <v>A_SP_BCN_10_211021</v>
      </c>
      <c r="P962" s="64">
        <v>44490</v>
      </c>
      <c r="R962" s="72"/>
      <c r="S962" s="64">
        <v>44497</v>
      </c>
      <c r="U962" s="72"/>
      <c r="V962" s="54" t="s">
        <v>66</v>
      </c>
      <c r="X962" s="69">
        <f t="shared" si="76"/>
        <v>7</v>
      </c>
      <c r="Z962" s="45" t="s">
        <v>80</v>
      </c>
      <c r="AA962" s="69">
        <f t="shared" si="81"/>
        <v>1</v>
      </c>
      <c r="AB962" t="str">
        <f t="shared" si="73"/>
        <v>Adult</v>
      </c>
      <c r="AC962" s="69">
        <v>1</v>
      </c>
      <c r="AD962" s="69">
        <v>0</v>
      </c>
      <c r="AE962" s="45" t="str">
        <f t="shared" si="74"/>
        <v>Morphological</v>
      </c>
      <c r="AF962" s="56">
        <v>4</v>
      </c>
    </row>
    <row r="963" spans="1:32" ht="18" customHeight="1" x14ac:dyDescent="0.25">
      <c r="A963" s="45">
        <v>959</v>
      </c>
      <c r="B963" s="45" t="s">
        <v>60</v>
      </c>
      <c r="C963" s="45" t="s">
        <v>61</v>
      </c>
      <c r="D963" s="45" t="s">
        <v>62</v>
      </c>
      <c r="E963" s="45" t="s">
        <v>62</v>
      </c>
      <c r="F963" s="59" cm="1">
        <f t="array" ref="F963">_xlfn.IFS($G963=$G$5,F$5,$G963=$G$6,F$6,$G963=$G$7,F$7,$G963=$G$8,F$8,$G963=$G$9,F$9,$G963=$G$10,F$10,$G963=$G$11,F$11,$G963=$G$12,F$12,$G963=$G$13,F$13,$G963=$G$15,F$15,$G963=$G$16,F$16,$G963=$G$17,F$17,$G963=$G$18,F$18,$G963=$G$19,F$19,$G963=$G$20,F$20,$G963=$G$21,F$21,$G963=$G$22,F$22,$G963=$G$25,F$25,$G963=$G$26,F$26,$G963=$G$27,F$27,$G963=$G$29,F$29,$G963=$G$31,F$31,$G963=$G$32,F$32,$G963=$G$248,F$248,$G963=$G$250,F$250)</f>
        <v>8038</v>
      </c>
      <c r="G963" t="s">
        <v>82</v>
      </c>
      <c r="H963" s="60" cm="1">
        <f t="array" ref="H963">_xlfn.IFS($G963=$G$5,H$5,$G963=$G$6,H$6,$G963=$G$7,H$7,$G963=$G$8,H$8,$G963=$G$9,H$9,$G963=$G$10,H$10,$G963=$G$11,H$11,$G963=$G$12,H$12,$G963=$G$13,H$13,$G963=$G$15,H$15,$G963=$G$16,H$16,$G963=$G$17,H$17,$G963=$G$18,H$18,$G963=$G$19,H$19,$G963=$G$20,H$20,$G963=$G$21,H$21,$G963=$G$22,H$22,$G963=$G$25,H$25,$G963=$G$26,H$26,$G963=$G$27,H$27,$G963=$G$29,H$29,$G963=$G$31,H$31,$G963=$G$32,H$150,$G963=$G$248,H$248,$G963=$G$250,H$250)</f>
        <v>41.367429999999999</v>
      </c>
      <c r="I963" s="60" cm="1">
        <f t="array" ref="I963">_xlfn.IFS($G963=$G$5,I$5,$G963=$G$6,I$6,$G963=$G$7,I$7,$G963=$G$8,I$8,$G963=$G$9,I$9,$G963=$G$10,I$10,$G963=$G$11,I$11,$G963=$G$12,I$12,$G963=$G$13,I$13,$G963=$G$15,I$15,$G963=$G$16,I$16,$G963=$G$17,I$17,$G963=$G$18,I$18,$G963=$G$19,I$19,$G963=$G$20,I$20,$G963=$G$21,I$21,$G963=$G$22,I$22,$G963=$G$25,I$25,$G963=$G$26,I$26,$G963=$G$27,I$27,$G963=$G$29,I$29,$G963=$G$31,I$31,$G963=$G$32,I$150,$G963=$G$248,I$248,$G963=$G$250,I$250)</f>
        <v>2.1569609999999999</v>
      </c>
      <c r="J963" s="61" cm="1">
        <f t="array" ref="J963">_xlfn.IFS($G963=$G$5,J$5,$G963=$G$6,J$6,$G963=$G$7,J$7,$G963=$G$8,J$8,$G963=$G$9,J$9,$G963=$G$10,J$10,$G963=$G$11,J$11,$G963=$G$12,J$12,$G963=$G$13,J$13,$G963=$G$15,J$15,$G963=$G$16,J$16,$G963=$G$17,J$17,$G963=$G$18,J$18,$G963=$G$19,J$19,$G963=$G$20,J$20,$G963=$G$21,J$21,$G963=$G$22,J$22,$G963=$G$25,J$25,$G963=$G$26,J$26,$G963=$G$27,J$27,$G963=$G$29,J$29,$G963=$G$31,J$31,$G963=$G$32,J$150,$G963=$G$248,J$248,$G963=$G$250,J$250)</f>
        <v>91</v>
      </c>
      <c r="K963" t="str" cm="1">
        <f t="array" ref="K963">_xlfn.IFS($G963=$G$5,K$5,$G963=$G$6,K$6,$G963=$G$7,K$7,$G963=$G$8,K$8,$G963=$G$9,K$9,$G963=$G$10,K$10,$G963=$G$11,K$11,$G963=$G$12,K$12,$G963=$G$13,K$13,$G963=$G$15,K$15,$G963=$G$16,K$16,$G963=$G$17,K$17,$G963=$G$18,K$18,$G963=$G$19,K$19,$G963=$G$20,K$20,$G963=$G$21,K$21,$G963=$G$22,K$22,$G963=$G$25,K$25,$G963=$G$26,K$26,$G963=$G$27,K$27,$G963=$G$29,K$29,$G963=$G$31,K$31,$G963=$G$32,K$150,$G963=$G$248,K$248,$G963=$G$250,K$250)</f>
        <v>BG sentinel + BG lure7</v>
      </c>
      <c r="O963" s="69" t="str">
        <f t="shared" si="77"/>
        <v>A_SP_BCN_11_211021</v>
      </c>
      <c r="P963" s="64">
        <v>44490</v>
      </c>
      <c r="R963" s="72"/>
      <c r="S963" s="64">
        <v>44497</v>
      </c>
      <c r="U963" s="72"/>
      <c r="V963" s="54" t="s">
        <v>66</v>
      </c>
      <c r="X963" s="69">
        <f t="shared" si="76"/>
        <v>7</v>
      </c>
      <c r="Z963" s="69" t="s">
        <v>69</v>
      </c>
      <c r="AA963" s="69">
        <f t="shared" si="81"/>
        <v>20</v>
      </c>
      <c r="AB963" t="str">
        <f t="shared" si="73"/>
        <v>Adult</v>
      </c>
      <c r="AC963" s="69">
        <v>17</v>
      </c>
      <c r="AD963" s="69">
        <v>3</v>
      </c>
      <c r="AE963" s="45" t="str">
        <f t="shared" si="74"/>
        <v>Morphological</v>
      </c>
      <c r="AF963" s="56">
        <v>4</v>
      </c>
    </row>
    <row r="964" spans="1:32" ht="18" customHeight="1" x14ac:dyDescent="0.25">
      <c r="A964" s="45">
        <v>960</v>
      </c>
      <c r="B964" s="45" t="s">
        <v>60</v>
      </c>
      <c r="C964" s="45" t="s">
        <v>61</v>
      </c>
      <c r="D964" s="45" t="s">
        <v>62</v>
      </c>
      <c r="E964" s="45" t="s">
        <v>62</v>
      </c>
      <c r="F964" s="59" cm="1">
        <f t="array" ref="F964">_xlfn.IFS($G964=$G$5,F$5,$G964=$G$6,F$6,$G964=$G$7,F$7,$G964=$G$8,F$8,$G964=$G$9,F$9,$G964=$G$10,F$10,$G964=$G$11,F$11,$G964=$G$12,F$12,$G964=$G$13,F$13,$G964=$G$15,F$15,$G964=$G$16,F$16,$G964=$G$17,F$17,$G964=$G$18,F$18,$G964=$G$19,F$19,$G964=$G$20,F$20,$G964=$G$21,F$21,$G964=$G$22,F$22,$G964=$G$25,F$25,$G964=$G$26,F$26,$G964=$G$27,F$27,$G964=$G$29,F$29,$G964=$G$31,F$31,$G964=$G$32,F$32,$G964=$G$248,F$248,$G964=$G$250,F$250)</f>
        <v>8038</v>
      </c>
      <c r="G964" t="s">
        <v>82</v>
      </c>
      <c r="H964" s="60" cm="1">
        <f t="array" ref="H964">_xlfn.IFS($G964=$G$5,H$5,$G964=$G$6,H$6,$G964=$G$7,H$7,$G964=$G$8,H$8,$G964=$G$9,H$9,$G964=$G$10,H$10,$G964=$G$11,H$11,$G964=$G$12,H$12,$G964=$G$13,H$13,$G964=$G$15,H$15,$G964=$G$16,H$16,$G964=$G$17,H$17,$G964=$G$18,H$18,$G964=$G$19,H$19,$G964=$G$20,H$20,$G964=$G$21,H$21,$G964=$G$22,H$22,$G964=$G$25,H$25,$G964=$G$26,H$26,$G964=$G$27,H$27,$G964=$G$29,H$29,$G964=$G$31,H$31,$G964=$G$32,H$150,$G964=$G$248,H$248,$G964=$G$250,H$250)</f>
        <v>41.367429999999999</v>
      </c>
      <c r="I964" s="60" cm="1">
        <f t="array" ref="I964">_xlfn.IFS($G964=$G$5,I$5,$G964=$G$6,I$6,$G964=$G$7,I$7,$G964=$G$8,I$8,$G964=$G$9,I$9,$G964=$G$10,I$10,$G964=$G$11,I$11,$G964=$G$12,I$12,$G964=$G$13,I$13,$G964=$G$15,I$15,$G964=$G$16,I$16,$G964=$G$17,I$17,$G964=$G$18,I$18,$G964=$G$19,I$19,$G964=$G$20,I$20,$G964=$G$21,I$21,$G964=$G$22,I$22,$G964=$G$25,I$25,$G964=$G$26,I$26,$G964=$G$27,I$27,$G964=$G$29,I$29,$G964=$G$31,I$31,$G964=$G$32,I$150,$G964=$G$248,I$248,$G964=$G$250,I$250)</f>
        <v>2.1569609999999999</v>
      </c>
      <c r="J964" s="61" cm="1">
        <f t="array" ref="J964">_xlfn.IFS($G964=$G$5,J$5,$G964=$G$6,J$6,$G964=$G$7,J$7,$G964=$G$8,J$8,$G964=$G$9,J$9,$G964=$G$10,J$10,$G964=$G$11,J$11,$G964=$G$12,J$12,$G964=$G$13,J$13,$G964=$G$15,J$15,$G964=$G$16,J$16,$G964=$G$17,J$17,$G964=$G$18,J$18,$G964=$G$19,J$19,$G964=$G$20,J$20,$G964=$G$21,J$21,$G964=$G$22,J$22,$G964=$G$25,J$25,$G964=$G$26,J$26,$G964=$G$27,J$27,$G964=$G$29,J$29,$G964=$G$31,J$31,$G964=$G$32,J$150,$G964=$G$248,J$248,$G964=$G$250,J$250)</f>
        <v>91</v>
      </c>
      <c r="K964" t="str" cm="1">
        <f t="array" ref="K964">_xlfn.IFS($G964=$G$5,K$5,$G964=$G$6,K$6,$G964=$G$7,K$7,$G964=$G$8,K$8,$G964=$G$9,K$9,$G964=$G$10,K$10,$G964=$G$11,K$11,$G964=$G$12,K$12,$G964=$G$13,K$13,$G964=$G$15,K$15,$G964=$G$16,K$16,$G964=$G$17,K$17,$G964=$G$18,K$18,$G964=$G$19,K$19,$G964=$G$20,K$20,$G964=$G$21,K$21,$G964=$G$22,K$22,$G964=$G$25,K$25,$G964=$G$26,K$26,$G964=$G$27,K$27,$G964=$G$29,K$29,$G964=$G$31,K$31,$G964=$G$32,K$150,$G964=$G$248,K$248,$G964=$G$250,K$250)</f>
        <v>BG sentinel + BG lure7</v>
      </c>
      <c r="O964" s="69" t="str">
        <f t="shared" si="77"/>
        <v>A_SP_BCN_11_211021</v>
      </c>
      <c r="P964" s="64">
        <v>44490</v>
      </c>
      <c r="R964" s="72"/>
      <c r="S964" s="64">
        <v>44497</v>
      </c>
      <c r="U964" s="72"/>
      <c r="V964" s="54" t="s">
        <v>66</v>
      </c>
      <c r="X964" s="69">
        <f t="shared" si="76"/>
        <v>7</v>
      </c>
      <c r="Z964" s="45" t="s">
        <v>70</v>
      </c>
      <c r="AA964" s="69">
        <f t="shared" si="81"/>
        <v>1</v>
      </c>
      <c r="AB964" t="str">
        <f t="shared" si="73"/>
        <v>Adult</v>
      </c>
      <c r="AC964" s="69">
        <v>0</v>
      </c>
      <c r="AD964" s="69">
        <v>1</v>
      </c>
      <c r="AE964" s="45" t="str">
        <f t="shared" si="74"/>
        <v>Morphological</v>
      </c>
      <c r="AF964" s="56">
        <v>4</v>
      </c>
    </row>
    <row r="965" spans="1:32" ht="18" customHeight="1" x14ac:dyDescent="0.25">
      <c r="A965" s="45">
        <v>961</v>
      </c>
      <c r="B965" s="45" t="s">
        <v>60</v>
      </c>
      <c r="C965" s="45" t="s">
        <v>61</v>
      </c>
      <c r="D965" s="45" t="s">
        <v>62</v>
      </c>
      <c r="E965" s="45" t="s">
        <v>62</v>
      </c>
      <c r="F965" s="59" cm="1">
        <f t="array" ref="F965">_xlfn.IFS($G965=$G$5,F$5,$G965=$G$6,F$6,$G965=$G$7,F$7,$G965=$G$8,F$8,$G965=$G$9,F$9,$G965=$G$10,F$10,$G965=$G$11,F$11,$G965=$G$12,F$12,$G965=$G$13,F$13,$G965=$G$15,F$15,$G965=$G$16,F$16,$G965=$G$17,F$17,$G965=$G$18,F$18,$G965=$G$19,F$19,$G965=$G$20,F$20,$G965=$G$21,F$21,$G965=$G$22,F$22,$G965=$G$25,F$25,$G965=$G$26,F$26,$G965=$G$27,F$27,$G965=$G$29,F$29,$G965=$G$31,F$31,$G965=$G$32,F$32,$G965=$G$248,F$248,$G965=$G$250,F$250)</f>
        <v>8038</v>
      </c>
      <c r="G965" t="s">
        <v>84</v>
      </c>
      <c r="H965" s="60" cm="1">
        <f t="array" ref="H965">_xlfn.IFS($G965=$G$5,H$5,$G965=$G$6,H$6,$G965=$G$7,H$7,$G965=$G$8,H$8,$G965=$G$9,H$9,$G965=$G$10,H$10,$G965=$G$11,H$11,$G965=$G$12,H$12,$G965=$G$13,H$13,$G965=$G$15,H$15,$G965=$G$16,H$16,$G965=$G$17,H$17,$G965=$G$18,H$18,$G965=$G$19,H$19,$G965=$G$20,H$20,$G965=$G$21,H$21,$G965=$G$22,H$22,$G965=$G$25,H$25,$G965=$G$26,H$26,$G965=$G$27,H$27,$G965=$G$29,H$29,$G965=$G$31,H$31,$G965=$G$32,H$150,$G965=$G$248,H$248,$G965=$G$250,H$250)</f>
        <v>41.363377999999997</v>
      </c>
      <c r="I965" s="60" cm="1">
        <f t="array" ref="I965">_xlfn.IFS($G965=$G$5,I$5,$G965=$G$6,I$6,$G965=$G$7,I$7,$G965=$G$8,I$8,$G965=$G$9,I$9,$G965=$G$10,I$10,$G965=$G$11,I$11,$G965=$G$12,I$12,$G965=$G$13,I$13,$G965=$G$15,I$15,$G965=$G$16,I$16,$G965=$G$17,I$17,$G965=$G$18,I$18,$G965=$G$19,I$19,$G965=$G$20,I$20,$G965=$G$21,I$21,$G965=$G$22,I$22,$G965=$G$25,I$25,$G965=$G$26,I$26,$G965=$G$27,I$27,$G965=$G$29,I$29,$G965=$G$31,I$31,$G965=$G$32,I$150,$G965=$G$248,I$248,$G965=$G$250,I$250)</f>
        <v>2.164879</v>
      </c>
      <c r="J965" s="61" cm="1">
        <f t="array" ref="J965">_xlfn.IFS($G965=$G$5,J$5,$G965=$G$6,J$6,$G965=$G$7,J$7,$G965=$G$8,J$8,$G965=$G$9,J$9,$G965=$G$10,J$10,$G965=$G$11,J$11,$G965=$G$12,J$12,$G965=$G$13,J$13,$G965=$G$15,J$15,$G965=$G$16,J$16,$G965=$G$17,J$17,$G965=$G$18,J$18,$G965=$G$19,J$19,$G965=$G$20,J$20,$G965=$G$21,J$21,$G965=$G$22,J$22,$G965=$G$25,J$25,$G965=$G$26,J$26,$G965=$G$27,J$27,$G965=$G$29,J$29,$G965=$G$31,J$31,$G965=$G$32,J$150,$G965=$G$248,J$248,$G965=$G$250,J$250)</f>
        <v>185</v>
      </c>
      <c r="K965" t="str" cm="1">
        <f t="array" ref="K965">_xlfn.IFS($G965=$G$5,K$5,$G965=$G$6,K$6,$G965=$G$7,K$7,$G965=$G$8,K$8,$G965=$G$9,K$9,$G965=$G$10,K$10,$G965=$G$11,K$11,$G965=$G$12,K$12,$G965=$G$13,K$13,$G965=$G$15,K$15,$G965=$G$16,K$16,$G965=$G$17,K$17,$G965=$G$18,K$18,$G965=$G$19,K$19,$G965=$G$20,K$20,$G965=$G$21,K$21,$G965=$G$22,K$22,$G965=$G$25,K$25,$G965=$G$26,K$26,$G965=$G$27,K$27,$G965=$G$29,K$29,$G965=$G$31,K$31,$G965=$G$32,K$150,$G965=$G$248,K$248,$G965=$G$250,K$250)</f>
        <v>BG sentinel + BG lure7</v>
      </c>
      <c r="O965" s="69" t="str">
        <f t="shared" si="77"/>
        <v>A_SP_BCN_12_211021</v>
      </c>
      <c r="P965" s="64">
        <v>44490</v>
      </c>
      <c r="R965" s="72"/>
      <c r="S965" s="64">
        <v>44497</v>
      </c>
      <c r="U965" s="72"/>
      <c r="V965" s="54" t="s">
        <v>66</v>
      </c>
      <c r="X965" s="69">
        <f t="shared" si="76"/>
        <v>7</v>
      </c>
      <c r="Z965" s="69" t="s">
        <v>69</v>
      </c>
      <c r="AA965" s="69">
        <f t="shared" si="81"/>
        <v>5</v>
      </c>
      <c r="AB965" t="str">
        <f t="shared" si="73"/>
        <v>Adult</v>
      </c>
      <c r="AC965" s="69">
        <v>5</v>
      </c>
      <c r="AD965" s="69">
        <v>0</v>
      </c>
      <c r="AE965" s="45" t="str">
        <f t="shared" si="74"/>
        <v>Morphological</v>
      </c>
      <c r="AF965" s="56">
        <v>4</v>
      </c>
    </row>
    <row r="966" spans="1:32" ht="18" customHeight="1" x14ac:dyDescent="0.25">
      <c r="A966" s="45">
        <v>962</v>
      </c>
      <c r="B966" s="45" t="s">
        <v>60</v>
      </c>
      <c r="C966" s="45" t="s">
        <v>61</v>
      </c>
      <c r="D966" s="45" t="s">
        <v>62</v>
      </c>
      <c r="E966" s="45" t="s">
        <v>62</v>
      </c>
      <c r="F966" s="59" cm="1">
        <f t="array" ref="F966">_xlfn.IFS($G966=$G$5,F$5,$G966=$G$6,F$6,$G966=$G$7,F$7,$G966=$G$8,F$8,$G966=$G$9,F$9,$G966=$G$10,F$10,$G966=$G$11,F$11,$G966=$G$12,F$12,$G966=$G$13,F$13,$G966=$G$15,F$15,$G966=$G$16,F$16,$G966=$G$17,F$17,$G966=$G$18,F$18,$G966=$G$19,F$19,$G966=$G$20,F$20,$G966=$G$21,F$21,$G966=$G$22,F$22,$G966=$G$25,F$25,$G966=$G$26,F$26,$G966=$G$27,F$27,$G966=$G$29,F$29,$G966=$G$31,F$31,$G966=$G$32,F$32,$G966=$G$248,F$248,$G966=$G$250,F$250)</f>
        <v>8038</v>
      </c>
      <c r="G966" t="s">
        <v>84</v>
      </c>
      <c r="H966" s="60" cm="1">
        <f t="array" ref="H966">_xlfn.IFS($G966=$G$5,H$5,$G966=$G$6,H$6,$G966=$G$7,H$7,$G966=$G$8,H$8,$G966=$G$9,H$9,$G966=$G$10,H$10,$G966=$G$11,H$11,$G966=$G$12,H$12,$G966=$G$13,H$13,$G966=$G$15,H$15,$G966=$G$16,H$16,$G966=$G$17,H$17,$G966=$G$18,H$18,$G966=$G$19,H$19,$G966=$G$20,H$20,$G966=$G$21,H$21,$G966=$G$22,H$22,$G966=$G$25,H$25,$G966=$G$26,H$26,$G966=$G$27,H$27,$G966=$G$29,H$29,$G966=$G$31,H$31,$G966=$G$32,H$150,$G966=$G$248,H$248,$G966=$G$250,H$250)</f>
        <v>41.363377999999997</v>
      </c>
      <c r="I966" s="60" cm="1">
        <f t="array" ref="I966">_xlfn.IFS($G966=$G$5,I$5,$G966=$G$6,I$6,$G966=$G$7,I$7,$G966=$G$8,I$8,$G966=$G$9,I$9,$G966=$G$10,I$10,$G966=$G$11,I$11,$G966=$G$12,I$12,$G966=$G$13,I$13,$G966=$G$15,I$15,$G966=$G$16,I$16,$G966=$G$17,I$17,$G966=$G$18,I$18,$G966=$G$19,I$19,$G966=$G$20,I$20,$G966=$G$21,I$21,$G966=$G$22,I$22,$G966=$G$25,I$25,$G966=$G$26,I$26,$G966=$G$27,I$27,$G966=$G$29,I$29,$G966=$G$31,I$31,$G966=$G$32,I$150,$G966=$G$248,I$248,$G966=$G$250,I$250)</f>
        <v>2.164879</v>
      </c>
      <c r="J966" s="61" cm="1">
        <f t="array" ref="J966">_xlfn.IFS($G966=$G$5,J$5,$G966=$G$6,J$6,$G966=$G$7,J$7,$G966=$G$8,J$8,$G966=$G$9,J$9,$G966=$G$10,J$10,$G966=$G$11,J$11,$G966=$G$12,J$12,$G966=$G$13,J$13,$G966=$G$15,J$15,$G966=$G$16,J$16,$G966=$G$17,J$17,$G966=$G$18,J$18,$G966=$G$19,J$19,$G966=$G$20,J$20,$G966=$G$21,J$21,$G966=$G$22,J$22,$G966=$G$25,J$25,$G966=$G$26,J$26,$G966=$G$27,J$27,$G966=$G$29,J$29,$G966=$G$31,J$31,$G966=$G$32,J$150,$G966=$G$248,J$248,$G966=$G$250,J$250)</f>
        <v>185</v>
      </c>
      <c r="K966" t="str" cm="1">
        <f t="array" ref="K966">_xlfn.IFS($G966=$G$5,K$5,$G966=$G$6,K$6,$G966=$G$7,K$7,$G966=$G$8,K$8,$G966=$G$9,K$9,$G966=$G$10,K$10,$G966=$G$11,K$11,$G966=$G$12,K$12,$G966=$G$13,K$13,$G966=$G$15,K$15,$G966=$G$16,K$16,$G966=$G$17,K$17,$G966=$G$18,K$18,$G966=$G$19,K$19,$G966=$G$20,K$20,$G966=$G$21,K$21,$G966=$G$22,K$22,$G966=$G$25,K$25,$G966=$G$26,K$26,$G966=$G$27,K$27,$G966=$G$29,K$29,$G966=$G$31,K$31,$G966=$G$32,K$150,$G966=$G$248,K$248,$G966=$G$250,K$250)</f>
        <v>BG sentinel + BG lure7</v>
      </c>
      <c r="O966" s="69" t="str">
        <f t="shared" si="77"/>
        <v>A_SP_BCN_12_211021</v>
      </c>
      <c r="P966" s="64">
        <v>44490</v>
      </c>
      <c r="R966" s="72"/>
      <c r="S966" s="64">
        <v>44497</v>
      </c>
      <c r="U966" s="72"/>
      <c r="V966" s="54" t="s">
        <v>66</v>
      </c>
      <c r="X966" s="69">
        <f t="shared" si="76"/>
        <v>7</v>
      </c>
      <c r="Z966" s="45" t="s">
        <v>70</v>
      </c>
      <c r="AA966" s="69">
        <f t="shared" si="81"/>
        <v>22</v>
      </c>
      <c r="AB966" t="str">
        <f t="shared" si="73"/>
        <v>Adult</v>
      </c>
      <c r="AC966" s="69">
        <v>18</v>
      </c>
      <c r="AD966" s="69">
        <v>4</v>
      </c>
      <c r="AE966" s="45" t="str">
        <f t="shared" si="74"/>
        <v>Morphological</v>
      </c>
      <c r="AF966" s="56">
        <v>4</v>
      </c>
    </row>
    <row r="967" spans="1:32" ht="18" customHeight="1" x14ac:dyDescent="0.25">
      <c r="A967" s="45">
        <v>963</v>
      </c>
      <c r="B967" s="45" t="s">
        <v>60</v>
      </c>
      <c r="C967" s="45" t="s">
        <v>61</v>
      </c>
      <c r="D967" s="45" t="s">
        <v>62</v>
      </c>
      <c r="E967" s="45" t="s">
        <v>62</v>
      </c>
      <c r="F967" s="59" cm="1">
        <f t="array" ref="F967">_xlfn.IFS($G967=$G$5,F$5,$G967=$G$6,F$6,$G967=$G$7,F$7,$G967=$G$8,F$8,$G967=$G$9,F$9,$G967=$G$10,F$10,$G967=$G$11,F$11,$G967=$G$12,F$12,$G967=$G$13,F$13,$G967=$G$15,F$15,$G967=$G$16,F$16,$G967=$G$17,F$17,$G967=$G$18,F$18,$G967=$G$19,F$19,$G967=$G$20,F$20,$G967=$G$21,F$21,$G967=$G$22,F$22,$G967=$G$25,F$25,$G967=$G$26,F$26,$G967=$G$27,F$27,$G967=$G$29,F$29,$G967=$G$31,F$31,$G967=$G$32,F$32,$G967=$G$248,F$248,$G967=$G$250,F$250)</f>
        <v>8038</v>
      </c>
      <c r="G967" t="s">
        <v>84</v>
      </c>
      <c r="H967" s="60" cm="1">
        <f t="array" ref="H967">_xlfn.IFS($G967=$G$5,H$5,$G967=$G$6,H$6,$G967=$G$7,H$7,$G967=$G$8,H$8,$G967=$G$9,H$9,$G967=$G$10,H$10,$G967=$G$11,H$11,$G967=$G$12,H$12,$G967=$G$13,H$13,$G967=$G$15,H$15,$G967=$G$16,H$16,$G967=$G$17,H$17,$G967=$G$18,H$18,$G967=$G$19,H$19,$G967=$G$20,H$20,$G967=$G$21,H$21,$G967=$G$22,H$22,$G967=$G$25,H$25,$G967=$G$26,H$26,$G967=$G$27,H$27,$G967=$G$29,H$29,$G967=$G$31,H$31,$G967=$G$32,H$150,$G967=$G$248,H$248,$G967=$G$250,H$250)</f>
        <v>41.363377999999997</v>
      </c>
      <c r="I967" s="60" cm="1">
        <f t="array" ref="I967">_xlfn.IFS($G967=$G$5,I$5,$G967=$G$6,I$6,$G967=$G$7,I$7,$G967=$G$8,I$8,$G967=$G$9,I$9,$G967=$G$10,I$10,$G967=$G$11,I$11,$G967=$G$12,I$12,$G967=$G$13,I$13,$G967=$G$15,I$15,$G967=$G$16,I$16,$G967=$G$17,I$17,$G967=$G$18,I$18,$G967=$G$19,I$19,$G967=$G$20,I$20,$G967=$G$21,I$21,$G967=$G$22,I$22,$G967=$G$25,I$25,$G967=$G$26,I$26,$G967=$G$27,I$27,$G967=$G$29,I$29,$G967=$G$31,I$31,$G967=$G$32,I$150,$G967=$G$248,I$248,$G967=$G$250,I$250)</f>
        <v>2.164879</v>
      </c>
      <c r="J967" s="61" cm="1">
        <f t="array" ref="J967">_xlfn.IFS($G967=$G$5,J$5,$G967=$G$6,J$6,$G967=$G$7,J$7,$G967=$G$8,J$8,$G967=$G$9,J$9,$G967=$G$10,J$10,$G967=$G$11,J$11,$G967=$G$12,J$12,$G967=$G$13,J$13,$G967=$G$15,J$15,$G967=$G$16,J$16,$G967=$G$17,J$17,$G967=$G$18,J$18,$G967=$G$19,J$19,$G967=$G$20,J$20,$G967=$G$21,J$21,$G967=$G$22,J$22,$G967=$G$25,J$25,$G967=$G$26,J$26,$G967=$G$27,J$27,$G967=$G$29,J$29,$G967=$G$31,J$31,$G967=$G$32,J$150,$G967=$G$248,J$248,$G967=$G$250,J$250)</f>
        <v>185</v>
      </c>
      <c r="K967" t="str" cm="1">
        <f t="array" ref="K967">_xlfn.IFS($G967=$G$5,K$5,$G967=$G$6,K$6,$G967=$G$7,K$7,$G967=$G$8,K$8,$G967=$G$9,K$9,$G967=$G$10,K$10,$G967=$G$11,K$11,$G967=$G$12,K$12,$G967=$G$13,K$13,$G967=$G$15,K$15,$G967=$G$16,K$16,$G967=$G$17,K$17,$G967=$G$18,K$18,$G967=$G$19,K$19,$G967=$G$20,K$20,$G967=$G$21,K$21,$G967=$G$22,K$22,$G967=$G$25,K$25,$G967=$G$26,K$26,$G967=$G$27,K$27,$G967=$G$29,K$29,$G967=$G$31,K$31,$G967=$G$32,K$150,$G967=$G$248,K$248,$G967=$G$250,K$250)</f>
        <v>BG sentinel + BG lure7</v>
      </c>
      <c r="O967" s="69" t="str">
        <f t="shared" si="77"/>
        <v>A_SP_BCN_12_211021</v>
      </c>
      <c r="P967" s="64">
        <v>44490</v>
      </c>
      <c r="R967" s="72"/>
      <c r="S967" s="64">
        <v>44497</v>
      </c>
      <c r="U967" s="72"/>
      <c r="V967" s="54" t="s">
        <v>66</v>
      </c>
      <c r="X967" s="69">
        <f t="shared" si="76"/>
        <v>7</v>
      </c>
      <c r="Z967" s="45" t="s">
        <v>80</v>
      </c>
      <c r="AA967" s="69">
        <f t="shared" si="81"/>
        <v>1</v>
      </c>
      <c r="AB967" t="str">
        <f t="shared" si="73"/>
        <v>Adult</v>
      </c>
      <c r="AC967" s="69">
        <v>0</v>
      </c>
      <c r="AD967" s="69">
        <v>1</v>
      </c>
      <c r="AE967" s="45" t="str">
        <f t="shared" si="74"/>
        <v>Morphological</v>
      </c>
      <c r="AF967" s="56">
        <v>4</v>
      </c>
    </row>
    <row r="968" spans="1:32" ht="18" customHeight="1" x14ac:dyDescent="0.25">
      <c r="A968" s="45">
        <v>964</v>
      </c>
      <c r="B968" s="45" t="s">
        <v>60</v>
      </c>
      <c r="C968" s="45" t="s">
        <v>61</v>
      </c>
      <c r="D968" s="45" t="s">
        <v>62</v>
      </c>
      <c r="E968" s="45" t="s">
        <v>62</v>
      </c>
      <c r="F968" s="59" cm="1">
        <f t="array" ref="F968">_xlfn.IFS($G968=$G$5,F$5,$G968=$G$6,F$6,$G968=$G$7,F$7,$G968=$G$8,F$8,$G968=$G$9,F$9,$G968=$G$10,F$10,$G968=$G$11,F$11,$G968=$G$12,F$12,$G968=$G$13,F$13,$G968=$G$15,F$15,$G968=$G$16,F$16,$G968=$G$17,F$17,$G968=$G$18,F$18,$G968=$G$19,F$19,$G968=$G$20,F$20,$G968=$G$21,F$21,$G968=$G$22,F$22,$G968=$G$25,F$25,$G968=$G$26,F$26,$G968=$G$27,F$27,$G968=$G$29,F$29,$G968=$G$31,F$31,$G968=$G$32,F$32,$G968=$G$248,F$248,$G968=$G$250,F$250)</f>
        <v>8035</v>
      </c>
      <c r="G968" t="s">
        <v>85</v>
      </c>
      <c r="H968" s="60" cm="1">
        <f t="array" ref="H968">_xlfn.IFS($G968=$G$5,H$5,$G968=$G$6,H$6,$G968=$G$7,H$7,$G968=$G$8,H$8,$G968=$G$9,H$9,$G968=$G$10,H$10,$G968=$G$11,H$11,$G968=$G$12,H$12,$G968=$G$13,H$13,$G968=$G$15,H$15,$G968=$G$16,H$16,$G968=$G$17,H$17,$G968=$G$18,H$18,$G968=$G$19,H$19,$G968=$G$20,H$20,$G968=$G$21,H$21,$G968=$G$22,H$22,$G968=$G$25,H$25,$G968=$G$26,H$26,$G968=$G$27,H$27,$G968=$G$29,H$29,$G968=$G$31,H$31,$G968=$G$32,H$150,$G968=$G$248,H$248,$G968=$G$250,H$250)</f>
        <v>41.434472</v>
      </c>
      <c r="I968" s="60" cm="1">
        <f t="array" ref="I968">_xlfn.IFS($G968=$G$5,I$5,$G968=$G$6,I$6,$G968=$G$7,I$7,$G968=$G$8,I$8,$G968=$G$9,I$9,$G968=$G$10,I$10,$G968=$G$11,I$11,$G968=$G$12,I$12,$G968=$G$13,I$13,$G968=$G$15,I$15,$G968=$G$16,I$16,$G968=$G$17,I$17,$G968=$G$18,I$18,$G968=$G$19,I$19,$G968=$G$20,I$20,$G968=$G$21,I$21,$G968=$G$22,I$22,$G968=$G$25,I$25,$G968=$G$26,I$26,$G968=$G$27,I$27,$G968=$G$29,I$29,$G968=$G$31,I$31,$G968=$G$32,I$150,$G968=$G$248,I$248,$G968=$G$250,I$250)</f>
        <v>2.1315789999999999</v>
      </c>
      <c r="J968" s="61" cm="1">
        <f t="array" ref="J968">_xlfn.IFS($G968=$G$5,J$5,$G968=$G$6,J$6,$G968=$G$7,J$7,$G968=$G$8,J$8,$G968=$G$9,J$9,$G968=$G$10,J$10,$G968=$G$11,J$11,$G968=$G$12,J$12,$G968=$G$13,J$13,$G968=$G$15,J$15,$G968=$G$16,J$16,$G968=$G$17,J$17,$G968=$G$18,J$18,$G968=$G$19,J$19,$G968=$G$20,J$20,$G968=$G$21,J$21,$G968=$G$22,J$22,$G968=$G$25,J$25,$G968=$G$26,J$26,$G968=$G$27,J$27,$G968=$G$29,J$29,$G968=$G$31,J$31,$G968=$G$32,J$150,$G968=$G$248,J$248,$G968=$G$250,J$250)</f>
        <v>365</v>
      </c>
      <c r="K968" t="str" cm="1">
        <f t="array" ref="K968">_xlfn.IFS($G968=$G$5,K$5,$G968=$G$6,K$6,$G968=$G$7,K$7,$G968=$G$8,K$8,$G968=$G$9,K$9,$G968=$G$10,K$10,$G968=$G$11,K$11,$G968=$G$12,K$12,$G968=$G$13,K$13,$G968=$G$15,K$15,$G968=$G$16,K$16,$G968=$G$17,K$17,$G968=$G$18,K$18,$G968=$G$19,K$19,$G968=$G$20,K$20,$G968=$G$21,K$21,$G968=$G$22,K$22,$G968=$G$25,K$25,$G968=$G$26,K$26,$G968=$G$27,K$27,$G968=$G$29,K$29,$G968=$G$31,K$31,$G968=$G$32,K$150,$G968=$G$248,K$248,$G968=$G$250,K$250)</f>
        <v>BG sentinel + BG lure7</v>
      </c>
      <c r="O968" s="69" t="str">
        <f t="shared" si="77"/>
        <v>A_SP_BCN_13_211020</v>
      </c>
      <c r="P968" s="64">
        <v>44489</v>
      </c>
      <c r="R968" s="72"/>
      <c r="S968" s="64">
        <v>44496</v>
      </c>
      <c r="U968" s="72"/>
      <c r="V968" s="54" t="s">
        <v>66</v>
      </c>
      <c r="X968" s="69">
        <f t="shared" si="76"/>
        <v>7</v>
      </c>
      <c r="Z968" s="45" t="s">
        <v>80</v>
      </c>
      <c r="AA968" s="69">
        <f t="shared" si="81"/>
        <v>1</v>
      </c>
      <c r="AB968" t="str">
        <f t="shared" si="73"/>
        <v>Adult</v>
      </c>
      <c r="AC968" s="69">
        <v>1</v>
      </c>
      <c r="AD968" s="69">
        <v>0</v>
      </c>
      <c r="AE968" s="45" t="str">
        <f t="shared" si="74"/>
        <v>Morphological</v>
      </c>
      <c r="AF968" s="56">
        <v>4</v>
      </c>
    </row>
    <row r="969" spans="1:32" ht="18" customHeight="1" x14ac:dyDescent="0.25">
      <c r="A969" s="45">
        <v>965</v>
      </c>
      <c r="B969" s="45" t="s">
        <v>60</v>
      </c>
      <c r="C969" s="45" t="s">
        <v>61</v>
      </c>
      <c r="D969" s="45" t="s">
        <v>62</v>
      </c>
      <c r="E969" s="45" t="s">
        <v>62</v>
      </c>
      <c r="F969" s="59" cm="1">
        <f t="array" ref="F969">_xlfn.IFS($G969=$G$5,F$5,$G969=$G$6,F$6,$G969=$G$7,F$7,$G969=$G$8,F$8,$G969=$G$9,F$9,$G969=$G$10,F$10,$G969=$G$11,F$11,$G969=$G$12,F$12,$G969=$G$13,F$13,$G969=$G$15,F$15,$G969=$G$16,F$16,$G969=$G$17,F$17,$G969=$G$18,F$18,$G969=$G$19,F$19,$G969=$G$20,F$20,$G969=$G$21,F$21,$G969=$G$22,F$22,$G969=$G$25,F$25,$G969=$G$26,F$26,$G969=$G$27,F$27,$G969=$G$29,F$29,$G969=$G$31,F$31,$G969=$G$32,F$32,$G969=$G$248,F$248,$G969=$G$250,F$250)</f>
        <v>8017</v>
      </c>
      <c r="G969" t="s">
        <v>86</v>
      </c>
      <c r="H969" s="60" cm="1">
        <f t="array" ref="H969">_xlfn.IFS($G969=$G$5,H$5,$G969=$G$6,H$6,$G969=$G$7,H$7,$G969=$G$8,H$8,$G969=$G$9,H$9,$G969=$G$10,H$10,$G969=$G$11,H$11,$G969=$G$12,H$12,$G969=$G$13,H$13,$G969=$G$15,H$15,$G969=$G$16,H$16,$G969=$G$17,H$17,$G969=$G$18,H$18,$G969=$G$19,H$19,$G969=$G$20,H$20,$G969=$G$21,H$21,$G969=$G$22,H$22,$G969=$G$25,H$25,$G969=$G$26,H$26,$G969=$G$27,H$27,$G969=$G$29,H$29,$G969=$G$31,H$31,$G969=$G$32,H$150,$G969=$G$248,H$248,$G969=$G$250,H$250)</f>
        <v>41.428533999999999</v>
      </c>
      <c r="I969" s="60" cm="1">
        <f t="array" ref="I969">_xlfn.IFS($G969=$G$5,I$5,$G969=$G$6,I$6,$G969=$G$7,I$7,$G969=$G$8,I$8,$G969=$G$9,I$9,$G969=$G$10,I$10,$G969=$G$11,I$11,$G969=$G$12,I$12,$G969=$G$13,I$13,$G969=$G$15,I$15,$G969=$G$16,I$16,$G969=$G$17,I$17,$G969=$G$18,I$18,$G969=$G$19,I$19,$G969=$G$20,I$20,$G969=$G$21,I$21,$G969=$G$22,I$22,$G969=$G$25,I$25,$G969=$G$26,I$26,$G969=$G$27,I$27,$G969=$G$29,I$29,$G969=$G$31,I$31,$G969=$G$32,I$150,$G969=$G$248,I$248,$G969=$G$250,I$250)</f>
        <v>2.090954</v>
      </c>
      <c r="J969" s="61" cm="1">
        <f t="array" ref="J969">_xlfn.IFS($G969=$G$5,J$5,$G969=$G$6,J$6,$G969=$G$7,J$7,$G969=$G$8,J$8,$G969=$G$9,J$9,$G969=$G$10,J$10,$G969=$G$11,J$11,$G969=$G$12,J$12,$G969=$G$13,J$13,$G969=$G$15,J$15,$G969=$G$16,J$16,$G969=$G$17,J$17,$G969=$G$18,J$18,$G969=$G$19,J$19,$G969=$G$20,J$20,$G969=$G$21,J$21,$G969=$G$22,J$22,$G969=$G$25,J$25,$G969=$G$26,J$26,$G969=$G$27,J$27,$G969=$G$29,J$29,$G969=$G$31,J$31,$G969=$G$32,J$150,$G969=$G$248,J$248,$G969=$G$250,J$250)</f>
        <v>215</v>
      </c>
      <c r="K969" t="str" cm="1">
        <f t="array" ref="K969">_xlfn.IFS($G969=$G$5,K$5,$G969=$G$6,K$6,$G969=$G$7,K$7,$G969=$G$8,K$8,$G969=$G$9,K$9,$G969=$G$10,K$10,$G969=$G$11,K$11,$G969=$G$12,K$12,$G969=$G$13,K$13,$G969=$G$15,K$15,$G969=$G$16,K$16,$G969=$G$17,K$17,$G969=$G$18,K$18,$G969=$G$19,K$19,$G969=$G$20,K$20,$G969=$G$21,K$21,$G969=$G$22,K$22,$G969=$G$25,K$25,$G969=$G$26,K$26,$G969=$G$27,K$27,$G969=$G$29,K$29,$G969=$G$31,K$31,$G969=$G$32,K$150,$G969=$G$248,K$248,$G969=$G$250,K$250)</f>
        <v>BG sentinel + BG lure7</v>
      </c>
      <c r="O969" s="69" t="str">
        <f t="shared" si="77"/>
        <v>A_SP_BCN_14_211020</v>
      </c>
      <c r="P969" s="64">
        <v>44489</v>
      </c>
      <c r="R969" s="72"/>
      <c r="S969" s="64">
        <v>44496</v>
      </c>
      <c r="U969" s="72"/>
      <c r="V969" s="54" t="s">
        <v>66</v>
      </c>
      <c r="X969" s="69">
        <f t="shared" si="76"/>
        <v>7</v>
      </c>
      <c r="Z969" s="69" t="s">
        <v>69</v>
      </c>
      <c r="AA969" s="69">
        <f t="shared" si="81"/>
        <v>3</v>
      </c>
      <c r="AB969" t="str">
        <f t="shared" si="73"/>
        <v>Adult</v>
      </c>
      <c r="AC969" s="69">
        <v>3</v>
      </c>
      <c r="AD969" s="69">
        <v>0</v>
      </c>
      <c r="AE969" s="45" t="str">
        <f t="shared" si="74"/>
        <v>Morphological</v>
      </c>
      <c r="AF969" s="56">
        <v>4</v>
      </c>
    </row>
    <row r="970" spans="1:32" ht="18" customHeight="1" x14ac:dyDescent="0.25">
      <c r="A970" s="45">
        <v>966</v>
      </c>
      <c r="B970" s="45" t="s">
        <v>60</v>
      </c>
      <c r="C970" s="45" t="s">
        <v>61</v>
      </c>
      <c r="D970" s="45" t="s">
        <v>62</v>
      </c>
      <c r="E970" s="45" t="s">
        <v>62</v>
      </c>
      <c r="F970" s="59" cm="1">
        <f t="array" ref="F970">_xlfn.IFS($G970=$G$5,F$5,$G970=$G$6,F$6,$G970=$G$7,F$7,$G970=$G$8,F$8,$G970=$G$9,F$9,$G970=$G$10,F$10,$G970=$G$11,F$11,$G970=$G$12,F$12,$G970=$G$13,F$13,$G970=$G$15,F$15,$G970=$G$16,F$16,$G970=$G$17,F$17,$G970=$G$18,F$18,$G970=$G$19,F$19,$G970=$G$20,F$20,$G970=$G$21,F$21,$G970=$G$22,F$22,$G970=$G$25,F$25,$G970=$G$26,F$26,$G970=$G$27,F$27,$G970=$G$29,F$29,$G970=$G$31,F$31,$G970=$G$32,F$32,$G970=$G$248,F$248,$G970=$G$250,F$250)</f>
        <v>8017</v>
      </c>
      <c r="G970" t="s">
        <v>87</v>
      </c>
      <c r="H970" s="60" cm="1">
        <f t="array" ref="H970">_xlfn.IFS($G970=$G$5,H$5,$G970=$G$6,H$6,$G970=$G$7,H$7,$G970=$G$8,H$8,$G970=$G$9,H$9,$G970=$G$10,H$10,$G970=$G$11,H$11,$G970=$G$12,H$12,$G970=$G$13,H$13,$G970=$G$15,H$15,$G970=$G$16,H$16,$G970=$G$17,H$17,$G970=$G$18,H$18,$G970=$G$19,H$19,$G970=$G$20,H$20,$G970=$G$21,H$21,$G970=$G$22,H$22,$G970=$G$25,H$25,$G970=$G$26,H$26,$G970=$G$27,H$27,$G970=$G$29,H$29,$G970=$G$31,H$31,$G970=$G$32,H$150,$G970=$G$248,H$248,$G970=$G$250,H$250)</f>
        <v>41.419471000000001</v>
      </c>
      <c r="I970" s="60" cm="1">
        <f t="array" ref="I970">_xlfn.IFS($G970=$G$5,I$5,$G970=$G$6,I$6,$G970=$G$7,I$7,$G970=$G$8,I$8,$G970=$G$9,I$9,$G970=$G$10,I$10,$G970=$G$11,I$11,$G970=$G$12,I$12,$G970=$G$13,I$13,$G970=$G$15,I$15,$G970=$G$16,I$16,$G970=$G$17,I$17,$G970=$G$18,I$18,$G970=$G$19,I$19,$G970=$G$20,I$20,$G970=$G$21,I$21,$G970=$G$22,I$22,$G970=$G$25,I$25,$G970=$G$26,I$26,$G970=$G$27,I$27,$G970=$G$29,I$29,$G970=$G$31,I$31,$G970=$G$32,I$150,$G970=$G$248,I$248,$G970=$G$250,I$250)</f>
        <v>2.1010149999999999</v>
      </c>
      <c r="J970" s="61" cm="1">
        <f t="array" ref="J970">_xlfn.IFS($G970=$G$5,J$5,$G970=$G$6,J$6,$G970=$G$7,J$7,$G970=$G$8,J$8,$G970=$G$9,J$9,$G970=$G$10,J$10,$G970=$G$11,J$11,$G970=$G$12,J$12,$G970=$G$13,J$13,$G970=$G$15,J$15,$G970=$G$16,J$16,$G970=$G$17,J$17,$G970=$G$18,J$18,$G970=$G$19,J$19,$G970=$G$20,J$20,$G970=$G$21,J$21,$G970=$G$22,J$22,$G970=$G$25,J$25,$G970=$G$26,J$26,$G970=$G$27,J$27,$G970=$G$29,J$29,$G970=$G$31,J$31,$G970=$G$32,J$150,$G970=$G$248,J$248,$G970=$G$250,J$250)</f>
        <v>284</v>
      </c>
      <c r="K970" t="str" cm="1">
        <f t="array" ref="K970">_xlfn.IFS($G970=$G$5,K$5,$G970=$G$6,K$6,$G970=$G$7,K$7,$G970=$G$8,K$8,$G970=$G$9,K$9,$G970=$G$10,K$10,$G970=$G$11,K$11,$G970=$G$12,K$12,$G970=$G$13,K$13,$G970=$G$15,K$15,$G970=$G$16,K$16,$G970=$G$17,K$17,$G970=$G$18,K$18,$G970=$G$19,K$19,$G970=$G$20,K$20,$G970=$G$21,K$21,$G970=$G$22,K$22,$G970=$G$25,K$25,$G970=$G$26,K$26,$G970=$G$27,K$27,$G970=$G$29,K$29,$G970=$G$31,K$31,$G970=$G$32,K$150,$G970=$G$248,K$248,$G970=$G$250,K$250)</f>
        <v>BG sentinel + BG lure7</v>
      </c>
      <c r="O970" s="69" t="str">
        <f t="shared" si="77"/>
        <v>A_SP_BCN_15_211020</v>
      </c>
      <c r="P970" s="64">
        <v>44489</v>
      </c>
      <c r="R970" s="72"/>
      <c r="S970" s="64">
        <v>44496</v>
      </c>
      <c r="U970" s="72"/>
      <c r="V970" s="54" t="s">
        <v>66</v>
      </c>
      <c r="X970" s="69">
        <f t="shared" si="76"/>
        <v>7</v>
      </c>
      <c r="AA970" s="69">
        <f t="shared" si="81"/>
        <v>0</v>
      </c>
      <c r="AB970" t="str">
        <f t="shared" si="73"/>
        <v/>
      </c>
      <c r="AE970" s="45" t="str">
        <f t="shared" si="74"/>
        <v/>
      </c>
      <c r="AF970" s="56">
        <v>4</v>
      </c>
    </row>
    <row r="971" spans="1:32" ht="18" customHeight="1" x14ac:dyDescent="0.25">
      <c r="A971" s="45">
        <v>967</v>
      </c>
      <c r="B971" s="45" t="s">
        <v>60</v>
      </c>
      <c r="C971" s="45" t="s">
        <v>61</v>
      </c>
      <c r="D971" s="45" t="s">
        <v>62</v>
      </c>
      <c r="E971" s="45" t="s">
        <v>62</v>
      </c>
      <c r="F971" s="59" cm="1">
        <f t="array" ref="F971">_xlfn.IFS($G971=$G$5,F$5,$G971=$G$6,F$6,$G971=$G$7,F$7,$G971=$G$8,F$8,$G971=$G$9,F$9,$G971=$G$10,F$10,$G971=$G$11,F$11,$G971=$G$12,F$12,$G971=$G$13,F$13,$G971=$G$15,F$15,$G971=$G$16,F$16,$G971=$G$17,F$17,$G971=$G$18,F$18,$G971=$G$19,F$19,$G971=$G$20,F$20,$G971=$G$21,F$21,$G971=$G$22,F$22,$G971=$G$25,F$25,$G971=$G$26,F$26,$G971=$G$27,F$27,$G971=$G$29,F$29,$G971=$G$31,F$31,$G971=$G$32,F$32,$G971=$G$248,F$248,$G971=$G$250,F$250)</f>
        <v>8017</v>
      </c>
      <c r="G971" t="s">
        <v>88</v>
      </c>
      <c r="H971" s="60" cm="1">
        <f t="array" ref="H971">_xlfn.IFS($G971=$G$5,H$5,$G971=$G$6,H$6,$G971=$G$7,H$7,$G971=$G$8,H$8,$G971=$G$9,H$9,$G971=$G$10,H$10,$G971=$G$11,H$11,$G971=$G$12,H$12,$G971=$G$13,H$13,$G971=$G$15,H$15,$G971=$G$16,H$16,$G971=$G$17,H$17,$G971=$G$18,H$18,$G971=$G$19,H$19,$G971=$G$20,H$20,$G971=$G$21,H$21,$G971=$G$22,H$22,$G971=$G$25,H$25,$G971=$G$26,H$26,$G971=$G$27,H$27,$G971=$G$29,H$29,$G971=$G$31,H$31,$G971=$G$32,H$150,$G971=$G$248,H$248,$G971=$G$250,H$250)</f>
        <v>41.398387</v>
      </c>
      <c r="I971" s="60" cm="1">
        <f t="array" ref="I971">_xlfn.IFS($G971=$G$5,I$5,$G971=$G$6,I$6,$G971=$G$7,I$7,$G971=$G$8,I$8,$G971=$G$9,I$9,$G971=$G$10,I$10,$G971=$G$11,I$11,$G971=$G$12,I$12,$G971=$G$13,I$13,$G971=$G$15,I$15,$G971=$G$16,I$16,$G971=$G$17,I$17,$G971=$G$18,I$18,$G971=$G$19,I$19,$G971=$G$20,I$20,$G971=$G$21,I$21,$G971=$G$22,I$22,$G971=$G$25,I$25,$G971=$G$26,I$26,$G971=$G$27,I$27,$G971=$G$29,I$29,$G971=$G$31,I$31,$G971=$G$32,I$150,$G971=$G$248,I$248,$G971=$G$250,I$250)</f>
        <v>2.1244429999999999</v>
      </c>
      <c r="J971" s="61" cm="1">
        <f t="array" ref="J971">_xlfn.IFS($G971=$G$5,J$5,$G971=$G$6,J$6,$G971=$G$7,J$7,$G971=$G$8,J$8,$G971=$G$9,J$9,$G971=$G$10,J$10,$G971=$G$11,J$11,$G971=$G$12,J$12,$G971=$G$13,J$13,$G971=$G$15,J$15,$G971=$G$16,J$16,$G971=$G$17,J$17,$G971=$G$18,J$18,$G971=$G$19,J$19,$G971=$G$20,J$20,$G971=$G$21,J$21,$G971=$G$22,J$22,$G971=$G$25,J$25,$G971=$G$26,J$26,$G971=$G$27,J$27,$G971=$G$29,J$29,$G971=$G$31,J$31,$G971=$G$32,J$150,$G971=$G$248,J$248,$G971=$G$250,J$250)</f>
        <v>106</v>
      </c>
      <c r="K971" t="str" cm="1">
        <f t="array" ref="K971">_xlfn.IFS($G971=$G$5,K$5,$G971=$G$6,K$6,$G971=$G$7,K$7,$G971=$G$8,K$8,$G971=$G$9,K$9,$G971=$G$10,K$10,$G971=$G$11,K$11,$G971=$G$12,K$12,$G971=$G$13,K$13,$G971=$G$15,K$15,$G971=$G$16,K$16,$G971=$G$17,K$17,$G971=$G$18,K$18,$G971=$G$19,K$19,$G971=$G$20,K$20,$G971=$G$21,K$21,$G971=$G$22,K$22,$G971=$G$25,K$25,$G971=$G$26,K$26,$G971=$G$27,K$27,$G971=$G$29,K$29,$G971=$G$31,K$31,$G971=$G$32,K$150,$G971=$G$248,K$248,$G971=$G$250,K$250)</f>
        <v>BG sentinel + BG lure7</v>
      </c>
      <c r="O971" s="69" t="str">
        <f t="shared" si="77"/>
        <v>A_SP_BCN_16_211020</v>
      </c>
      <c r="P971" s="64">
        <v>44489</v>
      </c>
      <c r="R971" s="72"/>
      <c r="S971" s="64">
        <v>44496</v>
      </c>
      <c r="U971" s="72"/>
      <c r="V971" s="54" t="s">
        <v>66</v>
      </c>
      <c r="X971" s="69">
        <f t="shared" si="76"/>
        <v>7</v>
      </c>
      <c r="Z971" s="69" t="s">
        <v>69</v>
      </c>
      <c r="AA971" s="69">
        <f t="shared" si="81"/>
        <v>48</v>
      </c>
      <c r="AB971" t="str">
        <f t="shared" si="73"/>
        <v>Adult</v>
      </c>
      <c r="AC971" s="69">
        <v>30</v>
      </c>
      <c r="AD971" s="69">
        <v>18</v>
      </c>
      <c r="AE971" s="45" t="str">
        <f t="shared" si="74"/>
        <v>Morphological</v>
      </c>
      <c r="AF971" s="56">
        <v>4</v>
      </c>
    </row>
    <row r="972" spans="1:32" ht="18" customHeight="1" x14ac:dyDescent="0.25">
      <c r="A972" s="45">
        <v>968</v>
      </c>
      <c r="B972" s="45" t="s">
        <v>60</v>
      </c>
      <c r="C972" s="45" t="s">
        <v>61</v>
      </c>
      <c r="D972" s="45" t="s">
        <v>62</v>
      </c>
      <c r="E972" s="45" t="s">
        <v>62</v>
      </c>
      <c r="F972" s="59" cm="1">
        <f t="array" ref="F972">_xlfn.IFS($G972=$G$5,F$5,$G972=$G$6,F$6,$G972=$G$7,F$7,$G972=$G$8,F$8,$G972=$G$9,F$9,$G972=$G$10,F$10,$G972=$G$11,F$11,$G972=$G$12,F$12,$G972=$G$13,F$13,$G972=$G$15,F$15,$G972=$G$16,F$16,$G972=$G$17,F$17,$G972=$G$18,F$18,$G972=$G$19,F$19,$G972=$G$20,F$20,$G972=$G$21,F$21,$G972=$G$22,F$22,$G972=$G$25,F$25,$G972=$G$26,F$26,$G972=$G$27,F$27,$G972=$G$29,F$29,$G972=$G$31,F$31,$G972=$G$32,F$32,$G972=$G$248,F$248,$G972=$G$250,F$250)</f>
        <v>8017</v>
      </c>
      <c r="G972" t="s">
        <v>88</v>
      </c>
      <c r="H972" s="60" cm="1">
        <f t="array" ref="H972">_xlfn.IFS($G972=$G$5,H$5,$G972=$G$6,H$6,$G972=$G$7,H$7,$G972=$G$8,H$8,$G972=$G$9,H$9,$G972=$G$10,H$10,$G972=$G$11,H$11,$G972=$G$12,H$12,$G972=$G$13,H$13,$G972=$G$15,H$15,$G972=$G$16,H$16,$G972=$G$17,H$17,$G972=$G$18,H$18,$G972=$G$19,H$19,$G972=$G$20,H$20,$G972=$G$21,H$21,$G972=$G$22,H$22,$G972=$G$25,H$25,$G972=$G$26,H$26,$G972=$G$27,H$27,$G972=$G$29,H$29,$G972=$G$31,H$31,$G972=$G$32,H$150,$G972=$G$248,H$248,$G972=$G$250,H$250)</f>
        <v>41.398387</v>
      </c>
      <c r="I972" s="60" cm="1">
        <f t="array" ref="I972">_xlfn.IFS($G972=$G$5,I$5,$G972=$G$6,I$6,$G972=$G$7,I$7,$G972=$G$8,I$8,$G972=$G$9,I$9,$G972=$G$10,I$10,$G972=$G$11,I$11,$G972=$G$12,I$12,$G972=$G$13,I$13,$G972=$G$15,I$15,$G972=$G$16,I$16,$G972=$G$17,I$17,$G972=$G$18,I$18,$G972=$G$19,I$19,$G972=$G$20,I$20,$G972=$G$21,I$21,$G972=$G$22,I$22,$G972=$G$25,I$25,$G972=$G$26,I$26,$G972=$G$27,I$27,$G972=$G$29,I$29,$G972=$G$31,I$31,$G972=$G$32,I$150,$G972=$G$248,I$248,$G972=$G$250,I$250)</f>
        <v>2.1244429999999999</v>
      </c>
      <c r="J972" s="61" cm="1">
        <f t="array" ref="J972">_xlfn.IFS($G972=$G$5,J$5,$G972=$G$6,J$6,$G972=$G$7,J$7,$G972=$G$8,J$8,$G972=$G$9,J$9,$G972=$G$10,J$10,$G972=$G$11,J$11,$G972=$G$12,J$12,$G972=$G$13,J$13,$G972=$G$15,J$15,$G972=$G$16,J$16,$G972=$G$17,J$17,$G972=$G$18,J$18,$G972=$G$19,J$19,$G972=$G$20,J$20,$G972=$G$21,J$21,$G972=$G$22,J$22,$G972=$G$25,J$25,$G972=$G$26,J$26,$G972=$G$27,J$27,$G972=$G$29,J$29,$G972=$G$31,J$31,$G972=$G$32,J$150,$G972=$G$248,J$248,$G972=$G$250,J$250)</f>
        <v>106</v>
      </c>
      <c r="K972" t="str" cm="1">
        <f t="array" ref="K972">_xlfn.IFS($G972=$G$5,K$5,$G972=$G$6,K$6,$G972=$G$7,K$7,$G972=$G$8,K$8,$G972=$G$9,K$9,$G972=$G$10,K$10,$G972=$G$11,K$11,$G972=$G$12,K$12,$G972=$G$13,K$13,$G972=$G$15,K$15,$G972=$G$16,K$16,$G972=$G$17,K$17,$G972=$G$18,K$18,$G972=$G$19,K$19,$G972=$G$20,K$20,$G972=$G$21,K$21,$G972=$G$22,K$22,$G972=$G$25,K$25,$G972=$G$26,K$26,$G972=$G$27,K$27,$G972=$G$29,K$29,$G972=$G$31,K$31,$G972=$G$32,K$150,$G972=$G$248,K$248,$G972=$G$250,K$250)</f>
        <v>BG sentinel + BG lure7</v>
      </c>
      <c r="O972" s="69" t="str">
        <f t="shared" si="77"/>
        <v>A_SP_BCN_16_211020</v>
      </c>
      <c r="P972" s="64">
        <v>44489</v>
      </c>
      <c r="R972" s="72"/>
      <c r="S972" s="64">
        <v>44496</v>
      </c>
      <c r="U972" s="72"/>
      <c r="V972" s="54" t="s">
        <v>66</v>
      </c>
      <c r="X972" s="69">
        <f t="shared" si="76"/>
        <v>7</v>
      </c>
      <c r="Z972" s="45" t="s">
        <v>70</v>
      </c>
      <c r="AA972" s="69">
        <f t="shared" si="81"/>
        <v>16</v>
      </c>
      <c r="AB972" t="str">
        <f t="shared" si="73"/>
        <v>Adult</v>
      </c>
      <c r="AC972" s="69">
        <v>4</v>
      </c>
      <c r="AD972" s="69">
        <v>12</v>
      </c>
      <c r="AE972" s="45" t="str">
        <f t="shared" si="74"/>
        <v>Morphological</v>
      </c>
      <c r="AF972" s="56">
        <v>4</v>
      </c>
    </row>
    <row r="973" spans="1:32" ht="18" customHeight="1" x14ac:dyDescent="0.25">
      <c r="A973" s="45">
        <v>969</v>
      </c>
      <c r="B973" s="45" t="s">
        <v>60</v>
      </c>
      <c r="C973" s="45" t="s">
        <v>61</v>
      </c>
      <c r="D973" s="45" t="s">
        <v>62</v>
      </c>
      <c r="E973" s="45" t="s">
        <v>62</v>
      </c>
      <c r="F973" s="59" cm="1">
        <f t="array" ref="F973">_xlfn.IFS($G973=$G$5,F$5,$G973=$G$6,F$6,$G973=$G$7,F$7,$G973=$G$8,F$8,$G973=$G$9,F$9,$G973=$G$10,F$10,$G973=$G$11,F$11,$G973=$G$12,F$12,$G973=$G$13,F$13,$G973=$G$15,F$15,$G973=$G$16,F$16,$G973=$G$17,F$17,$G973=$G$18,F$18,$G973=$G$19,F$19,$G973=$G$20,F$20,$G973=$G$21,F$21,$G973=$G$22,F$22,$G973=$G$25,F$25,$G973=$G$26,F$26,$G973=$G$27,F$27,$G973=$G$29,F$29,$G973=$G$31,F$31,$G973=$G$32,F$32,$G973=$G$248,F$248,$G973=$G$250,F$250)</f>
        <v>8017</v>
      </c>
      <c r="G973" t="s">
        <v>88</v>
      </c>
      <c r="H973" s="60" cm="1">
        <f t="array" ref="H973">_xlfn.IFS($G973=$G$5,H$5,$G973=$G$6,H$6,$G973=$G$7,H$7,$G973=$G$8,H$8,$G973=$G$9,H$9,$G973=$G$10,H$10,$G973=$G$11,H$11,$G973=$G$12,H$12,$G973=$G$13,H$13,$G973=$G$15,H$15,$G973=$G$16,H$16,$G973=$G$17,H$17,$G973=$G$18,H$18,$G973=$G$19,H$19,$G973=$G$20,H$20,$G973=$G$21,H$21,$G973=$G$22,H$22,$G973=$G$25,H$25,$G973=$G$26,H$26,$G973=$G$27,H$27,$G973=$G$29,H$29,$G973=$G$31,H$31,$G973=$G$32,H$150,$G973=$G$248,H$248,$G973=$G$250,H$250)</f>
        <v>41.398387</v>
      </c>
      <c r="I973" s="60" cm="1">
        <f t="array" ref="I973">_xlfn.IFS($G973=$G$5,I$5,$G973=$G$6,I$6,$G973=$G$7,I$7,$G973=$G$8,I$8,$G973=$G$9,I$9,$G973=$G$10,I$10,$G973=$G$11,I$11,$G973=$G$12,I$12,$G973=$G$13,I$13,$G973=$G$15,I$15,$G973=$G$16,I$16,$G973=$G$17,I$17,$G973=$G$18,I$18,$G973=$G$19,I$19,$G973=$G$20,I$20,$G973=$G$21,I$21,$G973=$G$22,I$22,$G973=$G$25,I$25,$G973=$G$26,I$26,$G973=$G$27,I$27,$G973=$G$29,I$29,$G973=$G$31,I$31,$G973=$G$32,I$150,$G973=$G$248,I$248,$G973=$G$250,I$250)</f>
        <v>2.1244429999999999</v>
      </c>
      <c r="J973" s="61" cm="1">
        <f t="array" ref="J973">_xlfn.IFS($G973=$G$5,J$5,$G973=$G$6,J$6,$G973=$G$7,J$7,$G973=$G$8,J$8,$G973=$G$9,J$9,$G973=$G$10,J$10,$G973=$G$11,J$11,$G973=$G$12,J$12,$G973=$G$13,J$13,$G973=$G$15,J$15,$G973=$G$16,J$16,$G973=$G$17,J$17,$G973=$G$18,J$18,$G973=$G$19,J$19,$G973=$G$20,J$20,$G973=$G$21,J$21,$G973=$G$22,J$22,$G973=$G$25,J$25,$G973=$G$26,J$26,$G973=$G$27,J$27,$G973=$G$29,J$29,$G973=$G$31,J$31,$G973=$G$32,J$150,$G973=$G$248,J$248,$G973=$G$250,J$250)</f>
        <v>106</v>
      </c>
      <c r="K973" t="str" cm="1">
        <f t="array" ref="K973">_xlfn.IFS($G973=$G$5,K$5,$G973=$G$6,K$6,$G973=$G$7,K$7,$G973=$G$8,K$8,$G973=$G$9,K$9,$G973=$G$10,K$10,$G973=$G$11,K$11,$G973=$G$12,K$12,$G973=$G$13,K$13,$G973=$G$15,K$15,$G973=$G$16,K$16,$G973=$G$17,K$17,$G973=$G$18,K$18,$G973=$G$19,K$19,$G973=$G$20,K$20,$G973=$G$21,K$21,$G973=$G$22,K$22,$G973=$G$25,K$25,$G973=$G$26,K$26,$G973=$G$27,K$27,$G973=$G$29,K$29,$G973=$G$31,K$31,$G973=$G$32,K$150,$G973=$G$248,K$248,$G973=$G$250,K$250)</f>
        <v>BG sentinel + BG lure7</v>
      </c>
      <c r="O973" s="69" t="str">
        <f t="shared" si="77"/>
        <v>A_SP_BCN_16_211020</v>
      </c>
      <c r="P973" s="64">
        <v>44489</v>
      </c>
      <c r="R973" s="72"/>
      <c r="S973" s="64">
        <v>44496</v>
      </c>
      <c r="U973" s="72"/>
      <c r="V973" s="54" t="s">
        <v>66</v>
      </c>
      <c r="X973" s="69">
        <f t="shared" si="76"/>
        <v>7</v>
      </c>
      <c r="Z973" s="45" t="s">
        <v>80</v>
      </c>
      <c r="AA973" s="69">
        <f t="shared" si="81"/>
        <v>1</v>
      </c>
      <c r="AB973" t="str">
        <f t="shared" si="73"/>
        <v>Adult</v>
      </c>
      <c r="AC973" s="69">
        <v>1</v>
      </c>
      <c r="AD973" s="69">
        <v>0</v>
      </c>
      <c r="AE973" s="45" t="str">
        <f t="shared" si="74"/>
        <v>Morphological</v>
      </c>
      <c r="AF973" s="56">
        <v>4</v>
      </c>
    </row>
    <row r="974" spans="1:32" ht="18" customHeight="1" x14ac:dyDescent="0.25">
      <c r="A974" s="45">
        <v>970</v>
      </c>
      <c r="B974" s="45" t="s">
        <v>60</v>
      </c>
      <c r="C974" s="45" t="s">
        <v>61</v>
      </c>
      <c r="D974" s="45" t="s">
        <v>62</v>
      </c>
      <c r="E974" s="45" t="s">
        <v>62</v>
      </c>
      <c r="F974" s="59" cm="1">
        <f t="array" ref="F974">_xlfn.IFS($G974=$G$5,F$5,$G974=$G$6,F$6,$G974=$G$7,F$7,$G974=$G$8,F$8,$G974=$G$9,F$9,$G974=$G$10,F$10,$G974=$G$11,F$11,$G974=$G$12,F$12,$G974=$G$13,F$13,$G974=$G$15,F$15,$G974=$G$16,F$16,$G974=$G$17,F$17,$G974=$G$18,F$18,$G974=$G$19,F$19,$G974=$G$20,F$20,$G974=$G$21,F$21,$G974=$G$22,F$22,$G974=$G$25,F$25,$G974=$G$26,F$26,$G974=$G$27,F$27,$G974=$G$29,F$29,$G974=$G$31,F$31,$G974=$G$32,F$32,$G974=$G$248,F$248,$G974=$G$250,F$250)</f>
        <v>8023</v>
      </c>
      <c r="G974" t="s">
        <v>89</v>
      </c>
      <c r="H974" s="60" cm="1">
        <f t="array" ref="H974">_xlfn.IFS($G974=$G$5,H$5,$G974=$G$6,H$6,$G974=$G$7,H$7,$G974=$G$8,H$8,$G974=$G$9,H$9,$G974=$G$10,H$10,$G974=$G$11,H$11,$G974=$G$12,H$12,$G974=$G$13,H$13,$G974=$G$15,H$15,$G974=$G$16,H$16,$G974=$G$17,H$17,$G974=$G$18,H$18,$G974=$G$19,H$19,$G974=$G$20,H$20,$G974=$G$21,H$21,$G974=$G$22,H$22,$G974=$G$25,H$25,$G974=$G$26,H$26,$G974=$G$27,H$27,$G974=$G$29,H$29,$G974=$G$31,H$31,$G974=$G$32,H$150,$G974=$G$248,H$248,$G974=$G$250,H$250)</f>
        <v>41.417256000000002</v>
      </c>
      <c r="I974" s="60" cm="1">
        <f t="array" ref="I974">_xlfn.IFS($G974=$G$5,I$5,$G974=$G$6,I$6,$G974=$G$7,I$7,$G974=$G$8,I$8,$G974=$G$9,I$9,$G974=$G$10,I$10,$G974=$G$11,I$11,$G974=$G$12,I$12,$G974=$G$13,I$13,$G974=$G$15,I$15,$G974=$G$16,I$16,$G974=$G$17,I$17,$G974=$G$18,I$18,$G974=$G$19,I$19,$G974=$G$20,I$20,$G974=$G$21,I$21,$G974=$G$22,I$22,$G974=$G$25,I$25,$G974=$G$26,I$26,$G974=$G$27,I$27,$G974=$G$29,I$29,$G974=$G$31,I$31,$G974=$G$32,I$150,$G974=$G$248,I$248,$G974=$G$250,I$250)</f>
        <v>2.1455709999999999</v>
      </c>
      <c r="J974" s="61" cm="1">
        <f t="array" ref="J974">_xlfn.IFS($G974=$G$5,J$5,$G974=$G$6,J$6,$G974=$G$7,J$7,$G974=$G$8,J$8,$G974=$G$9,J$9,$G974=$G$10,J$10,$G974=$G$11,J$11,$G974=$G$12,J$12,$G974=$G$13,J$13,$G974=$G$15,J$15,$G974=$G$16,J$16,$G974=$G$17,J$17,$G974=$G$18,J$18,$G974=$G$19,J$19,$G974=$G$20,J$20,$G974=$G$21,J$21,$G974=$G$22,J$22,$G974=$G$25,J$25,$G974=$G$26,J$26,$G974=$G$27,J$27,$G974=$G$29,J$29,$G974=$G$31,J$31,$G974=$G$32,J$150,$G974=$G$248,J$248,$G974=$G$250,J$250)</f>
        <v>186</v>
      </c>
      <c r="K974" t="str" cm="1">
        <f t="array" ref="K974">_xlfn.IFS($G974=$G$5,K$5,$G974=$G$6,K$6,$G974=$G$7,K$7,$G974=$G$8,K$8,$G974=$G$9,K$9,$G974=$G$10,K$10,$G974=$G$11,K$11,$G974=$G$12,K$12,$G974=$G$13,K$13,$G974=$G$15,K$15,$G974=$G$16,K$16,$G974=$G$17,K$17,$G974=$G$18,K$18,$G974=$G$19,K$19,$G974=$G$20,K$20,$G974=$G$21,K$21,$G974=$G$22,K$22,$G974=$G$25,K$25,$G974=$G$26,K$26,$G974=$G$27,K$27,$G974=$G$29,K$29,$G974=$G$31,K$31,$G974=$G$32,K$150,$G974=$G$248,K$248,$G974=$G$250,K$250)</f>
        <v>BG sentinel + BG lure7</v>
      </c>
      <c r="O974" s="69" t="str">
        <f t="shared" si="77"/>
        <v>A_SP_BCN_17_211020</v>
      </c>
      <c r="P974" s="64">
        <v>44489</v>
      </c>
      <c r="R974" s="72"/>
      <c r="S974" s="64">
        <v>44496</v>
      </c>
      <c r="U974" s="72"/>
      <c r="V974" s="54" t="s">
        <v>66</v>
      </c>
      <c r="X974" s="69">
        <f t="shared" si="76"/>
        <v>7</v>
      </c>
      <c r="Z974" s="69" t="s">
        <v>69</v>
      </c>
      <c r="AA974" s="69">
        <f t="shared" si="81"/>
        <v>4</v>
      </c>
      <c r="AB974" t="str">
        <f t="shared" si="73"/>
        <v>Adult</v>
      </c>
      <c r="AC974" s="69">
        <v>4</v>
      </c>
      <c r="AD974" s="69">
        <v>0</v>
      </c>
      <c r="AE974" s="45" t="str">
        <f t="shared" si="74"/>
        <v>Morphological</v>
      </c>
      <c r="AF974" s="56">
        <v>4</v>
      </c>
    </row>
    <row r="975" spans="1:32" ht="18" customHeight="1" x14ac:dyDescent="0.25">
      <c r="A975" s="45">
        <v>971</v>
      </c>
      <c r="B975" s="45" t="s">
        <v>60</v>
      </c>
      <c r="C975" s="45" t="s">
        <v>61</v>
      </c>
      <c r="D975" s="45" t="s">
        <v>62</v>
      </c>
      <c r="E975" s="45" t="s">
        <v>62</v>
      </c>
      <c r="F975" s="59" cm="1">
        <f t="array" ref="F975">_xlfn.IFS($G975=$G$5,F$5,$G975=$G$6,F$6,$G975=$G$7,F$7,$G975=$G$8,F$8,$G975=$G$9,F$9,$G975=$G$10,F$10,$G975=$G$11,F$11,$G975=$G$12,F$12,$G975=$G$13,F$13,$G975=$G$15,F$15,$G975=$G$16,F$16,$G975=$G$17,F$17,$G975=$G$18,F$18,$G975=$G$19,F$19,$G975=$G$20,F$20,$G975=$G$21,F$21,$G975=$G$22,F$22,$G975=$G$25,F$25,$G975=$G$26,F$26,$G975=$G$27,F$27,$G975=$G$29,F$29,$G975=$G$31,F$31,$G975=$G$32,F$32,$G975=$G$248,F$248,$G975=$G$250,F$250)</f>
        <v>8023</v>
      </c>
      <c r="G975" t="s">
        <v>89</v>
      </c>
      <c r="H975" s="60" cm="1">
        <f t="array" ref="H975">_xlfn.IFS($G975=$G$5,H$5,$G975=$G$6,H$6,$G975=$G$7,H$7,$G975=$G$8,H$8,$G975=$G$9,H$9,$G975=$G$10,H$10,$G975=$G$11,H$11,$G975=$G$12,H$12,$G975=$G$13,H$13,$G975=$G$15,H$15,$G975=$G$16,H$16,$G975=$G$17,H$17,$G975=$G$18,H$18,$G975=$G$19,H$19,$G975=$G$20,H$20,$G975=$G$21,H$21,$G975=$G$22,H$22,$G975=$G$25,H$25,$G975=$G$26,H$26,$G975=$G$27,H$27,$G975=$G$29,H$29,$G975=$G$31,H$31,$G975=$G$32,H$150,$G975=$G$248,H$248,$G975=$G$250,H$250)</f>
        <v>41.417256000000002</v>
      </c>
      <c r="I975" s="60" cm="1">
        <f t="array" ref="I975">_xlfn.IFS($G975=$G$5,I$5,$G975=$G$6,I$6,$G975=$G$7,I$7,$G975=$G$8,I$8,$G975=$G$9,I$9,$G975=$G$10,I$10,$G975=$G$11,I$11,$G975=$G$12,I$12,$G975=$G$13,I$13,$G975=$G$15,I$15,$G975=$G$16,I$16,$G975=$G$17,I$17,$G975=$G$18,I$18,$G975=$G$19,I$19,$G975=$G$20,I$20,$G975=$G$21,I$21,$G975=$G$22,I$22,$G975=$G$25,I$25,$G975=$G$26,I$26,$G975=$G$27,I$27,$G975=$G$29,I$29,$G975=$G$31,I$31,$G975=$G$32,I$150,$G975=$G$248,I$248,$G975=$G$250,I$250)</f>
        <v>2.1455709999999999</v>
      </c>
      <c r="J975" s="61" cm="1">
        <f t="array" ref="J975">_xlfn.IFS($G975=$G$5,J$5,$G975=$G$6,J$6,$G975=$G$7,J$7,$G975=$G$8,J$8,$G975=$G$9,J$9,$G975=$G$10,J$10,$G975=$G$11,J$11,$G975=$G$12,J$12,$G975=$G$13,J$13,$G975=$G$15,J$15,$G975=$G$16,J$16,$G975=$G$17,J$17,$G975=$G$18,J$18,$G975=$G$19,J$19,$G975=$G$20,J$20,$G975=$G$21,J$21,$G975=$G$22,J$22,$G975=$G$25,J$25,$G975=$G$26,J$26,$G975=$G$27,J$27,$G975=$G$29,J$29,$G975=$G$31,J$31,$G975=$G$32,J$150,$G975=$G$248,J$248,$G975=$G$250,J$250)</f>
        <v>186</v>
      </c>
      <c r="K975" t="str" cm="1">
        <f t="array" ref="K975">_xlfn.IFS($G975=$G$5,K$5,$G975=$G$6,K$6,$G975=$G$7,K$7,$G975=$G$8,K$8,$G975=$G$9,K$9,$G975=$G$10,K$10,$G975=$G$11,K$11,$G975=$G$12,K$12,$G975=$G$13,K$13,$G975=$G$15,K$15,$G975=$G$16,K$16,$G975=$G$17,K$17,$G975=$G$18,K$18,$G975=$G$19,K$19,$G975=$G$20,K$20,$G975=$G$21,K$21,$G975=$G$22,K$22,$G975=$G$25,K$25,$G975=$G$26,K$26,$G975=$G$27,K$27,$G975=$G$29,K$29,$G975=$G$31,K$31,$G975=$G$32,K$150,$G975=$G$248,K$248,$G975=$G$250,K$250)</f>
        <v>BG sentinel + BG lure7</v>
      </c>
      <c r="O975" s="69" t="str">
        <f t="shared" si="77"/>
        <v>A_SP_BCN_17_211020</v>
      </c>
      <c r="P975" s="64">
        <v>44489</v>
      </c>
      <c r="R975" s="72"/>
      <c r="S975" s="64">
        <v>44496</v>
      </c>
      <c r="U975" s="72"/>
      <c r="V975" s="54" t="s">
        <v>66</v>
      </c>
      <c r="X975" s="69">
        <f t="shared" si="76"/>
        <v>7</v>
      </c>
      <c r="Z975" s="45" t="s">
        <v>70</v>
      </c>
      <c r="AA975" s="69">
        <f t="shared" si="81"/>
        <v>1</v>
      </c>
      <c r="AB975" t="str">
        <f t="shared" si="73"/>
        <v>Adult</v>
      </c>
      <c r="AC975" s="69">
        <v>0</v>
      </c>
      <c r="AD975" s="69">
        <v>1</v>
      </c>
      <c r="AE975" s="45" t="str">
        <f t="shared" si="74"/>
        <v>Morphological</v>
      </c>
      <c r="AF975" s="56">
        <v>4</v>
      </c>
    </row>
    <row r="976" spans="1:32" ht="18" customHeight="1" x14ac:dyDescent="0.25">
      <c r="A976" s="45">
        <v>972</v>
      </c>
      <c r="B976" s="45" t="s">
        <v>60</v>
      </c>
      <c r="C976" s="45" t="s">
        <v>61</v>
      </c>
      <c r="D976" s="45" t="s">
        <v>62</v>
      </c>
      <c r="E976" s="45" t="s">
        <v>62</v>
      </c>
      <c r="F976" s="59" cm="1">
        <f t="array" ref="F976">_xlfn.IFS($G976=$G$5,F$5,$G976=$G$6,F$6,$G976=$G$7,F$7,$G976=$G$8,F$8,$G976=$G$9,F$9,$G976=$G$10,F$10,$G976=$G$11,F$11,$G976=$G$12,F$12,$G976=$G$13,F$13,$G976=$G$15,F$15,$G976=$G$16,F$16,$G976=$G$17,F$17,$G976=$G$18,F$18,$G976=$G$19,F$19,$G976=$G$20,F$20,$G976=$G$21,F$21,$G976=$G$22,F$22,$G976=$G$25,F$25,$G976=$G$26,F$26,$G976=$G$27,F$27,$G976=$G$29,F$29,$G976=$G$31,F$31,$G976=$G$32,F$32,$G976=$G$248,F$248,$G976=$G$250,F$250)</f>
        <v>8031</v>
      </c>
      <c r="G976" t="s">
        <v>92</v>
      </c>
      <c r="H976" s="60" cm="1">
        <f t="array" ref="H976">_xlfn.IFS($G976=$G$5,H$5,$G976=$G$6,H$6,$G976=$G$7,H$7,$G976=$G$8,H$8,$G976=$G$9,H$9,$G976=$G$10,H$10,$G976=$G$11,H$11,$G976=$G$12,H$12,$G976=$G$13,H$13,$G976=$G$15,H$15,$G976=$G$16,H$16,$G976=$G$17,H$17,$G976=$G$18,H$18,$G976=$G$19,H$19,$G976=$G$20,H$20,$G976=$G$21,H$21,$G976=$G$22,H$22,$G976=$G$25,H$25,$G976=$G$26,H$26,$G976=$G$27,H$27,$G976=$G$29,H$29,$G976=$G$31,H$31,$G976=$G$32,H$150,$G976=$G$248,H$248,$G976=$G$250,H$250)</f>
        <v>41.433618000000003</v>
      </c>
      <c r="I976" s="60" cm="1">
        <f t="array" ref="I976">_xlfn.IFS($G976=$G$5,I$5,$G976=$G$6,I$6,$G976=$G$7,I$7,$G976=$G$8,I$8,$G976=$G$9,I$9,$G976=$G$10,I$10,$G976=$G$11,I$11,$G976=$G$12,I$12,$G976=$G$13,I$13,$G976=$G$15,I$15,$G976=$G$16,I$16,$G976=$G$17,I$17,$G976=$G$18,I$18,$G976=$G$19,I$19,$G976=$G$20,I$20,$G976=$G$21,I$21,$G976=$G$22,I$22,$G976=$G$25,I$25,$G976=$G$26,I$26,$G976=$G$27,I$27,$G976=$G$29,I$29,$G976=$G$31,I$31,$G976=$G$32,I$150,$G976=$G$248,I$248,$G976=$G$250,I$250)</f>
        <v>2.1677469999999999</v>
      </c>
      <c r="J976" s="61" cm="1">
        <f t="array" ref="J976">_xlfn.IFS($G976=$G$5,J$5,$G976=$G$6,J$6,$G976=$G$7,J$7,$G976=$G$8,J$8,$G976=$G$9,J$9,$G976=$G$10,J$10,$G976=$G$11,J$11,$G976=$G$12,J$12,$G976=$G$13,J$13,$G976=$G$15,J$15,$G976=$G$16,J$16,$G976=$G$17,J$17,$G976=$G$18,J$18,$G976=$G$19,J$19,$G976=$G$20,J$20,$G976=$G$21,J$21,$G976=$G$22,J$22,$G976=$G$25,J$25,$G976=$G$26,J$26,$G976=$G$27,J$27,$G976=$G$29,J$29,$G976=$G$31,J$31,$G976=$G$32,J$150,$G976=$G$248,J$248,$G976=$G$250,J$250)</f>
        <v>96.85</v>
      </c>
      <c r="K976" t="str" cm="1">
        <f t="array" ref="K976">_xlfn.IFS($G976=$G$5,K$5,$G976=$G$6,K$6,$G976=$G$7,K$7,$G976=$G$8,K$8,$G976=$G$9,K$9,$G976=$G$10,K$10,$G976=$G$11,K$11,$G976=$G$12,K$12,$G976=$G$13,K$13,$G976=$G$15,K$15,$G976=$G$16,K$16,$G976=$G$17,K$17,$G976=$G$18,K$18,$G976=$G$19,K$19,$G976=$G$20,K$20,$G976=$G$21,K$21,$G976=$G$22,K$22,$G976=$G$25,K$25,$G976=$G$26,K$26,$G976=$G$27,K$27,$G976=$G$29,K$29,$G976=$G$31,K$31,$G976=$G$32,K$150,$G976=$G$248,K$248,$G976=$G$250,K$250)</f>
        <v>BG sentinel + BG lure7</v>
      </c>
      <c r="O976" s="69" t="str">
        <f t="shared" si="77"/>
        <v>A_SP_BCN_18_211020</v>
      </c>
      <c r="P976" s="64">
        <v>44489</v>
      </c>
      <c r="R976" s="72"/>
      <c r="S976" s="64">
        <v>44496</v>
      </c>
      <c r="U976" s="72"/>
      <c r="V976" s="54" t="s">
        <v>66</v>
      </c>
      <c r="X976" s="69">
        <f t="shared" si="76"/>
        <v>7</v>
      </c>
      <c r="Z976" s="69" t="s">
        <v>69</v>
      </c>
      <c r="AA976" s="69">
        <f t="shared" si="81"/>
        <v>12</v>
      </c>
      <c r="AB976" t="str">
        <f t="shared" si="73"/>
        <v>Adult</v>
      </c>
      <c r="AC976" s="69">
        <v>11</v>
      </c>
      <c r="AD976" s="69">
        <v>1</v>
      </c>
      <c r="AE976" s="45" t="str">
        <f t="shared" si="74"/>
        <v>Morphological</v>
      </c>
      <c r="AF976" s="56">
        <v>4</v>
      </c>
    </row>
    <row r="977" spans="1:32" ht="18" customHeight="1" x14ac:dyDescent="0.25">
      <c r="A977" s="45">
        <v>973</v>
      </c>
      <c r="B977" s="45" t="s">
        <v>60</v>
      </c>
      <c r="C977" s="45" t="s">
        <v>61</v>
      </c>
      <c r="D977" s="45" t="s">
        <v>62</v>
      </c>
      <c r="E977" s="45" t="s">
        <v>62</v>
      </c>
      <c r="F977" s="59" cm="1">
        <f t="array" ref="F977">_xlfn.IFS($G977=$G$5,F$5,$G977=$G$6,F$6,$G977=$G$7,F$7,$G977=$G$8,F$8,$G977=$G$9,F$9,$G977=$G$10,F$10,$G977=$G$11,F$11,$G977=$G$12,F$12,$G977=$G$13,F$13,$G977=$G$15,F$15,$G977=$G$16,F$16,$G977=$G$17,F$17,$G977=$G$18,F$18,$G977=$G$19,F$19,$G977=$G$20,F$20,$G977=$G$21,F$21,$G977=$G$22,F$22,$G977=$G$25,F$25,$G977=$G$26,F$26,$G977=$G$27,F$27,$G977=$G$29,F$29,$G977=$G$31,F$31,$G977=$G$32,F$32,$G977=$G$248,F$248,$G977=$G$250,F$250)</f>
        <v>8031</v>
      </c>
      <c r="G977" t="s">
        <v>92</v>
      </c>
      <c r="H977" s="60" cm="1">
        <f t="array" ref="H977">_xlfn.IFS($G977=$G$5,H$5,$G977=$G$6,H$6,$G977=$G$7,H$7,$G977=$G$8,H$8,$G977=$G$9,H$9,$G977=$G$10,H$10,$G977=$G$11,H$11,$G977=$G$12,H$12,$G977=$G$13,H$13,$G977=$G$15,H$15,$G977=$G$16,H$16,$G977=$G$17,H$17,$G977=$G$18,H$18,$G977=$G$19,H$19,$G977=$G$20,H$20,$G977=$G$21,H$21,$G977=$G$22,H$22,$G977=$G$25,H$25,$G977=$G$26,H$26,$G977=$G$27,H$27,$G977=$G$29,H$29,$G977=$G$31,H$31,$G977=$G$32,H$150,$G977=$G$248,H$248,$G977=$G$250,H$250)</f>
        <v>41.433618000000003</v>
      </c>
      <c r="I977" s="60" cm="1">
        <f t="array" ref="I977">_xlfn.IFS($G977=$G$5,I$5,$G977=$G$6,I$6,$G977=$G$7,I$7,$G977=$G$8,I$8,$G977=$G$9,I$9,$G977=$G$10,I$10,$G977=$G$11,I$11,$G977=$G$12,I$12,$G977=$G$13,I$13,$G977=$G$15,I$15,$G977=$G$16,I$16,$G977=$G$17,I$17,$G977=$G$18,I$18,$G977=$G$19,I$19,$G977=$G$20,I$20,$G977=$G$21,I$21,$G977=$G$22,I$22,$G977=$G$25,I$25,$G977=$G$26,I$26,$G977=$G$27,I$27,$G977=$G$29,I$29,$G977=$G$31,I$31,$G977=$G$32,I$150,$G977=$G$248,I$248,$G977=$G$250,I$250)</f>
        <v>2.1677469999999999</v>
      </c>
      <c r="J977" s="61" cm="1">
        <f t="array" ref="J977">_xlfn.IFS($G977=$G$5,J$5,$G977=$G$6,J$6,$G977=$G$7,J$7,$G977=$G$8,J$8,$G977=$G$9,J$9,$G977=$G$10,J$10,$G977=$G$11,J$11,$G977=$G$12,J$12,$G977=$G$13,J$13,$G977=$G$15,J$15,$G977=$G$16,J$16,$G977=$G$17,J$17,$G977=$G$18,J$18,$G977=$G$19,J$19,$G977=$G$20,J$20,$G977=$G$21,J$21,$G977=$G$22,J$22,$G977=$G$25,J$25,$G977=$G$26,J$26,$G977=$G$27,J$27,$G977=$G$29,J$29,$G977=$G$31,J$31,$G977=$G$32,J$150,$G977=$G$248,J$248,$G977=$G$250,J$250)</f>
        <v>96.85</v>
      </c>
      <c r="K977" t="str" cm="1">
        <f t="array" ref="K977">_xlfn.IFS($G977=$G$5,K$5,$G977=$G$6,K$6,$G977=$G$7,K$7,$G977=$G$8,K$8,$G977=$G$9,K$9,$G977=$G$10,K$10,$G977=$G$11,K$11,$G977=$G$12,K$12,$G977=$G$13,K$13,$G977=$G$15,K$15,$G977=$G$16,K$16,$G977=$G$17,K$17,$G977=$G$18,K$18,$G977=$G$19,K$19,$G977=$G$20,K$20,$G977=$G$21,K$21,$G977=$G$22,K$22,$G977=$G$25,K$25,$G977=$G$26,K$26,$G977=$G$27,K$27,$G977=$G$29,K$29,$G977=$G$31,K$31,$G977=$G$32,K$150,$G977=$G$248,K$248,$G977=$G$250,K$250)</f>
        <v>BG sentinel + BG lure7</v>
      </c>
      <c r="O977" s="69" t="str">
        <f t="shared" si="77"/>
        <v>A_SP_BCN_18_211020</v>
      </c>
      <c r="P977" s="64">
        <v>44489</v>
      </c>
      <c r="R977" s="72"/>
      <c r="S977" s="64">
        <v>44496</v>
      </c>
      <c r="U977" s="72"/>
      <c r="V977" s="54" t="s">
        <v>66</v>
      </c>
      <c r="X977" s="69">
        <f t="shared" si="76"/>
        <v>7</v>
      </c>
      <c r="Z977" s="45" t="s">
        <v>70</v>
      </c>
      <c r="AA977" s="69">
        <f t="shared" si="81"/>
        <v>1</v>
      </c>
      <c r="AB977" t="str">
        <f t="shared" si="73"/>
        <v>Adult</v>
      </c>
      <c r="AC977" s="69">
        <v>1</v>
      </c>
      <c r="AD977" s="69">
        <v>0</v>
      </c>
      <c r="AE977" s="45" t="str">
        <f t="shared" si="74"/>
        <v>Morphological</v>
      </c>
      <c r="AF977" s="56">
        <v>4</v>
      </c>
    </row>
    <row r="978" spans="1:32" ht="18" customHeight="1" x14ac:dyDescent="0.25">
      <c r="A978" s="45">
        <v>974</v>
      </c>
      <c r="B978" s="45" t="s">
        <v>60</v>
      </c>
      <c r="C978" s="45" t="s">
        <v>61</v>
      </c>
      <c r="D978" s="45" t="s">
        <v>62</v>
      </c>
      <c r="E978" s="45" t="s">
        <v>62</v>
      </c>
      <c r="F978" s="59" cm="1">
        <f t="array" ref="F978">_xlfn.IFS($G978=$G$5,F$5,$G978=$G$6,F$6,$G978=$G$7,F$7,$G978=$G$8,F$8,$G978=$G$9,F$9,$G978=$G$10,F$10,$G978=$G$11,F$11,$G978=$G$12,F$12,$G978=$G$13,F$13,$G978=$G$15,F$15,$G978=$G$16,F$16,$G978=$G$17,F$17,$G978=$G$18,F$18,$G978=$G$19,F$19,$G978=$G$20,F$20,$G978=$G$21,F$21,$G978=$G$22,F$22,$G978=$G$25,F$25,$G978=$G$26,F$26,$G978=$G$27,F$27,$G978=$G$29,F$29,$G978=$G$31,F$31,$G978=$G$32,F$32,$G978=$G$248,F$248,$G978=$G$250,F$250)</f>
        <v>8038</v>
      </c>
      <c r="G978" t="s">
        <v>93</v>
      </c>
      <c r="H978" s="60" cm="1">
        <f t="array" ref="H978">_xlfn.IFS($G978=$G$5,H$5,$G978=$G$6,H$6,$G978=$G$7,H$7,$G978=$G$8,H$8,$G978=$G$9,H$9,$G978=$G$10,H$10,$G978=$G$11,H$11,$G978=$G$12,H$12,$G978=$G$13,H$13,$G978=$G$15,H$15,$G978=$G$16,H$16,$G978=$G$17,H$17,$G978=$G$18,H$18,$G978=$G$19,H$19,$G978=$G$20,H$20,$G978=$G$21,H$21,$G978=$G$22,H$22,$G978=$G$25,H$25,$G978=$G$26,H$26,$G978=$G$27,H$27,$G978=$G$29,H$29,$G978=$G$31,H$31,$G978=$G$32,H$150,$G978=$G$248,H$248,$G978=$G$250,H$250)</f>
        <v>41.359864999999999</v>
      </c>
      <c r="I978" s="60" cm="1">
        <f t="array" ref="I978">_xlfn.IFS($G978=$G$5,I$5,$G978=$G$6,I$6,$G978=$G$7,I$7,$G978=$G$8,I$8,$G978=$G$9,I$9,$G978=$G$10,I$10,$G978=$G$11,I$11,$G978=$G$12,I$12,$G978=$G$13,I$13,$G978=$G$15,I$15,$G978=$G$16,I$16,$G978=$G$17,I$17,$G978=$G$18,I$18,$G978=$G$19,I$19,$G978=$G$20,I$20,$G978=$G$21,I$21,$G978=$G$22,I$22,$G978=$G$25,I$25,$G978=$G$26,I$26,$G978=$G$27,I$27,$G978=$G$29,I$29,$G978=$G$31,I$31,$G978=$G$32,I$150,$G978=$G$248,I$248,$G978=$G$250,I$250)</f>
        <v>2.1445430000000001</v>
      </c>
      <c r="J978" s="61" cm="1">
        <f t="array" ref="J978">_xlfn.IFS($G978=$G$5,J$5,$G978=$G$6,J$6,$G978=$G$7,J$7,$G978=$G$8,J$8,$G978=$G$9,J$9,$G978=$G$10,J$10,$G978=$G$11,J$11,$G978=$G$12,J$12,$G978=$G$13,J$13,$G978=$G$15,J$15,$G978=$G$16,J$16,$G978=$G$17,J$17,$G978=$G$18,J$18,$G978=$G$19,J$19,$G978=$G$20,J$20,$G978=$G$21,J$21,$G978=$G$22,J$22,$G978=$G$25,J$25,$G978=$G$26,J$26,$G978=$G$27,J$27,$G978=$G$29,J$29,$G978=$G$31,J$31,$G978=$G$32,J$150,$G978=$G$248,J$248,$G978=$G$250,J$250)</f>
        <v>11.4</v>
      </c>
      <c r="K978" t="str" cm="1">
        <f t="array" ref="K978">_xlfn.IFS($G978=$G$5,K$5,$G978=$G$6,K$6,$G978=$G$7,K$7,$G978=$G$8,K$8,$G978=$G$9,K$9,$G978=$G$10,K$10,$G978=$G$11,K$11,$G978=$G$12,K$12,$G978=$G$13,K$13,$G978=$G$15,K$15,$G978=$G$16,K$16,$G978=$G$17,K$17,$G978=$G$18,K$18,$G978=$G$19,K$19,$G978=$G$20,K$20,$G978=$G$21,K$21,$G978=$G$22,K$22,$G978=$G$25,K$25,$G978=$G$26,K$26,$G978=$G$27,K$27,$G978=$G$29,K$29,$G978=$G$31,K$31,$G978=$G$32,K$150,$G978=$G$248,K$248,$G978=$G$250,K$250)</f>
        <v>BG sentinel + BG lure7</v>
      </c>
      <c r="O978" s="69" t="str">
        <f t="shared" si="77"/>
        <v>A_SP_BCN_19_211021</v>
      </c>
      <c r="P978" s="64">
        <v>44490</v>
      </c>
      <c r="R978" s="72"/>
      <c r="S978" s="64">
        <v>44497</v>
      </c>
      <c r="U978" s="72"/>
      <c r="V978" s="54" t="s">
        <v>66</v>
      </c>
      <c r="X978" s="69">
        <f t="shared" si="76"/>
        <v>7</v>
      </c>
      <c r="Z978" s="69" t="s">
        <v>69</v>
      </c>
      <c r="AA978" s="69">
        <f t="shared" si="81"/>
        <v>66</v>
      </c>
      <c r="AB978" t="str">
        <f t="shared" si="73"/>
        <v>Adult</v>
      </c>
      <c r="AC978" s="69">
        <v>57</v>
      </c>
      <c r="AD978" s="69">
        <v>9</v>
      </c>
      <c r="AE978" s="45" t="str">
        <f t="shared" si="74"/>
        <v>Morphological</v>
      </c>
      <c r="AF978" s="56">
        <v>4</v>
      </c>
    </row>
    <row r="979" spans="1:32" ht="18" customHeight="1" x14ac:dyDescent="0.25">
      <c r="A979" s="45">
        <v>975</v>
      </c>
      <c r="B979" s="45" t="s">
        <v>60</v>
      </c>
      <c r="C979" s="45" t="s">
        <v>61</v>
      </c>
      <c r="D979" s="45" t="s">
        <v>62</v>
      </c>
      <c r="E979" s="45" t="s">
        <v>62</v>
      </c>
      <c r="F979" s="59" cm="1">
        <f t="array" ref="F979">_xlfn.IFS($G979=$G$5,F$5,$G979=$G$6,F$6,$G979=$G$7,F$7,$G979=$G$8,F$8,$G979=$G$9,F$9,$G979=$G$10,F$10,$G979=$G$11,F$11,$G979=$G$12,F$12,$G979=$G$13,F$13,$G979=$G$15,F$15,$G979=$G$16,F$16,$G979=$G$17,F$17,$G979=$G$18,F$18,$G979=$G$19,F$19,$G979=$G$20,F$20,$G979=$G$21,F$21,$G979=$G$22,F$22,$G979=$G$25,F$25,$G979=$G$26,F$26,$G979=$G$27,F$27,$G979=$G$29,F$29,$G979=$G$31,F$31,$G979=$G$32,F$32,$G979=$G$248,F$248,$G979=$G$250,F$250)</f>
        <v>8038</v>
      </c>
      <c r="G979" t="s">
        <v>93</v>
      </c>
      <c r="H979" s="60" cm="1">
        <f t="array" ref="H979">_xlfn.IFS($G979=$G$5,H$5,$G979=$G$6,H$6,$G979=$G$7,H$7,$G979=$G$8,H$8,$G979=$G$9,H$9,$G979=$G$10,H$10,$G979=$G$11,H$11,$G979=$G$12,H$12,$G979=$G$13,H$13,$G979=$G$15,H$15,$G979=$G$16,H$16,$G979=$G$17,H$17,$G979=$G$18,H$18,$G979=$G$19,H$19,$G979=$G$20,H$20,$G979=$G$21,H$21,$G979=$G$22,H$22,$G979=$G$25,H$25,$G979=$G$26,H$26,$G979=$G$27,H$27,$G979=$G$29,H$29,$G979=$G$31,H$31,$G979=$G$32,H$150,$G979=$G$248,H$248,$G979=$G$250,H$250)</f>
        <v>41.359864999999999</v>
      </c>
      <c r="I979" s="60" cm="1">
        <f t="array" ref="I979">_xlfn.IFS($G979=$G$5,I$5,$G979=$G$6,I$6,$G979=$G$7,I$7,$G979=$G$8,I$8,$G979=$G$9,I$9,$G979=$G$10,I$10,$G979=$G$11,I$11,$G979=$G$12,I$12,$G979=$G$13,I$13,$G979=$G$15,I$15,$G979=$G$16,I$16,$G979=$G$17,I$17,$G979=$G$18,I$18,$G979=$G$19,I$19,$G979=$G$20,I$20,$G979=$G$21,I$21,$G979=$G$22,I$22,$G979=$G$25,I$25,$G979=$G$26,I$26,$G979=$G$27,I$27,$G979=$G$29,I$29,$G979=$G$31,I$31,$G979=$G$32,I$150,$G979=$G$248,I$248,$G979=$G$250,I$250)</f>
        <v>2.1445430000000001</v>
      </c>
      <c r="J979" s="61" cm="1">
        <f t="array" ref="J979">_xlfn.IFS($G979=$G$5,J$5,$G979=$G$6,J$6,$G979=$G$7,J$7,$G979=$G$8,J$8,$G979=$G$9,J$9,$G979=$G$10,J$10,$G979=$G$11,J$11,$G979=$G$12,J$12,$G979=$G$13,J$13,$G979=$G$15,J$15,$G979=$G$16,J$16,$G979=$G$17,J$17,$G979=$G$18,J$18,$G979=$G$19,J$19,$G979=$G$20,J$20,$G979=$G$21,J$21,$G979=$G$22,J$22,$G979=$G$25,J$25,$G979=$G$26,J$26,$G979=$G$27,J$27,$G979=$G$29,J$29,$G979=$G$31,J$31,$G979=$G$32,J$150,$G979=$G$248,J$248,$G979=$G$250,J$250)</f>
        <v>11.4</v>
      </c>
      <c r="K979" t="str" cm="1">
        <f t="array" ref="K979">_xlfn.IFS($G979=$G$5,K$5,$G979=$G$6,K$6,$G979=$G$7,K$7,$G979=$G$8,K$8,$G979=$G$9,K$9,$G979=$G$10,K$10,$G979=$G$11,K$11,$G979=$G$12,K$12,$G979=$G$13,K$13,$G979=$G$15,K$15,$G979=$G$16,K$16,$G979=$G$17,K$17,$G979=$G$18,K$18,$G979=$G$19,K$19,$G979=$G$20,K$20,$G979=$G$21,K$21,$G979=$G$22,K$22,$G979=$G$25,K$25,$G979=$G$26,K$26,$G979=$G$27,K$27,$G979=$G$29,K$29,$G979=$G$31,K$31,$G979=$G$32,K$150,$G979=$G$248,K$248,$G979=$G$250,K$250)</f>
        <v>BG sentinel + BG lure7</v>
      </c>
      <c r="O979" s="69" t="str">
        <f t="shared" si="77"/>
        <v>A_SP_BCN_19_211021</v>
      </c>
      <c r="P979" s="64">
        <v>44490</v>
      </c>
      <c r="R979" s="72"/>
      <c r="S979" s="64">
        <v>44497</v>
      </c>
      <c r="U979" s="72"/>
      <c r="V979" s="54" t="s">
        <v>66</v>
      </c>
      <c r="X979" s="69">
        <f t="shared" si="76"/>
        <v>7</v>
      </c>
      <c r="Z979" s="45" t="s">
        <v>70</v>
      </c>
      <c r="AA979" s="69">
        <f t="shared" si="81"/>
        <v>25</v>
      </c>
      <c r="AB979" t="str">
        <f t="shared" si="73"/>
        <v>Adult</v>
      </c>
      <c r="AC979" s="69">
        <v>25</v>
      </c>
      <c r="AD979" s="69">
        <v>0</v>
      </c>
      <c r="AE979" s="45" t="str">
        <f t="shared" si="74"/>
        <v>Morphological</v>
      </c>
      <c r="AF979" s="56">
        <v>4</v>
      </c>
    </row>
    <row r="980" spans="1:32" ht="18" customHeight="1" x14ac:dyDescent="0.25">
      <c r="A980" s="45">
        <v>976</v>
      </c>
      <c r="B980" s="45" t="s">
        <v>60</v>
      </c>
      <c r="C980" s="45" t="s">
        <v>61</v>
      </c>
      <c r="D980" s="45" t="s">
        <v>62</v>
      </c>
      <c r="E980" s="45" t="s">
        <v>62</v>
      </c>
      <c r="F980" s="59" cm="1">
        <f t="array" ref="F980">_xlfn.IFS($G980=$G$5,F$5,$G980=$G$6,F$6,$G980=$G$7,F$7,$G980=$G$8,F$8,$G980=$G$9,F$9,$G980=$G$10,F$10,$G980=$G$11,F$11,$G980=$G$12,F$12,$G980=$G$13,F$13,$G980=$G$15,F$15,$G980=$G$16,F$16,$G980=$G$17,F$17,$G980=$G$18,F$18,$G980=$G$19,F$19,$G980=$G$20,F$20,$G980=$G$21,F$21,$G980=$G$22,F$22,$G980=$G$25,F$25,$G980=$G$26,F$26,$G980=$G$27,F$27,$G980=$G$29,F$29,$G980=$G$31,F$31,$G980=$G$32,F$32,$G980=$G$248,F$248,$G980=$G$250,F$250)</f>
        <v>8002</v>
      </c>
      <c r="G980" t="s">
        <v>94</v>
      </c>
      <c r="H980" s="60" cm="1">
        <f t="array" ref="H980">_xlfn.IFS($G980=$G$5,H$5,$G980=$G$6,H$6,$G980=$G$7,H$7,$G980=$G$8,H$8,$G980=$G$9,H$9,$G980=$G$10,H$10,$G980=$G$11,H$11,$G980=$G$12,H$12,$G980=$G$13,H$13,$G980=$G$15,H$15,$G980=$G$16,H$16,$G980=$G$17,H$17,$G980=$G$18,H$18,$G980=$G$19,H$19,$G980=$G$20,H$20,$G980=$G$21,H$21,$G980=$G$22,H$22,$G980=$G$25,H$25,$G980=$G$26,H$26,$G980=$G$27,H$27,$G980=$G$29,H$29,$G980=$G$31,H$31,$G980=$G$32,H$150,$G980=$G$248,H$248,$G980=$G$250,H$250)</f>
        <v>41.385213</v>
      </c>
      <c r="I980" s="60" cm="1">
        <f t="array" ref="I980">_xlfn.IFS($G980=$G$5,I$5,$G980=$G$6,I$6,$G980=$G$7,I$7,$G980=$G$8,I$8,$G980=$G$9,I$9,$G980=$G$10,I$10,$G980=$G$11,I$11,$G980=$G$12,I$12,$G980=$G$13,I$13,$G980=$G$15,I$15,$G980=$G$16,I$16,$G980=$G$17,I$17,$G980=$G$18,I$18,$G980=$G$19,I$19,$G980=$G$20,I$20,$G980=$G$21,I$21,$G980=$G$22,I$22,$G980=$G$25,I$25,$G980=$G$26,I$26,$G980=$G$27,I$27,$G980=$G$29,I$29,$G980=$G$31,I$31,$G980=$G$32,I$150,$G980=$G$248,I$248,$G980=$G$250,I$250)</f>
        <v>2.174852</v>
      </c>
      <c r="J980" s="61" cm="1">
        <f t="array" ref="J980">_xlfn.IFS($G980=$G$5,J$5,$G980=$G$6,J$6,$G980=$G$7,J$7,$G980=$G$8,J$8,$G980=$G$9,J$9,$G980=$G$10,J$10,$G980=$G$11,J$11,$G980=$G$12,J$12,$G980=$G$13,J$13,$G980=$G$15,J$15,$G980=$G$16,J$16,$G980=$G$17,J$17,$G980=$G$18,J$18,$G980=$G$19,J$19,$G980=$G$20,J$20,$G980=$G$21,J$21,$G980=$G$22,J$22,$G980=$G$25,J$25,$G980=$G$26,J$26,$G980=$G$27,J$27,$G980=$G$29,J$29,$G980=$G$31,J$31,$G980=$G$32,J$150,$G980=$G$248,J$248,$G980=$G$250,J$250)</f>
        <v>14</v>
      </c>
      <c r="K980" t="str" cm="1">
        <f t="array" ref="K980">_xlfn.IFS($G980=$G$5,K$5,$G980=$G$6,K$6,$G980=$G$7,K$7,$G980=$G$8,K$8,$G980=$G$9,K$9,$G980=$G$10,K$10,$G980=$G$11,K$11,$G980=$G$12,K$12,$G980=$G$13,K$13,$G980=$G$15,K$15,$G980=$G$16,K$16,$G980=$G$17,K$17,$G980=$G$18,K$18,$G980=$G$19,K$19,$G980=$G$20,K$20,$G980=$G$21,K$21,$G980=$G$22,K$22,$G980=$G$25,K$25,$G980=$G$26,K$26,$G980=$G$27,K$27,$G980=$G$29,K$29,$G980=$G$31,K$31,$G980=$G$32,K$150,$G980=$G$248,K$248,$G980=$G$250,K$250)</f>
        <v>BG sentinel + BG lure7</v>
      </c>
      <c r="O980" s="69" t="str">
        <f t="shared" si="77"/>
        <v>A_SP_BCN_20_211021</v>
      </c>
      <c r="P980" s="64">
        <v>44490</v>
      </c>
      <c r="R980" s="72"/>
      <c r="S980" s="64">
        <v>44497</v>
      </c>
      <c r="U980" s="72"/>
      <c r="V980" s="54" t="s">
        <v>66</v>
      </c>
      <c r="X980" s="69">
        <f t="shared" si="76"/>
        <v>7</v>
      </c>
      <c r="Z980" s="69" t="s">
        <v>69</v>
      </c>
      <c r="AA980" s="69">
        <f t="shared" si="81"/>
        <v>14</v>
      </c>
      <c r="AB980" t="str">
        <f t="shared" si="73"/>
        <v>Adult</v>
      </c>
      <c r="AC980" s="69">
        <v>14</v>
      </c>
      <c r="AD980" s="69">
        <v>0</v>
      </c>
      <c r="AE980" s="45" t="str">
        <f t="shared" si="74"/>
        <v>Morphological</v>
      </c>
      <c r="AF980" s="56">
        <v>4</v>
      </c>
    </row>
    <row r="981" spans="1:32" ht="18" customHeight="1" x14ac:dyDescent="0.25">
      <c r="A981" s="45">
        <v>977</v>
      </c>
      <c r="B981" s="45" t="s">
        <v>60</v>
      </c>
      <c r="C981" s="45" t="s">
        <v>61</v>
      </c>
      <c r="D981" s="45" t="s">
        <v>62</v>
      </c>
      <c r="E981" s="45" t="s">
        <v>62</v>
      </c>
      <c r="F981" s="59" cm="1">
        <f t="array" ref="F981">_xlfn.IFS($G981=$G$5,F$5,$G981=$G$6,F$6,$G981=$G$7,F$7,$G981=$G$8,F$8,$G981=$G$9,F$9,$G981=$G$10,F$10,$G981=$G$11,F$11,$G981=$G$12,F$12,$G981=$G$13,F$13,$G981=$G$15,F$15,$G981=$G$16,F$16,$G981=$G$17,F$17,$G981=$G$18,F$18,$G981=$G$19,F$19,$G981=$G$20,F$20,$G981=$G$21,F$21,$G981=$G$22,F$22,$G981=$G$25,F$25,$G981=$G$26,F$26,$G981=$G$27,F$27,$G981=$G$29,F$29,$G981=$G$31,F$31,$G981=$G$32,F$32,$G981=$G$248,F$248,$G981=$G$250,F$250)</f>
        <v>8002</v>
      </c>
      <c r="G981" t="s">
        <v>94</v>
      </c>
      <c r="H981" s="60" cm="1">
        <f t="array" ref="H981">_xlfn.IFS($G981=$G$5,H$5,$G981=$G$6,H$6,$G981=$G$7,H$7,$G981=$G$8,H$8,$G981=$G$9,H$9,$G981=$G$10,H$10,$G981=$G$11,H$11,$G981=$G$12,H$12,$G981=$G$13,H$13,$G981=$G$15,H$15,$G981=$G$16,H$16,$G981=$G$17,H$17,$G981=$G$18,H$18,$G981=$G$19,H$19,$G981=$G$20,H$20,$G981=$G$21,H$21,$G981=$G$22,H$22,$G981=$G$25,H$25,$G981=$G$26,H$26,$G981=$G$27,H$27,$G981=$G$29,H$29,$G981=$G$31,H$31,$G981=$G$32,H$150,$G981=$G$248,H$248,$G981=$G$250,H$250)</f>
        <v>41.385213</v>
      </c>
      <c r="I981" s="60" cm="1">
        <f t="array" ref="I981">_xlfn.IFS($G981=$G$5,I$5,$G981=$G$6,I$6,$G981=$G$7,I$7,$G981=$G$8,I$8,$G981=$G$9,I$9,$G981=$G$10,I$10,$G981=$G$11,I$11,$G981=$G$12,I$12,$G981=$G$13,I$13,$G981=$G$15,I$15,$G981=$G$16,I$16,$G981=$G$17,I$17,$G981=$G$18,I$18,$G981=$G$19,I$19,$G981=$G$20,I$20,$G981=$G$21,I$21,$G981=$G$22,I$22,$G981=$G$25,I$25,$G981=$G$26,I$26,$G981=$G$27,I$27,$G981=$G$29,I$29,$G981=$G$31,I$31,$G981=$G$32,I$150,$G981=$G$248,I$248,$G981=$G$250,I$250)</f>
        <v>2.174852</v>
      </c>
      <c r="J981" s="61" cm="1">
        <f t="array" ref="J981">_xlfn.IFS($G981=$G$5,J$5,$G981=$G$6,J$6,$G981=$G$7,J$7,$G981=$G$8,J$8,$G981=$G$9,J$9,$G981=$G$10,J$10,$G981=$G$11,J$11,$G981=$G$12,J$12,$G981=$G$13,J$13,$G981=$G$15,J$15,$G981=$G$16,J$16,$G981=$G$17,J$17,$G981=$G$18,J$18,$G981=$G$19,J$19,$G981=$G$20,J$20,$G981=$G$21,J$21,$G981=$G$22,J$22,$G981=$G$25,J$25,$G981=$G$26,J$26,$G981=$G$27,J$27,$G981=$G$29,J$29,$G981=$G$31,J$31,$G981=$G$32,J$150,$G981=$G$248,J$248,$G981=$G$250,J$250)</f>
        <v>14</v>
      </c>
      <c r="K981" t="str" cm="1">
        <f t="array" ref="K981">_xlfn.IFS($G981=$G$5,K$5,$G981=$G$6,K$6,$G981=$G$7,K$7,$G981=$G$8,K$8,$G981=$G$9,K$9,$G981=$G$10,K$10,$G981=$G$11,K$11,$G981=$G$12,K$12,$G981=$G$13,K$13,$G981=$G$15,K$15,$G981=$G$16,K$16,$G981=$G$17,K$17,$G981=$G$18,K$18,$G981=$G$19,K$19,$G981=$G$20,K$20,$G981=$G$21,K$21,$G981=$G$22,K$22,$G981=$G$25,K$25,$G981=$G$26,K$26,$G981=$G$27,K$27,$G981=$G$29,K$29,$G981=$G$31,K$31,$G981=$G$32,K$150,$G981=$G$248,K$248,$G981=$G$250,K$250)</f>
        <v>BG sentinel + BG lure7</v>
      </c>
      <c r="O981" s="69" t="str">
        <f t="shared" si="77"/>
        <v>A_SP_BCN_20_211021</v>
      </c>
      <c r="P981" s="64">
        <v>44490</v>
      </c>
      <c r="R981" s="72"/>
      <c r="S981" s="64">
        <v>44497</v>
      </c>
      <c r="U981" s="72"/>
      <c r="V981" s="54" t="s">
        <v>66</v>
      </c>
      <c r="X981" s="69">
        <f t="shared" si="76"/>
        <v>7</v>
      </c>
      <c r="Z981" s="45" t="s">
        <v>70</v>
      </c>
      <c r="AA981" s="69">
        <f t="shared" si="81"/>
        <v>4</v>
      </c>
      <c r="AB981" t="str">
        <f t="shared" si="73"/>
        <v>Adult</v>
      </c>
      <c r="AC981" s="69">
        <v>3</v>
      </c>
      <c r="AD981" s="69">
        <v>1</v>
      </c>
      <c r="AE981" s="45" t="str">
        <f t="shared" si="74"/>
        <v>Morphological</v>
      </c>
      <c r="AF981" s="56">
        <v>4</v>
      </c>
    </row>
    <row r="982" spans="1:32" ht="18" customHeight="1" x14ac:dyDescent="0.25">
      <c r="A982" s="45">
        <v>978</v>
      </c>
      <c r="B982" s="45" t="s">
        <v>60</v>
      </c>
      <c r="C982" s="45" t="s">
        <v>61</v>
      </c>
      <c r="D982" s="45" t="s">
        <v>62</v>
      </c>
      <c r="E982" s="45" t="s">
        <v>62</v>
      </c>
      <c r="F982" s="59" cm="1">
        <f t="array" ref="F982">_xlfn.IFS($G982=$G$5,F$5,$G982=$G$6,F$6,$G982=$G$7,F$7,$G982=$G$8,F$8,$G982=$G$9,F$9,$G982=$G$10,F$10,$G982=$G$11,F$11,$G982=$G$12,F$12,$G982=$G$13,F$13,$G982=$G$15,F$15,$G982=$G$16,F$16,$G982=$G$17,F$17,$G982=$G$18,F$18,$G982=$G$19,F$19,$G982=$G$20,F$20,$G982=$G$21,F$21,$G982=$G$22,F$22,$G982=$G$25,F$25,$G982=$G$26,F$26,$G982=$G$27,F$27,$G982=$G$29,F$29,$G982=$G$31,F$31,$G982=$G$32,F$32,$G982=$G$248,F$248,$G982=$G$250,F$250)</f>
        <v>8002</v>
      </c>
      <c r="G982" t="s">
        <v>94</v>
      </c>
      <c r="H982" s="60" cm="1">
        <f t="array" ref="H982">_xlfn.IFS($G982=$G$5,H$5,$G982=$G$6,H$6,$G982=$G$7,H$7,$G982=$G$8,H$8,$G982=$G$9,H$9,$G982=$G$10,H$10,$G982=$G$11,H$11,$G982=$G$12,H$12,$G982=$G$13,H$13,$G982=$G$15,H$15,$G982=$G$16,H$16,$G982=$G$17,H$17,$G982=$G$18,H$18,$G982=$G$19,H$19,$G982=$G$20,H$20,$G982=$G$21,H$21,$G982=$G$22,H$22,$G982=$G$25,H$25,$G982=$G$26,H$26,$G982=$G$27,H$27,$G982=$G$29,H$29,$G982=$G$31,H$31,$G982=$G$32,H$150,$G982=$G$248,H$248,$G982=$G$250,H$250)</f>
        <v>41.385213</v>
      </c>
      <c r="I982" s="60" cm="1">
        <f t="array" ref="I982">_xlfn.IFS($G982=$G$5,I$5,$G982=$G$6,I$6,$G982=$G$7,I$7,$G982=$G$8,I$8,$G982=$G$9,I$9,$G982=$G$10,I$10,$G982=$G$11,I$11,$G982=$G$12,I$12,$G982=$G$13,I$13,$G982=$G$15,I$15,$G982=$G$16,I$16,$G982=$G$17,I$17,$G982=$G$18,I$18,$G982=$G$19,I$19,$G982=$G$20,I$20,$G982=$G$21,I$21,$G982=$G$22,I$22,$G982=$G$25,I$25,$G982=$G$26,I$26,$G982=$G$27,I$27,$G982=$G$29,I$29,$G982=$G$31,I$31,$G982=$G$32,I$150,$G982=$G$248,I$248,$G982=$G$250,I$250)</f>
        <v>2.174852</v>
      </c>
      <c r="J982" s="61" cm="1">
        <f t="array" ref="J982">_xlfn.IFS($G982=$G$5,J$5,$G982=$G$6,J$6,$G982=$G$7,J$7,$G982=$G$8,J$8,$G982=$G$9,J$9,$G982=$G$10,J$10,$G982=$G$11,J$11,$G982=$G$12,J$12,$G982=$G$13,J$13,$G982=$G$15,J$15,$G982=$G$16,J$16,$G982=$G$17,J$17,$G982=$G$18,J$18,$G982=$G$19,J$19,$G982=$G$20,J$20,$G982=$G$21,J$21,$G982=$G$22,J$22,$G982=$G$25,J$25,$G982=$G$26,J$26,$G982=$G$27,J$27,$G982=$G$29,J$29,$G982=$G$31,J$31,$G982=$G$32,J$150,$G982=$G$248,J$248,$G982=$G$250,J$250)</f>
        <v>14</v>
      </c>
      <c r="K982" t="str" cm="1">
        <f t="array" ref="K982">_xlfn.IFS($G982=$G$5,K$5,$G982=$G$6,K$6,$G982=$G$7,K$7,$G982=$G$8,K$8,$G982=$G$9,K$9,$G982=$G$10,K$10,$G982=$G$11,K$11,$G982=$G$12,K$12,$G982=$G$13,K$13,$G982=$G$15,K$15,$G982=$G$16,K$16,$G982=$G$17,K$17,$G982=$G$18,K$18,$G982=$G$19,K$19,$G982=$G$20,K$20,$G982=$G$21,K$21,$G982=$G$22,K$22,$G982=$G$25,K$25,$G982=$G$26,K$26,$G982=$G$27,K$27,$G982=$G$29,K$29,$G982=$G$31,K$31,$G982=$G$32,K$150,$G982=$G$248,K$248,$G982=$G$250,K$250)</f>
        <v>BG sentinel + BG lure7</v>
      </c>
      <c r="O982" s="69" t="str">
        <f t="shared" si="77"/>
        <v>A_SP_BCN_20_211021</v>
      </c>
      <c r="P982" s="64">
        <v>44490</v>
      </c>
      <c r="R982" s="72"/>
      <c r="S982" s="64">
        <v>44497</v>
      </c>
      <c r="U982" s="72"/>
      <c r="V982" s="54" t="s">
        <v>66</v>
      </c>
      <c r="X982" s="69">
        <f t="shared" si="76"/>
        <v>7</v>
      </c>
      <c r="Z982" s="45" t="s">
        <v>80</v>
      </c>
      <c r="AA982" s="69">
        <f t="shared" si="81"/>
        <v>1</v>
      </c>
      <c r="AB982" t="str">
        <f t="shared" si="73"/>
        <v>Adult</v>
      </c>
      <c r="AC982" s="69">
        <v>0</v>
      </c>
      <c r="AD982" s="69">
        <v>1</v>
      </c>
      <c r="AE982" s="45" t="str">
        <f t="shared" si="74"/>
        <v>Morphological</v>
      </c>
      <c r="AF982" s="56">
        <v>4</v>
      </c>
    </row>
    <row r="983" spans="1:32" ht="18" customHeight="1" x14ac:dyDescent="0.25">
      <c r="A983" s="45">
        <v>979</v>
      </c>
      <c r="B983" s="45" t="s">
        <v>60</v>
      </c>
      <c r="C983" s="45" t="s">
        <v>61</v>
      </c>
      <c r="D983" s="45" t="s">
        <v>62</v>
      </c>
      <c r="E983" s="45" t="s">
        <v>62</v>
      </c>
      <c r="F983" s="59" cm="1">
        <f t="array" ref="F983">_xlfn.IFS($G983=$G$5,F$5,$G983=$G$6,F$6,$G983=$G$7,F$7,$G983=$G$8,F$8,$G983=$G$9,F$9,$G983=$G$10,F$10,$G983=$G$11,F$11,$G983=$G$12,F$12,$G983=$G$13,F$13,$G983=$G$15,F$15,$G983=$G$16,F$16,$G983=$G$17,F$17,$G983=$G$18,F$18,$G983=$G$19,F$19,$G983=$G$20,F$20,$G983=$G$21,F$21,$G983=$G$22,F$22,$G983=$G$25,F$25,$G983=$G$26,F$26,$G983=$G$27,F$27,$G983=$G$29,F$29,$G983=$G$31,F$31,$G983=$G$32,F$32,$G983=$G$248,F$248,$G983=$G$250,F$250)</f>
        <v>8017</v>
      </c>
      <c r="G983" t="s">
        <v>98</v>
      </c>
      <c r="H983" s="60" cm="1">
        <f t="array" ref="H983">_xlfn.IFS($G983=$G$5,H$5,$G983=$G$6,H$6,$G983=$G$7,H$7,$G983=$G$8,H$8,$G983=$G$9,H$9,$G983=$G$10,H$10,$G983=$G$11,H$11,$G983=$G$12,H$12,$G983=$G$13,H$13,$G983=$G$15,H$15,$G983=$G$16,H$16,$G983=$G$17,H$17,$G983=$G$18,H$18,$G983=$G$19,H$19,$G983=$G$20,H$20,$G983=$G$21,H$21,$G983=$G$22,H$22,$G983=$G$25,H$25,$G983=$G$26,H$26,$G983=$G$27,H$27,$G983=$G$29,H$29,$G983=$G$31,H$31,$G983=$G$32,H$150,$G983=$G$248,H$248,$G983=$G$250,H$250)</f>
        <v>41.430315999999998</v>
      </c>
      <c r="I983" s="60" cm="1">
        <f t="array" ref="I983">_xlfn.IFS($G983=$G$5,I$5,$G983=$G$6,I$6,$G983=$G$7,I$7,$G983=$G$8,I$8,$G983=$G$9,I$9,$G983=$G$10,I$10,$G983=$G$11,I$11,$G983=$G$12,I$12,$G983=$G$13,I$13,$G983=$G$15,I$15,$G983=$G$16,I$16,$G983=$G$17,I$17,$G983=$G$18,I$18,$G983=$G$19,I$19,$G983=$G$20,I$20,$G983=$G$21,I$21,$G983=$G$22,I$22,$G983=$G$25,I$25,$G983=$G$26,I$26,$G983=$G$27,I$27,$G983=$G$29,I$29,$G983=$G$31,I$31,$G983=$G$32,I$150,$G983=$G$248,I$248,$G983=$G$250,I$250)</f>
        <v>2.077556</v>
      </c>
      <c r="J983" s="61" cm="1">
        <f t="array" ref="J983">_xlfn.IFS($G983=$G$5,J$5,$G983=$G$6,J$6,$G983=$G$7,J$7,$G983=$G$8,J$8,$G983=$G$9,J$9,$G983=$G$10,J$10,$G983=$G$11,J$11,$G983=$G$12,J$12,$G983=$G$13,J$13,$G983=$G$15,J$15,$G983=$G$16,J$16,$G983=$G$17,J$17,$G983=$G$18,J$18,$G983=$G$19,J$19,$G983=$G$20,J$20,$G983=$G$21,J$21,$G983=$G$22,J$22,$G983=$G$25,J$25,$G983=$G$26,J$26,$G983=$G$27,J$27,$G983=$G$29,J$29,$G983=$G$31,J$31,$G983=$G$32,J$150,$G983=$G$248,J$248,$G983=$G$250,J$250)</f>
        <v>243.3</v>
      </c>
      <c r="K983" t="str" cm="1">
        <f t="array" ref="K983">_xlfn.IFS($G983=$G$5,K$5,$G983=$G$6,K$6,$G983=$G$7,K$7,$G983=$G$8,K$8,$G983=$G$9,K$9,$G983=$G$10,K$10,$G983=$G$11,K$11,$G983=$G$12,K$12,$G983=$G$13,K$13,$G983=$G$15,K$15,$G983=$G$16,K$16,$G983=$G$17,K$17,$G983=$G$18,K$18,$G983=$G$19,K$19,$G983=$G$20,K$20,$G983=$G$21,K$21,$G983=$G$22,K$22,$G983=$G$25,K$25,$G983=$G$26,K$26,$G983=$G$27,K$27,$G983=$G$29,K$29,$G983=$G$31,K$31,$G983=$G$32,K$150,$G983=$G$248,K$248,$G983=$G$250,K$250)</f>
        <v>BG sentinel + BG lure7</v>
      </c>
      <c r="O983" s="69" t="str">
        <f t="shared" si="77"/>
        <v>A_SP_BCN_22_211020</v>
      </c>
      <c r="P983" s="64">
        <v>44489</v>
      </c>
      <c r="R983" s="72"/>
      <c r="S983" s="64">
        <v>44496</v>
      </c>
      <c r="U983" s="72"/>
      <c r="V983" s="54" t="s">
        <v>66</v>
      </c>
      <c r="W983" s="65" t="s">
        <v>168</v>
      </c>
      <c r="X983" s="69">
        <f t="shared" si="76"/>
        <v>7</v>
      </c>
      <c r="Z983" s="69" t="s">
        <v>69</v>
      </c>
      <c r="AA983" s="69">
        <f t="shared" si="81"/>
        <v>1</v>
      </c>
      <c r="AB983" t="str">
        <f t="shared" si="73"/>
        <v>Adult</v>
      </c>
      <c r="AC983" s="69">
        <v>1</v>
      </c>
      <c r="AD983" s="69">
        <v>0</v>
      </c>
      <c r="AE983" s="45" t="str">
        <f t="shared" si="74"/>
        <v>Morphological</v>
      </c>
      <c r="AF983" s="56">
        <v>4</v>
      </c>
    </row>
    <row r="984" spans="1:32" ht="18" customHeight="1" x14ac:dyDescent="0.25">
      <c r="A984" s="45">
        <v>980</v>
      </c>
      <c r="B984" s="45" t="s">
        <v>60</v>
      </c>
      <c r="C984" s="45" t="s">
        <v>61</v>
      </c>
      <c r="D984" s="45" t="s">
        <v>62</v>
      </c>
      <c r="E984" s="45" t="s">
        <v>62</v>
      </c>
      <c r="F984" s="59" cm="1">
        <f t="array" ref="F984">_xlfn.IFS($G984=$G$5,F$5,$G984=$G$6,F$6,$G984=$G$7,F$7,$G984=$G$8,F$8,$G984=$G$9,F$9,$G984=$G$10,F$10,$G984=$G$11,F$11,$G984=$G$12,F$12,$G984=$G$13,F$13,$G984=$G$15,F$15,$G984=$G$16,F$16,$G984=$G$17,F$17,$G984=$G$18,F$18,$G984=$G$19,F$19,$G984=$G$20,F$20,$G984=$G$21,F$21,$G984=$G$22,F$22,$G984=$G$25,F$25,$G984=$G$26,F$26,$G984=$G$27,F$27,$G984=$G$29,F$29,$G984=$G$31,F$31,$G984=$G$32,F$32,$G984=$G$248,F$248,$G984=$G$250,F$250)</f>
        <v>8017</v>
      </c>
      <c r="G984" t="s">
        <v>98</v>
      </c>
      <c r="H984" s="60" cm="1">
        <f t="array" ref="H984">_xlfn.IFS($G984=$G$5,H$5,$G984=$G$6,H$6,$G984=$G$7,H$7,$G984=$G$8,H$8,$G984=$G$9,H$9,$G984=$G$10,H$10,$G984=$G$11,H$11,$G984=$G$12,H$12,$G984=$G$13,H$13,$G984=$G$15,H$15,$G984=$G$16,H$16,$G984=$G$17,H$17,$G984=$G$18,H$18,$G984=$G$19,H$19,$G984=$G$20,H$20,$G984=$G$21,H$21,$G984=$G$22,H$22,$G984=$G$25,H$25,$G984=$G$26,H$26,$G984=$G$27,H$27,$G984=$G$29,H$29,$G984=$G$31,H$31,$G984=$G$32,H$150,$G984=$G$248,H$248,$G984=$G$250,H$250)</f>
        <v>41.430315999999998</v>
      </c>
      <c r="I984" s="60" cm="1">
        <f t="array" ref="I984">_xlfn.IFS($G984=$G$5,I$5,$G984=$G$6,I$6,$G984=$G$7,I$7,$G984=$G$8,I$8,$G984=$G$9,I$9,$G984=$G$10,I$10,$G984=$G$11,I$11,$G984=$G$12,I$12,$G984=$G$13,I$13,$G984=$G$15,I$15,$G984=$G$16,I$16,$G984=$G$17,I$17,$G984=$G$18,I$18,$G984=$G$19,I$19,$G984=$G$20,I$20,$G984=$G$21,I$21,$G984=$G$22,I$22,$G984=$G$25,I$25,$G984=$G$26,I$26,$G984=$G$27,I$27,$G984=$G$29,I$29,$G984=$G$31,I$31,$G984=$G$32,I$150,$G984=$G$248,I$248,$G984=$G$250,I$250)</f>
        <v>2.077556</v>
      </c>
      <c r="J984" s="61" cm="1">
        <f t="array" ref="J984">_xlfn.IFS($G984=$G$5,J$5,$G984=$G$6,J$6,$G984=$G$7,J$7,$G984=$G$8,J$8,$G984=$G$9,J$9,$G984=$G$10,J$10,$G984=$G$11,J$11,$G984=$G$12,J$12,$G984=$G$13,J$13,$G984=$G$15,J$15,$G984=$G$16,J$16,$G984=$G$17,J$17,$G984=$G$18,J$18,$G984=$G$19,J$19,$G984=$G$20,J$20,$G984=$G$21,J$21,$G984=$G$22,J$22,$G984=$G$25,J$25,$G984=$G$26,J$26,$G984=$G$27,J$27,$G984=$G$29,J$29,$G984=$G$31,J$31,$G984=$G$32,J$150,$G984=$G$248,J$248,$G984=$G$250,J$250)</f>
        <v>243.3</v>
      </c>
      <c r="K984" t="str" cm="1">
        <f t="array" ref="K984">_xlfn.IFS($G984=$G$5,K$5,$G984=$G$6,K$6,$G984=$G$7,K$7,$G984=$G$8,K$8,$G984=$G$9,K$9,$G984=$G$10,K$10,$G984=$G$11,K$11,$G984=$G$12,K$12,$G984=$G$13,K$13,$G984=$G$15,K$15,$G984=$G$16,K$16,$G984=$G$17,K$17,$G984=$G$18,K$18,$G984=$G$19,K$19,$G984=$G$20,K$20,$G984=$G$21,K$21,$G984=$G$22,K$22,$G984=$G$25,K$25,$G984=$G$26,K$26,$G984=$G$27,K$27,$G984=$G$29,K$29,$G984=$G$31,K$31,$G984=$G$32,K$150,$G984=$G$248,K$248,$G984=$G$250,K$250)</f>
        <v>BG sentinel + BG lure7</v>
      </c>
      <c r="O984" s="69" t="str">
        <f t="shared" ref="O984:O1047" si="82">G984&amp;"_"&amp;TEXT(P984, "AAMMDD")</f>
        <v>A_SP_BCN_22_211020</v>
      </c>
      <c r="P984" s="64">
        <v>44489</v>
      </c>
      <c r="R984" s="72"/>
      <c r="S984" s="64">
        <v>44496</v>
      </c>
      <c r="U984" s="72"/>
      <c r="V984" s="54" t="s">
        <v>66</v>
      </c>
      <c r="W984" s="65" t="s">
        <v>168</v>
      </c>
      <c r="X984" s="69">
        <f t="shared" si="76"/>
        <v>7</v>
      </c>
      <c r="Z984" s="45" t="s">
        <v>80</v>
      </c>
      <c r="AA984" s="69">
        <f t="shared" si="81"/>
        <v>1</v>
      </c>
      <c r="AB984" t="str">
        <f t="shared" si="73"/>
        <v>Adult</v>
      </c>
      <c r="AC984" s="69">
        <v>1</v>
      </c>
      <c r="AD984" s="69">
        <v>0</v>
      </c>
      <c r="AE984" s="45" t="str">
        <f t="shared" si="74"/>
        <v>Morphological</v>
      </c>
      <c r="AF984" s="56">
        <v>4</v>
      </c>
    </row>
    <row r="985" spans="1:32" ht="18" customHeight="1" x14ac:dyDescent="0.25">
      <c r="A985" s="45">
        <v>981</v>
      </c>
      <c r="B985" s="45" t="s">
        <v>60</v>
      </c>
      <c r="C985" s="45" t="s">
        <v>61</v>
      </c>
      <c r="D985" s="45" t="s">
        <v>62</v>
      </c>
      <c r="E985" s="45" t="s">
        <v>62</v>
      </c>
      <c r="F985" s="59" cm="1">
        <f t="array" ref="F985">_xlfn.IFS($G985=$G$5,F$5,$G985=$G$6,F$6,$G985=$G$7,F$7,$G985=$G$8,F$8,$G985=$G$9,F$9,$G985=$G$10,F$10,$G985=$G$11,F$11,$G985=$G$12,F$12,$G985=$G$13,F$13,$G985=$G$15,F$15,$G985=$G$16,F$16,$G985=$G$17,F$17,$G985=$G$18,F$18,$G985=$G$19,F$19,$G985=$G$20,F$20,$G985=$G$21,F$21,$G985=$G$22,F$22,$G985=$G$25,F$25,$G985=$G$26,F$26,$G985=$G$27,F$27,$G985=$G$29,F$29,$G985=$G$31,F$31,$G985=$G$32,F$32,$G985=$G$248,F$248,$G985=$G$250,F$250)</f>
        <v>8038</v>
      </c>
      <c r="G985" t="s">
        <v>103</v>
      </c>
      <c r="H985" s="60" cm="1">
        <f t="array" ref="H985">_xlfn.IFS($G985=$G$5,H$5,$G985=$G$6,H$6,$G985=$G$7,H$7,$G985=$G$8,H$8,$G985=$G$9,H$9,$G985=$G$10,H$10,$G985=$G$11,H$11,$G985=$G$12,H$12,$G985=$G$13,H$13,$G985=$G$15,H$15,$G985=$G$16,H$16,$G985=$G$17,H$17,$G985=$G$18,H$18,$G985=$G$19,H$19,$G985=$G$20,H$20,$G985=$G$21,H$21,$G985=$G$22,H$22,$G985=$G$25,H$25,$G985=$G$26,H$26,$G985=$G$27,H$27,$G985=$G$29,H$29,$G985=$G$31,H$31,$G985=$G$32,H$150,$G985=$G$248,H$248,$G985=$G$250,H$250)</f>
        <v>41.367100000000001</v>
      </c>
      <c r="I985" s="60" cm="1">
        <f t="array" ref="I985">_xlfn.IFS($G985=$G$5,I$5,$G985=$G$6,I$6,$G985=$G$7,I$7,$G985=$G$8,I$8,$G985=$G$9,I$9,$G985=$G$10,I$10,$G985=$G$11,I$11,$G985=$G$12,I$12,$G985=$G$13,I$13,$G985=$G$15,I$15,$G985=$G$16,I$16,$G985=$G$17,I$17,$G985=$G$18,I$18,$G985=$G$19,I$19,$G985=$G$20,I$20,$G985=$G$21,I$21,$G985=$G$22,I$22,$G985=$G$25,I$25,$G985=$G$26,I$26,$G985=$G$27,I$27,$G985=$G$29,I$29,$G985=$G$31,I$31,$G985=$G$32,I$150,$G985=$G$248,I$248,$G985=$G$250,I$250)</f>
        <v>2.1539079999999999</v>
      </c>
      <c r="J985" s="61" cm="1">
        <f t="array" ref="J985">_xlfn.IFS($G985=$G$5,J$5,$G985=$G$6,J$6,$G985=$G$7,J$7,$G985=$G$8,J$8,$G985=$G$9,J$9,$G985=$G$10,J$10,$G985=$G$11,J$11,$G985=$G$12,J$12,$G985=$G$13,J$13,$G985=$G$15,J$15,$G985=$G$16,J$16,$G985=$G$17,J$17,$G985=$G$18,J$18,$G985=$G$19,J$19,$G985=$G$20,J$20,$G985=$G$21,J$21,$G985=$G$22,J$22,$G985=$G$25,J$25,$G985=$G$26,J$26,$G985=$G$27,J$27,$G985=$G$29,J$29,$G985=$G$31,J$31,$G985=$G$32,J$150,$G985=$G$248,J$248,$G985=$G$250,J$250)</f>
        <v>68</v>
      </c>
      <c r="K985" t="str" cm="1">
        <f t="array" ref="K985">_xlfn.IFS($G985=$G$5,K$5,$G985=$G$6,K$6,$G985=$G$7,K$7,$G985=$G$8,K$8,$G985=$G$9,K$9,$G985=$G$10,K$10,$G985=$G$11,K$11,$G985=$G$12,K$12,$G985=$G$13,K$13,$G985=$G$15,K$15,$G985=$G$16,K$16,$G985=$G$17,K$17,$G985=$G$18,K$18,$G985=$G$19,K$19,$G985=$G$20,K$20,$G985=$G$21,K$21,$G985=$G$22,K$22,$G985=$G$25,K$25,$G985=$G$26,K$26,$G985=$G$27,K$27,$G985=$G$29,K$29,$G985=$G$31,K$31,$G985=$G$32,K$150,$G985=$G$248,K$248,$G985=$G$250,K$250)</f>
        <v>BG sentinel + BG lure7</v>
      </c>
      <c r="O985" s="69" t="str">
        <f t="shared" si="82"/>
        <v>A_SP_BCN_23_211021</v>
      </c>
      <c r="P985" s="64">
        <v>44490</v>
      </c>
      <c r="R985" s="72"/>
      <c r="S985" s="64">
        <v>44497</v>
      </c>
      <c r="U985" s="72"/>
      <c r="V985" s="54" t="s">
        <v>66</v>
      </c>
      <c r="X985" s="69">
        <f t="shared" si="76"/>
        <v>7</v>
      </c>
      <c r="Z985" s="69" t="s">
        <v>69</v>
      </c>
      <c r="AA985" s="69">
        <f t="shared" si="81"/>
        <v>21</v>
      </c>
      <c r="AB985" t="str">
        <f t="shared" si="73"/>
        <v>Adult</v>
      </c>
      <c r="AC985" s="69">
        <v>17</v>
      </c>
      <c r="AD985" s="69">
        <v>4</v>
      </c>
      <c r="AE985" s="45" t="str">
        <f t="shared" si="74"/>
        <v>Morphological</v>
      </c>
      <c r="AF985" s="56">
        <v>4</v>
      </c>
    </row>
    <row r="986" spans="1:32" ht="18" customHeight="1" x14ac:dyDescent="0.25">
      <c r="A986" s="45">
        <v>982</v>
      </c>
      <c r="B986" s="45" t="s">
        <v>60</v>
      </c>
      <c r="C986" s="45" t="s">
        <v>61</v>
      </c>
      <c r="D986" s="45" t="s">
        <v>62</v>
      </c>
      <c r="E986" s="45" t="s">
        <v>62</v>
      </c>
      <c r="F986" s="59" cm="1">
        <f t="array" ref="F986">_xlfn.IFS($G986=$G$5,F$5,$G986=$G$6,F$6,$G986=$G$7,F$7,$G986=$G$8,F$8,$G986=$G$9,F$9,$G986=$G$10,F$10,$G986=$G$11,F$11,$G986=$G$12,F$12,$G986=$G$13,F$13,$G986=$G$15,F$15,$G986=$G$16,F$16,$G986=$G$17,F$17,$G986=$G$18,F$18,$G986=$G$19,F$19,$G986=$G$20,F$20,$G986=$G$21,F$21,$G986=$G$22,F$22,$G986=$G$25,F$25,$G986=$G$26,F$26,$G986=$G$27,F$27,$G986=$G$29,F$29,$G986=$G$31,F$31,$G986=$G$32,F$32,$G986=$G$248,F$248,$G986=$G$250,F$250)</f>
        <v>8038</v>
      </c>
      <c r="G986" t="s">
        <v>103</v>
      </c>
      <c r="H986" s="60" cm="1">
        <f t="array" ref="H986">_xlfn.IFS($G986=$G$5,H$5,$G986=$G$6,H$6,$G986=$G$7,H$7,$G986=$G$8,H$8,$G986=$G$9,H$9,$G986=$G$10,H$10,$G986=$G$11,H$11,$G986=$G$12,H$12,$G986=$G$13,H$13,$G986=$G$15,H$15,$G986=$G$16,H$16,$G986=$G$17,H$17,$G986=$G$18,H$18,$G986=$G$19,H$19,$G986=$G$20,H$20,$G986=$G$21,H$21,$G986=$G$22,H$22,$G986=$G$25,H$25,$G986=$G$26,H$26,$G986=$G$27,H$27,$G986=$G$29,H$29,$G986=$G$31,H$31,$G986=$G$32,H$150,$G986=$G$248,H$248,$G986=$G$250,H$250)</f>
        <v>41.367100000000001</v>
      </c>
      <c r="I986" s="60" cm="1">
        <f t="array" ref="I986">_xlfn.IFS($G986=$G$5,I$5,$G986=$G$6,I$6,$G986=$G$7,I$7,$G986=$G$8,I$8,$G986=$G$9,I$9,$G986=$G$10,I$10,$G986=$G$11,I$11,$G986=$G$12,I$12,$G986=$G$13,I$13,$G986=$G$15,I$15,$G986=$G$16,I$16,$G986=$G$17,I$17,$G986=$G$18,I$18,$G986=$G$19,I$19,$G986=$G$20,I$20,$G986=$G$21,I$21,$G986=$G$22,I$22,$G986=$G$25,I$25,$G986=$G$26,I$26,$G986=$G$27,I$27,$G986=$G$29,I$29,$G986=$G$31,I$31,$G986=$G$32,I$150,$G986=$G$248,I$248,$G986=$G$250,I$250)</f>
        <v>2.1539079999999999</v>
      </c>
      <c r="J986" s="61" cm="1">
        <f t="array" ref="J986">_xlfn.IFS($G986=$G$5,J$5,$G986=$G$6,J$6,$G986=$G$7,J$7,$G986=$G$8,J$8,$G986=$G$9,J$9,$G986=$G$10,J$10,$G986=$G$11,J$11,$G986=$G$12,J$12,$G986=$G$13,J$13,$G986=$G$15,J$15,$G986=$G$16,J$16,$G986=$G$17,J$17,$G986=$G$18,J$18,$G986=$G$19,J$19,$G986=$G$20,J$20,$G986=$G$21,J$21,$G986=$G$22,J$22,$G986=$G$25,J$25,$G986=$G$26,J$26,$G986=$G$27,J$27,$G986=$G$29,J$29,$G986=$G$31,J$31,$G986=$G$32,J$150,$G986=$G$248,J$248,$G986=$G$250,J$250)</f>
        <v>68</v>
      </c>
      <c r="K986" t="str" cm="1">
        <f t="array" ref="K986">_xlfn.IFS($G986=$G$5,K$5,$G986=$G$6,K$6,$G986=$G$7,K$7,$G986=$G$8,K$8,$G986=$G$9,K$9,$G986=$G$10,K$10,$G986=$G$11,K$11,$G986=$G$12,K$12,$G986=$G$13,K$13,$G986=$G$15,K$15,$G986=$G$16,K$16,$G986=$G$17,K$17,$G986=$G$18,K$18,$G986=$G$19,K$19,$G986=$G$20,K$20,$G986=$G$21,K$21,$G986=$G$22,K$22,$G986=$G$25,K$25,$G986=$G$26,K$26,$G986=$G$27,K$27,$G986=$G$29,K$29,$G986=$G$31,K$31,$G986=$G$32,K$150,$G986=$G$248,K$248,$G986=$G$250,K$250)</f>
        <v>BG sentinel + BG lure7</v>
      </c>
      <c r="O986" s="69" t="str">
        <f t="shared" si="82"/>
        <v>A_SP_BCN_23_211021</v>
      </c>
      <c r="P986" s="64">
        <v>44490</v>
      </c>
      <c r="R986" s="72"/>
      <c r="S986" s="64">
        <v>44497</v>
      </c>
      <c r="U986" s="72"/>
      <c r="V986" s="54" t="s">
        <v>66</v>
      </c>
      <c r="X986" s="69">
        <f t="shared" si="76"/>
        <v>7</v>
      </c>
      <c r="Z986" s="45" t="s">
        <v>70</v>
      </c>
      <c r="AA986" s="69">
        <f t="shared" si="81"/>
        <v>2</v>
      </c>
      <c r="AB986" t="str">
        <f t="shared" si="73"/>
        <v>Adult</v>
      </c>
      <c r="AC986" s="69">
        <v>1</v>
      </c>
      <c r="AD986" s="69">
        <v>1</v>
      </c>
      <c r="AE986" s="45" t="str">
        <f t="shared" si="74"/>
        <v>Morphological</v>
      </c>
      <c r="AF986" s="56">
        <v>4</v>
      </c>
    </row>
    <row r="987" spans="1:32" ht="18" customHeight="1" x14ac:dyDescent="0.25">
      <c r="A987" s="45">
        <v>983</v>
      </c>
      <c r="B987" s="45" t="s">
        <v>60</v>
      </c>
      <c r="C987" s="45" t="s">
        <v>61</v>
      </c>
      <c r="D987" s="45" t="s">
        <v>62</v>
      </c>
      <c r="E987" s="45" t="s">
        <v>62</v>
      </c>
      <c r="F987" s="59" cm="1">
        <f t="array" ref="F987">_xlfn.IFS($G987=$G$5,F$5,$G987=$G$6,F$6,$G987=$G$7,F$7,$G987=$G$8,F$8,$G987=$G$9,F$9,$G987=$G$10,F$10,$G987=$G$11,F$11,$G987=$G$12,F$12,$G987=$G$13,F$13,$G987=$G$15,F$15,$G987=$G$16,F$16,$G987=$G$17,F$17,$G987=$G$18,F$18,$G987=$G$19,F$19,$G987=$G$20,F$20,$G987=$G$21,F$21,$G987=$G$22,F$22,$G987=$G$25,F$25,$G987=$G$26,F$26,$G987=$G$27,F$27,$G987=$G$29,F$29,$G987=$G$31,F$31,$G987=$G$32,F$32,$G987=$G$248,F$248,$G987=$G$250,F$250)</f>
        <v>8015</v>
      </c>
      <c r="G987" t="s">
        <v>109</v>
      </c>
      <c r="H987" s="60" cm="1">
        <f t="array" ref="H987">_xlfn.IFS($G987=$G$5,H$5,$G987=$G$6,H$6,$G987=$G$7,H$7,$G987=$G$8,H$8,$G987=$G$9,H$9,$G987=$G$10,H$10,$G987=$G$11,H$11,$G987=$G$12,H$12,$G987=$G$13,H$13,$G987=$G$15,H$15,$G987=$G$16,H$16,$G987=$G$17,H$17,$G987=$G$18,H$18,$G987=$G$19,H$19,$G987=$G$20,H$20,$G987=$G$21,H$21,$G987=$G$22,H$22,$G987=$G$25,H$25,$G987=$G$26,H$26,$G987=$G$27,H$27,$G987=$G$29,H$29,$G987=$G$31,H$31,$G987=$G$32,H$150,$G987=$G$248,H$248,$G987=$G$250,H$250)</f>
        <v>41.381725000000003</v>
      </c>
      <c r="I987" s="60" cm="1">
        <f t="array" ref="I987">_xlfn.IFS($G987=$G$5,I$5,$G987=$G$6,I$6,$G987=$G$7,I$7,$G987=$G$8,I$8,$G987=$G$9,I$9,$G987=$G$10,I$10,$G987=$G$11,I$11,$G987=$G$12,I$12,$G987=$G$13,I$13,$G987=$G$15,I$15,$G987=$G$16,I$16,$G987=$G$17,I$17,$G987=$G$18,I$18,$G987=$G$19,I$19,$G987=$G$20,I$20,$G987=$G$21,I$21,$G987=$G$22,I$22,$G987=$G$25,I$25,$G987=$G$26,I$26,$G987=$G$27,I$27,$G987=$G$29,I$29,$G987=$G$31,I$31,$G987=$G$32,I$150,$G987=$G$248,I$248,$G987=$G$250,I$250)</f>
        <v>2.1543679999999998</v>
      </c>
      <c r="J987" s="61" cm="1">
        <f t="array" ref="J987">_xlfn.IFS($G987=$G$5,J$5,$G987=$G$6,J$6,$G987=$G$7,J$7,$G987=$G$8,J$8,$G987=$G$9,J$9,$G987=$G$10,J$10,$G987=$G$11,J$11,$G987=$G$12,J$12,$G987=$G$13,J$13,$G987=$G$15,J$15,$G987=$G$16,J$16,$G987=$G$17,J$17,$G987=$G$18,J$18,$G987=$G$19,J$19,$G987=$G$20,J$20,$G987=$G$21,J$21,$G987=$G$22,J$22,$G987=$G$25,J$25,$G987=$G$26,J$26,$G987=$G$27,J$27,$G987=$G$29,J$29,$G987=$G$31,J$31,$G987=$G$32,J$150,$G987=$G$248,J$248,$G987=$G$250,J$250)</f>
        <v>20.7</v>
      </c>
      <c r="K987" t="str" cm="1">
        <f t="array" ref="K987">_xlfn.IFS($G987=$G$5,K$5,$G987=$G$6,K$6,$G987=$G$7,K$7,$G987=$G$8,K$8,$G987=$G$9,K$9,$G987=$G$10,K$10,$G987=$G$11,K$11,$G987=$G$12,K$12,$G987=$G$13,K$13,$G987=$G$15,K$15,$G987=$G$16,K$16,$G987=$G$17,K$17,$G987=$G$18,K$18,$G987=$G$19,K$19,$G987=$G$20,K$20,$G987=$G$21,K$21,$G987=$G$22,K$22,$G987=$G$25,K$25,$G987=$G$26,K$26,$G987=$G$27,K$27,$G987=$G$29,K$29,$G987=$G$31,K$31,$G987=$G$32,K$150,$G987=$G$248,K$248,$G987=$G$250,K$250)</f>
        <v>BG sentinel + BG lure7</v>
      </c>
      <c r="O987" s="69" t="str">
        <f t="shared" si="82"/>
        <v>A_SP_BCN_24_211021</v>
      </c>
      <c r="P987" s="64">
        <v>44490</v>
      </c>
      <c r="R987" s="72" t="s">
        <v>169</v>
      </c>
      <c r="S987" s="64">
        <v>44497</v>
      </c>
      <c r="U987" s="72"/>
      <c r="V987" s="54" t="s">
        <v>66</v>
      </c>
      <c r="X987" s="69">
        <f t="shared" si="76"/>
        <v>7</v>
      </c>
      <c r="Z987" s="69" t="s">
        <v>69</v>
      </c>
      <c r="AA987" s="69">
        <f t="shared" si="81"/>
        <v>23</v>
      </c>
      <c r="AB987" t="str">
        <f t="shared" si="73"/>
        <v>Adult</v>
      </c>
      <c r="AC987" s="69">
        <v>16</v>
      </c>
      <c r="AD987" s="69">
        <v>7</v>
      </c>
      <c r="AE987" s="45" t="str">
        <f t="shared" si="74"/>
        <v>Morphological</v>
      </c>
      <c r="AF987" s="56">
        <v>4</v>
      </c>
    </row>
    <row r="988" spans="1:32" ht="18" customHeight="1" x14ac:dyDescent="0.25">
      <c r="A988" s="45">
        <v>984</v>
      </c>
      <c r="B988" s="45" t="s">
        <v>60</v>
      </c>
      <c r="C988" s="45" t="s">
        <v>61</v>
      </c>
      <c r="D988" s="45" t="s">
        <v>62</v>
      </c>
      <c r="E988" s="45" t="s">
        <v>62</v>
      </c>
      <c r="F988" s="59" cm="1">
        <f t="array" ref="F988">_xlfn.IFS($G988=$G$5,F$5,$G988=$G$6,F$6,$G988=$G$7,F$7,$G988=$G$8,F$8,$G988=$G$9,F$9,$G988=$G$10,F$10,$G988=$G$11,F$11,$G988=$G$12,F$12,$G988=$G$13,F$13,$G988=$G$15,F$15,$G988=$G$16,F$16,$G988=$G$17,F$17,$G988=$G$18,F$18,$G988=$G$19,F$19,$G988=$G$20,F$20,$G988=$G$21,F$21,$G988=$G$22,F$22,$G988=$G$25,F$25,$G988=$G$26,F$26,$G988=$G$27,F$27,$G988=$G$29,F$29,$G988=$G$31,F$31,$G988=$G$32,F$32,$G988=$G$248,F$248,$G988=$G$250,F$250)</f>
        <v>8015</v>
      </c>
      <c r="G988" t="s">
        <v>109</v>
      </c>
      <c r="H988" s="60" cm="1">
        <f t="array" ref="H988">_xlfn.IFS($G988=$G$5,H$5,$G988=$G$6,H$6,$G988=$G$7,H$7,$G988=$G$8,H$8,$G988=$G$9,H$9,$G988=$G$10,H$10,$G988=$G$11,H$11,$G988=$G$12,H$12,$G988=$G$13,H$13,$G988=$G$15,H$15,$G988=$G$16,H$16,$G988=$G$17,H$17,$G988=$G$18,H$18,$G988=$G$19,H$19,$G988=$G$20,H$20,$G988=$G$21,H$21,$G988=$G$22,H$22,$G988=$G$25,H$25,$G988=$G$26,H$26,$G988=$G$27,H$27,$G988=$G$29,H$29,$G988=$G$31,H$31,$G988=$G$32,H$150,$G988=$G$248,H$248,$G988=$G$250,H$250)</f>
        <v>41.381725000000003</v>
      </c>
      <c r="I988" s="60" cm="1">
        <f t="array" ref="I988">_xlfn.IFS($G988=$G$5,I$5,$G988=$G$6,I$6,$G988=$G$7,I$7,$G988=$G$8,I$8,$G988=$G$9,I$9,$G988=$G$10,I$10,$G988=$G$11,I$11,$G988=$G$12,I$12,$G988=$G$13,I$13,$G988=$G$15,I$15,$G988=$G$16,I$16,$G988=$G$17,I$17,$G988=$G$18,I$18,$G988=$G$19,I$19,$G988=$G$20,I$20,$G988=$G$21,I$21,$G988=$G$22,I$22,$G988=$G$25,I$25,$G988=$G$26,I$26,$G988=$G$27,I$27,$G988=$G$29,I$29,$G988=$G$31,I$31,$G988=$G$32,I$150,$G988=$G$248,I$248,$G988=$G$250,I$250)</f>
        <v>2.1543679999999998</v>
      </c>
      <c r="J988" s="61" cm="1">
        <f t="array" ref="J988">_xlfn.IFS($G988=$G$5,J$5,$G988=$G$6,J$6,$G988=$G$7,J$7,$G988=$G$8,J$8,$G988=$G$9,J$9,$G988=$G$10,J$10,$G988=$G$11,J$11,$G988=$G$12,J$12,$G988=$G$13,J$13,$G988=$G$15,J$15,$G988=$G$16,J$16,$G988=$G$17,J$17,$G988=$G$18,J$18,$G988=$G$19,J$19,$G988=$G$20,J$20,$G988=$G$21,J$21,$G988=$G$22,J$22,$G988=$G$25,J$25,$G988=$G$26,J$26,$G988=$G$27,J$27,$G988=$G$29,J$29,$G988=$G$31,J$31,$G988=$G$32,J$150,$G988=$G$248,J$248,$G988=$G$250,J$250)</f>
        <v>20.7</v>
      </c>
      <c r="K988" t="str" cm="1">
        <f t="array" ref="K988">_xlfn.IFS($G988=$G$5,K$5,$G988=$G$6,K$6,$G988=$G$7,K$7,$G988=$G$8,K$8,$G988=$G$9,K$9,$G988=$G$10,K$10,$G988=$G$11,K$11,$G988=$G$12,K$12,$G988=$G$13,K$13,$G988=$G$15,K$15,$G988=$G$16,K$16,$G988=$G$17,K$17,$G988=$G$18,K$18,$G988=$G$19,K$19,$G988=$G$20,K$20,$G988=$G$21,K$21,$G988=$G$22,K$22,$G988=$G$25,K$25,$G988=$G$26,K$26,$G988=$G$27,K$27,$G988=$G$29,K$29,$G988=$G$31,K$31,$G988=$G$32,K$150,$G988=$G$248,K$248,$G988=$G$250,K$250)</f>
        <v>BG sentinel + BG lure7</v>
      </c>
      <c r="O988" s="69" t="str">
        <f t="shared" si="82"/>
        <v>A_SP_BCN_24_211021</v>
      </c>
      <c r="P988" s="64">
        <v>44490</v>
      </c>
      <c r="R988" s="72"/>
      <c r="S988" s="64">
        <v>44497</v>
      </c>
      <c r="U988" s="72"/>
      <c r="V988" s="54" t="s">
        <v>66</v>
      </c>
      <c r="X988" s="69">
        <f t="shared" si="76"/>
        <v>7</v>
      </c>
      <c r="Z988" s="45" t="s">
        <v>70</v>
      </c>
      <c r="AA988" s="69">
        <f t="shared" si="81"/>
        <v>2</v>
      </c>
      <c r="AB988" t="str">
        <f t="shared" si="73"/>
        <v>Adult</v>
      </c>
      <c r="AC988" s="69">
        <v>1</v>
      </c>
      <c r="AD988" s="69">
        <v>1</v>
      </c>
      <c r="AE988" s="45" t="str">
        <f t="shared" si="74"/>
        <v>Morphological</v>
      </c>
      <c r="AF988" s="56">
        <v>4</v>
      </c>
    </row>
    <row r="989" spans="1:32" ht="18" customHeight="1" x14ac:dyDescent="0.25">
      <c r="A989" s="45">
        <v>985</v>
      </c>
      <c r="B989" s="45" t="s">
        <v>60</v>
      </c>
      <c r="C989" s="45" t="s">
        <v>61</v>
      </c>
      <c r="D989" s="45" t="s">
        <v>62</v>
      </c>
      <c r="E989" s="45" t="s">
        <v>62</v>
      </c>
      <c r="F989" s="59" cm="1">
        <f t="array" ref="F989">_xlfn.IFS($G989=$G$5,F$5,$G989=$G$6,F$6,$G989=$G$7,F$7,$G989=$G$8,F$8,$G989=$G$9,F$9,$G989=$G$10,F$10,$G989=$G$11,F$11,$G989=$G$12,F$12,$G989=$G$13,F$13,$G989=$G$15,F$15,$G989=$G$16,F$16,$G989=$G$17,F$17,$G989=$G$18,F$18,$G989=$G$19,F$19,$G989=$G$20,F$20,$G989=$G$21,F$21,$G989=$G$22,F$22,$G989=$G$25,F$25,$G989=$G$26,F$26,$G989=$G$27,F$27,$G989=$G$29,F$29,$G989=$G$31,F$31,$G989=$G$32,F$32,$G989=$G$248,F$248,$G989=$G$250,F$250)</f>
        <v>8024</v>
      </c>
      <c r="G989" t="s">
        <v>63</v>
      </c>
      <c r="H989" s="60" cm="1">
        <f t="array" ref="H989">_xlfn.IFS($G989=$G$5,H$5,$G989=$G$6,H$6,$G989=$G$7,H$7,$G989=$G$8,H$8,$G989=$G$9,H$9,$G989=$G$10,H$10,$G989=$G$11,H$11,$G989=$G$12,H$12,$G989=$G$13,H$13,$G989=$G$15,H$15,$G989=$G$16,H$16,$G989=$G$17,H$17,$G989=$G$18,H$18,$G989=$G$19,H$19,$G989=$G$20,H$20,$G989=$G$21,H$21,$G989=$G$22,H$22,$G989=$G$25,H$25,$G989=$G$26,H$26,$G989=$G$27,H$27,$G989=$G$29,H$29,$G989=$G$31,H$31,$G989=$G$32,H$150,$G989=$G$248,H$248,$G989=$G$250,H$250)</f>
        <v>41.413573999999997</v>
      </c>
      <c r="I989" s="60" cm="1">
        <f t="array" ref="I989">_xlfn.IFS($G989=$G$5,I$5,$G989=$G$6,I$6,$G989=$G$7,I$7,$G989=$G$8,I$8,$G989=$G$9,I$9,$G989=$G$10,I$10,$G989=$G$11,I$11,$G989=$G$12,I$12,$G989=$G$13,I$13,$G989=$G$15,I$15,$G989=$G$16,I$16,$G989=$G$17,I$17,$G989=$G$18,I$18,$G989=$G$19,I$19,$G989=$G$20,I$20,$G989=$G$21,I$21,$G989=$G$22,I$22,$G989=$G$25,I$25,$G989=$G$26,I$26,$G989=$G$27,I$27,$G989=$G$29,I$29,$G989=$G$31,I$31,$G989=$G$32,I$150,$G989=$G$248,I$248,$G989=$G$250,I$250)</f>
        <v>2.1520730000000001</v>
      </c>
      <c r="J989" s="61" cm="1">
        <f t="array" ref="J989">_xlfn.IFS($G989=$G$5,J$5,$G989=$G$6,J$6,$G989=$G$7,J$7,$G989=$G$8,J$8,$G989=$G$9,J$9,$G989=$G$10,J$10,$G989=$G$11,J$11,$G989=$G$12,J$12,$G989=$G$13,J$13,$G989=$G$15,J$15,$G989=$G$16,J$16,$G989=$G$17,J$17,$G989=$G$18,J$18,$G989=$G$19,J$19,$G989=$G$20,J$20,$G989=$G$21,J$21,$G989=$G$22,J$22,$G989=$G$25,J$25,$G989=$G$26,J$26,$G989=$G$27,J$27,$G989=$G$29,J$29,$G989=$G$31,J$31,$G989=$G$32,J$150,$G989=$G$248,J$248,$G989=$G$250,J$250)</f>
        <v>141</v>
      </c>
      <c r="K989" t="str" cm="1">
        <f t="array" ref="K989">_xlfn.IFS($G989=$G$5,K$5,$G989=$G$6,K$6,$G989=$G$7,K$7,$G989=$G$8,K$8,$G989=$G$9,K$9,$G989=$G$10,K$10,$G989=$G$11,K$11,$G989=$G$12,K$12,$G989=$G$13,K$13,$G989=$G$15,K$15,$G989=$G$16,K$16,$G989=$G$17,K$17,$G989=$G$18,K$18,$G989=$G$19,K$19,$G989=$G$20,K$20,$G989=$G$21,K$21,$G989=$G$22,K$22,$G989=$G$25,K$25,$G989=$G$26,K$26,$G989=$G$27,K$27,$G989=$G$29,K$29,$G989=$G$31,K$31,$G989=$G$32,K$150,$G989=$G$248,K$248,$G989=$G$250,K$250)</f>
        <v>BG sentinel + BG lure7</v>
      </c>
      <c r="O989" s="69" t="str">
        <f t="shared" si="82"/>
        <v>A_SP_BCN_1_211027</v>
      </c>
      <c r="P989" s="64">
        <v>44496</v>
      </c>
      <c r="R989" s="72"/>
      <c r="S989" s="64">
        <v>44503</v>
      </c>
      <c r="U989" s="72"/>
      <c r="V989" s="54" t="s">
        <v>66</v>
      </c>
      <c r="W989" t="s">
        <v>170</v>
      </c>
      <c r="X989" s="69">
        <f t="shared" si="76"/>
        <v>7</v>
      </c>
      <c r="Z989" s="69" t="s">
        <v>69</v>
      </c>
      <c r="AA989" s="69">
        <f t="shared" si="81"/>
        <v>23</v>
      </c>
      <c r="AB989" t="str">
        <f t="shared" si="73"/>
        <v>Adult</v>
      </c>
      <c r="AC989" s="69">
        <v>13</v>
      </c>
      <c r="AD989" s="69">
        <v>10</v>
      </c>
      <c r="AE989" s="45" t="str">
        <f t="shared" si="74"/>
        <v>Morphological</v>
      </c>
      <c r="AF989" s="56">
        <v>3</v>
      </c>
    </row>
    <row r="990" spans="1:32" ht="18" customHeight="1" x14ac:dyDescent="0.25">
      <c r="A990" s="45">
        <v>986</v>
      </c>
      <c r="B990" s="45" t="s">
        <v>60</v>
      </c>
      <c r="C990" s="45" t="s">
        <v>61</v>
      </c>
      <c r="D990" s="45" t="s">
        <v>62</v>
      </c>
      <c r="E990" s="45" t="s">
        <v>62</v>
      </c>
      <c r="F990" s="59" cm="1">
        <f t="array" ref="F990">_xlfn.IFS($G990=$G$5,F$5,$G990=$G$6,F$6,$G990=$G$7,F$7,$G990=$G$8,F$8,$G990=$G$9,F$9,$G990=$G$10,F$10,$G990=$G$11,F$11,$G990=$G$12,F$12,$G990=$G$13,F$13,$G990=$G$15,F$15,$G990=$G$16,F$16,$G990=$G$17,F$17,$G990=$G$18,F$18,$G990=$G$19,F$19,$G990=$G$20,F$20,$G990=$G$21,F$21,$G990=$G$22,F$22,$G990=$G$25,F$25,$G990=$G$26,F$26,$G990=$G$27,F$27,$G990=$G$29,F$29,$G990=$G$31,F$31,$G990=$G$32,F$32,$G990=$G$248,F$248,$G990=$G$250,F$250)</f>
        <v>8035</v>
      </c>
      <c r="G990" t="s">
        <v>67</v>
      </c>
      <c r="H990" s="60" cm="1">
        <f t="array" ref="H990">_xlfn.IFS($G990=$G$5,H$5,$G990=$G$6,H$6,$G990=$G$7,H$7,$G990=$G$8,H$8,$G990=$G$9,H$9,$G990=$G$10,H$10,$G990=$G$11,H$11,$G990=$G$12,H$12,$G990=$G$13,H$13,$G990=$G$15,H$15,$G990=$G$16,H$16,$G990=$G$17,H$17,$G990=$G$18,H$18,$G990=$G$19,H$19,$G990=$G$20,H$20,$G990=$G$21,H$21,$G990=$G$22,H$22,$G990=$G$25,H$25,$G990=$G$26,H$26,$G990=$G$27,H$27,$G990=$G$29,H$29,$G990=$G$31,H$31,$G990=$G$32,H$150,$G990=$G$248,H$248,$G990=$G$250,H$250)</f>
        <v>41.424387000000003</v>
      </c>
      <c r="I990" s="60" cm="1">
        <f t="array" ref="I990">_xlfn.IFS($G990=$G$5,I$5,$G990=$G$6,I$6,$G990=$G$7,I$7,$G990=$G$8,I$8,$G990=$G$9,I$9,$G990=$G$10,I$10,$G990=$G$11,I$11,$G990=$G$12,I$12,$G990=$G$13,I$13,$G990=$G$15,I$15,$G990=$G$16,I$16,$G990=$G$17,I$17,$G990=$G$18,I$18,$G990=$G$19,I$19,$G990=$G$20,I$20,$G990=$G$21,I$21,$G990=$G$22,I$22,$G990=$G$25,I$25,$G990=$G$26,I$26,$G990=$G$27,I$27,$G990=$G$29,I$29,$G990=$G$31,I$31,$G990=$G$32,I$150,$G990=$G$248,I$248,$G990=$G$250,I$250)</f>
        <v>2.1431439999999999</v>
      </c>
      <c r="J990" s="61" cm="1">
        <f t="array" ref="J990">_xlfn.IFS($G990=$G$5,J$5,$G990=$G$6,J$6,$G990=$G$7,J$7,$G990=$G$8,J$8,$G990=$G$9,J$9,$G990=$G$10,J$10,$G990=$G$11,J$11,$G990=$G$12,J$12,$G990=$G$13,J$13,$G990=$G$15,J$15,$G990=$G$16,J$16,$G990=$G$17,J$17,$G990=$G$18,J$18,$G990=$G$19,J$19,$G990=$G$20,J$20,$G990=$G$21,J$21,$G990=$G$22,J$22,$G990=$G$25,J$25,$G990=$G$26,J$26,$G990=$G$27,J$27,$G990=$G$29,J$29,$G990=$G$31,J$31,$G990=$G$32,J$150,$G990=$G$248,J$248,$G990=$G$250,J$250)</f>
        <v>160</v>
      </c>
      <c r="K990" t="str" cm="1">
        <f t="array" ref="K990">_xlfn.IFS($G990=$G$5,K$5,$G990=$G$6,K$6,$G990=$G$7,K$7,$G990=$G$8,K$8,$G990=$G$9,K$9,$G990=$G$10,K$10,$G990=$G$11,K$11,$G990=$G$12,K$12,$G990=$G$13,K$13,$G990=$G$15,K$15,$G990=$G$16,K$16,$G990=$G$17,K$17,$G990=$G$18,K$18,$G990=$G$19,K$19,$G990=$G$20,K$20,$G990=$G$21,K$21,$G990=$G$22,K$22,$G990=$G$25,K$25,$G990=$G$26,K$26,$G990=$G$27,K$27,$G990=$G$29,K$29,$G990=$G$31,K$31,$G990=$G$32,K$150,$G990=$G$248,K$248,$G990=$G$250,K$250)</f>
        <v>BG sentinel + BG lure7</v>
      </c>
      <c r="O990" s="69" t="str">
        <f t="shared" si="82"/>
        <v>A_SP_BCN_2_211027</v>
      </c>
      <c r="P990" s="64">
        <v>44496</v>
      </c>
      <c r="R990" s="72"/>
      <c r="S990" s="64">
        <v>44503</v>
      </c>
      <c r="U990" s="72"/>
      <c r="V990" s="54" t="s">
        <v>66</v>
      </c>
      <c r="X990" s="69">
        <f t="shared" si="76"/>
        <v>7</v>
      </c>
      <c r="Z990" s="69" t="s">
        <v>69</v>
      </c>
      <c r="AA990" s="69">
        <f t="shared" si="81"/>
        <v>2</v>
      </c>
      <c r="AB990" t="str">
        <f t="shared" si="73"/>
        <v>Adult</v>
      </c>
      <c r="AC990" s="69">
        <v>2</v>
      </c>
      <c r="AD990" s="69">
        <v>0</v>
      </c>
      <c r="AE990" s="45" t="str">
        <f t="shared" si="74"/>
        <v>Morphological</v>
      </c>
      <c r="AF990" s="56">
        <v>4</v>
      </c>
    </row>
    <row r="991" spans="1:32" ht="18" customHeight="1" x14ac:dyDescent="0.25">
      <c r="A991" s="45">
        <v>987</v>
      </c>
      <c r="B991" s="45" t="s">
        <v>60</v>
      </c>
      <c r="C991" s="45" t="s">
        <v>61</v>
      </c>
      <c r="D991" s="45" t="s">
        <v>62</v>
      </c>
      <c r="E991" s="45" t="s">
        <v>62</v>
      </c>
      <c r="F991" s="59" cm="1">
        <f t="array" ref="F991">_xlfn.IFS($G991=$G$5,F$5,$G991=$G$6,F$6,$G991=$G$7,F$7,$G991=$G$8,F$8,$G991=$G$9,F$9,$G991=$G$10,F$10,$G991=$G$11,F$11,$G991=$G$12,F$12,$G991=$G$13,F$13,$G991=$G$15,F$15,$G991=$G$16,F$16,$G991=$G$17,F$17,$G991=$G$18,F$18,$G991=$G$19,F$19,$G991=$G$20,F$20,$G991=$G$21,F$21,$G991=$G$22,F$22,$G991=$G$25,F$25,$G991=$G$26,F$26,$G991=$G$27,F$27,$G991=$G$29,F$29,$G991=$G$31,F$31,$G991=$G$32,F$32,$G991=$G$248,F$248,$G991=$G$250,F$250)</f>
        <v>8016</v>
      </c>
      <c r="G991" t="s">
        <v>68</v>
      </c>
      <c r="H991" s="60" cm="1">
        <f t="array" ref="H991">_xlfn.IFS($G991=$G$5,H$5,$G991=$G$6,H$6,$G991=$G$7,H$7,$G991=$G$8,H$8,$G991=$G$9,H$9,$G991=$G$10,H$10,$G991=$G$11,H$11,$G991=$G$12,H$12,$G991=$G$13,H$13,$G991=$G$15,H$15,$G991=$G$16,H$16,$G991=$G$17,H$17,$G991=$G$18,H$18,$G991=$G$19,H$19,$G991=$G$20,H$20,$G991=$G$21,H$21,$G991=$G$22,H$22,$G991=$G$25,H$25,$G991=$G$26,H$26,$G991=$G$27,H$27,$G991=$G$29,H$29,$G991=$G$31,H$31,$G991=$G$32,H$150,$G991=$G$248,H$248,$G991=$G$250,H$250)</f>
        <v>41.437435000000001</v>
      </c>
      <c r="I991" s="60" cm="1">
        <f t="array" ref="I991">_xlfn.IFS($G991=$G$5,I$5,$G991=$G$6,I$6,$G991=$G$7,I$7,$G991=$G$8,I$8,$G991=$G$9,I$9,$G991=$G$10,I$10,$G991=$G$11,I$11,$G991=$G$12,I$12,$G991=$G$13,I$13,$G991=$G$15,I$15,$G991=$G$16,I$16,$G991=$G$17,I$17,$G991=$G$18,I$18,$G991=$G$19,I$19,$G991=$G$20,I$20,$G991=$G$21,I$21,$G991=$G$22,I$22,$G991=$G$25,I$25,$G991=$G$26,I$26,$G991=$G$27,I$27,$G991=$G$29,I$29,$G991=$G$31,I$31,$G991=$G$32,I$150,$G991=$G$248,I$248,$G991=$G$250,I$250)</f>
        <v>2.1812779999999998</v>
      </c>
      <c r="J991" s="61" cm="1">
        <f t="array" ref="J991">_xlfn.IFS($G991=$G$5,J$5,$G991=$G$6,J$6,$G991=$G$7,J$7,$G991=$G$8,J$8,$G991=$G$9,J$9,$G991=$G$10,J$10,$G991=$G$11,J$11,$G991=$G$12,J$12,$G991=$G$13,J$13,$G991=$G$15,J$15,$G991=$G$16,J$16,$G991=$G$17,J$17,$G991=$G$18,J$18,$G991=$G$19,J$19,$G991=$G$20,J$20,$G991=$G$21,J$21,$G991=$G$22,J$22,$G991=$G$25,J$25,$G991=$G$26,J$26,$G991=$G$27,J$27,$G991=$G$29,J$29,$G991=$G$31,J$31,$G991=$G$32,J$150,$G991=$G$248,J$248,$G991=$G$250,J$250)</f>
        <v>47</v>
      </c>
      <c r="K991" t="str" cm="1">
        <f t="array" ref="K991">_xlfn.IFS($G991=$G$5,K$5,$G991=$G$6,K$6,$G991=$G$7,K$7,$G991=$G$8,K$8,$G991=$G$9,K$9,$G991=$G$10,K$10,$G991=$G$11,K$11,$G991=$G$12,K$12,$G991=$G$13,K$13,$G991=$G$15,K$15,$G991=$G$16,K$16,$G991=$G$17,K$17,$G991=$G$18,K$18,$G991=$G$19,K$19,$G991=$G$20,K$20,$G991=$G$21,K$21,$G991=$G$22,K$22,$G991=$G$25,K$25,$G991=$G$26,K$26,$G991=$G$27,K$27,$G991=$G$29,K$29,$G991=$G$31,K$31,$G991=$G$32,K$150,$G991=$G$248,K$248,$G991=$G$250,K$250)</f>
        <v>BG sentinel + BG lure7</v>
      </c>
      <c r="O991" s="69" t="str">
        <f t="shared" si="82"/>
        <v>A_SP_BCN_3_211027</v>
      </c>
      <c r="P991" s="64">
        <v>44496</v>
      </c>
      <c r="R991" s="72"/>
      <c r="S991" s="64">
        <v>44503</v>
      </c>
      <c r="U991" s="72"/>
      <c r="V991" s="54" t="s">
        <v>66</v>
      </c>
      <c r="W991" t="s">
        <v>171</v>
      </c>
      <c r="X991" s="69">
        <f t="shared" si="76"/>
        <v>7</v>
      </c>
      <c r="Z991" s="69" t="s">
        <v>69</v>
      </c>
      <c r="AA991" s="69">
        <f t="shared" si="81"/>
        <v>3</v>
      </c>
      <c r="AB991" t="str">
        <f t="shared" si="73"/>
        <v>Adult</v>
      </c>
      <c r="AC991" s="69">
        <v>3</v>
      </c>
      <c r="AD991" s="69">
        <v>0</v>
      </c>
      <c r="AE991" s="45" t="str">
        <f t="shared" si="74"/>
        <v>Morphological</v>
      </c>
      <c r="AF991" s="56">
        <v>3</v>
      </c>
    </row>
    <row r="992" spans="1:32" ht="18" customHeight="1" x14ac:dyDescent="0.25">
      <c r="A992" s="45">
        <v>988</v>
      </c>
      <c r="B992" s="45" t="s">
        <v>60</v>
      </c>
      <c r="C992" s="45" t="s">
        <v>61</v>
      </c>
      <c r="D992" s="45" t="s">
        <v>62</v>
      </c>
      <c r="E992" s="45" t="s">
        <v>62</v>
      </c>
      <c r="F992" s="59" cm="1">
        <f t="array" ref="F992">_xlfn.IFS($G992=$G$5,F$5,$G992=$G$6,F$6,$G992=$G$7,F$7,$G992=$G$8,F$8,$G992=$G$9,F$9,$G992=$G$10,F$10,$G992=$G$11,F$11,$G992=$G$12,F$12,$G992=$G$13,F$13,$G992=$G$15,F$15,$G992=$G$16,F$16,$G992=$G$17,F$17,$G992=$G$18,F$18,$G992=$G$19,F$19,$G992=$G$20,F$20,$G992=$G$21,F$21,$G992=$G$22,F$22,$G992=$G$25,F$25,$G992=$G$26,F$26,$G992=$G$27,F$27,$G992=$G$29,F$29,$G992=$G$31,F$31,$G992=$G$32,F$32,$G992=$G$248,F$248,$G992=$G$250,F$250)</f>
        <v>8016</v>
      </c>
      <c r="G992" t="s">
        <v>68</v>
      </c>
      <c r="H992" s="60" cm="1">
        <f t="array" ref="H992">_xlfn.IFS($G992=$G$5,H$5,$G992=$G$6,H$6,$G992=$G$7,H$7,$G992=$G$8,H$8,$G992=$G$9,H$9,$G992=$G$10,H$10,$G992=$G$11,H$11,$G992=$G$12,H$12,$G992=$G$13,H$13,$G992=$G$15,H$15,$G992=$G$16,H$16,$G992=$G$17,H$17,$G992=$G$18,H$18,$G992=$G$19,H$19,$G992=$G$20,H$20,$G992=$G$21,H$21,$G992=$G$22,H$22,$G992=$G$25,H$25,$G992=$G$26,H$26,$G992=$G$27,H$27,$G992=$G$29,H$29,$G992=$G$31,H$31,$G992=$G$32,H$150,$G992=$G$248,H$248,$G992=$G$250,H$250)</f>
        <v>41.437435000000001</v>
      </c>
      <c r="I992" s="60" cm="1">
        <f t="array" ref="I992">_xlfn.IFS($G992=$G$5,I$5,$G992=$G$6,I$6,$G992=$G$7,I$7,$G992=$G$8,I$8,$G992=$G$9,I$9,$G992=$G$10,I$10,$G992=$G$11,I$11,$G992=$G$12,I$12,$G992=$G$13,I$13,$G992=$G$15,I$15,$G992=$G$16,I$16,$G992=$G$17,I$17,$G992=$G$18,I$18,$G992=$G$19,I$19,$G992=$G$20,I$20,$G992=$G$21,I$21,$G992=$G$22,I$22,$G992=$G$25,I$25,$G992=$G$26,I$26,$G992=$G$27,I$27,$G992=$G$29,I$29,$G992=$G$31,I$31,$G992=$G$32,I$150,$G992=$G$248,I$248,$G992=$G$250,I$250)</f>
        <v>2.1812779999999998</v>
      </c>
      <c r="J992" s="61" cm="1">
        <f t="array" ref="J992">_xlfn.IFS($G992=$G$5,J$5,$G992=$G$6,J$6,$G992=$G$7,J$7,$G992=$G$8,J$8,$G992=$G$9,J$9,$G992=$G$10,J$10,$G992=$G$11,J$11,$G992=$G$12,J$12,$G992=$G$13,J$13,$G992=$G$15,J$15,$G992=$G$16,J$16,$G992=$G$17,J$17,$G992=$G$18,J$18,$G992=$G$19,J$19,$G992=$G$20,J$20,$G992=$G$21,J$21,$G992=$G$22,J$22,$G992=$G$25,J$25,$G992=$G$26,J$26,$G992=$G$27,J$27,$G992=$G$29,J$29,$G992=$G$31,J$31,$G992=$G$32,J$150,$G992=$G$248,J$248,$G992=$G$250,J$250)</f>
        <v>47</v>
      </c>
      <c r="K992" t="str" cm="1">
        <f t="array" ref="K992">_xlfn.IFS($G992=$G$5,K$5,$G992=$G$6,K$6,$G992=$G$7,K$7,$G992=$G$8,K$8,$G992=$G$9,K$9,$G992=$G$10,K$10,$G992=$G$11,K$11,$G992=$G$12,K$12,$G992=$G$13,K$13,$G992=$G$15,K$15,$G992=$G$16,K$16,$G992=$G$17,K$17,$G992=$G$18,K$18,$G992=$G$19,K$19,$G992=$G$20,K$20,$G992=$G$21,K$21,$G992=$G$22,K$22,$G992=$G$25,K$25,$G992=$G$26,K$26,$G992=$G$27,K$27,$G992=$G$29,K$29,$G992=$G$31,K$31,$G992=$G$32,K$150,$G992=$G$248,K$248,$G992=$G$250,K$250)</f>
        <v>BG sentinel + BG lure7</v>
      </c>
      <c r="O992" s="69" t="str">
        <f t="shared" si="82"/>
        <v>A_SP_BCN_3_211027</v>
      </c>
      <c r="P992" s="64">
        <v>44496</v>
      </c>
      <c r="R992" s="72"/>
      <c r="S992" s="64">
        <v>44503</v>
      </c>
      <c r="U992" s="72"/>
      <c r="V992" s="54" t="s">
        <v>66</v>
      </c>
      <c r="W992" t="s">
        <v>171</v>
      </c>
      <c r="X992" s="69">
        <f t="shared" si="76"/>
        <v>7</v>
      </c>
      <c r="Z992" s="45" t="s">
        <v>70</v>
      </c>
      <c r="AA992" s="69">
        <f t="shared" si="81"/>
        <v>3</v>
      </c>
      <c r="AB992" t="str">
        <f t="shared" si="73"/>
        <v>Adult</v>
      </c>
      <c r="AC992" s="69">
        <v>3</v>
      </c>
      <c r="AD992" s="69">
        <v>0</v>
      </c>
      <c r="AE992" s="45" t="str">
        <f t="shared" si="74"/>
        <v>Morphological</v>
      </c>
      <c r="AF992" s="56">
        <v>3</v>
      </c>
    </row>
    <row r="993" spans="1:32" ht="18" customHeight="1" x14ac:dyDescent="0.25">
      <c r="A993" s="45">
        <v>989</v>
      </c>
      <c r="B993" s="45" t="s">
        <v>60</v>
      </c>
      <c r="C993" s="45" t="s">
        <v>61</v>
      </c>
      <c r="D993" s="45" t="s">
        <v>62</v>
      </c>
      <c r="E993" s="45" t="s">
        <v>62</v>
      </c>
      <c r="F993" s="59" cm="1">
        <f t="array" ref="F993">_xlfn.IFS($G993=$G$5,F$5,$G993=$G$6,F$6,$G993=$G$7,F$7,$G993=$G$8,F$8,$G993=$G$9,F$9,$G993=$G$10,F$10,$G993=$G$11,F$11,$G993=$G$12,F$12,$G993=$G$13,F$13,$G993=$G$15,F$15,$G993=$G$16,F$16,$G993=$G$17,F$17,$G993=$G$18,F$18,$G993=$G$19,F$19,$G993=$G$20,F$20,$G993=$G$21,F$21,$G993=$G$22,F$22,$G993=$G$25,F$25,$G993=$G$26,F$26,$G993=$G$27,F$27,$G993=$G$29,F$29,$G993=$G$31,F$31,$G993=$G$32,F$32,$G993=$G$248,F$248,$G993=$G$250,F$250)</f>
        <v>8018</v>
      </c>
      <c r="G993" t="s">
        <v>71</v>
      </c>
      <c r="H993" s="60" cm="1">
        <f t="array" ref="H993">_xlfn.IFS($G993=$G$5,H$5,$G993=$G$6,H$6,$G993=$G$7,H$7,$G993=$G$8,H$8,$G993=$G$9,H$9,$G993=$G$10,H$10,$G993=$G$11,H$11,$G993=$G$12,H$12,$G993=$G$13,H$13,$G993=$G$15,H$15,$G993=$G$16,H$16,$G993=$G$17,H$17,$G993=$G$18,H$18,$G993=$G$19,H$19,$G993=$G$20,H$20,$G993=$G$21,H$21,$G993=$G$22,H$22,$G993=$G$25,H$25,$G993=$G$26,H$26,$G993=$G$27,H$27,$G993=$G$29,H$29,$G993=$G$31,H$31,$G993=$G$32,H$150,$G993=$G$248,H$248,$G993=$G$250,H$250)</f>
        <v>41.410684000000003</v>
      </c>
      <c r="I993" s="60" cm="1">
        <f t="array" ref="I993">_xlfn.IFS($G993=$G$5,I$5,$G993=$G$6,I$6,$G993=$G$7,I$7,$G993=$G$8,I$8,$G993=$G$9,I$9,$G993=$G$10,I$10,$G993=$G$11,I$11,$G993=$G$12,I$12,$G993=$G$13,I$13,$G993=$G$15,I$15,$G993=$G$16,I$16,$G993=$G$17,I$17,$G993=$G$18,I$18,$G993=$G$19,I$19,$G993=$G$20,I$20,$G993=$G$21,I$21,$G993=$G$22,I$22,$G993=$G$25,I$25,$G993=$G$26,I$26,$G993=$G$27,I$27,$G993=$G$29,I$29,$G993=$G$31,I$31,$G993=$G$32,I$150,$G993=$G$248,I$248,$G993=$G$250,I$250)</f>
        <v>2.2208019999999999</v>
      </c>
      <c r="J993" s="61" cm="1">
        <f t="array" ref="J993">_xlfn.IFS($G993=$G$5,J$5,$G993=$G$6,J$6,$G993=$G$7,J$7,$G993=$G$8,J$8,$G993=$G$9,J$9,$G993=$G$10,J$10,$G993=$G$11,J$11,$G993=$G$12,J$12,$G993=$G$13,J$13,$G993=$G$15,J$15,$G993=$G$16,J$16,$G993=$G$17,J$17,$G993=$G$18,J$18,$G993=$G$19,J$19,$G993=$G$20,J$20,$G993=$G$21,J$21,$G993=$G$22,J$22,$G993=$G$25,J$25,$G993=$G$26,J$26,$G993=$G$27,J$27,$G993=$G$29,J$29,$G993=$G$31,J$31,$G993=$G$32,J$150,$G993=$G$248,J$248,$G993=$G$250,J$250)</f>
        <v>4</v>
      </c>
      <c r="K993" t="str" cm="1">
        <f t="array" ref="K993">_xlfn.IFS($G993=$G$5,K$5,$G993=$G$6,K$6,$G993=$G$7,K$7,$G993=$G$8,K$8,$G993=$G$9,K$9,$G993=$G$10,K$10,$G993=$G$11,K$11,$G993=$G$12,K$12,$G993=$G$13,K$13,$G993=$G$15,K$15,$G993=$G$16,K$16,$G993=$G$17,K$17,$G993=$G$18,K$18,$G993=$G$19,K$19,$G993=$G$20,K$20,$G993=$G$21,K$21,$G993=$G$22,K$22,$G993=$G$25,K$25,$G993=$G$26,K$26,$G993=$G$27,K$27,$G993=$G$29,K$29,$G993=$G$31,K$31,$G993=$G$32,K$150,$G993=$G$248,K$248,$G993=$G$250,K$250)</f>
        <v>BG sentinel + BG lure7</v>
      </c>
      <c r="O993" s="69" t="str">
        <f t="shared" si="82"/>
        <v>A_SP_BCN_4_211028</v>
      </c>
      <c r="P993" s="64">
        <v>44497</v>
      </c>
      <c r="R993" s="72"/>
      <c r="S993" s="64">
        <v>44504</v>
      </c>
      <c r="U993" s="72"/>
      <c r="V993" s="54" t="s">
        <v>66</v>
      </c>
      <c r="X993" s="69">
        <f t="shared" si="76"/>
        <v>7</v>
      </c>
      <c r="Z993" s="69" t="s">
        <v>69</v>
      </c>
      <c r="AA993" s="69">
        <f t="shared" si="81"/>
        <v>4</v>
      </c>
      <c r="AB993" t="str">
        <f t="shared" si="73"/>
        <v>Adult</v>
      </c>
      <c r="AC993" s="69">
        <v>3</v>
      </c>
      <c r="AD993" s="69">
        <v>1</v>
      </c>
      <c r="AE993" s="45" t="str">
        <f t="shared" si="74"/>
        <v>Morphological</v>
      </c>
      <c r="AF993" s="56">
        <v>4</v>
      </c>
    </row>
    <row r="994" spans="1:32" ht="18" customHeight="1" x14ac:dyDescent="0.25">
      <c r="A994" s="45">
        <v>990</v>
      </c>
      <c r="B994" s="45" t="s">
        <v>60</v>
      </c>
      <c r="C994" s="45" t="s">
        <v>61</v>
      </c>
      <c r="D994" s="45" t="s">
        <v>62</v>
      </c>
      <c r="E994" s="45" t="s">
        <v>62</v>
      </c>
      <c r="F994" s="59" cm="1">
        <f t="array" ref="F994">_xlfn.IFS($G994=$G$5,F$5,$G994=$G$6,F$6,$G994=$G$7,F$7,$G994=$G$8,F$8,$G994=$G$9,F$9,$G994=$G$10,F$10,$G994=$G$11,F$11,$G994=$G$12,F$12,$G994=$G$13,F$13,$G994=$G$15,F$15,$G994=$G$16,F$16,$G994=$G$17,F$17,$G994=$G$18,F$18,$G994=$G$19,F$19,$G994=$G$20,F$20,$G994=$G$21,F$21,$G994=$G$22,F$22,$G994=$G$25,F$25,$G994=$G$26,F$26,$G994=$G$27,F$27,$G994=$G$29,F$29,$G994=$G$31,F$31,$G994=$G$32,F$32,$G994=$G$248,F$248,$G994=$G$250,F$250)</f>
        <v>8018</v>
      </c>
      <c r="G994" t="s">
        <v>71</v>
      </c>
      <c r="H994" s="60" cm="1">
        <f t="array" ref="H994">_xlfn.IFS($G994=$G$5,H$5,$G994=$G$6,H$6,$G994=$G$7,H$7,$G994=$G$8,H$8,$G994=$G$9,H$9,$G994=$G$10,H$10,$G994=$G$11,H$11,$G994=$G$12,H$12,$G994=$G$13,H$13,$G994=$G$15,H$15,$G994=$G$16,H$16,$G994=$G$17,H$17,$G994=$G$18,H$18,$G994=$G$19,H$19,$G994=$G$20,H$20,$G994=$G$21,H$21,$G994=$G$22,H$22,$G994=$G$25,H$25,$G994=$G$26,H$26,$G994=$G$27,H$27,$G994=$G$29,H$29,$G994=$G$31,H$31,$G994=$G$32,H$150,$G994=$G$248,H$248,$G994=$G$250,H$250)</f>
        <v>41.410684000000003</v>
      </c>
      <c r="I994" s="60" cm="1">
        <f t="array" ref="I994">_xlfn.IFS($G994=$G$5,I$5,$G994=$G$6,I$6,$G994=$G$7,I$7,$G994=$G$8,I$8,$G994=$G$9,I$9,$G994=$G$10,I$10,$G994=$G$11,I$11,$G994=$G$12,I$12,$G994=$G$13,I$13,$G994=$G$15,I$15,$G994=$G$16,I$16,$G994=$G$17,I$17,$G994=$G$18,I$18,$G994=$G$19,I$19,$G994=$G$20,I$20,$G994=$G$21,I$21,$G994=$G$22,I$22,$G994=$G$25,I$25,$G994=$G$26,I$26,$G994=$G$27,I$27,$G994=$G$29,I$29,$G994=$G$31,I$31,$G994=$G$32,I$150,$G994=$G$248,I$248,$G994=$G$250,I$250)</f>
        <v>2.2208019999999999</v>
      </c>
      <c r="J994" s="61" cm="1">
        <f t="array" ref="J994">_xlfn.IFS($G994=$G$5,J$5,$G994=$G$6,J$6,$G994=$G$7,J$7,$G994=$G$8,J$8,$G994=$G$9,J$9,$G994=$G$10,J$10,$G994=$G$11,J$11,$G994=$G$12,J$12,$G994=$G$13,J$13,$G994=$G$15,J$15,$G994=$G$16,J$16,$G994=$G$17,J$17,$G994=$G$18,J$18,$G994=$G$19,J$19,$G994=$G$20,J$20,$G994=$G$21,J$21,$G994=$G$22,J$22,$G994=$G$25,J$25,$G994=$G$26,J$26,$G994=$G$27,J$27,$G994=$G$29,J$29,$G994=$G$31,J$31,$G994=$G$32,J$150,$G994=$G$248,J$248,$G994=$G$250,J$250)</f>
        <v>4</v>
      </c>
      <c r="K994" t="str" cm="1">
        <f t="array" ref="K994">_xlfn.IFS($G994=$G$5,K$5,$G994=$G$6,K$6,$G994=$G$7,K$7,$G994=$G$8,K$8,$G994=$G$9,K$9,$G994=$G$10,K$10,$G994=$G$11,K$11,$G994=$G$12,K$12,$G994=$G$13,K$13,$G994=$G$15,K$15,$G994=$G$16,K$16,$G994=$G$17,K$17,$G994=$G$18,K$18,$G994=$G$19,K$19,$G994=$G$20,K$20,$G994=$G$21,K$21,$G994=$G$22,K$22,$G994=$G$25,K$25,$G994=$G$26,K$26,$G994=$G$27,K$27,$G994=$G$29,K$29,$G994=$G$31,K$31,$G994=$G$32,K$150,$G994=$G$248,K$248,$G994=$G$250,K$250)</f>
        <v>BG sentinel + BG lure7</v>
      </c>
      <c r="O994" s="69" t="str">
        <f t="shared" si="82"/>
        <v>A_SP_BCN_4_211028</v>
      </c>
      <c r="P994" s="64">
        <v>44497</v>
      </c>
      <c r="R994" s="72"/>
      <c r="S994" s="64">
        <v>44504</v>
      </c>
      <c r="U994" s="72"/>
      <c r="V994" s="54" t="s">
        <v>66</v>
      </c>
      <c r="X994" s="69">
        <f t="shared" si="76"/>
        <v>7</v>
      </c>
      <c r="Z994" s="45" t="s">
        <v>70</v>
      </c>
      <c r="AA994" s="69">
        <f t="shared" si="81"/>
        <v>3</v>
      </c>
      <c r="AB994" t="str">
        <f t="shared" si="73"/>
        <v>Adult</v>
      </c>
      <c r="AC994" s="69">
        <v>2</v>
      </c>
      <c r="AD994" s="69">
        <v>1</v>
      </c>
      <c r="AE994" s="45" t="str">
        <f t="shared" si="74"/>
        <v>Morphological</v>
      </c>
      <c r="AF994" s="56">
        <v>4</v>
      </c>
    </row>
    <row r="995" spans="1:32" ht="18" customHeight="1" x14ac:dyDescent="0.25">
      <c r="A995" s="45">
        <v>991</v>
      </c>
      <c r="B995" s="45" t="s">
        <v>60</v>
      </c>
      <c r="C995" s="45" t="s">
        <v>61</v>
      </c>
      <c r="D995" s="45" t="s">
        <v>62</v>
      </c>
      <c r="E995" s="45" t="s">
        <v>62</v>
      </c>
      <c r="F995" s="59" cm="1">
        <f t="array" ref="F995">_xlfn.IFS($G995=$G$5,F$5,$G995=$G$6,F$6,$G995=$G$7,F$7,$G995=$G$8,F$8,$G995=$G$9,F$9,$G995=$G$10,F$10,$G995=$G$11,F$11,$G995=$G$12,F$12,$G995=$G$13,F$13,$G995=$G$15,F$15,$G995=$G$16,F$16,$G995=$G$17,F$17,$G995=$G$18,F$18,$G995=$G$19,F$19,$G995=$G$20,F$20,$G995=$G$21,F$21,$G995=$G$22,F$22,$G995=$G$25,F$25,$G995=$G$26,F$26,$G995=$G$27,F$27,$G995=$G$29,F$29,$G995=$G$31,F$31,$G995=$G$32,F$32,$G995=$G$248,F$248,$G995=$G$250,F$250)</f>
        <v>8018</v>
      </c>
      <c r="G995" t="s">
        <v>71</v>
      </c>
      <c r="H995" s="60" cm="1">
        <f t="array" ref="H995">_xlfn.IFS($G995=$G$5,H$5,$G995=$G$6,H$6,$G995=$G$7,H$7,$G995=$G$8,H$8,$G995=$G$9,H$9,$G995=$G$10,H$10,$G995=$G$11,H$11,$G995=$G$12,H$12,$G995=$G$13,H$13,$G995=$G$15,H$15,$G995=$G$16,H$16,$G995=$G$17,H$17,$G995=$G$18,H$18,$G995=$G$19,H$19,$G995=$G$20,H$20,$G995=$G$21,H$21,$G995=$G$22,H$22,$G995=$G$25,H$25,$G995=$G$26,H$26,$G995=$G$27,H$27,$G995=$G$29,H$29,$G995=$G$31,H$31,$G995=$G$32,H$150,$G995=$G$248,H$248,$G995=$G$250,H$250)</f>
        <v>41.410684000000003</v>
      </c>
      <c r="I995" s="60" cm="1">
        <f t="array" ref="I995">_xlfn.IFS($G995=$G$5,I$5,$G995=$G$6,I$6,$G995=$G$7,I$7,$G995=$G$8,I$8,$G995=$G$9,I$9,$G995=$G$10,I$10,$G995=$G$11,I$11,$G995=$G$12,I$12,$G995=$G$13,I$13,$G995=$G$15,I$15,$G995=$G$16,I$16,$G995=$G$17,I$17,$G995=$G$18,I$18,$G995=$G$19,I$19,$G995=$G$20,I$20,$G995=$G$21,I$21,$G995=$G$22,I$22,$G995=$G$25,I$25,$G995=$G$26,I$26,$G995=$G$27,I$27,$G995=$G$29,I$29,$G995=$G$31,I$31,$G995=$G$32,I$150,$G995=$G$248,I$248,$G995=$G$250,I$250)</f>
        <v>2.2208019999999999</v>
      </c>
      <c r="J995" s="61" cm="1">
        <f t="array" ref="J995">_xlfn.IFS($G995=$G$5,J$5,$G995=$G$6,J$6,$G995=$G$7,J$7,$G995=$G$8,J$8,$G995=$G$9,J$9,$G995=$G$10,J$10,$G995=$G$11,J$11,$G995=$G$12,J$12,$G995=$G$13,J$13,$G995=$G$15,J$15,$G995=$G$16,J$16,$G995=$G$17,J$17,$G995=$G$18,J$18,$G995=$G$19,J$19,$G995=$G$20,J$20,$G995=$G$21,J$21,$G995=$G$22,J$22,$G995=$G$25,J$25,$G995=$G$26,J$26,$G995=$G$27,J$27,$G995=$G$29,J$29,$G995=$G$31,J$31,$G995=$G$32,J$150,$G995=$G$248,J$248,$G995=$G$250,J$250)</f>
        <v>4</v>
      </c>
      <c r="K995" t="str" cm="1">
        <f t="array" ref="K995">_xlfn.IFS($G995=$G$5,K$5,$G995=$G$6,K$6,$G995=$G$7,K$7,$G995=$G$8,K$8,$G995=$G$9,K$9,$G995=$G$10,K$10,$G995=$G$11,K$11,$G995=$G$12,K$12,$G995=$G$13,K$13,$G995=$G$15,K$15,$G995=$G$16,K$16,$G995=$G$17,K$17,$G995=$G$18,K$18,$G995=$G$19,K$19,$G995=$G$20,K$20,$G995=$G$21,K$21,$G995=$G$22,K$22,$G995=$G$25,K$25,$G995=$G$26,K$26,$G995=$G$27,K$27,$G995=$G$29,K$29,$G995=$G$31,K$31,$G995=$G$32,K$150,$G995=$G$248,K$248,$G995=$G$250,K$250)</f>
        <v>BG sentinel + BG lure7</v>
      </c>
      <c r="O995" s="69" t="str">
        <f t="shared" si="82"/>
        <v>A_SP_BCN_4_211028</v>
      </c>
      <c r="P995" s="64">
        <v>44497</v>
      </c>
      <c r="R995" s="72"/>
      <c r="S995" s="64">
        <v>44504</v>
      </c>
      <c r="U995" s="72"/>
      <c r="V995" s="54" t="s">
        <v>66</v>
      </c>
      <c r="X995" s="69">
        <f t="shared" si="76"/>
        <v>7</v>
      </c>
      <c r="Z995" s="45" t="s">
        <v>80</v>
      </c>
      <c r="AA995" s="69">
        <f t="shared" si="81"/>
        <v>2</v>
      </c>
      <c r="AB995" t="str">
        <f t="shared" si="73"/>
        <v>Adult</v>
      </c>
      <c r="AC995" s="69">
        <v>0</v>
      </c>
      <c r="AD995" s="69">
        <v>2</v>
      </c>
      <c r="AE995" s="45" t="str">
        <f t="shared" si="74"/>
        <v>Morphological</v>
      </c>
      <c r="AF995" s="56">
        <v>4</v>
      </c>
    </row>
    <row r="996" spans="1:32" ht="18" customHeight="1" x14ac:dyDescent="0.25">
      <c r="A996" s="45">
        <v>992</v>
      </c>
      <c r="B996" s="45" t="s">
        <v>60</v>
      </c>
      <c r="C996" s="45" t="s">
        <v>61</v>
      </c>
      <c r="D996" s="45" t="s">
        <v>62</v>
      </c>
      <c r="E996" s="45" t="s">
        <v>62</v>
      </c>
      <c r="F996" s="59" cm="1">
        <f t="array" ref="F996">_xlfn.IFS($G996=$G$5,F$5,$G996=$G$6,F$6,$G996=$G$7,F$7,$G996=$G$8,F$8,$G996=$G$9,F$9,$G996=$G$10,F$10,$G996=$G$11,F$11,$G996=$G$12,F$12,$G996=$G$13,F$13,$G996=$G$15,F$15,$G996=$G$16,F$16,$G996=$G$17,F$17,$G996=$G$18,F$18,$G996=$G$19,F$19,$G996=$G$20,F$20,$G996=$G$21,F$21,$G996=$G$22,F$22,$G996=$G$25,F$25,$G996=$G$26,F$26,$G996=$G$27,F$27,$G996=$G$29,F$29,$G996=$G$31,F$31,$G996=$G$32,F$32,$G996=$G$248,F$248,$G996=$G$250,F$250)</f>
        <v>8019</v>
      </c>
      <c r="G996" t="s">
        <v>72</v>
      </c>
      <c r="H996" s="60" cm="1">
        <f t="array" ref="H996">_xlfn.IFS($G996=$G$5,H$5,$G996=$G$6,H$6,$G996=$G$7,H$7,$G996=$G$8,H$8,$G996=$G$9,H$9,$G996=$G$10,H$10,$G996=$G$11,H$11,$G996=$G$12,H$12,$G996=$G$13,H$13,$G996=$G$15,H$15,$G996=$G$16,H$16,$G996=$G$17,H$17,$G996=$G$18,H$18,$G996=$G$19,H$19,$G996=$G$20,H$20,$G996=$G$21,H$21,$G996=$G$22,H$22,$G996=$G$25,H$25,$G996=$G$26,H$26,$G996=$G$27,H$27,$G996=$G$29,H$29,$G996=$G$31,H$31,$G996=$G$32,H$150,$G996=$G$248,H$248,$G996=$G$250,H$250)</f>
        <v>41.382339999999999</v>
      </c>
      <c r="I996" s="60" cm="1">
        <f t="array" ref="I996">_xlfn.IFS($G996=$G$5,I$5,$G996=$G$6,I$6,$G996=$G$7,I$7,$G996=$G$8,I$8,$G996=$G$9,I$9,$G996=$G$10,I$10,$G996=$G$11,I$11,$G996=$G$12,I$12,$G996=$G$13,I$13,$G996=$G$15,I$15,$G996=$G$16,I$16,$G996=$G$17,I$17,$G996=$G$18,I$18,$G996=$G$19,I$19,$G996=$G$20,I$20,$G996=$G$21,I$21,$G996=$G$22,I$22,$G996=$G$25,I$25,$G996=$G$26,I$26,$G996=$G$27,I$27,$G996=$G$29,I$29,$G996=$G$31,I$31,$G996=$G$32,I$150,$G996=$G$248,I$248,$G996=$G$250,I$250)</f>
        <v>2.1714790000000002</v>
      </c>
      <c r="J996" s="61" cm="1">
        <f t="array" ref="J996">_xlfn.IFS($G996=$G$5,J$5,$G996=$G$6,J$6,$G996=$G$7,J$7,$G996=$G$8,J$8,$G996=$G$9,J$9,$G996=$G$10,J$10,$G996=$G$11,J$11,$G996=$G$12,J$12,$G996=$G$13,J$13,$G996=$G$15,J$15,$G996=$G$16,J$16,$G996=$G$17,J$17,$G996=$G$18,J$18,$G996=$G$19,J$19,$G996=$G$20,J$20,$G996=$G$21,J$21,$G996=$G$22,J$22,$G996=$G$25,J$25,$G996=$G$26,J$26,$G996=$G$27,J$27,$G996=$G$29,J$29,$G996=$G$31,J$31,$G996=$G$32,J$150,$G996=$G$248,J$248,$G996=$G$250,J$250)</f>
        <v>18</v>
      </c>
      <c r="K996" t="str" cm="1">
        <f t="array" ref="K996">_xlfn.IFS($G996=$G$5,K$5,$G996=$G$6,K$6,$G996=$G$7,K$7,$G996=$G$8,K$8,$G996=$G$9,K$9,$G996=$G$10,K$10,$G996=$G$11,K$11,$G996=$G$12,K$12,$G996=$G$13,K$13,$G996=$G$15,K$15,$G996=$G$16,K$16,$G996=$G$17,K$17,$G996=$G$18,K$18,$G996=$G$19,K$19,$G996=$G$20,K$20,$G996=$G$21,K$21,$G996=$G$22,K$22,$G996=$G$25,K$25,$G996=$G$26,K$26,$G996=$G$27,K$27,$G996=$G$29,K$29,$G996=$G$31,K$31,$G996=$G$32,K$150,$G996=$G$248,K$248,$G996=$G$250,K$250)</f>
        <v>BG sentinel + BG lure7</v>
      </c>
      <c r="O996" s="69" t="str">
        <f t="shared" si="82"/>
        <v>A_SP_BCN_5_211028</v>
      </c>
      <c r="P996" s="64">
        <v>44497</v>
      </c>
      <c r="R996" s="72"/>
      <c r="S996" s="64">
        <v>44504</v>
      </c>
      <c r="U996" s="72"/>
      <c r="V996" s="54" t="s">
        <v>66</v>
      </c>
      <c r="X996" s="69">
        <f t="shared" si="76"/>
        <v>7</v>
      </c>
      <c r="Z996" s="45" t="s">
        <v>70</v>
      </c>
      <c r="AA996" s="69">
        <f t="shared" si="81"/>
        <v>2</v>
      </c>
      <c r="AB996" t="str">
        <f t="shared" si="73"/>
        <v>Adult</v>
      </c>
      <c r="AC996" s="69">
        <v>2</v>
      </c>
      <c r="AD996" s="69">
        <v>0</v>
      </c>
      <c r="AE996" s="45" t="str">
        <f t="shared" si="74"/>
        <v>Morphological</v>
      </c>
      <c r="AF996" s="56">
        <v>4</v>
      </c>
    </row>
    <row r="997" spans="1:32" ht="18" customHeight="1" x14ac:dyDescent="0.25">
      <c r="A997" s="45">
        <v>993</v>
      </c>
      <c r="B997" s="45" t="s">
        <v>60</v>
      </c>
      <c r="C997" s="45" t="s">
        <v>61</v>
      </c>
      <c r="D997" s="45" t="s">
        <v>62</v>
      </c>
      <c r="E997" s="45" t="s">
        <v>62</v>
      </c>
      <c r="F997" s="59" cm="1">
        <f t="array" ref="F997">_xlfn.IFS($G997=$G$5,F$5,$G997=$G$6,F$6,$G997=$G$7,F$7,$G997=$G$8,F$8,$G997=$G$9,F$9,$G997=$G$10,F$10,$G997=$G$11,F$11,$G997=$G$12,F$12,$G997=$G$13,F$13,$G997=$G$15,F$15,$G997=$G$16,F$16,$G997=$G$17,F$17,$G997=$G$18,F$18,$G997=$G$19,F$19,$G997=$G$20,F$20,$G997=$G$21,F$21,$G997=$G$22,F$22,$G997=$G$25,F$25,$G997=$G$26,F$26,$G997=$G$27,F$27,$G997=$G$29,F$29,$G997=$G$31,F$31,$G997=$G$32,F$32,$G997=$G$248,F$248,$G997=$G$250,F$250)</f>
        <v>8002</v>
      </c>
      <c r="G997" t="s">
        <v>73</v>
      </c>
      <c r="H997" s="60" cm="1">
        <f t="array" ref="H997">_xlfn.IFS($G997=$G$5,H$5,$G997=$G$6,H$6,$G997=$G$7,H$7,$G997=$G$8,H$8,$G997=$G$9,H$9,$G997=$G$10,H$10,$G997=$G$11,H$11,$G997=$G$12,H$12,$G997=$G$13,H$13,$G997=$G$15,H$15,$G997=$G$16,H$16,$G997=$G$17,H$17,$G997=$G$18,H$18,$G997=$G$19,H$19,$G997=$G$20,H$20,$G997=$G$21,H$21,$G997=$G$22,H$22,$G997=$G$25,H$25,$G997=$G$26,H$26,$G997=$G$27,H$27,$G997=$G$29,H$29,$G997=$G$31,H$31,$G997=$G$32,H$150,$G997=$G$248,H$248,$G997=$G$250,H$250)</f>
        <v>41.371864000000002</v>
      </c>
      <c r="I997" s="60" cm="1">
        <f t="array" ref="I997">_xlfn.IFS($G997=$G$5,I$5,$G997=$G$6,I$6,$G997=$G$7,I$7,$G997=$G$8,I$8,$G997=$G$9,I$9,$G997=$G$10,I$10,$G997=$G$11,I$11,$G997=$G$12,I$12,$G997=$G$13,I$13,$G997=$G$15,I$15,$G997=$G$16,I$16,$G997=$G$17,I$17,$G997=$G$18,I$18,$G997=$G$19,I$19,$G997=$G$20,I$20,$G997=$G$21,I$21,$G997=$G$22,I$22,$G997=$G$25,I$25,$G997=$G$26,I$26,$G997=$G$27,I$27,$G997=$G$29,I$29,$G997=$G$31,I$31,$G997=$G$32,I$150,$G997=$G$248,I$248,$G997=$G$250,I$250)</f>
        <v>2.173899</v>
      </c>
      <c r="J997" s="61" cm="1">
        <f t="array" ref="J997">_xlfn.IFS($G997=$G$5,J$5,$G997=$G$6,J$6,$G997=$G$7,J$7,$G997=$G$8,J$8,$G997=$G$9,J$9,$G997=$G$10,J$10,$G997=$G$11,J$11,$G997=$G$12,J$12,$G997=$G$13,J$13,$G997=$G$15,J$15,$G997=$G$16,J$16,$G997=$G$17,J$17,$G997=$G$18,J$18,$G997=$G$19,J$19,$G997=$G$20,J$20,$G997=$G$21,J$21,$G997=$G$22,J$22,$G997=$G$25,J$25,$G997=$G$26,J$26,$G997=$G$27,J$27,$G997=$G$29,J$29,$G997=$G$31,J$31,$G997=$G$32,J$150,$G997=$G$248,J$248,$G997=$G$250,J$250)</f>
        <v>19</v>
      </c>
      <c r="K997" t="str" cm="1">
        <f t="array" ref="K997">_xlfn.IFS($G997=$G$5,K$5,$G997=$G$6,K$6,$G997=$G$7,K$7,$G997=$G$8,K$8,$G997=$G$9,K$9,$G997=$G$10,K$10,$G997=$G$11,K$11,$G997=$G$12,K$12,$G997=$G$13,K$13,$G997=$G$15,K$15,$G997=$G$16,K$16,$G997=$G$17,K$17,$G997=$G$18,K$18,$G997=$G$19,K$19,$G997=$G$20,K$20,$G997=$G$21,K$21,$G997=$G$22,K$22,$G997=$G$25,K$25,$G997=$G$26,K$26,$G997=$G$27,K$27,$G997=$G$29,K$29,$G997=$G$31,K$31,$G997=$G$32,K$150,$G997=$G$248,K$248,$G997=$G$250,K$250)</f>
        <v>BG sentinel + BG lure7</v>
      </c>
      <c r="O997" s="69" t="str">
        <f t="shared" si="82"/>
        <v>A_SP_BCN_6_211028</v>
      </c>
      <c r="P997" s="64">
        <v>44497</v>
      </c>
      <c r="R997" s="72"/>
      <c r="S997" s="64">
        <v>44504</v>
      </c>
      <c r="U997" s="72"/>
      <c r="V997" s="54" t="s">
        <v>66</v>
      </c>
      <c r="X997" s="69">
        <f t="shared" si="76"/>
        <v>7</v>
      </c>
      <c r="Z997" s="69" t="s">
        <v>69</v>
      </c>
      <c r="AA997" s="69">
        <f t="shared" si="81"/>
        <v>2</v>
      </c>
      <c r="AB997" t="str">
        <f t="shared" si="73"/>
        <v>Adult</v>
      </c>
      <c r="AC997" s="69">
        <v>2</v>
      </c>
      <c r="AD997" s="69">
        <v>0</v>
      </c>
      <c r="AE997" s="45" t="str">
        <f t="shared" si="74"/>
        <v>Morphological</v>
      </c>
      <c r="AF997" s="56">
        <v>4</v>
      </c>
    </row>
    <row r="998" spans="1:32" ht="18" customHeight="1" x14ac:dyDescent="0.25">
      <c r="A998" s="45">
        <v>994</v>
      </c>
      <c r="B998" s="45" t="s">
        <v>60</v>
      </c>
      <c r="C998" s="45" t="s">
        <v>61</v>
      </c>
      <c r="D998" s="45" t="s">
        <v>62</v>
      </c>
      <c r="E998" s="45" t="s">
        <v>62</v>
      </c>
      <c r="F998" s="59" cm="1">
        <f t="array" ref="F998">_xlfn.IFS($G998=$G$5,F$5,$G998=$G$6,F$6,$G998=$G$7,F$7,$G998=$G$8,F$8,$G998=$G$9,F$9,$G998=$G$10,F$10,$G998=$G$11,F$11,$G998=$G$12,F$12,$G998=$G$13,F$13,$G998=$G$15,F$15,$G998=$G$16,F$16,$G998=$G$17,F$17,$G998=$G$18,F$18,$G998=$G$19,F$19,$G998=$G$20,F$20,$G998=$G$21,F$21,$G998=$G$22,F$22,$G998=$G$25,F$25,$G998=$G$26,F$26,$G998=$G$27,F$27,$G998=$G$29,F$29,$G998=$G$31,F$31,$G998=$G$32,F$32,$G998=$G$248,F$248,$G998=$G$250,F$250)</f>
        <v>8002</v>
      </c>
      <c r="G998" t="s">
        <v>73</v>
      </c>
      <c r="H998" s="60" cm="1">
        <f t="array" ref="H998">_xlfn.IFS($G998=$G$5,H$5,$G998=$G$6,H$6,$G998=$G$7,H$7,$G998=$G$8,H$8,$G998=$G$9,H$9,$G998=$G$10,H$10,$G998=$G$11,H$11,$G998=$G$12,H$12,$G998=$G$13,H$13,$G998=$G$15,H$15,$G998=$G$16,H$16,$G998=$G$17,H$17,$G998=$G$18,H$18,$G998=$G$19,H$19,$G998=$G$20,H$20,$G998=$G$21,H$21,$G998=$G$22,H$22,$G998=$G$25,H$25,$G998=$G$26,H$26,$G998=$G$27,H$27,$G998=$G$29,H$29,$G998=$G$31,H$31,$G998=$G$32,H$150,$G998=$G$248,H$248,$G998=$G$250,H$250)</f>
        <v>41.371864000000002</v>
      </c>
      <c r="I998" s="60" cm="1">
        <f t="array" ref="I998">_xlfn.IFS($G998=$G$5,I$5,$G998=$G$6,I$6,$G998=$G$7,I$7,$G998=$G$8,I$8,$G998=$G$9,I$9,$G998=$G$10,I$10,$G998=$G$11,I$11,$G998=$G$12,I$12,$G998=$G$13,I$13,$G998=$G$15,I$15,$G998=$G$16,I$16,$G998=$G$17,I$17,$G998=$G$18,I$18,$G998=$G$19,I$19,$G998=$G$20,I$20,$G998=$G$21,I$21,$G998=$G$22,I$22,$G998=$G$25,I$25,$G998=$G$26,I$26,$G998=$G$27,I$27,$G998=$G$29,I$29,$G998=$G$31,I$31,$G998=$G$32,I$150,$G998=$G$248,I$248,$G998=$G$250,I$250)</f>
        <v>2.173899</v>
      </c>
      <c r="J998" s="61" cm="1">
        <f t="array" ref="J998">_xlfn.IFS($G998=$G$5,J$5,$G998=$G$6,J$6,$G998=$G$7,J$7,$G998=$G$8,J$8,$G998=$G$9,J$9,$G998=$G$10,J$10,$G998=$G$11,J$11,$G998=$G$12,J$12,$G998=$G$13,J$13,$G998=$G$15,J$15,$G998=$G$16,J$16,$G998=$G$17,J$17,$G998=$G$18,J$18,$G998=$G$19,J$19,$G998=$G$20,J$20,$G998=$G$21,J$21,$G998=$G$22,J$22,$G998=$G$25,J$25,$G998=$G$26,J$26,$G998=$G$27,J$27,$G998=$G$29,J$29,$G998=$G$31,J$31,$G998=$G$32,J$150,$G998=$G$248,J$248,$G998=$G$250,J$250)</f>
        <v>19</v>
      </c>
      <c r="K998" t="str" cm="1">
        <f t="array" ref="K998">_xlfn.IFS($G998=$G$5,K$5,$G998=$G$6,K$6,$G998=$G$7,K$7,$G998=$G$8,K$8,$G998=$G$9,K$9,$G998=$G$10,K$10,$G998=$G$11,K$11,$G998=$G$12,K$12,$G998=$G$13,K$13,$G998=$G$15,K$15,$G998=$G$16,K$16,$G998=$G$17,K$17,$G998=$G$18,K$18,$G998=$G$19,K$19,$G998=$G$20,K$20,$G998=$G$21,K$21,$G998=$G$22,K$22,$G998=$G$25,K$25,$G998=$G$26,K$26,$G998=$G$27,K$27,$G998=$G$29,K$29,$G998=$G$31,K$31,$G998=$G$32,K$150,$G998=$G$248,K$248,$G998=$G$250,K$250)</f>
        <v>BG sentinel + BG lure7</v>
      </c>
      <c r="O998" s="69" t="str">
        <f t="shared" si="82"/>
        <v>A_SP_BCN_6_211028</v>
      </c>
      <c r="P998" s="64">
        <v>44497</v>
      </c>
      <c r="R998" s="72"/>
      <c r="S998" s="64">
        <v>44504</v>
      </c>
      <c r="U998" s="72"/>
      <c r="V998" s="54" t="s">
        <v>66</v>
      </c>
      <c r="X998" s="69">
        <f t="shared" si="76"/>
        <v>7</v>
      </c>
      <c r="Z998" s="45" t="s">
        <v>70</v>
      </c>
      <c r="AA998" s="69">
        <f t="shared" si="81"/>
        <v>3</v>
      </c>
      <c r="AB998" t="str">
        <f t="shared" si="73"/>
        <v>Adult</v>
      </c>
      <c r="AC998" s="69">
        <v>2</v>
      </c>
      <c r="AD998" s="69">
        <v>1</v>
      </c>
      <c r="AE998" s="45" t="str">
        <f t="shared" si="74"/>
        <v>Morphological</v>
      </c>
      <c r="AF998" s="56">
        <v>4</v>
      </c>
    </row>
    <row r="999" spans="1:32" ht="18" customHeight="1" x14ac:dyDescent="0.25">
      <c r="A999" s="45">
        <v>995</v>
      </c>
      <c r="B999" s="45" t="s">
        <v>60</v>
      </c>
      <c r="C999" s="45" t="s">
        <v>61</v>
      </c>
      <c r="D999" s="45" t="s">
        <v>62</v>
      </c>
      <c r="E999" s="45" t="s">
        <v>62</v>
      </c>
      <c r="F999" s="59" cm="1">
        <f t="array" ref="F999">_xlfn.IFS($G999=$G$5,F$5,$G999=$G$6,F$6,$G999=$G$7,F$7,$G999=$G$8,F$8,$G999=$G$9,F$9,$G999=$G$10,F$10,$G999=$G$11,F$11,$G999=$G$12,F$12,$G999=$G$13,F$13,$G999=$G$15,F$15,$G999=$G$16,F$16,$G999=$G$17,F$17,$G999=$G$18,F$18,$G999=$G$19,F$19,$G999=$G$20,F$20,$G999=$G$21,F$21,$G999=$G$22,F$22,$G999=$G$25,F$25,$G999=$G$26,F$26,$G999=$G$27,F$27,$G999=$G$29,F$29,$G999=$G$31,F$31,$G999=$G$32,F$32,$G999=$G$248,F$248,$G999=$G$250,F$250)</f>
        <v>8002</v>
      </c>
      <c r="G999" t="s">
        <v>73</v>
      </c>
      <c r="H999" s="60" cm="1">
        <f t="array" ref="H999">_xlfn.IFS($G999=$G$5,H$5,$G999=$G$6,H$6,$G999=$G$7,H$7,$G999=$G$8,H$8,$G999=$G$9,H$9,$G999=$G$10,H$10,$G999=$G$11,H$11,$G999=$G$12,H$12,$G999=$G$13,H$13,$G999=$G$15,H$15,$G999=$G$16,H$16,$G999=$G$17,H$17,$G999=$G$18,H$18,$G999=$G$19,H$19,$G999=$G$20,H$20,$G999=$G$21,H$21,$G999=$G$22,H$22,$G999=$G$25,H$25,$G999=$G$26,H$26,$G999=$G$27,H$27,$G999=$G$29,H$29,$G999=$G$31,H$31,$G999=$G$32,H$150,$G999=$G$248,H$248,$G999=$G$250,H$250)</f>
        <v>41.371864000000002</v>
      </c>
      <c r="I999" s="60" cm="1">
        <f t="array" ref="I999">_xlfn.IFS($G999=$G$5,I$5,$G999=$G$6,I$6,$G999=$G$7,I$7,$G999=$G$8,I$8,$G999=$G$9,I$9,$G999=$G$10,I$10,$G999=$G$11,I$11,$G999=$G$12,I$12,$G999=$G$13,I$13,$G999=$G$15,I$15,$G999=$G$16,I$16,$G999=$G$17,I$17,$G999=$G$18,I$18,$G999=$G$19,I$19,$G999=$G$20,I$20,$G999=$G$21,I$21,$G999=$G$22,I$22,$G999=$G$25,I$25,$G999=$G$26,I$26,$G999=$G$27,I$27,$G999=$G$29,I$29,$G999=$G$31,I$31,$G999=$G$32,I$150,$G999=$G$248,I$248,$G999=$G$250,I$250)</f>
        <v>2.173899</v>
      </c>
      <c r="J999" s="61" cm="1">
        <f t="array" ref="J999">_xlfn.IFS($G999=$G$5,J$5,$G999=$G$6,J$6,$G999=$G$7,J$7,$G999=$G$8,J$8,$G999=$G$9,J$9,$G999=$G$10,J$10,$G999=$G$11,J$11,$G999=$G$12,J$12,$G999=$G$13,J$13,$G999=$G$15,J$15,$G999=$G$16,J$16,$G999=$G$17,J$17,$G999=$G$18,J$18,$G999=$G$19,J$19,$G999=$G$20,J$20,$G999=$G$21,J$21,$G999=$G$22,J$22,$G999=$G$25,J$25,$G999=$G$26,J$26,$G999=$G$27,J$27,$G999=$G$29,J$29,$G999=$G$31,J$31,$G999=$G$32,J$150,$G999=$G$248,J$248,$G999=$G$250,J$250)</f>
        <v>19</v>
      </c>
      <c r="K999" t="str" cm="1">
        <f t="array" ref="K999">_xlfn.IFS($G999=$G$5,K$5,$G999=$G$6,K$6,$G999=$G$7,K$7,$G999=$G$8,K$8,$G999=$G$9,K$9,$G999=$G$10,K$10,$G999=$G$11,K$11,$G999=$G$12,K$12,$G999=$G$13,K$13,$G999=$G$15,K$15,$G999=$G$16,K$16,$G999=$G$17,K$17,$G999=$G$18,K$18,$G999=$G$19,K$19,$G999=$G$20,K$20,$G999=$G$21,K$21,$G999=$G$22,K$22,$G999=$G$25,K$25,$G999=$G$26,K$26,$G999=$G$27,K$27,$G999=$G$29,K$29,$G999=$G$31,K$31,$G999=$G$32,K$150,$G999=$G$248,K$248,$G999=$G$250,K$250)</f>
        <v>BG sentinel + BG lure7</v>
      </c>
      <c r="O999" s="69" t="str">
        <f t="shared" si="82"/>
        <v>A_SP_BCN_6_211028</v>
      </c>
      <c r="P999" s="64">
        <v>44497</v>
      </c>
      <c r="R999" s="72"/>
      <c r="S999" s="64">
        <v>44504</v>
      </c>
      <c r="U999" s="72"/>
      <c r="V999" s="54" t="s">
        <v>66</v>
      </c>
      <c r="X999" s="69">
        <f t="shared" si="76"/>
        <v>7</v>
      </c>
      <c r="Z999" s="45" t="s">
        <v>80</v>
      </c>
      <c r="AA999" s="69">
        <f t="shared" si="81"/>
        <v>1</v>
      </c>
      <c r="AB999" t="str">
        <f t="shared" si="73"/>
        <v>Adult</v>
      </c>
      <c r="AC999" s="69">
        <v>1</v>
      </c>
      <c r="AD999" s="69">
        <v>0</v>
      </c>
      <c r="AE999" s="45" t="str">
        <f t="shared" si="74"/>
        <v>Morphological</v>
      </c>
      <c r="AF999" s="56">
        <v>4</v>
      </c>
    </row>
    <row r="1000" spans="1:32" ht="18" customHeight="1" x14ac:dyDescent="0.25">
      <c r="A1000" s="45">
        <v>996</v>
      </c>
      <c r="B1000" s="45" t="s">
        <v>60</v>
      </c>
      <c r="C1000" s="45" t="s">
        <v>61</v>
      </c>
      <c r="D1000" s="45" t="s">
        <v>62</v>
      </c>
      <c r="E1000" s="45" t="s">
        <v>62</v>
      </c>
      <c r="F1000" s="59" cm="1">
        <f t="array" ref="F1000">_xlfn.IFS($G1000=$G$5,F$5,$G1000=$G$6,F$6,$G1000=$G$7,F$7,$G1000=$G$8,F$8,$G1000=$G$9,F$9,$G1000=$G$10,F$10,$G1000=$G$11,F$11,$G1000=$G$12,F$12,$G1000=$G$13,F$13,$G1000=$G$15,F$15,$G1000=$G$16,F$16,$G1000=$G$17,F$17,$G1000=$G$18,F$18,$G1000=$G$19,F$19,$G1000=$G$20,F$20,$G1000=$G$21,F$21,$G1000=$G$22,F$22,$G1000=$G$25,F$25,$G1000=$G$26,F$26,$G1000=$G$27,F$27,$G1000=$G$29,F$29,$G1000=$G$31,F$31,$G1000=$G$32,F$32,$G1000=$G$248,F$248,$G1000=$G$250,F$250)</f>
        <v>8038</v>
      </c>
      <c r="G1000" t="s">
        <v>74</v>
      </c>
      <c r="H1000" s="60" cm="1">
        <f t="array" ref="H1000">_xlfn.IFS($G1000=$G$5,H$5,$G1000=$G$6,H$6,$G1000=$G$7,H$7,$G1000=$G$8,H$8,$G1000=$G$9,H$9,$G1000=$G$10,H$10,$G1000=$G$11,H$11,$G1000=$G$12,H$12,$G1000=$G$13,H$13,$G1000=$G$15,H$15,$G1000=$G$16,H$16,$G1000=$G$17,H$17,$G1000=$G$18,H$18,$G1000=$G$19,H$19,$G1000=$G$20,H$20,$G1000=$G$21,H$21,$G1000=$G$22,H$22,$G1000=$G$25,H$25,$G1000=$G$26,H$26,$G1000=$G$27,H$27,$G1000=$G$29,H$29,$G1000=$G$31,H$31,$G1000=$G$32,H$150,$G1000=$G$248,H$248,$G1000=$G$250,H$250)</f>
        <v>41.371864000000002</v>
      </c>
      <c r="I1000" s="60" cm="1">
        <f t="array" ref="I1000">_xlfn.IFS($G1000=$G$5,I$5,$G1000=$G$6,I$6,$G1000=$G$7,I$7,$G1000=$G$8,I$8,$G1000=$G$9,I$9,$G1000=$G$10,I$10,$G1000=$G$11,I$11,$G1000=$G$12,I$12,$G1000=$G$13,I$13,$G1000=$G$15,I$15,$G1000=$G$16,I$16,$G1000=$G$17,I$17,$G1000=$G$18,I$18,$G1000=$G$19,I$19,$G1000=$G$20,I$20,$G1000=$G$21,I$21,$G1000=$G$22,I$22,$G1000=$G$25,I$25,$G1000=$G$26,I$26,$G1000=$G$27,I$27,$G1000=$G$29,I$29,$G1000=$G$31,I$31,$G1000=$G$32,I$150,$G1000=$G$248,I$248,$G1000=$G$250,I$250)</f>
        <v>2.173899</v>
      </c>
      <c r="J1000" s="61" cm="1">
        <f t="array" ref="J1000">_xlfn.IFS($G1000=$G$5,J$5,$G1000=$G$6,J$6,$G1000=$G$7,J$7,$G1000=$G$8,J$8,$G1000=$G$9,J$9,$G1000=$G$10,J$10,$G1000=$G$11,J$11,$G1000=$G$12,J$12,$G1000=$G$13,J$13,$G1000=$G$15,J$15,$G1000=$G$16,J$16,$G1000=$G$17,J$17,$G1000=$G$18,J$18,$G1000=$G$19,J$19,$G1000=$G$20,J$20,$G1000=$G$21,J$21,$G1000=$G$22,J$22,$G1000=$G$25,J$25,$G1000=$G$26,J$26,$G1000=$G$27,J$27,$G1000=$G$29,J$29,$G1000=$G$31,J$31,$G1000=$G$32,J$150,$G1000=$G$248,J$248,$G1000=$G$250,J$250)</f>
        <v>5</v>
      </c>
      <c r="K1000" t="str" cm="1">
        <f t="array" ref="K1000">_xlfn.IFS($G1000=$G$5,K$5,$G1000=$G$6,K$6,$G1000=$G$7,K$7,$G1000=$G$8,K$8,$G1000=$G$9,K$9,$G1000=$G$10,K$10,$G1000=$G$11,K$11,$G1000=$G$12,K$12,$G1000=$G$13,K$13,$G1000=$G$15,K$15,$G1000=$G$16,K$16,$G1000=$G$17,K$17,$G1000=$G$18,K$18,$G1000=$G$19,K$19,$G1000=$G$20,K$20,$G1000=$G$21,K$21,$G1000=$G$22,K$22,$G1000=$G$25,K$25,$G1000=$G$26,K$26,$G1000=$G$27,K$27,$G1000=$G$29,K$29,$G1000=$G$31,K$31,$G1000=$G$32,K$150,$G1000=$G$248,K$248,$G1000=$G$250,K$250)</f>
        <v>BG sentinel + BG lure7</v>
      </c>
      <c r="O1000" s="69" t="str">
        <f t="shared" si="82"/>
        <v>A_SP_BCN_7_211028</v>
      </c>
      <c r="P1000" s="64">
        <v>44497</v>
      </c>
      <c r="R1000" s="72"/>
      <c r="S1000" s="64">
        <v>44504</v>
      </c>
      <c r="U1000" s="72"/>
      <c r="V1000" s="54" t="s">
        <v>66</v>
      </c>
      <c r="X1000" s="69">
        <f t="shared" si="76"/>
        <v>7</v>
      </c>
      <c r="Z1000" s="69" t="s">
        <v>69</v>
      </c>
      <c r="AA1000" s="69">
        <f t="shared" si="81"/>
        <v>1</v>
      </c>
      <c r="AB1000" t="str">
        <f t="shared" si="73"/>
        <v>Adult</v>
      </c>
      <c r="AC1000" s="69">
        <v>1</v>
      </c>
      <c r="AD1000" s="69">
        <v>0</v>
      </c>
      <c r="AE1000" s="45" t="str">
        <f t="shared" si="74"/>
        <v>Morphological</v>
      </c>
      <c r="AF1000" s="56">
        <v>4</v>
      </c>
    </row>
    <row r="1001" spans="1:32" ht="18" customHeight="1" x14ac:dyDescent="0.25">
      <c r="A1001" s="45">
        <v>997</v>
      </c>
      <c r="B1001" s="45" t="s">
        <v>60</v>
      </c>
      <c r="C1001" s="45" t="s">
        <v>61</v>
      </c>
      <c r="D1001" s="45" t="s">
        <v>62</v>
      </c>
      <c r="E1001" s="45" t="s">
        <v>62</v>
      </c>
      <c r="F1001" s="59" cm="1">
        <f t="array" ref="F1001">_xlfn.IFS($G1001=$G$5,F$5,$G1001=$G$6,F$6,$G1001=$G$7,F$7,$G1001=$G$8,F$8,$G1001=$G$9,F$9,$G1001=$G$10,F$10,$G1001=$G$11,F$11,$G1001=$G$12,F$12,$G1001=$G$13,F$13,$G1001=$G$15,F$15,$G1001=$G$16,F$16,$G1001=$G$17,F$17,$G1001=$G$18,F$18,$G1001=$G$19,F$19,$G1001=$G$20,F$20,$G1001=$G$21,F$21,$G1001=$G$22,F$22,$G1001=$G$25,F$25,$G1001=$G$26,F$26,$G1001=$G$27,F$27,$G1001=$G$29,F$29,$G1001=$G$31,F$31,$G1001=$G$32,F$32,$G1001=$G$248,F$248,$G1001=$G$250,F$250)</f>
        <v>8038</v>
      </c>
      <c r="G1001" t="s">
        <v>75</v>
      </c>
      <c r="H1001" s="60" cm="1">
        <f t="array" ref="H1001">_xlfn.IFS($G1001=$G$5,H$5,$G1001=$G$6,H$6,$G1001=$G$7,H$7,$G1001=$G$8,H$8,$G1001=$G$9,H$9,$G1001=$G$10,H$10,$G1001=$G$11,H$11,$G1001=$G$12,H$12,$G1001=$G$13,H$13,$G1001=$G$15,H$15,$G1001=$G$16,H$16,$G1001=$G$17,H$17,$G1001=$G$18,H$18,$G1001=$G$19,H$19,$G1001=$G$20,H$20,$G1001=$G$21,H$21,$G1001=$G$22,H$22,$G1001=$G$25,H$25,$G1001=$G$26,H$26,$G1001=$G$27,H$27,$G1001=$G$29,H$29,$G1001=$G$31,H$31,$G1001=$G$32,H$150,$G1001=$G$248,H$248,$G1001=$G$250,H$250)</f>
        <v>41.368589</v>
      </c>
      <c r="I1001" s="60" cm="1">
        <f t="array" ref="I1001">_xlfn.IFS($G1001=$G$5,I$5,$G1001=$G$6,I$6,$G1001=$G$7,I$7,$G1001=$G$8,I$8,$G1001=$G$9,I$9,$G1001=$G$10,I$10,$G1001=$G$11,I$11,$G1001=$G$12,I$12,$G1001=$G$13,I$13,$G1001=$G$15,I$15,$G1001=$G$16,I$16,$G1001=$G$17,I$17,$G1001=$G$18,I$18,$G1001=$G$19,I$19,$G1001=$G$20,I$20,$G1001=$G$21,I$21,$G1001=$G$22,I$22,$G1001=$G$25,I$25,$G1001=$G$26,I$26,$G1001=$G$27,I$27,$G1001=$G$29,I$29,$G1001=$G$31,I$31,$G1001=$G$32,I$150,$G1001=$G$248,I$248,$G1001=$G$250,I$250)</f>
        <v>2.1620900000000001</v>
      </c>
      <c r="J1001" s="61" cm="1">
        <f t="array" ref="J1001">_xlfn.IFS($G1001=$G$5,J$5,$G1001=$G$6,J$6,$G1001=$G$7,J$7,$G1001=$G$8,J$8,$G1001=$G$9,J$9,$G1001=$G$10,J$10,$G1001=$G$11,J$11,$G1001=$G$12,J$12,$G1001=$G$13,J$13,$G1001=$G$15,J$15,$G1001=$G$16,J$16,$G1001=$G$17,J$17,$G1001=$G$18,J$18,$G1001=$G$19,J$19,$G1001=$G$20,J$20,$G1001=$G$21,J$21,$G1001=$G$22,J$22,$G1001=$G$25,J$25,$G1001=$G$26,J$26,$G1001=$G$27,J$27,$G1001=$G$29,J$29,$G1001=$G$31,J$31,$G1001=$G$32,J$150,$G1001=$G$248,J$248,$G1001=$G$250,J$250)</f>
        <v>95</v>
      </c>
      <c r="K1001" t="str" cm="1">
        <f t="array" ref="K1001">_xlfn.IFS($G1001=$G$5,K$5,$G1001=$G$6,K$6,$G1001=$G$7,K$7,$G1001=$G$8,K$8,$G1001=$G$9,K$9,$G1001=$G$10,K$10,$G1001=$G$11,K$11,$G1001=$G$12,K$12,$G1001=$G$13,K$13,$G1001=$G$15,K$15,$G1001=$G$16,K$16,$G1001=$G$17,K$17,$G1001=$G$18,K$18,$G1001=$G$19,K$19,$G1001=$G$20,K$20,$G1001=$G$21,K$21,$G1001=$G$22,K$22,$G1001=$G$25,K$25,$G1001=$G$26,K$26,$G1001=$G$27,K$27,$G1001=$G$29,K$29,$G1001=$G$31,K$31,$G1001=$G$32,K$150,$G1001=$G$248,K$248,$G1001=$G$250,K$250)</f>
        <v>BG sentinel + BG lure7</v>
      </c>
      <c r="O1001" s="69" t="str">
        <f t="shared" si="82"/>
        <v>A_SP_BCN_8_211029</v>
      </c>
      <c r="P1001" s="64">
        <v>44498</v>
      </c>
      <c r="R1001" s="72"/>
      <c r="S1001" s="64">
        <v>44504</v>
      </c>
      <c r="U1001" s="72"/>
      <c r="V1001" s="54" t="s">
        <v>66</v>
      </c>
      <c r="X1001" s="69">
        <f t="shared" si="76"/>
        <v>6</v>
      </c>
      <c r="Z1001" s="69" t="s">
        <v>69</v>
      </c>
      <c r="AA1001" s="69">
        <f t="shared" si="81"/>
        <v>19</v>
      </c>
      <c r="AB1001" t="str">
        <f t="shared" si="73"/>
        <v>Adult</v>
      </c>
      <c r="AC1001" s="69">
        <v>18</v>
      </c>
      <c r="AD1001" s="69">
        <v>1</v>
      </c>
      <c r="AE1001" s="45" t="str">
        <f t="shared" si="74"/>
        <v>Morphological</v>
      </c>
      <c r="AF1001" s="56">
        <v>4</v>
      </c>
    </row>
    <row r="1002" spans="1:32" ht="18" customHeight="1" x14ac:dyDescent="0.25">
      <c r="A1002" s="45">
        <v>998</v>
      </c>
      <c r="B1002" s="45" t="s">
        <v>60</v>
      </c>
      <c r="C1002" s="45" t="s">
        <v>61</v>
      </c>
      <c r="D1002" s="45" t="s">
        <v>62</v>
      </c>
      <c r="E1002" s="45" t="s">
        <v>62</v>
      </c>
      <c r="F1002" s="59" cm="1">
        <f t="array" ref="F1002">_xlfn.IFS($G1002=$G$5,F$5,$G1002=$G$6,F$6,$G1002=$G$7,F$7,$G1002=$G$8,F$8,$G1002=$G$9,F$9,$G1002=$G$10,F$10,$G1002=$G$11,F$11,$G1002=$G$12,F$12,$G1002=$G$13,F$13,$G1002=$G$15,F$15,$G1002=$G$16,F$16,$G1002=$G$17,F$17,$G1002=$G$18,F$18,$G1002=$G$19,F$19,$G1002=$G$20,F$20,$G1002=$G$21,F$21,$G1002=$G$22,F$22,$G1002=$G$25,F$25,$G1002=$G$26,F$26,$G1002=$G$27,F$27,$G1002=$G$29,F$29,$G1002=$G$31,F$31,$G1002=$G$32,F$32,$G1002=$G$248,F$248,$G1002=$G$250,F$250)</f>
        <v>8038</v>
      </c>
      <c r="G1002" t="s">
        <v>75</v>
      </c>
      <c r="H1002" s="60" cm="1">
        <f t="array" ref="H1002">_xlfn.IFS($G1002=$G$5,H$5,$G1002=$G$6,H$6,$G1002=$G$7,H$7,$G1002=$G$8,H$8,$G1002=$G$9,H$9,$G1002=$G$10,H$10,$G1002=$G$11,H$11,$G1002=$G$12,H$12,$G1002=$G$13,H$13,$G1002=$G$15,H$15,$G1002=$G$16,H$16,$G1002=$G$17,H$17,$G1002=$G$18,H$18,$G1002=$G$19,H$19,$G1002=$G$20,H$20,$G1002=$G$21,H$21,$G1002=$G$22,H$22,$G1002=$G$25,H$25,$G1002=$G$26,H$26,$G1002=$G$27,H$27,$G1002=$G$29,H$29,$G1002=$G$31,H$31,$G1002=$G$32,H$150,$G1002=$G$248,H$248,$G1002=$G$250,H$250)</f>
        <v>41.368589</v>
      </c>
      <c r="I1002" s="60" cm="1">
        <f t="array" ref="I1002">_xlfn.IFS($G1002=$G$5,I$5,$G1002=$G$6,I$6,$G1002=$G$7,I$7,$G1002=$G$8,I$8,$G1002=$G$9,I$9,$G1002=$G$10,I$10,$G1002=$G$11,I$11,$G1002=$G$12,I$12,$G1002=$G$13,I$13,$G1002=$G$15,I$15,$G1002=$G$16,I$16,$G1002=$G$17,I$17,$G1002=$G$18,I$18,$G1002=$G$19,I$19,$G1002=$G$20,I$20,$G1002=$G$21,I$21,$G1002=$G$22,I$22,$G1002=$G$25,I$25,$G1002=$G$26,I$26,$G1002=$G$27,I$27,$G1002=$G$29,I$29,$G1002=$G$31,I$31,$G1002=$G$32,I$150,$G1002=$G$248,I$248,$G1002=$G$250,I$250)</f>
        <v>2.1620900000000001</v>
      </c>
      <c r="J1002" s="61" cm="1">
        <f t="array" ref="J1002">_xlfn.IFS($G1002=$G$5,J$5,$G1002=$G$6,J$6,$G1002=$G$7,J$7,$G1002=$G$8,J$8,$G1002=$G$9,J$9,$G1002=$G$10,J$10,$G1002=$G$11,J$11,$G1002=$G$12,J$12,$G1002=$G$13,J$13,$G1002=$G$15,J$15,$G1002=$G$16,J$16,$G1002=$G$17,J$17,$G1002=$G$18,J$18,$G1002=$G$19,J$19,$G1002=$G$20,J$20,$G1002=$G$21,J$21,$G1002=$G$22,J$22,$G1002=$G$25,J$25,$G1002=$G$26,J$26,$G1002=$G$27,J$27,$G1002=$G$29,J$29,$G1002=$G$31,J$31,$G1002=$G$32,J$150,$G1002=$G$248,J$248,$G1002=$G$250,J$250)</f>
        <v>95</v>
      </c>
      <c r="K1002" t="str" cm="1">
        <f t="array" ref="K1002">_xlfn.IFS($G1002=$G$5,K$5,$G1002=$G$6,K$6,$G1002=$G$7,K$7,$G1002=$G$8,K$8,$G1002=$G$9,K$9,$G1002=$G$10,K$10,$G1002=$G$11,K$11,$G1002=$G$12,K$12,$G1002=$G$13,K$13,$G1002=$G$15,K$15,$G1002=$G$16,K$16,$G1002=$G$17,K$17,$G1002=$G$18,K$18,$G1002=$G$19,K$19,$G1002=$G$20,K$20,$G1002=$G$21,K$21,$G1002=$G$22,K$22,$G1002=$G$25,K$25,$G1002=$G$26,K$26,$G1002=$G$27,K$27,$G1002=$G$29,K$29,$G1002=$G$31,K$31,$G1002=$G$32,K$150,$G1002=$G$248,K$248,$G1002=$G$250,K$250)</f>
        <v>BG sentinel + BG lure7</v>
      </c>
      <c r="O1002" s="69" t="str">
        <f t="shared" si="82"/>
        <v>A_SP_BCN_8_211029</v>
      </c>
      <c r="P1002" s="64">
        <v>44498</v>
      </c>
      <c r="R1002" s="72"/>
      <c r="S1002" s="64">
        <v>44504</v>
      </c>
      <c r="U1002" s="72"/>
      <c r="V1002" s="54" t="s">
        <v>66</v>
      </c>
      <c r="X1002" s="69">
        <f t="shared" si="76"/>
        <v>6</v>
      </c>
      <c r="Z1002" s="45" t="s">
        <v>70</v>
      </c>
      <c r="AA1002" s="69">
        <f t="shared" si="81"/>
        <v>2</v>
      </c>
      <c r="AB1002" t="str">
        <f t="shared" si="73"/>
        <v>Adult</v>
      </c>
      <c r="AC1002" s="69">
        <v>1</v>
      </c>
      <c r="AD1002" s="69">
        <v>1</v>
      </c>
      <c r="AE1002" s="45" t="str">
        <f t="shared" si="74"/>
        <v>Morphological</v>
      </c>
      <c r="AF1002" s="56">
        <v>4</v>
      </c>
    </row>
    <row r="1003" spans="1:32" ht="18" customHeight="1" x14ac:dyDescent="0.25">
      <c r="A1003" s="45">
        <v>999</v>
      </c>
      <c r="B1003" s="45" t="s">
        <v>60</v>
      </c>
      <c r="C1003" s="45" t="s">
        <v>61</v>
      </c>
      <c r="D1003" s="45" t="s">
        <v>62</v>
      </c>
      <c r="E1003" s="45" t="s">
        <v>62</v>
      </c>
      <c r="F1003" s="59" cm="1">
        <f t="array" ref="F1003">_xlfn.IFS($G1003=$G$5,F$5,$G1003=$G$6,F$6,$G1003=$G$7,F$7,$G1003=$G$8,F$8,$G1003=$G$9,F$9,$G1003=$G$10,F$10,$G1003=$G$11,F$11,$G1003=$G$12,F$12,$G1003=$G$13,F$13,$G1003=$G$15,F$15,$G1003=$G$16,F$16,$G1003=$G$17,F$17,$G1003=$G$18,F$18,$G1003=$G$19,F$19,$G1003=$G$20,F$20,$G1003=$G$21,F$21,$G1003=$G$22,F$22,$G1003=$G$25,F$25,$G1003=$G$26,F$26,$G1003=$G$27,F$27,$G1003=$G$29,F$29,$G1003=$G$31,F$31,$G1003=$G$32,F$32,$G1003=$G$248,F$248,$G1003=$G$250,F$250)</f>
        <v>8038</v>
      </c>
      <c r="G1003" t="s">
        <v>75</v>
      </c>
      <c r="H1003" s="60" cm="1">
        <f t="array" ref="H1003">_xlfn.IFS($G1003=$G$5,H$5,$G1003=$G$6,H$6,$G1003=$G$7,H$7,$G1003=$G$8,H$8,$G1003=$G$9,H$9,$G1003=$G$10,H$10,$G1003=$G$11,H$11,$G1003=$G$12,H$12,$G1003=$G$13,H$13,$G1003=$G$15,H$15,$G1003=$G$16,H$16,$G1003=$G$17,H$17,$G1003=$G$18,H$18,$G1003=$G$19,H$19,$G1003=$G$20,H$20,$G1003=$G$21,H$21,$G1003=$G$22,H$22,$G1003=$G$25,H$25,$G1003=$G$26,H$26,$G1003=$G$27,H$27,$G1003=$G$29,H$29,$G1003=$G$31,H$31,$G1003=$G$32,H$150,$G1003=$G$248,H$248,$G1003=$G$250,H$250)</f>
        <v>41.368589</v>
      </c>
      <c r="I1003" s="60" cm="1">
        <f t="array" ref="I1003">_xlfn.IFS($G1003=$G$5,I$5,$G1003=$G$6,I$6,$G1003=$G$7,I$7,$G1003=$G$8,I$8,$G1003=$G$9,I$9,$G1003=$G$10,I$10,$G1003=$G$11,I$11,$G1003=$G$12,I$12,$G1003=$G$13,I$13,$G1003=$G$15,I$15,$G1003=$G$16,I$16,$G1003=$G$17,I$17,$G1003=$G$18,I$18,$G1003=$G$19,I$19,$G1003=$G$20,I$20,$G1003=$G$21,I$21,$G1003=$G$22,I$22,$G1003=$G$25,I$25,$G1003=$G$26,I$26,$G1003=$G$27,I$27,$G1003=$G$29,I$29,$G1003=$G$31,I$31,$G1003=$G$32,I$150,$G1003=$G$248,I$248,$G1003=$G$250,I$250)</f>
        <v>2.1620900000000001</v>
      </c>
      <c r="J1003" s="61" cm="1">
        <f t="array" ref="J1003">_xlfn.IFS($G1003=$G$5,J$5,$G1003=$G$6,J$6,$G1003=$G$7,J$7,$G1003=$G$8,J$8,$G1003=$G$9,J$9,$G1003=$G$10,J$10,$G1003=$G$11,J$11,$G1003=$G$12,J$12,$G1003=$G$13,J$13,$G1003=$G$15,J$15,$G1003=$G$16,J$16,$G1003=$G$17,J$17,$G1003=$G$18,J$18,$G1003=$G$19,J$19,$G1003=$G$20,J$20,$G1003=$G$21,J$21,$G1003=$G$22,J$22,$G1003=$G$25,J$25,$G1003=$G$26,J$26,$G1003=$G$27,J$27,$G1003=$G$29,J$29,$G1003=$G$31,J$31,$G1003=$G$32,J$150,$G1003=$G$248,J$248,$G1003=$G$250,J$250)</f>
        <v>95</v>
      </c>
      <c r="K1003" t="str" cm="1">
        <f t="array" ref="K1003">_xlfn.IFS($G1003=$G$5,K$5,$G1003=$G$6,K$6,$G1003=$G$7,K$7,$G1003=$G$8,K$8,$G1003=$G$9,K$9,$G1003=$G$10,K$10,$G1003=$G$11,K$11,$G1003=$G$12,K$12,$G1003=$G$13,K$13,$G1003=$G$15,K$15,$G1003=$G$16,K$16,$G1003=$G$17,K$17,$G1003=$G$18,K$18,$G1003=$G$19,K$19,$G1003=$G$20,K$20,$G1003=$G$21,K$21,$G1003=$G$22,K$22,$G1003=$G$25,K$25,$G1003=$G$26,K$26,$G1003=$G$27,K$27,$G1003=$G$29,K$29,$G1003=$G$31,K$31,$G1003=$G$32,K$150,$G1003=$G$248,K$248,$G1003=$G$250,K$250)</f>
        <v>BG sentinel + BG lure7</v>
      </c>
      <c r="O1003" s="69" t="str">
        <f t="shared" si="82"/>
        <v>A_SP_BCN_8_211029</v>
      </c>
      <c r="P1003" s="64">
        <v>44498</v>
      </c>
      <c r="R1003" s="72"/>
      <c r="S1003" s="64">
        <v>44504</v>
      </c>
      <c r="U1003" s="72"/>
      <c r="V1003" s="54" t="s">
        <v>66</v>
      </c>
      <c r="X1003" s="69">
        <f t="shared" si="76"/>
        <v>6</v>
      </c>
      <c r="Z1003" s="45" t="s">
        <v>80</v>
      </c>
      <c r="AA1003" s="69">
        <f t="shared" si="81"/>
        <v>4</v>
      </c>
      <c r="AB1003" t="str">
        <f t="shared" si="73"/>
        <v>Adult</v>
      </c>
      <c r="AC1003" s="69">
        <v>1</v>
      </c>
      <c r="AD1003" s="69">
        <v>3</v>
      </c>
      <c r="AE1003" s="45" t="str">
        <f t="shared" si="74"/>
        <v>Morphological</v>
      </c>
      <c r="AF1003" s="56">
        <v>4</v>
      </c>
    </row>
    <row r="1004" spans="1:32" ht="18" customHeight="1" x14ac:dyDescent="0.25">
      <c r="A1004" s="45">
        <v>1000</v>
      </c>
      <c r="B1004" s="45" t="s">
        <v>60</v>
      </c>
      <c r="C1004" s="45" t="s">
        <v>61</v>
      </c>
      <c r="D1004" s="45" t="s">
        <v>62</v>
      </c>
      <c r="E1004" s="45" t="s">
        <v>62</v>
      </c>
      <c r="F1004" s="59" cm="1">
        <f t="array" ref="F1004">_xlfn.IFS($G1004=$G$5,F$5,$G1004=$G$6,F$6,$G1004=$G$7,F$7,$G1004=$G$8,F$8,$G1004=$G$9,F$9,$G1004=$G$10,F$10,$G1004=$G$11,F$11,$G1004=$G$12,F$12,$G1004=$G$13,F$13,$G1004=$G$15,F$15,$G1004=$G$16,F$16,$G1004=$G$17,F$17,$G1004=$G$18,F$18,$G1004=$G$19,F$19,$G1004=$G$20,F$20,$G1004=$G$21,F$21,$G1004=$G$22,F$22,$G1004=$G$25,F$25,$G1004=$G$26,F$26,$G1004=$G$27,F$27,$G1004=$G$29,F$29,$G1004=$G$31,F$31,$G1004=$G$32,F$32,$G1004=$G$248,F$248,$G1004=$G$250,F$250)</f>
        <v>8034</v>
      </c>
      <c r="G1004" t="s">
        <v>78</v>
      </c>
      <c r="H1004" s="60" cm="1">
        <f t="array" ref="H1004">_xlfn.IFS($G1004=$G$5,H$5,$G1004=$G$6,H$6,$G1004=$G$7,H$7,$G1004=$G$8,H$8,$G1004=$G$9,H$9,$G1004=$G$10,H$10,$G1004=$G$11,H$11,$G1004=$G$12,H$12,$G1004=$G$13,H$13,$G1004=$G$15,H$15,$G1004=$G$16,H$16,$G1004=$G$17,H$17,$G1004=$G$18,H$18,$G1004=$G$19,H$19,$G1004=$G$20,H$20,$G1004=$G$21,H$21,$G1004=$G$22,H$22,$G1004=$G$25,H$25,$G1004=$G$26,H$26,$G1004=$G$27,H$27,$G1004=$G$29,H$29,$G1004=$G$31,H$31,$G1004=$G$32,H$150,$G1004=$G$248,H$248,$G1004=$G$250,H$250)</f>
        <v>41.393644999999999</v>
      </c>
      <c r="I1004" s="60" cm="1">
        <f t="array" ref="I1004">_xlfn.IFS($G1004=$G$5,I$5,$G1004=$G$6,I$6,$G1004=$G$7,I$7,$G1004=$G$8,I$8,$G1004=$G$9,I$9,$G1004=$G$10,I$10,$G1004=$G$11,I$11,$G1004=$G$12,I$12,$G1004=$G$13,I$13,$G1004=$G$15,I$15,$G1004=$G$16,I$16,$G1004=$G$17,I$17,$G1004=$G$18,I$18,$G1004=$G$19,I$19,$G1004=$G$20,I$20,$G1004=$G$21,I$21,$G1004=$G$22,I$22,$G1004=$G$25,I$25,$G1004=$G$26,I$26,$G1004=$G$27,I$27,$G1004=$G$29,I$29,$G1004=$G$31,I$31,$G1004=$G$32,I$150,$G1004=$G$248,I$248,$G1004=$G$250,I$250)</f>
        <v>2.1216780000000002</v>
      </c>
      <c r="J1004" s="61" cm="1">
        <f t="array" ref="J1004">_xlfn.IFS($G1004=$G$5,J$5,$G1004=$G$6,J$6,$G1004=$G$7,J$7,$G1004=$G$8,J$8,$G1004=$G$9,J$9,$G1004=$G$10,J$10,$G1004=$G$11,J$11,$G1004=$G$12,J$12,$G1004=$G$13,J$13,$G1004=$G$15,J$15,$G1004=$G$16,J$16,$G1004=$G$17,J$17,$G1004=$G$18,J$18,$G1004=$G$19,J$19,$G1004=$G$20,J$20,$G1004=$G$21,J$21,$G1004=$G$22,J$22,$G1004=$G$25,J$25,$G1004=$G$26,J$26,$G1004=$G$27,J$27,$G1004=$G$29,J$29,$G1004=$G$31,J$31,$G1004=$G$32,J$150,$G1004=$G$248,J$248,$G1004=$G$250,J$250)</f>
        <v>98</v>
      </c>
      <c r="K1004" t="str" cm="1">
        <f t="array" ref="K1004">_xlfn.IFS($G1004=$G$5,K$5,$G1004=$G$6,K$6,$G1004=$G$7,K$7,$G1004=$G$8,K$8,$G1004=$G$9,K$9,$G1004=$G$10,K$10,$G1004=$G$11,K$11,$G1004=$G$12,K$12,$G1004=$G$13,K$13,$G1004=$G$15,K$15,$G1004=$G$16,K$16,$G1004=$G$17,K$17,$G1004=$G$18,K$18,$G1004=$G$19,K$19,$G1004=$G$20,K$20,$G1004=$G$21,K$21,$G1004=$G$22,K$22,$G1004=$G$25,K$25,$G1004=$G$26,K$26,$G1004=$G$27,K$27,$G1004=$G$29,K$29,$G1004=$G$31,K$31,$G1004=$G$32,K$150,$G1004=$G$248,K$248,$G1004=$G$250,K$250)</f>
        <v>BG sentinel + BG lure7</v>
      </c>
      <c r="O1004" s="69" t="str">
        <f t="shared" si="82"/>
        <v>A_SP_BCN_9_211027</v>
      </c>
      <c r="P1004" s="64">
        <v>44496</v>
      </c>
      <c r="R1004" s="72"/>
      <c r="S1004" s="64">
        <v>44503</v>
      </c>
      <c r="U1004" s="72"/>
      <c r="V1004" s="54" t="s">
        <v>66</v>
      </c>
      <c r="X1004" s="69">
        <f t="shared" si="76"/>
        <v>7</v>
      </c>
      <c r="Z1004" s="69" t="s">
        <v>69</v>
      </c>
      <c r="AA1004" s="69">
        <f t="shared" si="81"/>
        <v>2</v>
      </c>
      <c r="AB1004" t="str">
        <f t="shared" si="73"/>
        <v>Adult</v>
      </c>
      <c r="AC1004" s="69">
        <v>2</v>
      </c>
      <c r="AD1004" s="69">
        <v>0</v>
      </c>
      <c r="AE1004" s="45" t="str">
        <f t="shared" si="74"/>
        <v>Morphological</v>
      </c>
      <c r="AF1004" s="56">
        <v>4</v>
      </c>
    </row>
    <row r="1005" spans="1:32" ht="18" customHeight="1" x14ac:dyDescent="0.25">
      <c r="A1005" s="45">
        <v>1001</v>
      </c>
      <c r="B1005" s="45" t="s">
        <v>60</v>
      </c>
      <c r="C1005" s="45" t="s">
        <v>61</v>
      </c>
      <c r="D1005" s="45" t="s">
        <v>62</v>
      </c>
      <c r="E1005" s="45" t="s">
        <v>62</v>
      </c>
      <c r="F1005" s="59" cm="1">
        <f t="array" ref="F1005">_xlfn.IFS($G1005=$G$5,F$5,$G1005=$G$6,F$6,$G1005=$G$7,F$7,$G1005=$G$8,F$8,$G1005=$G$9,F$9,$G1005=$G$10,F$10,$G1005=$G$11,F$11,$G1005=$G$12,F$12,$G1005=$G$13,F$13,$G1005=$G$15,F$15,$G1005=$G$16,F$16,$G1005=$G$17,F$17,$G1005=$G$18,F$18,$G1005=$G$19,F$19,$G1005=$G$20,F$20,$G1005=$G$21,F$21,$G1005=$G$22,F$22,$G1005=$G$25,F$25,$G1005=$G$26,F$26,$G1005=$G$27,F$27,$G1005=$G$29,F$29,$G1005=$G$31,F$31,$G1005=$G$32,F$32,$G1005=$G$248,F$248,$G1005=$G$250,F$250)</f>
        <v>8034</v>
      </c>
      <c r="G1005" t="s">
        <v>78</v>
      </c>
      <c r="H1005" s="60" cm="1">
        <f t="array" ref="H1005">_xlfn.IFS($G1005=$G$5,H$5,$G1005=$G$6,H$6,$G1005=$G$7,H$7,$G1005=$G$8,H$8,$G1005=$G$9,H$9,$G1005=$G$10,H$10,$G1005=$G$11,H$11,$G1005=$G$12,H$12,$G1005=$G$13,H$13,$G1005=$G$15,H$15,$G1005=$G$16,H$16,$G1005=$G$17,H$17,$G1005=$G$18,H$18,$G1005=$G$19,H$19,$G1005=$G$20,H$20,$G1005=$G$21,H$21,$G1005=$G$22,H$22,$G1005=$G$25,H$25,$G1005=$G$26,H$26,$G1005=$G$27,H$27,$G1005=$G$29,H$29,$G1005=$G$31,H$31,$G1005=$G$32,H$150,$G1005=$G$248,H$248,$G1005=$G$250,H$250)</f>
        <v>41.393644999999999</v>
      </c>
      <c r="I1005" s="60" cm="1">
        <f t="array" ref="I1005">_xlfn.IFS($G1005=$G$5,I$5,$G1005=$G$6,I$6,$G1005=$G$7,I$7,$G1005=$G$8,I$8,$G1005=$G$9,I$9,$G1005=$G$10,I$10,$G1005=$G$11,I$11,$G1005=$G$12,I$12,$G1005=$G$13,I$13,$G1005=$G$15,I$15,$G1005=$G$16,I$16,$G1005=$G$17,I$17,$G1005=$G$18,I$18,$G1005=$G$19,I$19,$G1005=$G$20,I$20,$G1005=$G$21,I$21,$G1005=$G$22,I$22,$G1005=$G$25,I$25,$G1005=$G$26,I$26,$G1005=$G$27,I$27,$G1005=$G$29,I$29,$G1005=$G$31,I$31,$G1005=$G$32,I$150,$G1005=$G$248,I$248,$G1005=$G$250,I$250)</f>
        <v>2.1216780000000002</v>
      </c>
      <c r="J1005" s="61" cm="1">
        <f t="array" ref="J1005">_xlfn.IFS($G1005=$G$5,J$5,$G1005=$G$6,J$6,$G1005=$G$7,J$7,$G1005=$G$8,J$8,$G1005=$G$9,J$9,$G1005=$G$10,J$10,$G1005=$G$11,J$11,$G1005=$G$12,J$12,$G1005=$G$13,J$13,$G1005=$G$15,J$15,$G1005=$G$16,J$16,$G1005=$G$17,J$17,$G1005=$G$18,J$18,$G1005=$G$19,J$19,$G1005=$G$20,J$20,$G1005=$G$21,J$21,$G1005=$G$22,J$22,$G1005=$G$25,J$25,$G1005=$G$26,J$26,$G1005=$G$27,J$27,$G1005=$G$29,J$29,$G1005=$G$31,J$31,$G1005=$G$32,J$150,$G1005=$G$248,J$248,$G1005=$G$250,J$250)</f>
        <v>98</v>
      </c>
      <c r="K1005" t="str" cm="1">
        <f t="array" ref="K1005">_xlfn.IFS($G1005=$G$5,K$5,$G1005=$G$6,K$6,$G1005=$G$7,K$7,$G1005=$G$8,K$8,$G1005=$G$9,K$9,$G1005=$G$10,K$10,$G1005=$G$11,K$11,$G1005=$G$12,K$12,$G1005=$G$13,K$13,$G1005=$G$15,K$15,$G1005=$G$16,K$16,$G1005=$G$17,K$17,$G1005=$G$18,K$18,$G1005=$G$19,K$19,$G1005=$G$20,K$20,$G1005=$G$21,K$21,$G1005=$G$22,K$22,$G1005=$G$25,K$25,$G1005=$G$26,K$26,$G1005=$G$27,K$27,$G1005=$G$29,K$29,$G1005=$G$31,K$31,$G1005=$G$32,K$150,$G1005=$G$248,K$248,$G1005=$G$250,K$250)</f>
        <v>BG sentinel + BG lure7</v>
      </c>
      <c r="O1005" s="69" t="str">
        <f t="shared" si="82"/>
        <v>A_SP_BCN_9_211027</v>
      </c>
      <c r="P1005" s="64">
        <v>44496</v>
      </c>
      <c r="R1005" s="72"/>
      <c r="S1005" s="64">
        <v>44503</v>
      </c>
      <c r="U1005" s="72"/>
      <c r="V1005" s="54" t="s">
        <v>66</v>
      </c>
      <c r="X1005" s="69">
        <f t="shared" si="76"/>
        <v>7</v>
      </c>
      <c r="Z1005" s="45" t="s">
        <v>80</v>
      </c>
      <c r="AA1005" s="69">
        <f t="shared" si="81"/>
        <v>5</v>
      </c>
      <c r="AB1005" t="str">
        <f t="shared" si="73"/>
        <v>Adult</v>
      </c>
      <c r="AC1005" s="69">
        <v>4</v>
      </c>
      <c r="AD1005" s="69">
        <v>1</v>
      </c>
      <c r="AE1005" s="45" t="str">
        <f t="shared" si="74"/>
        <v>Morphological</v>
      </c>
      <c r="AF1005" s="56">
        <v>4</v>
      </c>
    </row>
    <row r="1006" spans="1:32" ht="18" customHeight="1" x14ac:dyDescent="0.25">
      <c r="A1006" s="45">
        <v>1002</v>
      </c>
      <c r="B1006" s="45" t="s">
        <v>60</v>
      </c>
      <c r="C1006" s="45" t="s">
        <v>61</v>
      </c>
      <c r="D1006" s="45" t="s">
        <v>62</v>
      </c>
      <c r="E1006" s="45" t="s">
        <v>62</v>
      </c>
      <c r="F1006" s="59" cm="1">
        <f t="array" ref="F1006">_xlfn.IFS($G1006=$G$5,F$5,$G1006=$G$6,F$6,$G1006=$G$7,F$7,$G1006=$G$8,F$8,$G1006=$G$9,F$9,$G1006=$G$10,F$10,$G1006=$G$11,F$11,$G1006=$G$12,F$12,$G1006=$G$13,F$13,$G1006=$G$15,F$15,$G1006=$G$16,F$16,$G1006=$G$17,F$17,$G1006=$G$18,F$18,$G1006=$G$19,F$19,$G1006=$G$20,F$20,$G1006=$G$21,F$21,$G1006=$G$22,F$22,$G1006=$G$25,F$25,$G1006=$G$26,F$26,$G1006=$G$27,F$27,$G1006=$G$29,F$29,$G1006=$G$31,F$31,$G1006=$G$32,F$32,$G1006=$G$248,F$248,$G1006=$G$250,F$250)</f>
        <v>8040</v>
      </c>
      <c r="G1006" t="s">
        <v>81</v>
      </c>
      <c r="H1006" s="60" cm="1">
        <f t="array" ref="H1006">_xlfn.IFS($G1006=$G$5,H$5,$G1006=$G$6,H$6,$G1006=$G$7,H$7,$G1006=$G$8,H$8,$G1006=$G$9,H$9,$G1006=$G$10,H$10,$G1006=$G$11,H$11,$G1006=$G$12,H$12,$G1006=$G$13,H$13,$G1006=$G$15,H$15,$G1006=$G$16,H$16,$G1006=$G$17,H$17,$G1006=$G$18,H$18,$G1006=$G$19,H$19,$G1006=$G$20,H$20,$G1006=$G$21,H$21,$G1006=$G$22,H$22,$G1006=$G$25,H$25,$G1006=$G$26,H$26,$G1006=$G$27,H$27,$G1006=$G$29,H$29,$G1006=$G$31,H$31,$G1006=$G$32,H$150,$G1006=$G$248,H$248,$G1006=$G$250,H$250)</f>
        <v>41.343685000000001</v>
      </c>
      <c r="I1006" s="60" cm="1">
        <f t="array" ref="I1006">_xlfn.IFS($G1006=$G$5,I$5,$G1006=$G$6,I$6,$G1006=$G$7,I$7,$G1006=$G$8,I$8,$G1006=$G$9,I$9,$G1006=$G$10,I$10,$G1006=$G$11,I$11,$G1006=$G$12,I$12,$G1006=$G$13,I$13,$G1006=$G$15,I$15,$G1006=$G$16,I$16,$G1006=$G$17,I$17,$G1006=$G$18,I$18,$G1006=$G$19,I$19,$G1006=$G$20,I$20,$G1006=$G$21,I$21,$G1006=$G$22,I$22,$G1006=$G$25,I$25,$G1006=$G$26,I$26,$G1006=$G$27,I$27,$G1006=$G$29,I$29,$G1006=$G$31,I$31,$G1006=$G$32,I$150,$G1006=$G$248,I$248,$G1006=$G$250,I$250)</f>
        <v>2.1441490000000001</v>
      </c>
      <c r="J1006" s="61" cm="1">
        <f t="array" ref="J1006">_xlfn.IFS($G1006=$G$5,J$5,$G1006=$G$6,J$6,$G1006=$G$7,J$7,$G1006=$G$8,J$8,$G1006=$G$9,J$9,$G1006=$G$10,J$10,$G1006=$G$11,J$11,$G1006=$G$12,J$12,$G1006=$G$13,J$13,$G1006=$G$15,J$15,$G1006=$G$16,J$16,$G1006=$G$17,J$17,$G1006=$G$18,J$18,$G1006=$G$19,J$19,$G1006=$G$20,J$20,$G1006=$G$21,J$21,$G1006=$G$22,J$22,$G1006=$G$25,J$25,$G1006=$G$26,J$26,$G1006=$G$27,J$27,$G1006=$G$29,J$29,$G1006=$G$31,J$31,$G1006=$G$32,J$150,$G1006=$G$248,J$248,$G1006=$G$250,J$250)</f>
        <v>4</v>
      </c>
      <c r="K1006" t="str" cm="1">
        <f t="array" ref="K1006">_xlfn.IFS($G1006=$G$5,K$5,$G1006=$G$6,K$6,$G1006=$G$7,K$7,$G1006=$G$8,K$8,$G1006=$G$9,K$9,$G1006=$G$10,K$10,$G1006=$G$11,K$11,$G1006=$G$12,K$12,$G1006=$G$13,K$13,$G1006=$G$15,K$15,$G1006=$G$16,K$16,$G1006=$G$17,K$17,$G1006=$G$18,K$18,$G1006=$G$19,K$19,$G1006=$G$20,K$20,$G1006=$G$21,K$21,$G1006=$G$22,K$22,$G1006=$G$25,K$25,$G1006=$G$26,K$26,$G1006=$G$27,K$27,$G1006=$G$29,K$29,$G1006=$G$31,K$31,$G1006=$G$32,K$150,$G1006=$G$248,K$248,$G1006=$G$250,K$250)</f>
        <v>BG sentinel + BG lure7</v>
      </c>
      <c r="O1006" s="69" t="str">
        <f t="shared" si="82"/>
        <v>A_SP_BCN_10_211028</v>
      </c>
      <c r="P1006" s="64">
        <v>44497</v>
      </c>
      <c r="R1006" s="72"/>
      <c r="S1006" s="64">
        <v>44504</v>
      </c>
      <c r="U1006" s="72"/>
      <c r="V1006" s="54" t="s">
        <v>66</v>
      </c>
      <c r="X1006" s="69">
        <f t="shared" si="76"/>
        <v>7</v>
      </c>
      <c r="Z1006" s="45" t="s">
        <v>70</v>
      </c>
      <c r="AA1006" s="69">
        <f t="shared" si="81"/>
        <v>3</v>
      </c>
      <c r="AB1006" t="str">
        <f t="shared" si="73"/>
        <v>Adult</v>
      </c>
      <c r="AC1006" s="69">
        <v>3</v>
      </c>
      <c r="AD1006" s="69">
        <v>0</v>
      </c>
      <c r="AE1006" s="45" t="str">
        <f t="shared" si="74"/>
        <v>Morphological</v>
      </c>
      <c r="AF1006" s="56">
        <v>4</v>
      </c>
    </row>
    <row r="1007" spans="1:32" ht="18" customHeight="1" x14ac:dyDescent="0.25">
      <c r="A1007" s="45">
        <v>1003</v>
      </c>
      <c r="B1007" s="45" t="s">
        <v>60</v>
      </c>
      <c r="C1007" s="45" t="s">
        <v>61</v>
      </c>
      <c r="D1007" s="45" t="s">
        <v>62</v>
      </c>
      <c r="E1007" s="45" t="s">
        <v>62</v>
      </c>
      <c r="F1007" s="59" cm="1">
        <f t="array" ref="F1007">_xlfn.IFS($G1007=$G$5,F$5,$G1007=$G$6,F$6,$G1007=$G$7,F$7,$G1007=$G$8,F$8,$G1007=$G$9,F$9,$G1007=$G$10,F$10,$G1007=$G$11,F$11,$G1007=$G$12,F$12,$G1007=$G$13,F$13,$G1007=$G$15,F$15,$G1007=$G$16,F$16,$G1007=$G$17,F$17,$G1007=$G$18,F$18,$G1007=$G$19,F$19,$G1007=$G$20,F$20,$G1007=$G$21,F$21,$G1007=$G$22,F$22,$G1007=$G$25,F$25,$G1007=$G$26,F$26,$G1007=$G$27,F$27,$G1007=$G$29,F$29,$G1007=$G$31,F$31,$G1007=$G$32,F$32,$G1007=$G$248,F$248,$G1007=$G$250,F$250)</f>
        <v>8038</v>
      </c>
      <c r="G1007" t="s">
        <v>82</v>
      </c>
      <c r="H1007" s="60" cm="1">
        <f t="array" ref="H1007">_xlfn.IFS($G1007=$G$5,H$5,$G1007=$G$6,H$6,$G1007=$G$7,H$7,$G1007=$G$8,H$8,$G1007=$G$9,H$9,$G1007=$G$10,H$10,$G1007=$G$11,H$11,$G1007=$G$12,H$12,$G1007=$G$13,H$13,$G1007=$G$15,H$15,$G1007=$G$16,H$16,$G1007=$G$17,H$17,$G1007=$G$18,H$18,$G1007=$G$19,H$19,$G1007=$G$20,H$20,$G1007=$G$21,H$21,$G1007=$G$22,H$22,$G1007=$G$25,H$25,$G1007=$G$26,H$26,$G1007=$G$27,H$27,$G1007=$G$29,H$29,$G1007=$G$31,H$31,$G1007=$G$32,H$150,$G1007=$G$248,H$248,$G1007=$G$250,H$250)</f>
        <v>41.367429999999999</v>
      </c>
      <c r="I1007" s="60" cm="1">
        <f t="array" ref="I1007">_xlfn.IFS($G1007=$G$5,I$5,$G1007=$G$6,I$6,$G1007=$G$7,I$7,$G1007=$G$8,I$8,$G1007=$G$9,I$9,$G1007=$G$10,I$10,$G1007=$G$11,I$11,$G1007=$G$12,I$12,$G1007=$G$13,I$13,$G1007=$G$15,I$15,$G1007=$G$16,I$16,$G1007=$G$17,I$17,$G1007=$G$18,I$18,$G1007=$G$19,I$19,$G1007=$G$20,I$20,$G1007=$G$21,I$21,$G1007=$G$22,I$22,$G1007=$G$25,I$25,$G1007=$G$26,I$26,$G1007=$G$27,I$27,$G1007=$G$29,I$29,$G1007=$G$31,I$31,$G1007=$G$32,I$150,$G1007=$G$248,I$248,$G1007=$G$250,I$250)</f>
        <v>2.1569609999999999</v>
      </c>
      <c r="J1007" s="61" cm="1">
        <f t="array" ref="J1007">_xlfn.IFS($G1007=$G$5,J$5,$G1007=$G$6,J$6,$G1007=$G$7,J$7,$G1007=$G$8,J$8,$G1007=$G$9,J$9,$G1007=$G$10,J$10,$G1007=$G$11,J$11,$G1007=$G$12,J$12,$G1007=$G$13,J$13,$G1007=$G$15,J$15,$G1007=$G$16,J$16,$G1007=$G$17,J$17,$G1007=$G$18,J$18,$G1007=$G$19,J$19,$G1007=$G$20,J$20,$G1007=$G$21,J$21,$G1007=$G$22,J$22,$G1007=$G$25,J$25,$G1007=$G$26,J$26,$G1007=$G$27,J$27,$G1007=$G$29,J$29,$G1007=$G$31,J$31,$G1007=$G$32,J$150,$G1007=$G$248,J$248,$G1007=$G$250,J$250)</f>
        <v>91</v>
      </c>
      <c r="K1007" t="str" cm="1">
        <f t="array" ref="K1007">_xlfn.IFS($G1007=$G$5,K$5,$G1007=$G$6,K$6,$G1007=$G$7,K$7,$G1007=$G$8,K$8,$G1007=$G$9,K$9,$G1007=$G$10,K$10,$G1007=$G$11,K$11,$G1007=$G$12,K$12,$G1007=$G$13,K$13,$G1007=$G$15,K$15,$G1007=$G$16,K$16,$G1007=$G$17,K$17,$G1007=$G$18,K$18,$G1007=$G$19,K$19,$G1007=$G$20,K$20,$G1007=$G$21,K$21,$G1007=$G$22,K$22,$G1007=$G$25,K$25,$G1007=$G$26,K$26,$G1007=$G$27,K$27,$G1007=$G$29,K$29,$G1007=$G$31,K$31,$G1007=$G$32,K$150,$G1007=$G$248,K$248,$G1007=$G$250,K$250)</f>
        <v>BG sentinel + BG lure7</v>
      </c>
      <c r="O1007" s="69" t="str">
        <f t="shared" si="82"/>
        <v>A_SP_BCN_11_211028</v>
      </c>
      <c r="P1007" s="64">
        <v>44497</v>
      </c>
      <c r="R1007" s="72"/>
      <c r="S1007" s="64">
        <v>44504</v>
      </c>
      <c r="U1007" s="72"/>
      <c r="V1007" s="54" t="s">
        <v>66</v>
      </c>
      <c r="X1007" s="69">
        <f t="shared" si="76"/>
        <v>7</v>
      </c>
      <c r="Z1007" s="69" t="s">
        <v>69</v>
      </c>
      <c r="AA1007" s="69">
        <f t="shared" si="81"/>
        <v>19</v>
      </c>
      <c r="AB1007" t="str">
        <f t="shared" si="73"/>
        <v>Adult</v>
      </c>
      <c r="AC1007" s="69">
        <v>18</v>
      </c>
      <c r="AD1007" s="69">
        <v>1</v>
      </c>
      <c r="AE1007" s="45" t="str">
        <f t="shared" si="74"/>
        <v>Morphological</v>
      </c>
      <c r="AF1007" s="56">
        <v>4</v>
      </c>
    </row>
    <row r="1008" spans="1:32" ht="18" customHeight="1" x14ac:dyDescent="0.25">
      <c r="A1008" s="45">
        <v>1004</v>
      </c>
      <c r="B1008" s="45" t="s">
        <v>60</v>
      </c>
      <c r="C1008" s="45" t="s">
        <v>61</v>
      </c>
      <c r="D1008" s="45" t="s">
        <v>62</v>
      </c>
      <c r="E1008" s="45" t="s">
        <v>62</v>
      </c>
      <c r="F1008" s="59" cm="1">
        <f t="array" ref="F1008">_xlfn.IFS($G1008=$G$5,F$5,$G1008=$G$6,F$6,$G1008=$G$7,F$7,$G1008=$G$8,F$8,$G1008=$G$9,F$9,$G1008=$G$10,F$10,$G1008=$G$11,F$11,$G1008=$G$12,F$12,$G1008=$G$13,F$13,$G1008=$G$15,F$15,$G1008=$G$16,F$16,$G1008=$G$17,F$17,$G1008=$G$18,F$18,$G1008=$G$19,F$19,$G1008=$G$20,F$20,$G1008=$G$21,F$21,$G1008=$G$22,F$22,$G1008=$G$25,F$25,$G1008=$G$26,F$26,$G1008=$G$27,F$27,$G1008=$G$29,F$29,$G1008=$G$31,F$31,$G1008=$G$32,F$32,$G1008=$G$248,F$248,$G1008=$G$250,F$250)</f>
        <v>8038</v>
      </c>
      <c r="G1008" t="s">
        <v>84</v>
      </c>
      <c r="H1008" s="60" cm="1">
        <f t="array" ref="H1008">_xlfn.IFS($G1008=$G$5,H$5,$G1008=$G$6,H$6,$G1008=$G$7,H$7,$G1008=$G$8,H$8,$G1008=$G$9,H$9,$G1008=$G$10,H$10,$G1008=$G$11,H$11,$G1008=$G$12,H$12,$G1008=$G$13,H$13,$G1008=$G$15,H$15,$G1008=$G$16,H$16,$G1008=$G$17,H$17,$G1008=$G$18,H$18,$G1008=$G$19,H$19,$G1008=$G$20,H$20,$G1008=$G$21,H$21,$G1008=$G$22,H$22,$G1008=$G$25,H$25,$G1008=$G$26,H$26,$G1008=$G$27,H$27,$G1008=$G$29,H$29,$G1008=$G$31,H$31,$G1008=$G$32,H$150,$G1008=$G$248,H$248,$G1008=$G$250,H$250)</f>
        <v>41.363377999999997</v>
      </c>
      <c r="I1008" s="60" cm="1">
        <f t="array" ref="I1008">_xlfn.IFS($G1008=$G$5,I$5,$G1008=$G$6,I$6,$G1008=$G$7,I$7,$G1008=$G$8,I$8,$G1008=$G$9,I$9,$G1008=$G$10,I$10,$G1008=$G$11,I$11,$G1008=$G$12,I$12,$G1008=$G$13,I$13,$G1008=$G$15,I$15,$G1008=$G$16,I$16,$G1008=$G$17,I$17,$G1008=$G$18,I$18,$G1008=$G$19,I$19,$G1008=$G$20,I$20,$G1008=$G$21,I$21,$G1008=$G$22,I$22,$G1008=$G$25,I$25,$G1008=$G$26,I$26,$G1008=$G$27,I$27,$G1008=$G$29,I$29,$G1008=$G$31,I$31,$G1008=$G$32,I$150,$G1008=$G$248,I$248,$G1008=$G$250,I$250)</f>
        <v>2.164879</v>
      </c>
      <c r="J1008" s="61" cm="1">
        <f t="array" ref="J1008">_xlfn.IFS($G1008=$G$5,J$5,$G1008=$G$6,J$6,$G1008=$G$7,J$7,$G1008=$G$8,J$8,$G1008=$G$9,J$9,$G1008=$G$10,J$10,$G1008=$G$11,J$11,$G1008=$G$12,J$12,$G1008=$G$13,J$13,$G1008=$G$15,J$15,$G1008=$G$16,J$16,$G1008=$G$17,J$17,$G1008=$G$18,J$18,$G1008=$G$19,J$19,$G1008=$G$20,J$20,$G1008=$G$21,J$21,$G1008=$G$22,J$22,$G1008=$G$25,J$25,$G1008=$G$26,J$26,$G1008=$G$27,J$27,$G1008=$G$29,J$29,$G1008=$G$31,J$31,$G1008=$G$32,J$150,$G1008=$G$248,J$248,$G1008=$G$250,J$250)</f>
        <v>185</v>
      </c>
      <c r="K1008" t="str" cm="1">
        <f t="array" ref="K1008">_xlfn.IFS($G1008=$G$5,K$5,$G1008=$G$6,K$6,$G1008=$G$7,K$7,$G1008=$G$8,K$8,$G1008=$G$9,K$9,$G1008=$G$10,K$10,$G1008=$G$11,K$11,$G1008=$G$12,K$12,$G1008=$G$13,K$13,$G1008=$G$15,K$15,$G1008=$G$16,K$16,$G1008=$G$17,K$17,$G1008=$G$18,K$18,$G1008=$G$19,K$19,$G1008=$G$20,K$20,$G1008=$G$21,K$21,$G1008=$G$22,K$22,$G1008=$G$25,K$25,$G1008=$G$26,K$26,$G1008=$G$27,K$27,$G1008=$G$29,K$29,$G1008=$G$31,K$31,$G1008=$G$32,K$150,$G1008=$G$248,K$248,$G1008=$G$250,K$250)</f>
        <v>BG sentinel + BG lure7</v>
      </c>
      <c r="O1008" s="69" t="str">
        <f t="shared" si="82"/>
        <v>A_SP_BCN_12_211028</v>
      </c>
      <c r="P1008" s="64">
        <v>44497</v>
      </c>
      <c r="R1008" s="72"/>
      <c r="S1008" s="64">
        <v>44504</v>
      </c>
      <c r="U1008" s="72"/>
      <c r="V1008" s="54" t="s">
        <v>66</v>
      </c>
      <c r="X1008" s="69">
        <f t="shared" si="76"/>
        <v>7</v>
      </c>
      <c r="Z1008" s="45" t="s">
        <v>70</v>
      </c>
      <c r="AA1008" s="69">
        <f t="shared" si="81"/>
        <v>4</v>
      </c>
      <c r="AB1008" t="str">
        <f t="shared" si="73"/>
        <v>Adult</v>
      </c>
      <c r="AC1008" s="69">
        <v>4</v>
      </c>
      <c r="AD1008" s="69">
        <v>0</v>
      </c>
      <c r="AE1008" s="45" t="str">
        <f t="shared" si="74"/>
        <v>Morphological</v>
      </c>
      <c r="AF1008" s="56">
        <v>4</v>
      </c>
    </row>
    <row r="1009" spans="1:32" ht="18" customHeight="1" x14ac:dyDescent="0.25">
      <c r="A1009" s="45">
        <v>1005</v>
      </c>
      <c r="B1009" s="45" t="s">
        <v>60</v>
      </c>
      <c r="C1009" s="45" t="s">
        <v>61</v>
      </c>
      <c r="D1009" s="45" t="s">
        <v>62</v>
      </c>
      <c r="E1009" s="45" t="s">
        <v>62</v>
      </c>
      <c r="F1009" s="59" cm="1">
        <f t="array" ref="F1009">_xlfn.IFS($G1009=$G$5,F$5,$G1009=$G$6,F$6,$G1009=$G$7,F$7,$G1009=$G$8,F$8,$G1009=$G$9,F$9,$G1009=$G$10,F$10,$G1009=$G$11,F$11,$G1009=$G$12,F$12,$G1009=$G$13,F$13,$G1009=$G$15,F$15,$G1009=$G$16,F$16,$G1009=$G$17,F$17,$G1009=$G$18,F$18,$G1009=$G$19,F$19,$G1009=$G$20,F$20,$G1009=$G$21,F$21,$G1009=$G$22,F$22,$G1009=$G$25,F$25,$G1009=$G$26,F$26,$G1009=$G$27,F$27,$G1009=$G$29,F$29,$G1009=$G$31,F$31,$G1009=$G$32,F$32,$G1009=$G$248,F$248,$G1009=$G$250,F$250)</f>
        <v>8035</v>
      </c>
      <c r="G1009" t="s">
        <v>85</v>
      </c>
      <c r="H1009" s="60" cm="1">
        <f t="array" ref="H1009">_xlfn.IFS($G1009=$G$5,H$5,$G1009=$G$6,H$6,$G1009=$G$7,H$7,$G1009=$G$8,H$8,$G1009=$G$9,H$9,$G1009=$G$10,H$10,$G1009=$G$11,H$11,$G1009=$G$12,H$12,$G1009=$G$13,H$13,$G1009=$G$15,H$15,$G1009=$G$16,H$16,$G1009=$G$17,H$17,$G1009=$G$18,H$18,$G1009=$G$19,H$19,$G1009=$G$20,H$20,$G1009=$G$21,H$21,$G1009=$G$22,H$22,$G1009=$G$25,H$25,$G1009=$G$26,H$26,$G1009=$G$27,H$27,$G1009=$G$29,H$29,$G1009=$G$31,H$31,$G1009=$G$32,H$150,$G1009=$G$248,H$248,$G1009=$G$250,H$250)</f>
        <v>41.434472</v>
      </c>
      <c r="I1009" s="60" cm="1">
        <f t="array" ref="I1009">_xlfn.IFS($G1009=$G$5,I$5,$G1009=$G$6,I$6,$G1009=$G$7,I$7,$G1009=$G$8,I$8,$G1009=$G$9,I$9,$G1009=$G$10,I$10,$G1009=$G$11,I$11,$G1009=$G$12,I$12,$G1009=$G$13,I$13,$G1009=$G$15,I$15,$G1009=$G$16,I$16,$G1009=$G$17,I$17,$G1009=$G$18,I$18,$G1009=$G$19,I$19,$G1009=$G$20,I$20,$G1009=$G$21,I$21,$G1009=$G$22,I$22,$G1009=$G$25,I$25,$G1009=$G$26,I$26,$G1009=$G$27,I$27,$G1009=$G$29,I$29,$G1009=$G$31,I$31,$G1009=$G$32,I$150,$G1009=$G$248,I$248,$G1009=$G$250,I$250)</f>
        <v>2.1315789999999999</v>
      </c>
      <c r="J1009" s="61" cm="1">
        <f t="array" ref="J1009">_xlfn.IFS($G1009=$G$5,J$5,$G1009=$G$6,J$6,$G1009=$G$7,J$7,$G1009=$G$8,J$8,$G1009=$G$9,J$9,$G1009=$G$10,J$10,$G1009=$G$11,J$11,$G1009=$G$12,J$12,$G1009=$G$13,J$13,$G1009=$G$15,J$15,$G1009=$G$16,J$16,$G1009=$G$17,J$17,$G1009=$G$18,J$18,$G1009=$G$19,J$19,$G1009=$G$20,J$20,$G1009=$G$21,J$21,$G1009=$G$22,J$22,$G1009=$G$25,J$25,$G1009=$G$26,J$26,$G1009=$G$27,J$27,$G1009=$G$29,J$29,$G1009=$G$31,J$31,$G1009=$G$32,J$150,$G1009=$G$248,J$248,$G1009=$G$250,J$250)</f>
        <v>365</v>
      </c>
      <c r="K1009" t="str" cm="1">
        <f t="array" ref="K1009">_xlfn.IFS($G1009=$G$5,K$5,$G1009=$G$6,K$6,$G1009=$G$7,K$7,$G1009=$G$8,K$8,$G1009=$G$9,K$9,$G1009=$G$10,K$10,$G1009=$G$11,K$11,$G1009=$G$12,K$12,$G1009=$G$13,K$13,$G1009=$G$15,K$15,$G1009=$G$16,K$16,$G1009=$G$17,K$17,$G1009=$G$18,K$18,$G1009=$G$19,K$19,$G1009=$G$20,K$20,$G1009=$G$21,K$21,$G1009=$G$22,K$22,$G1009=$G$25,K$25,$G1009=$G$26,K$26,$G1009=$G$27,K$27,$G1009=$G$29,K$29,$G1009=$G$31,K$31,$G1009=$G$32,K$150,$G1009=$G$248,K$248,$G1009=$G$250,K$250)</f>
        <v>BG sentinel + BG lure7</v>
      </c>
      <c r="O1009" s="69" t="str">
        <f t="shared" si="82"/>
        <v>A_SP_BCN_13_211027</v>
      </c>
      <c r="P1009" s="64">
        <v>44496</v>
      </c>
      <c r="R1009" s="72"/>
      <c r="S1009" s="64">
        <v>44503</v>
      </c>
      <c r="U1009" s="72"/>
      <c r="V1009" s="54" t="s">
        <v>66</v>
      </c>
      <c r="X1009" s="69">
        <f t="shared" si="76"/>
        <v>7</v>
      </c>
      <c r="Z1009" s="45" t="s">
        <v>80</v>
      </c>
      <c r="AA1009" s="69">
        <f t="shared" si="81"/>
        <v>1</v>
      </c>
      <c r="AB1009" t="str">
        <f t="shared" si="73"/>
        <v>Adult</v>
      </c>
      <c r="AC1009" s="69">
        <v>1</v>
      </c>
      <c r="AD1009" s="69">
        <v>0</v>
      </c>
      <c r="AE1009" s="45" t="str">
        <f t="shared" si="74"/>
        <v>Morphological</v>
      </c>
      <c r="AF1009" s="56">
        <v>4</v>
      </c>
    </row>
    <row r="1010" spans="1:32" ht="18" customHeight="1" x14ac:dyDescent="0.25">
      <c r="A1010" s="45">
        <v>1006</v>
      </c>
      <c r="B1010" s="45" t="s">
        <v>60</v>
      </c>
      <c r="C1010" s="45" t="s">
        <v>61</v>
      </c>
      <c r="D1010" s="45" t="s">
        <v>62</v>
      </c>
      <c r="E1010" s="45" t="s">
        <v>62</v>
      </c>
      <c r="F1010" s="59" cm="1">
        <f t="array" ref="F1010">_xlfn.IFS($G1010=$G$5,F$5,$G1010=$G$6,F$6,$G1010=$G$7,F$7,$G1010=$G$8,F$8,$G1010=$G$9,F$9,$G1010=$G$10,F$10,$G1010=$G$11,F$11,$G1010=$G$12,F$12,$G1010=$G$13,F$13,$G1010=$G$15,F$15,$G1010=$G$16,F$16,$G1010=$G$17,F$17,$G1010=$G$18,F$18,$G1010=$G$19,F$19,$G1010=$G$20,F$20,$G1010=$G$21,F$21,$G1010=$G$22,F$22,$G1010=$G$25,F$25,$G1010=$G$26,F$26,$G1010=$G$27,F$27,$G1010=$G$29,F$29,$G1010=$G$31,F$31,$G1010=$G$32,F$32,$G1010=$G$248,F$248,$G1010=$G$250,F$250)</f>
        <v>8017</v>
      </c>
      <c r="G1010" t="s">
        <v>86</v>
      </c>
      <c r="H1010" s="60" cm="1">
        <f t="array" ref="H1010">_xlfn.IFS($G1010=$G$5,H$5,$G1010=$G$6,H$6,$G1010=$G$7,H$7,$G1010=$G$8,H$8,$G1010=$G$9,H$9,$G1010=$G$10,H$10,$G1010=$G$11,H$11,$G1010=$G$12,H$12,$G1010=$G$13,H$13,$G1010=$G$15,H$15,$G1010=$G$16,H$16,$G1010=$G$17,H$17,$G1010=$G$18,H$18,$G1010=$G$19,H$19,$G1010=$G$20,H$20,$G1010=$G$21,H$21,$G1010=$G$22,H$22,$G1010=$G$25,H$25,$G1010=$G$26,H$26,$G1010=$G$27,H$27,$G1010=$G$29,H$29,$G1010=$G$31,H$31,$G1010=$G$32,H$150,$G1010=$G$248,H$248,$G1010=$G$250,H$250)</f>
        <v>41.428533999999999</v>
      </c>
      <c r="I1010" s="60" cm="1">
        <f t="array" ref="I1010">_xlfn.IFS($G1010=$G$5,I$5,$G1010=$G$6,I$6,$G1010=$G$7,I$7,$G1010=$G$8,I$8,$G1010=$G$9,I$9,$G1010=$G$10,I$10,$G1010=$G$11,I$11,$G1010=$G$12,I$12,$G1010=$G$13,I$13,$G1010=$G$15,I$15,$G1010=$G$16,I$16,$G1010=$G$17,I$17,$G1010=$G$18,I$18,$G1010=$G$19,I$19,$G1010=$G$20,I$20,$G1010=$G$21,I$21,$G1010=$G$22,I$22,$G1010=$G$25,I$25,$G1010=$G$26,I$26,$G1010=$G$27,I$27,$G1010=$G$29,I$29,$G1010=$G$31,I$31,$G1010=$G$32,I$150,$G1010=$G$248,I$248,$G1010=$G$250,I$250)</f>
        <v>2.090954</v>
      </c>
      <c r="J1010" s="61" cm="1">
        <f t="array" ref="J1010">_xlfn.IFS($G1010=$G$5,J$5,$G1010=$G$6,J$6,$G1010=$G$7,J$7,$G1010=$G$8,J$8,$G1010=$G$9,J$9,$G1010=$G$10,J$10,$G1010=$G$11,J$11,$G1010=$G$12,J$12,$G1010=$G$13,J$13,$G1010=$G$15,J$15,$G1010=$G$16,J$16,$G1010=$G$17,J$17,$G1010=$G$18,J$18,$G1010=$G$19,J$19,$G1010=$G$20,J$20,$G1010=$G$21,J$21,$G1010=$G$22,J$22,$G1010=$G$25,J$25,$G1010=$G$26,J$26,$G1010=$G$27,J$27,$G1010=$G$29,J$29,$G1010=$G$31,J$31,$G1010=$G$32,J$150,$G1010=$G$248,J$248,$G1010=$G$250,J$250)</f>
        <v>215</v>
      </c>
      <c r="K1010" t="str" cm="1">
        <f t="array" ref="K1010">_xlfn.IFS($G1010=$G$5,K$5,$G1010=$G$6,K$6,$G1010=$G$7,K$7,$G1010=$G$8,K$8,$G1010=$G$9,K$9,$G1010=$G$10,K$10,$G1010=$G$11,K$11,$G1010=$G$12,K$12,$G1010=$G$13,K$13,$G1010=$G$15,K$15,$G1010=$G$16,K$16,$G1010=$G$17,K$17,$G1010=$G$18,K$18,$G1010=$G$19,K$19,$G1010=$G$20,K$20,$G1010=$G$21,K$21,$G1010=$G$22,K$22,$G1010=$G$25,K$25,$G1010=$G$26,K$26,$G1010=$G$27,K$27,$G1010=$G$29,K$29,$G1010=$G$31,K$31,$G1010=$G$32,K$150,$G1010=$G$248,K$248,$G1010=$G$250,K$250)</f>
        <v>BG sentinel + BG lure7</v>
      </c>
      <c r="O1010" s="69" t="str">
        <f t="shared" si="82"/>
        <v>A_SP_BCN_14_211027</v>
      </c>
      <c r="P1010" s="64">
        <v>44496</v>
      </c>
      <c r="R1010" s="72"/>
      <c r="S1010" s="64">
        <v>44503</v>
      </c>
      <c r="U1010" s="72"/>
      <c r="V1010" s="79" t="s">
        <v>172</v>
      </c>
      <c r="X1010" s="69">
        <f t="shared" si="76"/>
        <v>7</v>
      </c>
      <c r="Z1010" s="45" t="s">
        <v>70</v>
      </c>
      <c r="AA1010" s="69">
        <f t="shared" si="81"/>
        <v>1</v>
      </c>
      <c r="AB1010" t="str">
        <f t="shared" si="73"/>
        <v>Adult</v>
      </c>
      <c r="AC1010" s="69">
        <v>1</v>
      </c>
      <c r="AD1010" s="69">
        <v>0</v>
      </c>
      <c r="AE1010" s="45" t="str">
        <f t="shared" si="74"/>
        <v>Morphological</v>
      </c>
      <c r="AF1010" s="56">
        <v>1</v>
      </c>
    </row>
    <row r="1011" spans="1:32" ht="18" customHeight="1" x14ac:dyDescent="0.25">
      <c r="A1011" s="45">
        <v>1007</v>
      </c>
      <c r="B1011" s="45" t="s">
        <v>60</v>
      </c>
      <c r="C1011" s="45" t="s">
        <v>61</v>
      </c>
      <c r="D1011" s="45" t="s">
        <v>62</v>
      </c>
      <c r="E1011" s="45" t="s">
        <v>62</v>
      </c>
      <c r="F1011" s="59" cm="1">
        <f t="array" ref="F1011">_xlfn.IFS($G1011=$G$5,F$5,$G1011=$G$6,F$6,$G1011=$G$7,F$7,$G1011=$G$8,F$8,$G1011=$G$9,F$9,$G1011=$G$10,F$10,$G1011=$G$11,F$11,$G1011=$G$12,F$12,$G1011=$G$13,F$13,$G1011=$G$15,F$15,$G1011=$G$16,F$16,$G1011=$G$17,F$17,$G1011=$G$18,F$18,$G1011=$G$19,F$19,$G1011=$G$20,F$20,$G1011=$G$21,F$21,$G1011=$G$22,F$22,$G1011=$G$25,F$25,$G1011=$G$26,F$26,$G1011=$G$27,F$27,$G1011=$G$29,F$29,$G1011=$G$31,F$31,$G1011=$G$32,F$32,$G1011=$G$248,F$248,$G1011=$G$250,F$250)</f>
        <v>8017</v>
      </c>
      <c r="G1011" t="s">
        <v>87</v>
      </c>
      <c r="H1011" s="60" cm="1">
        <f t="array" ref="H1011">_xlfn.IFS($G1011=$G$5,H$5,$G1011=$G$6,H$6,$G1011=$G$7,H$7,$G1011=$G$8,H$8,$G1011=$G$9,H$9,$G1011=$G$10,H$10,$G1011=$G$11,H$11,$G1011=$G$12,H$12,$G1011=$G$13,H$13,$G1011=$G$15,H$15,$G1011=$G$16,H$16,$G1011=$G$17,H$17,$G1011=$G$18,H$18,$G1011=$G$19,H$19,$G1011=$G$20,H$20,$G1011=$G$21,H$21,$G1011=$G$22,H$22,$G1011=$G$25,H$25,$G1011=$G$26,H$26,$G1011=$G$27,H$27,$G1011=$G$29,H$29,$G1011=$G$31,H$31,$G1011=$G$32,H$150,$G1011=$G$248,H$248,$G1011=$G$250,H$250)</f>
        <v>41.419471000000001</v>
      </c>
      <c r="I1011" s="60" cm="1">
        <f t="array" ref="I1011">_xlfn.IFS($G1011=$G$5,I$5,$G1011=$G$6,I$6,$G1011=$G$7,I$7,$G1011=$G$8,I$8,$G1011=$G$9,I$9,$G1011=$G$10,I$10,$G1011=$G$11,I$11,$G1011=$G$12,I$12,$G1011=$G$13,I$13,$G1011=$G$15,I$15,$G1011=$G$16,I$16,$G1011=$G$17,I$17,$G1011=$G$18,I$18,$G1011=$G$19,I$19,$G1011=$G$20,I$20,$G1011=$G$21,I$21,$G1011=$G$22,I$22,$G1011=$G$25,I$25,$G1011=$G$26,I$26,$G1011=$G$27,I$27,$G1011=$G$29,I$29,$G1011=$G$31,I$31,$G1011=$G$32,I$150,$G1011=$G$248,I$248,$G1011=$G$250,I$250)</f>
        <v>2.1010149999999999</v>
      </c>
      <c r="J1011" s="61" cm="1">
        <f t="array" ref="J1011">_xlfn.IFS($G1011=$G$5,J$5,$G1011=$G$6,J$6,$G1011=$G$7,J$7,$G1011=$G$8,J$8,$G1011=$G$9,J$9,$G1011=$G$10,J$10,$G1011=$G$11,J$11,$G1011=$G$12,J$12,$G1011=$G$13,J$13,$G1011=$G$15,J$15,$G1011=$G$16,J$16,$G1011=$G$17,J$17,$G1011=$G$18,J$18,$G1011=$G$19,J$19,$G1011=$G$20,J$20,$G1011=$G$21,J$21,$G1011=$G$22,J$22,$G1011=$G$25,J$25,$G1011=$G$26,J$26,$G1011=$G$27,J$27,$G1011=$G$29,J$29,$G1011=$G$31,J$31,$G1011=$G$32,J$150,$G1011=$G$248,J$248,$G1011=$G$250,J$250)</f>
        <v>284</v>
      </c>
      <c r="K1011" t="str" cm="1">
        <f t="array" ref="K1011">_xlfn.IFS($G1011=$G$5,K$5,$G1011=$G$6,K$6,$G1011=$G$7,K$7,$G1011=$G$8,K$8,$G1011=$G$9,K$9,$G1011=$G$10,K$10,$G1011=$G$11,K$11,$G1011=$G$12,K$12,$G1011=$G$13,K$13,$G1011=$G$15,K$15,$G1011=$G$16,K$16,$G1011=$G$17,K$17,$G1011=$G$18,K$18,$G1011=$G$19,K$19,$G1011=$G$20,K$20,$G1011=$G$21,K$21,$G1011=$G$22,K$22,$G1011=$G$25,K$25,$G1011=$G$26,K$26,$G1011=$G$27,K$27,$G1011=$G$29,K$29,$G1011=$G$31,K$31,$G1011=$G$32,K$150,$G1011=$G$248,K$248,$G1011=$G$250,K$250)</f>
        <v>BG sentinel + BG lure7</v>
      </c>
      <c r="O1011" s="69" t="str">
        <f t="shared" si="82"/>
        <v>A_SP_BCN_15_211027</v>
      </c>
      <c r="P1011" s="64">
        <v>44496</v>
      </c>
      <c r="R1011" s="72"/>
      <c r="S1011" s="64">
        <v>44503</v>
      </c>
      <c r="U1011" s="72"/>
      <c r="V1011" s="54" t="s">
        <v>66</v>
      </c>
      <c r="X1011" s="69">
        <f t="shared" si="76"/>
        <v>7</v>
      </c>
      <c r="AA1011" s="69">
        <f t="shared" si="81"/>
        <v>0</v>
      </c>
      <c r="AB1011" t="str">
        <f t="shared" si="73"/>
        <v/>
      </c>
      <c r="AE1011" s="45" t="str">
        <f t="shared" si="74"/>
        <v/>
      </c>
      <c r="AF1011" s="56">
        <v>4</v>
      </c>
    </row>
    <row r="1012" spans="1:32" ht="18" customHeight="1" x14ac:dyDescent="0.25">
      <c r="A1012" s="45">
        <v>1008</v>
      </c>
      <c r="B1012" s="45" t="s">
        <v>60</v>
      </c>
      <c r="C1012" s="45" t="s">
        <v>61</v>
      </c>
      <c r="D1012" s="45" t="s">
        <v>62</v>
      </c>
      <c r="E1012" s="45" t="s">
        <v>62</v>
      </c>
      <c r="F1012" s="59" cm="1">
        <f t="array" ref="F1012">_xlfn.IFS($G1012=$G$5,F$5,$G1012=$G$6,F$6,$G1012=$G$7,F$7,$G1012=$G$8,F$8,$G1012=$G$9,F$9,$G1012=$G$10,F$10,$G1012=$G$11,F$11,$G1012=$G$12,F$12,$G1012=$G$13,F$13,$G1012=$G$15,F$15,$G1012=$G$16,F$16,$G1012=$G$17,F$17,$G1012=$G$18,F$18,$G1012=$G$19,F$19,$G1012=$G$20,F$20,$G1012=$G$21,F$21,$G1012=$G$22,F$22,$G1012=$G$25,F$25,$G1012=$G$26,F$26,$G1012=$G$27,F$27,$G1012=$G$29,F$29,$G1012=$G$31,F$31,$G1012=$G$32,F$32,$G1012=$G$248,F$248,$G1012=$G$250,F$250)</f>
        <v>8017</v>
      </c>
      <c r="G1012" t="s">
        <v>88</v>
      </c>
      <c r="H1012" s="60" cm="1">
        <f t="array" ref="H1012">_xlfn.IFS($G1012=$G$5,H$5,$G1012=$G$6,H$6,$G1012=$G$7,H$7,$G1012=$G$8,H$8,$G1012=$G$9,H$9,$G1012=$G$10,H$10,$G1012=$G$11,H$11,$G1012=$G$12,H$12,$G1012=$G$13,H$13,$G1012=$G$15,H$15,$G1012=$G$16,H$16,$G1012=$G$17,H$17,$G1012=$G$18,H$18,$G1012=$G$19,H$19,$G1012=$G$20,H$20,$G1012=$G$21,H$21,$G1012=$G$22,H$22,$G1012=$G$25,H$25,$G1012=$G$26,H$26,$G1012=$G$27,H$27,$G1012=$G$29,H$29,$G1012=$G$31,H$31,$G1012=$G$32,H$150,$G1012=$G$248,H$248,$G1012=$G$250,H$250)</f>
        <v>41.398387</v>
      </c>
      <c r="I1012" s="60" cm="1">
        <f t="array" ref="I1012">_xlfn.IFS($G1012=$G$5,I$5,$G1012=$G$6,I$6,$G1012=$G$7,I$7,$G1012=$G$8,I$8,$G1012=$G$9,I$9,$G1012=$G$10,I$10,$G1012=$G$11,I$11,$G1012=$G$12,I$12,$G1012=$G$13,I$13,$G1012=$G$15,I$15,$G1012=$G$16,I$16,$G1012=$G$17,I$17,$G1012=$G$18,I$18,$G1012=$G$19,I$19,$G1012=$G$20,I$20,$G1012=$G$21,I$21,$G1012=$G$22,I$22,$G1012=$G$25,I$25,$G1012=$G$26,I$26,$G1012=$G$27,I$27,$G1012=$G$29,I$29,$G1012=$G$31,I$31,$G1012=$G$32,I$150,$G1012=$G$248,I$248,$G1012=$G$250,I$250)</f>
        <v>2.1244429999999999</v>
      </c>
      <c r="J1012" s="61" cm="1">
        <f t="array" ref="J1012">_xlfn.IFS($G1012=$G$5,J$5,$G1012=$G$6,J$6,$G1012=$G$7,J$7,$G1012=$G$8,J$8,$G1012=$G$9,J$9,$G1012=$G$10,J$10,$G1012=$G$11,J$11,$G1012=$G$12,J$12,$G1012=$G$13,J$13,$G1012=$G$15,J$15,$G1012=$G$16,J$16,$G1012=$G$17,J$17,$G1012=$G$18,J$18,$G1012=$G$19,J$19,$G1012=$G$20,J$20,$G1012=$G$21,J$21,$G1012=$G$22,J$22,$G1012=$G$25,J$25,$G1012=$G$26,J$26,$G1012=$G$27,J$27,$G1012=$G$29,J$29,$G1012=$G$31,J$31,$G1012=$G$32,J$150,$G1012=$G$248,J$248,$G1012=$G$250,J$250)</f>
        <v>106</v>
      </c>
      <c r="K1012" t="str" cm="1">
        <f t="array" ref="K1012">_xlfn.IFS($G1012=$G$5,K$5,$G1012=$G$6,K$6,$G1012=$G$7,K$7,$G1012=$G$8,K$8,$G1012=$G$9,K$9,$G1012=$G$10,K$10,$G1012=$G$11,K$11,$G1012=$G$12,K$12,$G1012=$G$13,K$13,$G1012=$G$15,K$15,$G1012=$G$16,K$16,$G1012=$G$17,K$17,$G1012=$G$18,K$18,$G1012=$G$19,K$19,$G1012=$G$20,K$20,$G1012=$G$21,K$21,$G1012=$G$22,K$22,$G1012=$G$25,K$25,$G1012=$G$26,K$26,$G1012=$G$27,K$27,$G1012=$G$29,K$29,$G1012=$G$31,K$31,$G1012=$G$32,K$150,$G1012=$G$248,K$248,$G1012=$G$250,K$250)</f>
        <v>BG sentinel + BG lure7</v>
      </c>
      <c r="O1012" s="69" t="str">
        <f t="shared" si="82"/>
        <v>A_SP_BCN_16_211027</v>
      </c>
      <c r="P1012" s="64">
        <v>44496</v>
      </c>
      <c r="R1012" s="72"/>
      <c r="S1012" s="64">
        <v>44503</v>
      </c>
      <c r="U1012" s="72"/>
      <c r="V1012" s="54" t="s">
        <v>66</v>
      </c>
      <c r="X1012" s="69">
        <f t="shared" si="76"/>
        <v>7</v>
      </c>
      <c r="Z1012" s="69" t="s">
        <v>69</v>
      </c>
      <c r="AA1012" s="69">
        <f t="shared" si="81"/>
        <v>27</v>
      </c>
      <c r="AB1012" t="str">
        <f t="shared" si="73"/>
        <v>Adult</v>
      </c>
      <c r="AC1012" s="69">
        <v>20</v>
      </c>
      <c r="AD1012" s="69">
        <v>7</v>
      </c>
      <c r="AE1012" s="45" t="str">
        <f t="shared" si="74"/>
        <v>Morphological</v>
      </c>
      <c r="AF1012" s="56">
        <v>4</v>
      </c>
    </row>
    <row r="1013" spans="1:32" ht="18" customHeight="1" x14ac:dyDescent="0.25">
      <c r="A1013" s="45">
        <v>1009</v>
      </c>
      <c r="B1013" s="45" t="s">
        <v>60</v>
      </c>
      <c r="C1013" s="45" t="s">
        <v>61</v>
      </c>
      <c r="D1013" s="45" t="s">
        <v>62</v>
      </c>
      <c r="E1013" s="45" t="s">
        <v>62</v>
      </c>
      <c r="F1013" s="59" cm="1">
        <f t="array" ref="F1013">_xlfn.IFS($G1013=$G$5,F$5,$G1013=$G$6,F$6,$G1013=$G$7,F$7,$G1013=$G$8,F$8,$G1013=$G$9,F$9,$G1013=$G$10,F$10,$G1013=$G$11,F$11,$G1013=$G$12,F$12,$G1013=$G$13,F$13,$G1013=$G$15,F$15,$G1013=$G$16,F$16,$G1013=$G$17,F$17,$G1013=$G$18,F$18,$G1013=$G$19,F$19,$G1013=$G$20,F$20,$G1013=$G$21,F$21,$G1013=$G$22,F$22,$G1013=$G$25,F$25,$G1013=$G$26,F$26,$G1013=$G$27,F$27,$G1013=$G$29,F$29,$G1013=$G$31,F$31,$G1013=$G$32,F$32,$G1013=$G$248,F$248,$G1013=$G$250,F$250)</f>
        <v>8017</v>
      </c>
      <c r="G1013" t="s">
        <v>88</v>
      </c>
      <c r="H1013" s="60" cm="1">
        <f t="array" ref="H1013">_xlfn.IFS($G1013=$G$5,H$5,$G1013=$G$6,H$6,$G1013=$G$7,H$7,$G1013=$G$8,H$8,$G1013=$G$9,H$9,$G1013=$G$10,H$10,$G1013=$G$11,H$11,$G1013=$G$12,H$12,$G1013=$G$13,H$13,$G1013=$G$15,H$15,$G1013=$G$16,H$16,$G1013=$G$17,H$17,$G1013=$G$18,H$18,$G1013=$G$19,H$19,$G1013=$G$20,H$20,$G1013=$G$21,H$21,$G1013=$G$22,H$22,$G1013=$G$25,H$25,$G1013=$G$26,H$26,$G1013=$G$27,H$27,$G1013=$G$29,H$29,$G1013=$G$31,H$31,$G1013=$G$32,H$150,$G1013=$G$248,H$248,$G1013=$G$250,H$250)</f>
        <v>41.398387</v>
      </c>
      <c r="I1013" s="60" cm="1">
        <f t="array" ref="I1013">_xlfn.IFS($G1013=$G$5,I$5,$G1013=$G$6,I$6,$G1013=$G$7,I$7,$G1013=$G$8,I$8,$G1013=$G$9,I$9,$G1013=$G$10,I$10,$G1013=$G$11,I$11,$G1013=$G$12,I$12,$G1013=$G$13,I$13,$G1013=$G$15,I$15,$G1013=$G$16,I$16,$G1013=$G$17,I$17,$G1013=$G$18,I$18,$G1013=$G$19,I$19,$G1013=$G$20,I$20,$G1013=$G$21,I$21,$G1013=$G$22,I$22,$G1013=$G$25,I$25,$G1013=$G$26,I$26,$G1013=$G$27,I$27,$G1013=$G$29,I$29,$G1013=$G$31,I$31,$G1013=$G$32,I$150,$G1013=$G$248,I$248,$G1013=$G$250,I$250)</f>
        <v>2.1244429999999999</v>
      </c>
      <c r="J1013" s="61" cm="1">
        <f t="array" ref="J1013">_xlfn.IFS($G1013=$G$5,J$5,$G1013=$G$6,J$6,$G1013=$G$7,J$7,$G1013=$G$8,J$8,$G1013=$G$9,J$9,$G1013=$G$10,J$10,$G1013=$G$11,J$11,$G1013=$G$12,J$12,$G1013=$G$13,J$13,$G1013=$G$15,J$15,$G1013=$G$16,J$16,$G1013=$G$17,J$17,$G1013=$G$18,J$18,$G1013=$G$19,J$19,$G1013=$G$20,J$20,$G1013=$G$21,J$21,$G1013=$G$22,J$22,$G1013=$G$25,J$25,$G1013=$G$26,J$26,$G1013=$G$27,J$27,$G1013=$G$29,J$29,$G1013=$G$31,J$31,$G1013=$G$32,J$150,$G1013=$G$248,J$248,$G1013=$G$250,J$250)</f>
        <v>106</v>
      </c>
      <c r="K1013" t="str" cm="1">
        <f t="array" ref="K1013">_xlfn.IFS($G1013=$G$5,K$5,$G1013=$G$6,K$6,$G1013=$G$7,K$7,$G1013=$G$8,K$8,$G1013=$G$9,K$9,$G1013=$G$10,K$10,$G1013=$G$11,K$11,$G1013=$G$12,K$12,$G1013=$G$13,K$13,$G1013=$G$15,K$15,$G1013=$G$16,K$16,$G1013=$G$17,K$17,$G1013=$G$18,K$18,$G1013=$G$19,K$19,$G1013=$G$20,K$20,$G1013=$G$21,K$21,$G1013=$G$22,K$22,$G1013=$G$25,K$25,$G1013=$G$26,K$26,$G1013=$G$27,K$27,$G1013=$G$29,K$29,$G1013=$G$31,K$31,$G1013=$G$32,K$150,$G1013=$G$248,K$248,$G1013=$G$250,K$250)</f>
        <v>BG sentinel + BG lure7</v>
      </c>
      <c r="O1013" s="69" t="str">
        <f t="shared" si="82"/>
        <v>A_SP_BCN_16_211027</v>
      </c>
      <c r="P1013" s="64">
        <v>44496</v>
      </c>
      <c r="R1013" s="72"/>
      <c r="S1013" s="64">
        <v>44503</v>
      </c>
      <c r="U1013" s="72"/>
      <c r="V1013" s="54" t="s">
        <v>66</v>
      </c>
      <c r="X1013" s="69">
        <f t="shared" si="76"/>
        <v>7</v>
      </c>
      <c r="Z1013" s="45" t="s">
        <v>70</v>
      </c>
      <c r="AA1013" s="69">
        <f t="shared" ref="AA1013:AA1072" si="83">SUM(AC1013:AD1013)</f>
        <v>11</v>
      </c>
      <c r="AB1013" t="str">
        <f t="shared" si="73"/>
        <v>Adult</v>
      </c>
      <c r="AC1013" s="69">
        <v>8</v>
      </c>
      <c r="AD1013" s="69">
        <v>3</v>
      </c>
      <c r="AE1013" s="45" t="str">
        <f t="shared" si="74"/>
        <v>Morphological</v>
      </c>
      <c r="AF1013" s="56">
        <v>4</v>
      </c>
    </row>
    <row r="1014" spans="1:32" ht="18" customHeight="1" x14ac:dyDescent="0.25">
      <c r="A1014" s="45">
        <v>1010</v>
      </c>
      <c r="B1014" s="45" t="s">
        <v>60</v>
      </c>
      <c r="C1014" s="45" t="s">
        <v>61</v>
      </c>
      <c r="D1014" s="45" t="s">
        <v>62</v>
      </c>
      <c r="E1014" s="45" t="s">
        <v>62</v>
      </c>
      <c r="F1014" s="59" cm="1">
        <f t="array" ref="F1014">_xlfn.IFS($G1014=$G$5,F$5,$G1014=$G$6,F$6,$G1014=$G$7,F$7,$G1014=$G$8,F$8,$G1014=$G$9,F$9,$G1014=$G$10,F$10,$G1014=$G$11,F$11,$G1014=$G$12,F$12,$G1014=$G$13,F$13,$G1014=$G$15,F$15,$G1014=$G$16,F$16,$G1014=$G$17,F$17,$G1014=$G$18,F$18,$G1014=$G$19,F$19,$G1014=$G$20,F$20,$G1014=$G$21,F$21,$G1014=$G$22,F$22,$G1014=$G$25,F$25,$G1014=$G$26,F$26,$G1014=$G$27,F$27,$G1014=$G$29,F$29,$G1014=$G$31,F$31,$G1014=$G$32,F$32,$G1014=$G$248,F$248,$G1014=$G$250,F$250)</f>
        <v>8017</v>
      </c>
      <c r="G1014" t="s">
        <v>88</v>
      </c>
      <c r="H1014" s="60" cm="1">
        <f t="array" ref="H1014">_xlfn.IFS($G1014=$G$5,H$5,$G1014=$G$6,H$6,$G1014=$G$7,H$7,$G1014=$G$8,H$8,$G1014=$G$9,H$9,$G1014=$G$10,H$10,$G1014=$G$11,H$11,$G1014=$G$12,H$12,$G1014=$G$13,H$13,$G1014=$G$15,H$15,$G1014=$G$16,H$16,$G1014=$G$17,H$17,$G1014=$G$18,H$18,$G1014=$G$19,H$19,$G1014=$G$20,H$20,$G1014=$G$21,H$21,$G1014=$G$22,H$22,$G1014=$G$25,H$25,$G1014=$G$26,H$26,$G1014=$G$27,H$27,$G1014=$G$29,H$29,$G1014=$G$31,H$31,$G1014=$G$32,H$150,$G1014=$G$248,H$248,$G1014=$G$250,H$250)</f>
        <v>41.398387</v>
      </c>
      <c r="I1014" s="60" cm="1">
        <f t="array" ref="I1014">_xlfn.IFS($G1014=$G$5,I$5,$G1014=$G$6,I$6,$G1014=$G$7,I$7,$G1014=$G$8,I$8,$G1014=$G$9,I$9,$G1014=$G$10,I$10,$G1014=$G$11,I$11,$G1014=$G$12,I$12,$G1014=$G$13,I$13,$G1014=$G$15,I$15,$G1014=$G$16,I$16,$G1014=$G$17,I$17,$G1014=$G$18,I$18,$G1014=$G$19,I$19,$G1014=$G$20,I$20,$G1014=$G$21,I$21,$G1014=$G$22,I$22,$G1014=$G$25,I$25,$G1014=$G$26,I$26,$G1014=$G$27,I$27,$G1014=$G$29,I$29,$G1014=$G$31,I$31,$G1014=$G$32,I$150,$G1014=$G$248,I$248,$G1014=$G$250,I$250)</f>
        <v>2.1244429999999999</v>
      </c>
      <c r="J1014" s="61" cm="1">
        <f t="array" ref="J1014">_xlfn.IFS($G1014=$G$5,J$5,$G1014=$G$6,J$6,$G1014=$G$7,J$7,$G1014=$G$8,J$8,$G1014=$G$9,J$9,$G1014=$G$10,J$10,$G1014=$G$11,J$11,$G1014=$G$12,J$12,$G1014=$G$13,J$13,$G1014=$G$15,J$15,$G1014=$G$16,J$16,$G1014=$G$17,J$17,$G1014=$G$18,J$18,$G1014=$G$19,J$19,$G1014=$G$20,J$20,$G1014=$G$21,J$21,$G1014=$G$22,J$22,$G1014=$G$25,J$25,$G1014=$G$26,J$26,$G1014=$G$27,J$27,$G1014=$G$29,J$29,$G1014=$G$31,J$31,$G1014=$G$32,J$150,$G1014=$G$248,J$248,$G1014=$G$250,J$250)</f>
        <v>106</v>
      </c>
      <c r="K1014" t="str" cm="1">
        <f t="array" ref="K1014">_xlfn.IFS($G1014=$G$5,K$5,$G1014=$G$6,K$6,$G1014=$G$7,K$7,$G1014=$G$8,K$8,$G1014=$G$9,K$9,$G1014=$G$10,K$10,$G1014=$G$11,K$11,$G1014=$G$12,K$12,$G1014=$G$13,K$13,$G1014=$G$15,K$15,$G1014=$G$16,K$16,$G1014=$G$17,K$17,$G1014=$G$18,K$18,$G1014=$G$19,K$19,$G1014=$G$20,K$20,$G1014=$G$21,K$21,$G1014=$G$22,K$22,$G1014=$G$25,K$25,$G1014=$G$26,K$26,$G1014=$G$27,K$27,$G1014=$G$29,K$29,$G1014=$G$31,K$31,$G1014=$G$32,K$150,$G1014=$G$248,K$248,$G1014=$G$250,K$250)</f>
        <v>BG sentinel + BG lure7</v>
      </c>
      <c r="O1014" s="69" t="str">
        <f t="shared" si="82"/>
        <v>A_SP_BCN_16_211027</v>
      </c>
      <c r="P1014" s="64">
        <v>44496</v>
      </c>
      <c r="R1014" s="72"/>
      <c r="S1014" s="64">
        <v>44503</v>
      </c>
      <c r="U1014" s="72"/>
      <c r="V1014" s="54" t="s">
        <v>66</v>
      </c>
      <c r="X1014" s="69">
        <f t="shared" si="76"/>
        <v>7</v>
      </c>
      <c r="Z1014" s="45" t="s">
        <v>80</v>
      </c>
      <c r="AA1014" s="69">
        <f t="shared" si="83"/>
        <v>1</v>
      </c>
      <c r="AB1014" t="str">
        <f t="shared" si="73"/>
        <v>Adult</v>
      </c>
      <c r="AC1014" s="69">
        <v>1</v>
      </c>
      <c r="AD1014" s="69">
        <v>0</v>
      </c>
      <c r="AE1014" s="45" t="str">
        <f t="shared" si="74"/>
        <v>Morphological</v>
      </c>
      <c r="AF1014" s="56">
        <v>4</v>
      </c>
    </row>
    <row r="1015" spans="1:32" ht="18" customHeight="1" x14ac:dyDescent="0.25">
      <c r="A1015" s="45">
        <v>1011</v>
      </c>
      <c r="B1015" s="45" t="s">
        <v>60</v>
      </c>
      <c r="C1015" s="45" t="s">
        <v>61</v>
      </c>
      <c r="D1015" s="45" t="s">
        <v>62</v>
      </c>
      <c r="E1015" s="45" t="s">
        <v>62</v>
      </c>
      <c r="F1015" s="59" cm="1">
        <f t="array" ref="F1015">_xlfn.IFS($G1015=$G$5,F$5,$G1015=$G$6,F$6,$G1015=$G$7,F$7,$G1015=$G$8,F$8,$G1015=$G$9,F$9,$G1015=$G$10,F$10,$G1015=$G$11,F$11,$G1015=$G$12,F$12,$G1015=$G$13,F$13,$G1015=$G$15,F$15,$G1015=$G$16,F$16,$G1015=$G$17,F$17,$G1015=$G$18,F$18,$G1015=$G$19,F$19,$G1015=$G$20,F$20,$G1015=$G$21,F$21,$G1015=$G$22,F$22,$G1015=$G$25,F$25,$G1015=$G$26,F$26,$G1015=$G$27,F$27,$G1015=$G$29,F$29,$G1015=$G$31,F$31,$G1015=$G$32,F$32,$G1015=$G$248,F$248,$G1015=$G$250,F$250)</f>
        <v>8023</v>
      </c>
      <c r="G1015" t="s">
        <v>89</v>
      </c>
      <c r="H1015" s="60" cm="1">
        <f t="array" ref="H1015">_xlfn.IFS($G1015=$G$5,H$5,$G1015=$G$6,H$6,$G1015=$G$7,H$7,$G1015=$G$8,H$8,$G1015=$G$9,H$9,$G1015=$G$10,H$10,$G1015=$G$11,H$11,$G1015=$G$12,H$12,$G1015=$G$13,H$13,$G1015=$G$15,H$15,$G1015=$G$16,H$16,$G1015=$G$17,H$17,$G1015=$G$18,H$18,$G1015=$G$19,H$19,$G1015=$G$20,H$20,$G1015=$G$21,H$21,$G1015=$G$22,H$22,$G1015=$G$25,H$25,$G1015=$G$26,H$26,$G1015=$G$27,H$27,$G1015=$G$29,H$29,$G1015=$G$31,H$31,$G1015=$G$32,H$150,$G1015=$G$248,H$248,$G1015=$G$250,H$250)</f>
        <v>41.417256000000002</v>
      </c>
      <c r="I1015" s="60" cm="1">
        <f t="array" ref="I1015">_xlfn.IFS($G1015=$G$5,I$5,$G1015=$G$6,I$6,$G1015=$G$7,I$7,$G1015=$G$8,I$8,$G1015=$G$9,I$9,$G1015=$G$10,I$10,$G1015=$G$11,I$11,$G1015=$G$12,I$12,$G1015=$G$13,I$13,$G1015=$G$15,I$15,$G1015=$G$16,I$16,$G1015=$G$17,I$17,$G1015=$G$18,I$18,$G1015=$G$19,I$19,$G1015=$G$20,I$20,$G1015=$G$21,I$21,$G1015=$G$22,I$22,$G1015=$G$25,I$25,$G1015=$G$26,I$26,$G1015=$G$27,I$27,$G1015=$G$29,I$29,$G1015=$G$31,I$31,$G1015=$G$32,I$150,$G1015=$G$248,I$248,$G1015=$G$250,I$250)</f>
        <v>2.1455709999999999</v>
      </c>
      <c r="J1015" s="61" cm="1">
        <f t="array" ref="J1015">_xlfn.IFS($G1015=$G$5,J$5,$G1015=$G$6,J$6,$G1015=$G$7,J$7,$G1015=$G$8,J$8,$G1015=$G$9,J$9,$G1015=$G$10,J$10,$G1015=$G$11,J$11,$G1015=$G$12,J$12,$G1015=$G$13,J$13,$G1015=$G$15,J$15,$G1015=$G$16,J$16,$G1015=$G$17,J$17,$G1015=$G$18,J$18,$G1015=$G$19,J$19,$G1015=$G$20,J$20,$G1015=$G$21,J$21,$G1015=$G$22,J$22,$G1015=$G$25,J$25,$G1015=$G$26,J$26,$G1015=$G$27,J$27,$G1015=$G$29,J$29,$G1015=$G$31,J$31,$G1015=$G$32,J$150,$G1015=$G$248,J$248,$G1015=$G$250,J$250)</f>
        <v>186</v>
      </c>
      <c r="K1015" t="str" cm="1">
        <f t="array" ref="K1015">_xlfn.IFS($G1015=$G$5,K$5,$G1015=$G$6,K$6,$G1015=$G$7,K$7,$G1015=$G$8,K$8,$G1015=$G$9,K$9,$G1015=$G$10,K$10,$G1015=$G$11,K$11,$G1015=$G$12,K$12,$G1015=$G$13,K$13,$G1015=$G$15,K$15,$G1015=$G$16,K$16,$G1015=$G$17,K$17,$G1015=$G$18,K$18,$G1015=$G$19,K$19,$G1015=$G$20,K$20,$G1015=$G$21,K$21,$G1015=$G$22,K$22,$G1015=$G$25,K$25,$G1015=$G$26,K$26,$G1015=$G$27,K$27,$G1015=$G$29,K$29,$G1015=$G$31,K$31,$G1015=$G$32,K$150,$G1015=$G$248,K$248,$G1015=$G$250,K$250)</f>
        <v>BG sentinel + BG lure7</v>
      </c>
      <c r="O1015" s="69" t="str">
        <f t="shared" si="82"/>
        <v>A_SP_BCN_17_211027</v>
      </c>
      <c r="P1015" s="64">
        <v>44496</v>
      </c>
      <c r="R1015" s="72"/>
      <c r="S1015" s="64">
        <v>44503</v>
      </c>
      <c r="U1015" s="72"/>
      <c r="V1015" s="54" t="s">
        <v>66</v>
      </c>
      <c r="X1015" s="69">
        <f t="shared" si="76"/>
        <v>7</v>
      </c>
      <c r="AA1015" s="69">
        <f t="shared" si="83"/>
        <v>0</v>
      </c>
      <c r="AB1015" t="str">
        <f t="shared" si="73"/>
        <v/>
      </c>
      <c r="AE1015" s="45" t="str">
        <f t="shared" si="74"/>
        <v/>
      </c>
      <c r="AF1015" s="56">
        <v>4</v>
      </c>
    </row>
    <row r="1016" spans="1:32" ht="18" customHeight="1" x14ac:dyDescent="0.25">
      <c r="A1016" s="45">
        <v>1012</v>
      </c>
      <c r="B1016" s="45" t="s">
        <v>60</v>
      </c>
      <c r="C1016" s="45" t="s">
        <v>61</v>
      </c>
      <c r="D1016" s="45" t="s">
        <v>62</v>
      </c>
      <c r="E1016" s="45" t="s">
        <v>62</v>
      </c>
      <c r="F1016" s="59" cm="1">
        <f t="array" ref="F1016">_xlfn.IFS($G1016=$G$5,F$5,$G1016=$G$6,F$6,$G1016=$G$7,F$7,$G1016=$G$8,F$8,$G1016=$G$9,F$9,$G1016=$G$10,F$10,$G1016=$G$11,F$11,$G1016=$G$12,F$12,$G1016=$G$13,F$13,$G1016=$G$15,F$15,$G1016=$G$16,F$16,$G1016=$G$17,F$17,$G1016=$G$18,F$18,$G1016=$G$19,F$19,$G1016=$G$20,F$20,$G1016=$G$21,F$21,$G1016=$G$22,F$22,$G1016=$G$25,F$25,$G1016=$G$26,F$26,$G1016=$G$27,F$27,$G1016=$G$29,F$29,$G1016=$G$31,F$31,$G1016=$G$32,F$32,$G1016=$G$248,F$248,$G1016=$G$250,F$250)</f>
        <v>8031</v>
      </c>
      <c r="G1016" t="s">
        <v>92</v>
      </c>
      <c r="H1016" s="60" cm="1">
        <f t="array" ref="H1016">_xlfn.IFS($G1016=$G$5,H$5,$G1016=$G$6,H$6,$G1016=$G$7,H$7,$G1016=$G$8,H$8,$G1016=$G$9,H$9,$G1016=$G$10,H$10,$G1016=$G$11,H$11,$G1016=$G$12,H$12,$G1016=$G$13,H$13,$G1016=$G$15,H$15,$G1016=$G$16,H$16,$G1016=$G$17,H$17,$G1016=$G$18,H$18,$G1016=$G$19,H$19,$G1016=$G$20,H$20,$G1016=$G$21,H$21,$G1016=$G$22,H$22,$G1016=$G$25,H$25,$G1016=$G$26,H$26,$G1016=$G$27,H$27,$G1016=$G$29,H$29,$G1016=$G$31,H$31,$G1016=$G$32,H$150,$G1016=$G$248,H$248,$G1016=$G$250,H$250)</f>
        <v>41.433618000000003</v>
      </c>
      <c r="I1016" s="60" cm="1">
        <f t="array" ref="I1016">_xlfn.IFS($G1016=$G$5,I$5,$G1016=$G$6,I$6,$G1016=$G$7,I$7,$G1016=$G$8,I$8,$G1016=$G$9,I$9,$G1016=$G$10,I$10,$G1016=$G$11,I$11,$G1016=$G$12,I$12,$G1016=$G$13,I$13,$G1016=$G$15,I$15,$G1016=$G$16,I$16,$G1016=$G$17,I$17,$G1016=$G$18,I$18,$G1016=$G$19,I$19,$G1016=$G$20,I$20,$G1016=$G$21,I$21,$G1016=$G$22,I$22,$G1016=$G$25,I$25,$G1016=$G$26,I$26,$G1016=$G$27,I$27,$G1016=$G$29,I$29,$G1016=$G$31,I$31,$G1016=$G$32,I$150,$G1016=$G$248,I$248,$G1016=$G$250,I$250)</f>
        <v>2.1677469999999999</v>
      </c>
      <c r="J1016" s="61" cm="1">
        <f t="array" ref="J1016">_xlfn.IFS($G1016=$G$5,J$5,$G1016=$G$6,J$6,$G1016=$G$7,J$7,$G1016=$G$8,J$8,$G1016=$G$9,J$9,$G1016=$G$10,J$10,$G1016=$G$11,J$11,$G1016=$G$12,J$12,$G1016=$G$13,J$13,$G1016=$G$15,J$15,$G1016=$G$16,J$16,$G1016=$G$17,J$17,$G1016=$G$18,J$18,$G1016=$G$19,J$19,$G1016=$G$20,J$20,$G1016=$G$21,J$21,$G1016=$G$22,J$22,$G1016=$G$25,J$25,$G1016=$G$26,J$26,$G1016=$G$27,J$27,$G1016=$G$29,J$29,$G1016=$G$31,J$31,$G1016=$G$32,J$150,$G1016=$G$248,J$248,$G1016=$G$250,J$250)</f>
        <v>96.85</v>
      </c>
      <c r="K1016" t="str" cm="1">
        <f t="array" ref="K1016">_xlfn.IFS($G1016=$G$5,K$5,$G1016=$G$6,K$6,$G1016=$G$7,K$7,$G1016=$G$8,K$8,$G1016=$G$9,K$9,$G1016=$G$10,K$10,$G1016=$G$11,K$11,$G1016=$G$12,K$12,$G1016=$G$13,K$13,$G1016=$G$15,K$15,$G1016=$G$16,K$16,$G1016=$G$17,K$17,$G1016=$G$18,K$18,$G1016=$G$19,K$19,$G1016=$G$20,K$20,$G1016=$G$21,K$21,$G1016=$G$22,K$22,$G1016=$G$25,K$25,$G1016=$G$26,K$26,$G1016=$G$27,K$27,$G1016=$G$29,K$29,$G1016=$G$31,K$31,$G1016=$G$32,K$150,$G1016=$G$248,K$248,$G1016=$G$250,K$250)</f>
        <v>BG sentinel + BG lure7</v>
      </c>
      <c r="O1016" s="69" t="str">
        <f t="shared" si="82"/>
        <v>A_SP_BCN_18_211027</v>
      </c>
      <c r="P1016" s="64">
        <v>44496</v>
      </c>
      <c r="R1016" s="72"/>
      <c r="S1016" s="64">
        <v>44503</v>
      </c>
      <c r="U1016" s="72"/>
      <c r="V1016" s="54" t="s">
        <v>66</v>
      </c>
      <c r="X1016" s="69">
        <f t="shared" si="76"/>
        <v>7</v>
      </c>
      <c r="Z1016" s="69" t="s">
        <v>69</v>
      </c>
      <c r="AA1016" s="69">
        <f t="shared" si="83"/>
        <v>3</v>
      </c>
      <c r="AB1016" t="str">
        <f t="shared" si="73"/>
        <v>Adult</v>
      </c>
      <c r="AC1016" s="69">
        <v>3</v>
      </c>
      <c r="AD1016" s="69">
        <v>0</v>
      </c>
      <c r="AE1016" s="45" t="str">
        <f t="shared" si="74"/>
        <v>Morphological</v>
      </c>
      <c r="AF1016" s="56">
        <v>4</v>
      </c>
    </row>
    <row r="1017" spans="1:32" ht="18" customHeight="1" x14ac:dyDescent="0.25">
      <c r="A1017" s="45">
        <v>1013</v>
      </c>
      <c r="B1017" s="45" t="s">
        <v>60</v>
      </c>
      <c r="C1017" s="45" t="s">
        <v>61</v>
      </c>
      <c r="D1017" s="45" t="s">
        <v>62</v>
      </c>
      <c r="E1017" s="45" t="s">
        <v>62</v>
      </c>
      <c r="F1017" s="59" cm="1">
        <f t="array" ref="F1017">_xlfn.IFS($G1017=$G$5,F$5,$G1017=$G$6,F$6,$G1017=$G$7,F$7,$G1017=$G$8,F$8,$G1017=$G$9,F$9,$G1017=$G$10,F$10,$G1017=$G$11,F$11,$G1017=$G$12,F$12,$G1017=$G$13,F$13,$G1017=$G$15,F$15,$G1017=$G$16,F$16,$G1017=$G$17,F$17,$G1017=$G$18,F$18,$G1017=$G$19,F$19,$G1017=$G$20,F$20,$G1017=$G$21,F$21,$G1017=$G$22,F$22,$G1017=$G$25,F$25,$G1017=$G$26,F$26,$G1017=$G$27,F$27,$G1017=$G$29,F$29,$G1017=$G$31,F$31,$G1017=$G$32,F$32,$G1017=$G$248,F$248,$G1017=$G$250,F$250)</f>
        <v>8031</v>
      </c>
      <c r="G1017" t="s">
        <v>92</v>
      </c>
      <c r="H1017" s="60" cm="1">
        <f t="array" ref="H1017">_xlfn.IFS($G1017=$G$5,H$5,$G1017=$G$6,H$6,$G1017=$G$7,H$7,$G1017=$G$8,H$8,$G1017=$G$9,H$9,$G1017=$G$10,H$10,$G1017=$G$11,H$11,$G1017=$G$12,H$12,$G1017=$G$13,H$13,$G1017=$G$15,H$15,$G1017=$G$16,H$16,$G1017=$G$17,H$17,$G1017=$G$18,H$18,$G1017=$G$19,H$19,$G1017=$G$20,H$20,$G1017=$G$21,H$21,$G1017=$G$22,H$22,$G1017=$G$25,H$25,$G1017=$G$26,H$26,$G1017=$G$27,H$27,$G1017=$G$29,H$29,$G1017=$G$31,H$31,$G1017=$G$32,H$150,$G1017=$G$248,H$248,$G1017=$G$250,H$250)</f>
        <v>41.433618000000003</v>
      </c>
      <c r="I1017" s="60" cm="1">
        <f t="array" ref="I1017">_xlfn.IFS($G1017=$G$5,I$5,$G1017=$G$6,I$6,$G1017=$G$7,I$7,$G1017=$G$8,I$8,$G1017=$G$9,I$9,$G1017=$G$10,I$10,$G1017=$G$11,I$11,$G1017=$G$12,I$12,$G1017=$G$13,I$13,$G1017=$G$15,I$15,$G1017=$G$16,I$16,$G1017=$G$17,I$17,$G1017=$G$18,I$18,$G1017=$G$19,I$19,$G1017=$G$20,I$20,$G1017=$G$21,I$21,$G1017=$G$22,I$22,$G1017=$G$25,I$25,$G1017=$G$26,I$26,$G1017=$G$27,I$27,$G1017=$G$29,I$29,$G1017=$G$31,I$31,$G1017=$G$32,I$150,$G1017=$G$248,I$248,$G1017=$G$250,I$250)</f>
        <v>2.1677469999999999</v>
      </c>
      <c r="J1017" s="61" cm="1">
        <f t="array" ref="J1017">_xlfn.IFS($G1017=$G$5,J$5,$G1017=$G$6,J$6,$G1017=$G$7,J$7,$G1017=$G$8,J$8,$G1017=$G$9,J$9,$G1017=$G$10,J$10,$G1017=$G$11,J$11,$G1017=$G$12,J$12,$G1017=$G$13,J$13,$G1017=$G$15,J$15,$G1017=$G$16,J$16,$G1017=$G$17,J$17,$G1017=$G$18,J$18,$G1017=$G$19,J$19,$G1017=$G$20,J$20,$G1017=$G$21,J$21,$G1017=$G$22,J$22,$G1017=$G$25,J$25,$G1017=$G$26,J$26,$G1017=$G$27,J$27,$G1017=$G$29,J$29,$G1017=$G$31,J$31,$G1017=$G$32,J$150,$G1017=$G$248,J$248,$G1017=$G$250,J$250)</f>
        <v>96.85</v>
      </c>
      <c r="K1017" t="str" cm="1">
        <f t="array" ref="K1017">_xlfn.IFS($G1017=$G$5,K$5,$G1017=$G$6,K$6,$G1017=$G$7,K$7,$G1017=$G$8,K$8,$G1017=$G$9,K$9,$G1017=$G$10,K$10,$G1017=$G$11,K$11,$G1017=$G$12,K$12,$G1017=$G$13,K$13,$G1017=$G$15,K$15,$G1017=$G$16,K$16,$G1017=$G$17,K$17,$G1017=$G$18,K$18,$G1017=$G$19,K$19,$G1017=$G$20,K$20,$G1017=$G$21,K$21,$G1017=$G$22,K$22,$G1017=$G$25,K$25,$G1017=$G$26,K$26,$G1017=$G$27,K$27,$G1017=$G$29,K$29,$G1017=$G$31,K$31,$G1017=$G$32,K$150,$G1017=$G$248,K$248,$G1017=$G$250,K$250)</f>
        <v>BG sentinel + BG lure7</v>
      </c>
      <c r="O1017" s="69" t="str">
        <f t="shared" si="82"/>
        <v>A_SP_BCN_18_211027</v>
      </c>
      <c r="P1017" s="64">
        <v>44496</v>
      </c>
      <c r="R1017" s="72"/>
      <c r="S1017" s="64">
        <v>44503</v>
      </c>
      <c r="U1017" s="72"/>
      <c r="V1017" s="54" t="s">
        <v>66</v>
      </c>
      <c r="X1017" s="69">
        <f t="shared" si="76"/>
        <v>7</v>
      </c>
      <c r="Z1017" s="45" t="s">
        <v>70</v>
      </c>
      <c r="AA1017" s="69">
        <f t="shared" si="83"/>
        <v>2</v>
      </c>
      <c r="AB1017" t="str">
        <f t="shared" si="73"/>
        <v>Adult</v>
      </c>
      <c r="AC1017" s="69">
        <v>2</v>
      </c>
      <c r="AD1017" s="69">
        <v>0</v>
      </c>
      <c r="AE1017" s="45" t="str">
        <f t="shared" si="74"/>
        <v>Morphological</v>
      </c>
      <c r="AF1017" s="56">
        <v>4</v>
      </c>
    </row>
    <row r="1018" spans="1:32" ht="18" customHeight="1" x14ac:dyDescent="0.25">
      <c r="A1018" s="45">
        <v>1014</v>
      </c>
      <c r="B1018" s="45" t="s">
        <v>60</v>
      </c>
      <c r="C1018" s="45" t="s">
        <v>61</v>
      </c>
      <c r="D1018" s="45" t="s">
        <v>62</v>
      </c>
      <c r="E1018" s="45" t="s">
        <v>62</v>
      </c>
      <c r="F1018" s="59" cm="1">
        <f t="array" ref="F1018">_xlfn.IFS($G1018=$G$5,F$5,$G1018=$G$6,F$6,$G1018=$G$7,F$7,$G1018=$G$8,F$8,$G1018=$G$9,F$9,$G1018=$G$10,F$10,$G1018=$G$11,F$11,$G1018=$G$12,F$12,$G1018=$G$13,F$13,$G1018=$G$15,F$15,$G1018=$G$16,F$16,$G1018=$G$17,F$17,$G1018=$G$18,F$18,$G1018=$G$19,F$19,$G1018=$G$20,F$20,$G1018=$G$21,F$21,$G1018=$G$22,F$22,$G1018=$G$25,F$25,$G1018=$G$26,F$26,$G1018=$G$27,F$27,$G1018=$G$29,F$29,$G1018=$G$31,F$31,$G1018=$G$32,F$32,$G1018=$G$248,F$248,$G1018=$G$250,F$250)</f>
        <v>8038</v>
      </c>
      <c r="G1018" t="s">
        <v>93</v>
      </c>
      <c r="H1018" s="60" cm="1">
        <f t="array" ref="H1018">_xlfn.IFS($G1018=$G$5,H$5,$G1018=$G$6,H$6,$G1018=$G$7,H$7,$G1018=$G$8,H$8,$G1018=$G$9,H$9,$G1018=$G$10,H$10,$G1018=$G$11,H$11,$G1018=$G$12,H$12,$G1018=$G$13,H$13,$G1018=$G$15,H$15,$G1018=$G$16,H$16,$G1018=$G$17,H$17,$G1018=$G$18,H$18,$G1018=$G$19,H$19,$G1018=$G$20,H$20,$G1018=$G$21,H$21,$G1018=$G$22,H$22,$G1018=$G$25,H$25,$G1018=$G$26,H$26,$G1018=$G$27,H$27,$G1018=$G$29,H$29,$G1018=$G$31,H$31,$G1018=$G$32,H$150,$G1018=$G$248,H$248,$G1018=$G$250,H$250)</f>
        <v>41.359864999999999</v>
      </c>
      <c r="I1018" s="60" cm="1">
        <f t="array" ref="I1018">_xlfn.IFS($G1018=$G$5,I$5,$G1018=$G$6,I$6,$G1018=$G$7,I$7,$G1018=$G$8,I$8,$G1018=$G$9,I$9,$G1018=$G$10,I$10,$G1018=$G$11,I$11,$G1018=$G$12,I$12,$G1018=$G$13,I$13,$G1018=$G$15,I$15,$G1018=$G$16,I$16,$G1018=$G$17,I$17,$G1018=$G$18,I$18,$G1018=$G$19,I$19,$G1018=$G$20,I$20,$G1018=$G$21,I$21,$G1018=$G$22,I$22,$G1018=$G$25,I$25,$G1018=$G$26,I$26,$G1018=$G$27,I$27,$G1018=$G$29,I$29,$G1018=$G$31,I$31,$G1018=$G$32,I$150,$G1018=$G$248,I$248,$G1018=$G$250,I$250)</f>
        <v>2.1445430000000001</v>
      </c>
      <c r="J1018" s="61" cm="1">
        <f t="array" ref="J1018">_xlfn.IFS($G1018=$G$5,J$5,$G1018=$G$6,J$6,$G1018=$G$7,J$7,$G1018=$G$8,J$8,$G1018=$G$9,J$9,$G1018=$G$10,J$10,$G1018=$G$11,J$11,$G1018=$G$12,J$12,$G1018=$G$13,J$13,$G1018=$G$15,J$15,$G1018=$G$16,J$16,$G1018=$G$17,J$17,$G1018=$G$18,J$18,$G1018=$G$19,J$19,$G1018=$G$20,J$20,$G1018=$G$21,J$21,$G1018=$G$22,J$22,$G1018=$G$25,J$25,$G1018=$G$26,J$26,$G1018=$G$27,J$27,$G1018=$G$29,J$29,$G1018=$G$31,J$31,$G1018=$G$32,J$150,$G1018=$G$248,J$248,$G1018=$G$250,J$250)</f>
        <v>11.4</v>
      </c>
      <c r="K1018" t="str" cm="1">
        <f t="array" ref="K1018">_xlfn.IFS($G1018=$G$5,K$5,$G1018=$G$6,K$6,$G1018=$G$7,K$7,$G1018=$G$8,K$8,$G1018=$G$9,K$9,$G1018=$G$10,K$10,$G1018=$G$11,K$11,$G1018=$G$12,K$12,$G1018=$G$13,K$13,$G1018=$G$15,K$15,$G1018=$G$16,K$16,$G1018=$G$17,K$17,$G1018=$G$18,K$18,$G1018=$G$19,K$19,$G1018=$G$20,K$20,$G1018=$G$21,K$21,$G1018=$G$22,K$22,$G1018=$G$25,K$25,$G1018=$G$26,K$26,$G1018=$G$27,K$27,$G1018=$G$29,K$29,$G1018=$G$31,K$31,$G1018=$G$32,K$150,$G1018=$G$248,K$248,$G1018=$G$250,K$250)</f>
        <v>BG sentinel + BG lure7</v>
      </c>
      <c r="O1018" s="69" t="str">
        <f t="shared" si="82"/>
        <v>A_SP_BCN_19_211028</v>
      </c>
      <c r="P1018" s="64">
        <v>44497</v>
      </c>
      <c r="R1018" s="72"/>
      <c r="S1018" s="64">
        <v>44504</v>
      </c>
      <c r="U1018" s="72"/>
      <c r="V1018" s="54" t="s">
        <v>66</v>
      </c>
      <c r="X1018" s="69">
        <f t="shared" si="76"/>
        <v>7</v>
      </c>
      <c r="Z1018" s="69" t="s">
        <v>69</v>
      </c>
      <c r="AA1018" s="69">
        <f t="shared" si="83"/>
        <v>40</v>
      </c>
      <c r="AB1018" t="str">
        <f t="shared" si="73"/>
        <v>Adult</v>
      </c>
      <c r="AC1018" s="69">
        <v>37</v>
      </c>
      <c r="AD1018" s="69">
        <v>3</v>
      </c>
      <c r="AE1018" s="45" t="str">
        <f t="shared" si="74"/>
        <v>Morphological</v>
      </c>
      <c r="AF1018" s="56">
        <v>4</v>
      </c>
    </row>
    <row r="1019" spans="1:32" ht="18" customHeight="1" x14ac:dyDescent="0.25">
      <c r="A1019" s="45">
        <v>1015</v>
      </c>
      <c r="B1019" s="45" t="s">
        <v>60</v>
      </c>
      <c r="C1019" s="45" t="s">
        <v>61</v>
      </c>
      <c r="D1019" s="45" t="s">
        <v>62</v>
      </c>
      <c r="E1019" s="45" t="s">
        <v>62</v>
      </c>
      <c r="F1019" s="59" cm="1">
        <f t="array" ref="F1019">_xlfn.IFS($G1019=$G$5,F$5,$G1019=$G$6,F$6,$G1019=$G$7,F$7,$G1019=$G$8,F$8,$G1019=$G$9,F$9,$G1019=$G$10,F$10,$G1019=$G$11,F$11,$G1019=$G$12,F$12,$G1019=$G$13,F$13,$G1019=$G$15,F$15,$G1019=$G$16,F$16,$G1019=$G$17,F$17,$G1019=$G$18,F$18,$G1019=$G$19,F$19,$G1019=$G$20,F$20,$G1019=$G$21,F$21,$G1019=$G$22,F$22,$G1019=$G$25,F$25,$G1019=$G$26,F$26,$G1019=$G$27,F$27,$G1019=$G$29,F$29,$G1019=$G$31,F$31,$G1019=$G$32,F$32,$G1019=$G$248,F$248,$G1019=$G$250,F$250)</f>
        <v>8038</v>
      </c>
      <c r="G1019" t="s">
        <v>93</v>
      </c>
      <c r="H1019" s="60" cm="1">
        <f t="array" ref="H1019">_xlfn.IFS($G1019=$G$5,H$5,$G1019=$G$6,H$6,$G1019=$G$7,H$7,$G1019=$G$8,H$8,$G1019=$G$9,H$9,$G1019=$G$10,H$10,$G1019=$G$11,H$11,$G1019=$G$12,H$12,$G1019=$G$13,H$13,$G1019=$G$15,H$15,$G1019=$G$16,H$16,$G1019=$G$17,H$17,$G1019=$G$18,H$18,$G1019=$G$19,H$19,$G1019=$G$20,H$20,$G1019=$G$21,H$21,$G1019=$G$22,H$22,$G1019=$G$25,H$25,$G1019=$G$26,H$26,$G1019=$G$27,H$27,$G1019=$G$29,H$29,$G1019=$G$31,H$31,$G1019=$G$32,H$150,$G1019=$G$248,H$248,$G1019=$G$250,H$250)</f>
        <v>41.359864999999999</v>
      </c>
      <c r="I1019" s="60" cm="1">
        <f t="array" ref="I1019">_xlfn.IFS($G1019=$G$5,I$5,$G1019=$G$6,I$6,$G1019=$G$7,I$7,$G1019=$G$8,I$8,$G1019=$G$9,I$9,$G1019=$G$10,I$10,$G1019=$G$11,I$11,$G1019=$G$12,I$12,$G1019=$G$13,I$13,$G1019=$G$15,I$15,$G1019=$G$16,I$16,$G1019=$G$17,I$17,$G1019=$G$18,I$18,$G1019=$G$19,I$19,$G1019=$G$20,I$20,$G1019=$G$21,I$21,$G1019=$G$22,I$22,$G1019=$G$25,I$25,$G1019=$G$26,I$26,$G1019=$G$27,I$27,$G1019=$G$29,I$29,$G1019=$G$31,I$31,$G1019=$G$32,I$150,$G1019=$G$248,I$248,$G1019=$G$250,I$250)</f>
        <v>2.1445430000000001</v>
      </c>
      <c r="J1019" s="61" cm="1">
        <f t="array" ref="J1019">_xlfn.IFS($G1019=$G$5,J$5,$G1019=$G$6,J$6,$G1019=$G$7,J$7,$G1019=$G$8,J$8,$G1019=$G$9,J$9,$G1019=$G$10,J$10,$G1019=$G$11,J$11,$G1019=$G$12,J$12,$G1019=$G$13,J$13,$G1019=$G$15,J$15,$G1019=$G$16,J$16,$G1019=$G$17,J$17,$G1019=$G$18,J$18,$G1019=$G$19,J$19,$G1019=$G$20,J$20,$G1019=$G$21,J$21,$G1019=$G$22,J$22,$G1019=$G$25,J$25,$G1019=$G$26,J$26,$G1019=$G$27,J$27,$G1019=$G$29,J$29,$G1019=$G$31,J$31,$G1019=$G$32,J$150,$G1019=$G$248,J$248,$G1019=$G$250,J$250)</f>
        <v>11.4</v>
      </c>
      <c r="K1019" t="str" cm="1">
        <f t="array" ref="K1019">_xlfn.IFS($G1019=$G$5,K$5,$G1019=$G$6,K$6,$G1019=$G$7,K$7,$G1019=$G$8,K$8,$G1019=$G$9,K$9,$G1019=$G$10,K$10,$G1019=$G$11,K$11,$G1019=$G$12,K$12,$G1019=$G$13,K$13,$G1019=$G$15,K$15,$G1019=$G$16,K$16,$G1019=$G$17,K$17,$G1019=$G$18,K$18,$G1019=$G$19,K$19,$G1019=$G$20,K$20,$G1019=$G$21,K$21,$G1019=$G$22,K$22,$G1019=$G$25,K$25,$G1019=$G$26,K$26,$G1019=$G$27,K$27,$G1019=$G$29,K$29,$G1019=$G$31,K$31,$G1019=$G$32,K$150,$G1019=$G$248,K$248,$G1019=$G$250,K$250)</f>
        <v>BG sentinel + BG lure7</v>
      </c>
      <c r="O1019" s="69" t="str">
        <f t="shared" si="82"/>
        <v>A_SP_BCN_19_211028</v>
      </c>
      <c r="P1019" s="64">
        <v>44497</v>
      </c>
      <c r="R1019" s="72"/>
      <c r="S1019" s="64">
        <v>44504</v>
      </c>
      <c r="U1019" s="72"/>
      <c r="V1019" s="54" t="s">
        <v>66</v>
      </c>
      <c r="X1019" s="69">
        <f t="shared" si="76"/>
        <v>7</v>
      </c>
      <c r="Z1019" s="45" t="s">
        <v>70</v>
      </c>
      <c r="AA1019" s="69">
        <f t="shared" si="83"/>
        <v>8</v>
      </c>
      <c r="AB1019" t="str">
        <f t="shared" si="73"/>
        <v>Adult</v>
      </c>
      <c r="AC1019" s="69">
        <v>7</v>
      </c>
      <c r="AD1019" s="69">
        <v>1</v>
      </c>
      <c r="AE1019" s="45" t="str">
        <f t="shared" si="74"/>
        <v>Morphological</v>
      </c>
      <c r="AF1019" s="56">
        <v>4</v>
      </c>
    </row>
    <row r="1020" spans="1:32" ht="18" customHeight="1" x14ac:dyDescent="0.25">
      <c r="A1020" s="45">
        <v>1016</v>
      </c>
      <c r="B1020" s="45" t="s">
        <v>60</v>
      </c>
      <c r="C1020" s="45" t="s">
        <v>61</v>
      </c>
      <c r="D1020" s="45" t="s">
        <v>62</v>
      </c>
      <c r="E1020" s="45" t="s">
        <v>62</v>
      </c>
      <c r="F1020" s="59" cm="1">
        <f t="array" ref="F1020">_xlfn.IFS($G1020=$G$5,F$5,$G1020=$G$6,F$6,$G1020=$G$7,F$7,$G1020=$G$8,F$8,$G1020=$G$9,F$9,$G1020=$G$10,F$10,$G1020=$G$11,F$11,$G1020=$G$12,F$12,$G1020=$G$13,F$13,$G1020=$G$15,F$15,$G1020=$G$16,F$16,$G1020=$G$17,F$17,$G1020=$G$18,F$18,$G1020=$G$19,F$19,$G1020=$G$20,F$20,$G1020=$G$21,F$21,$G1020=$G$22,F$22,$G1020=$G$25,F$25,$G1020=$G$26,F$26,$G1020=$G$27,F$27,$G1020=$G$29,F$29,$G1020=$G$31,F$31,$G1020=$G$32,F$32,$G1020=$G$248,F$248,$G1020=$G$250,F$250)</f>
        <v>8002</v>
      </c>
      <c r="G1020" t="s">
        <v>94</v>
      </c>
      <c r="H1020" s="60" cm="1">
        <f t="array" ref="H1020">_xlfn.IFS($G1020=$G$5,H$5,$G1020=$G$6,H$6,$G1020=$G$7,H$7,$G1020=$G$8,H$8,$G1020=$G$9,H$9,$G1020=$G$10,H$10,$G1020=$G$11,H$11,$G1020=$G$12,H$12,$G1020=$G$13,H$13,$G1020=$G$15,H$15,$G1020=$G$16,H$16,$G1020=$G$17,H$17,$G1020=$G$18,H$18,$G1020=$G$19,H$19,$G1020=$G$20,H$20,$G1020=$G$21,H$21,$G1020=$G$22,H$22,$G1020=$G$25,H$25,$G1020=$G$26,H$26,$G1020=$G$27,H$27,$G1020=$G$29,H$29,$G1020=$G$31,H$31,$G1020=$G$32,H$150,$G1020=$G$248,H$248,$G1020=$G$250,H$250)</f>
        <v>41.385213</v>
      </c>
      <c r="I1020" s="60" cm="1">
        <f t="array" ref="I1020">_xlfn.IFS($G1020=$G$5,I$5,$G1020=$G$6,I$6,$G1020=$G$7,I$7,$G1020=$G$8,I$8,$G1020=$G$9,I$9,$G1020=$G$10,I$10,$G1020=$G$11,I$11,$G1020=$G$12,I$12,$G1020=$G$13,I$13,$G1020=$G$15,I$15,$G1020=$G$16,I$16,$G1020=$G$17,I$17,$G1020=$G$18,I$18,$G1020=$G$19,I$19,$G1020=$G$20,I$20,$G1020=$G$21,I$21,$G1020=$G$22,I$22,$G1020=$G$25,I$25,$G1020=$G$26,I$26,$G1020=$G$27,I$27,$G1020=$G$29,I$29,$G1020=$G$31,I$31,$G1020=$G$32,I$150,$G1020=$G$248,I$248,$G1020=$G$250,I$250)</f>
        <v>2.174852</v>
      </c>
      <c r="J1020" s="61" cm="1">
        <f t="array" ref="J1020">_xlfn.IFS($G1020=$G$5,J$5,$G1020=$G$6,J$6,$G1020=$G$7,J$7,$G1020=$G$8,J$8,$G1020=$G$9,J$9,$G1020=$G$10,J$10,$G1020=$G$11,J$11,$G1020=$G$12,J$12,$G1020=$G$13,J$13,$G1020=$G$15,J$15,$G1020=$G$16,J$16,$G1020=$G$17,J$17,$G1020=$G$18,J$18,$G1020=$G$19,J$19,$G1020=$G$20,J$20,$G1020=$G$21,J$21,$G1020=$G$22,J$22,$G1020=$G$25,J$25,$G1020=$G$26,J$26,$G1020=$G$27,J$27,$G1020=$G$29,J$29,$G1020=$G$31,J$31,$G1020=$G$32,J$150,$G1020=$G$248,J$248,$G1020=$G$250,J$250)</f>
        <v>14</v>
      </c>
      <c r="K1020" t="str" cm="1">
        <f t="array" ref="K1020">_xlfn.IFS($G1020=$G$5,K$5,$G1020=$G$6,K$6,$G1020=$G$7,K$7,$G1020=$G$8,K$8,$G1020=$G$9,K$9,$G1020=$G$10,K$10,$G1020=$G$11,K$11,$G1020=$G$12,K$12,$G1020=$G$13,K$13,$G1020=$G$15,K$15,$G1020=$G$16,K$16,$G1020=$G$17,K$17,$G1020=$G$18,K$18,$G1020=$G$19,K$19,$G1020=$G$20,K$20,$G1020=$G$21,K$21,$G1020=$G$22,K$22,$G1020=$G$25,K$25,$G1020=$G$26,K$26,$G1020=$G$27,K$27,$G1020=$G$29,K$29,$G1020=$G$31,K$31,$G1020=$G$32,K$150,$G1020=$G$248,K$248,$G1020=$G$250,K$250)</f>
        <v>BG sentinel + BG lure7</v>
      </c>
      <c r="O1020" s="69" t="str">
        <f t="shared" si="82"/>
        <v>A_SP_BCN_20_211028</v>
      </c>
      <c r="P1020" s="64">
        <v>44497</v>
      </c>
      <c r="R1020" s="72"/>
      <c r="S1020" s="64">
        <v>44504</v>
      </c>
      <c r="U1020" s="72"/>
      <c r="V1020" s="54" t="s">
        <v>66</v>
      </c>
      <c r="X1020" s="69">
        <f t="shared" si="76"/>
        <v>7</v>
      </c>
      <c r="Z1020" s="69" t="s">
        <v>69</v>
      </c>
      <c r="AA1020" s="69">
        <f t="shared" si="83"/>
        <v>1</v>
      </c>
      <c r="AB1020" t="str">
        <f t="shared" si="73"/>
        <v>Adult</v>
      </c>
      <c r="AC1020" s="69">
        <v>0</v>
      </c>
      <c r="AD1020" s="69">
        <v>1</v>
      </c>
      <c r="AE1020" s="45" t="str">
        <f t="shared" si="74"/>
        <v>Morphological</v>
      </c>
      <c r="AF1020" s="56">
        <v>4</v>
      </c>
    </row>
    <row r="1021" spans="1:32" ht="18" customHeight="1" x14ac:dyDescent="0.25">
      <c r="A1021" s="45">
        <v>1017</v>
      </c>
      <c r="B1021" s="45" t="s">
        <v>60</v>
      </c>
      <c r="C1021" s="45" t="s">
        <v>61</v>
      </c>
      <c r="D1021" s="45" t="s">
        <v>62</v>
      </c>
      <c r="E1021" s="45" t="s">
        <v>62</v>
      </c>
      <c r="F1021" s="59" cm="1">
        <f t="array" ref="F1021">_xlfn.IFS($G1021=$G$5,F$5,$G1021=$G$6,F$6,$G1021=$G$7,F$7,$G1021=$G$8,F$8,$G1021=$G$9,F$9,$G1021=$G$10,F$10,$G1021=$G$11,F$11,$G1021=$G$12,F$12,$G1021=$G$13,F$13,$G1021=$G$15,F$15,$G1021=$G$16,F$16,$G1021=$G$17,F$17,$G1021=$G$18,F$18,$G1021=$G$19,F$19,$G1021=$G$20,F$20,$G1021=$G$21,F$21,$G1021=$G$22,F$22,$G1021=$G$25,F$25,$G1021=$G$26,F$26,$G1021=$G$27,F$27,$G1021=$G$29,F$29,$G1021=$G$31,F$31,$G1021=$G$32,F$32,$G1021=$G$248,F$248,$G1021=$G$250,F$250)</f>
        <v>8002</v>
      </c>
      <c r="G1021" t="s">
        <v>94</v>
      </c>
      <c r="H1021" s="60" cm="1">
        <f t="array" ref="H1021">_xlfn.IFS($G1021=$G$5,H$5,$G1021=$G$6,H$6,$G1021=$G$7,H$7,$G1021=$G$8,H$8,$G1021=$G$9,H$9,$G1021=$G$10,H$10,$G1021=$G$11,H$11,$G1021=$G$12,H$12,$G1021=$G$13,H$13,$G1021=$G$15,H$15,$G1021=$G$16,H$16,$G1021=$G$17,H$17,$G1021=$G$18,H$18,$G1021=$G$19,H$19,$G1021=$G$20,H$20,$G1021=$G$21,H$21,$G1021=$G$22,H$22,$G1021=$G$25,H$25,$G1021=$G$26,H$26,$G1021=$G$27,H$27,$G1021=$G$29,H$29,$G1021=$G$31,H$31,$G1021=$G$32,H$150,$G1021=$G$248,H$248,$G1021=$G$250,H$250)</f>
        <v>41.385213</v>
      </c>
      <c r="I1021" s="60" cm="1">
        <f t="array" ref="I1021">_xlfn.IFS($G1021=$G$5,I$5,$G1021=$G$6,I$6,$G1021=$G$7,I$7,$G1021=$G$8,I$8,$G1021=$G$9,I$9,$G1021=$G$10,I$10,$G1021=$G$11,I$11,$G1021=$G$12,I$12,$G1021=$G$13,I$13,$G1021=$G$15,I$15,$G1021=$G$16,I$16,$G1021=$G$17,I$17,$G1021=$G$18,I$18,$G1021=$G$19,I$19,$G1021=$G$20,I$20,$G1021=$G$21,I$21,$G1021=$G$22,I$22,$G1021=$G$25,I$25,$G1021=$G$26,I$26,$G1021=$G$27,I$27,$G1021=$G$29,I$29,$G1021=$G$31,I$31,$G1021=$G$32,I$150,$G1021=$G$248,I$248,$G1021=$G$250,I$250)</f>
        <v>2.174852</v>
      </c>
      <c r="J1021" s="61" cm="1">
        <f t="array" ref="J1021">_xlfn.IFS($G1021=$G$5,J$5,$G1021=$G$6,J$6,$G1021=$G$7,J$7,$G1021=$G$8,J$8,$G1021=$G$9,J$9,$G1021=$G$10,J$10,$G1021=$G$11,J$11,$G1021=$G$12,J$12,$G1021=$G$13,J$13,$G1021=$G$15,J$15,$G1021=$G$16,J$16,$G1021=$G$17,J$17,$G1021=$G$18,J$18,$G1021=$G$19,J$19,$G1021=$G$20,J$20,$G1021=$G$21,J$21,$G1021=$G$22,J$22,$G1021=$G$25,J$25,$G1021=$G$26,J$26,$G1021=$G$27,J$27,$G1021=$G$29,J$29,$G1021=$G$31,J$31,$G1021=$G$32,J$150,$G1021=$G$248,J$248,$G1021=$G$250,J$250)</f>
        <v>14</v>
      </c>
      <c r="K1021" t="str" cm="1">
        <f t="array" ref="K1021">_xlfn.IFS($G1021=$G$5,K$5,$G1021=$G$6,K$6,$G1021=$G$7,K$7,$G1021=$G$8,K$8,$G1021=$G$9,K$9,$G1021=$G$10,K$10,$G1021=$G$11,K$11,$G1021=$G$12,K$12,$G1021=$G$13,K$13,$G1021=$G$15,K$15,$G1021=$G$16,K$16,$G1021=$G$17,K$17,$G1021=$G$18,K$18,$G1021=$G$19,K$19,$G1021=$G$20,K$20,$G1021=$G$21,K$21,$G1021=$G$22,K$22,$G1021=$G$25,K$25,$G1021=$G$26,K$26,$G1021=$G$27,K$27,$G1021=$G$29,K$29,$G1021=$G$31,K$31,$G1021=$G$32,K$150,$G1021=$G$248,K$248,$G1021=$G$250,K$250)</f>
        <v>BG sentinel + BG lure7</v>
      </c>
      <c r="O1021" s="69" t="str">
        <f t="shared" si="82"/>
        <v>A_SP_BCN_20_211028</v>
      </c>
      <c r="P1021" s="64">
        <v>44497</v>
      </c>
      <c r="R1021" s="72"/>
      <c r="S1021" s="64">
        <v>44504</v>
      </c>
      <c r="U1021" s="72"/>
      <c r="V1021" s="54" t="s">
        <v>66</v>
      </c>
      <c r="X1021" s="69">
        <f t="shared" si="76"/>
        <v>7</v>
      </c>
      <c r="Z1021" s="45" t="s">
        <v>70</v>
      </c>
      <c r="AA1021" s="69">
        <f t="shared" si="83"/>
        <v>3</v>
      </c>
      <c r="AB1021" t="str">
        <f t="shared" si="73"/>
        <v>Adult</v>
      </c>
      <c r="AC1021" s="69">
        <v>3</v>
      </c>
      <c r="AD1021" s="69">
        <v>0</v>
      </c>
      <c r="AE1021" s="45" t="str">
        <f t="shared" si="74"/>
        <v>Morphological</v>
      </c>
      <c r="AF1021" s="56">
        <v>4</v>
      </c>
    </row>
    <row r="1022" spans="1:32" ht="18" customHeight="1" x14ac:dyDescent="0.25">
      <c r="A1022" s="45">
        <v>1018</v>
      </c>
      <c r="B1022" s="45" t="s">
        <v>60</v>
      </c>
      <c r="C1022" s="45" t="s">
        <v>61</v>
      </c>
      <c r="D1022" s="45" t="s">
        <v>62</v>
      </c>
      <c r="E1022" s="45" t="s">
        <v>62</v>
      </c>
      <c r="F1022" s="59" cm="1">
        <f t="array" ref="F1022">_xlfn.IFS($G1022=$G$5,F$5,$G1022=$G$6,F$6,$G1022=$G$7,F$7,$G1022=$G$8,F$8,$G1022=$G$9,F$9,$G1022=$G$10,F$10,$G1022=$G$11,F$11,$G1022=$G$12,F$12,$G1022=$G$13,F$13,$G1022=$G$15,F$15,$G1022=$G$16,F$16,$G1022=$G$17,F$17,$G1022=$G$18,F$18,$G1022=$G$19,F$19,$G1022=$G$20,F$20,$G1022=$G$21,F$21,$G1022=$G$22,F$22,$G1022=$G$25,F$25,$G1022=$G$26,F$26,$G1022=$G$27,F$27,$G1022=$G$29,F$29,$G1022=$G$31,F$31,$G1022=$G$32,F$32,$G1022=$G$248,F$248,$G1022=$G$250,F$250)</f>
        <v>8002</v>
      </c>
      <c r="G1022" t="s">
        <v>94</v>
      </c>
      <c r="H1022" s="60" cm="1">
        <f t="array" ref="H1022">_xlfn.IFS($G1022=$G$5,H$5,$G1022=$G$6,H$6,$G1022=$G$7,H$7,$G1022=$G$8,H$8,$G1022=$G$9,H$9,$G1022=$G$10,H$10,$G1022=$G$11,H$11,$G1022=$G$12,H$12,$G1022=$G$13,H$13,$G1022=$G$15,H$15,$G1022=$G$16,H$16,$G1022=$G$17,H$17,$G1022=$G$18,H$18,$G1022=$G$19,H$19,$G1022=$G$20,H$20,$G1022=$G$21,H$21,$G1022=$G$22,H$22,$G1022=$G$25,H$25,$G1022=$G$26,H$26,$G1022=$G$27,H$27,$G1022=$G$29,H$29,$G1022=$G$31,H$31,$G1022=$G$32,H$150,$G1022=$G$248,H$248,$G1022=$G$250,H$250)</f>
        <v>41.385213</v>
      </c>
      <c r="I1022" s="60" cm="1">
        <f t="array" ref="I1022">_xlfn.IFS($G1022=$G$5,I$5,$G1022=$G$6,I$6,$G1022=$G$7,I$7,$G1022=$G$8,I$8,$G1022=$G$9,I$9,$G1022=$G$10,I$10,$G1022=$G$11,I$11,$G1022=$G$12,I$12,$G1022=$G$13,I$13,$G1022=$G$15,I$15,$G1022=$G$16,I$16,$G1022=$G$17,I$17,$G1022=$G$18,I$18,$G1022=$G$19,I$19,$G1022=$G$20,I$20,$G1022=$G$21,I$21,$G1022=$G$22,I$22,$G1022=$G$25,I$25,$G1022=$G$26,I$26,$G1022=$G$27,I$27,$G1022=$G$29,I$29,$G1022=$G$31,I$31,$G1022=$G$32,I$150,$G1022=$G$248,I$248,$G1022=$G$250,I$250)</f>
        <v>2.174852</v>
      </c>
      <c r="J1022" s="61" cm="1">
        <f t="array" ref="J1022">_xlfn.IFS($G1022=$G$5,J$5,$G1022=$G$6,J$6,$G1022=$G$7,J$7,$G1022=$G$8,J$8,$G1022=$G$9,J$9,$G1022=$G$10,J$10,$G1022=$G$11,J$11,$G1022=$G$12,J$12,$G1022=$G$13,J$13,$G1022=$G$15,J$15,$G1022=$G$16,J$16,$G1022=$G$17,J$17,$G1022=$G$18,J$18,$G1022=$G$19,J$19,$G1022=$G$20,J$20,$G1022=$G$21,J$21,$G1022=$G$22,J$22,$G1022=$G$25,J$25,$G1022=$G$26,J$26,$G1022=$G$27,J$27,$G1022=$G$29,J$29,$G1022=$G$31,J$31,$G1022=$G$32,J$150,$G1022=$G$248,J$248,$G1022=$G$250,J$250)</f>
        <v>14</v>
      </c>
      <c r="K1022" t="str" cm="1">
        <f t="array" ref="K1022">_xlfn.IFS($G1022=$G$5,K$5,$G1022=$G$6,K$6,$G1022=$G$7,K$7,$G1022=$G$8,K$8,$G1022=$G$9,K$9,$G1022=$G$10,K$10,$G1022=$G$11,K$11,$G1022=$G$12,K$12,$G1022=$G$13,K$13,$G1022=$G$15,K$15,$G1022=$G$16,K$16,$G1022=$G$17,K$17,$G1022=$G$18,K$18,$G1022=$G$19,K$19,$G1022=$G$20,K$20,$G1022=$G$21,K$21,$G1022=$G$22,K$22,$G1022=$G$25,K$25,$G1022=$G$26,K$26,$G1022=$G$27,K$27,$G1022=$G$29,K$29,$G1022=$G$31,K$31,$G1022=$G$32,K$150,$G1022=$G$248,K$248,$G1022=$G$250,K$250)</f>
        <v>BG sentinel + BG lure7</v>
      </c>
      <c r="O1022" s="69" t="str">
        <f t="shared" si="82"/>
        <v>A_SP_BCN_20_211028</v>
      </c>
      <c r="P1022" s="64">
        <v>44497</v>
      </c>
      <c r="R1022" s="72"/>
      <c r="S1022" s="64">
        <v>44504</v>
      </c>
      <c r="U1022" s="72"/>
      <c r="V1022" s="54" t="s">
        <v>66</v>
      </c>
      <c r="X1022" s="69">
        <f t="shared" si="76"/>
        <v>7</v>
      </c>
      <c r="Z1022" s="45" t="s">
        <v>80</v>
      </c>
      <c r="AA1022" s="69">
        <f t="shared" si="83"/>
        <v>1</v>
      </c>
      <c r="AB1022" t="str">
        <f t="shared" si="73"/>
        <v>Adult</v>
      </c>
      <c r="AC1022" s="69">
        <v>1</v>
      </c>
      <c r="AD1022" s="69">
        <v>0</v>
      </c>
      <c r="AE1022" s="45" t="str">
        <f t="shared" si="74"/>
        <v>Morphological</v>
      </c>
      <c r="AF1022" s="56">
        <v>4</v>
      </c>
    </row>
    <row r="1023" spans="1:32" ht="18" customHeight="1" x14ac:dyDescent="0.25">
      <c r="A1023" s="45">
        <v>1019</v>
      </c>
      <c r="B1023" s="45" t="s">
        <v>60</v>
      </c>
      <c r="C1023" s="45" t="s">
        <v>61</v>
      </c>
      <c r="D1023" s="45" t="s">
        <v>62</v>
      </c>
      <c r="E1023" s="45" t="s">
        <v>62</v>
      </c>
      <c r="F1023" s="59" cm="1">
        <f t="array" ref="F1023">_xlfn.IFS($G1023=$G$5,F$5,$G1023=$G$6,F$6,$G1023=$G$7,F$7,$G1023=$G$8,F$8,$G1023=$G$9,F$9,$G1023=$G$10,F$10,$G1023=$G$11,F$11,$G1023=$G$12,F$12,$G1023=$G$13,F$13,$G1023=$G$15,F$15,$G1023=$G$16,F$16,$G1023=$G$17,F$17,$G1023=$G$18,F$18,$G1023=$G$19,F$19,$G1023=$G$20,F$20,$G1023=$G$21,F$21,$G1023=$G$22,F$22,$G1023=$G$25,F$25,$G1023=$G$26,F$26,$G1023=$G$27,F$27,$G1023=$G$29,F$29,$G1023=$G$31,F$31,$G1023=$G$32,F$32,$G1023=$G$248,F$248,$G1023=$G$250,F$250)</f>
        <v>8017</v>
      </c>
      <c r="G1023" t="s">
        <v>98</v>
      </c>
      <c r="H1023" s="60" cm="1">
        <f t="array" ref="H1023">_xlfn.IFS($G1023=$G$5,H$5,$G1023=$G$6,H$6,$G1023=$G$7,H$7,$G1023=$G$8,H$8,$G1023=$G$9,H$9,$G1023=$G$10,H$10,$G1023=$G$11,H$11,$G1023=$G$12,H$12,$G1023=$G$13,H$13,$G1023=$G$15,H$15,$G1023=$G$16,H$16,$G1023=$G$17,H$17,$G1023=$G$18,H$18,$G1023=$G$19,H$19,$G1023=$G$20,H$20,$G1023=$G$21,H$21,$G1023=$G$22,H$22,$G1023=$G$25,H$25,$G1023=$G$26,H$26,$G1023=$G$27,H$27,$G1023=$G$29,H$29,$G1023=$G$31,H$31,$G1023=$G$32,H$150,$G1023=$G$248,H$248,$G1023=$G$250,H$250)</f>
        <v>41.430315999999998</v>
      </c>
      <c r="I1023" s="60" cm="1">
        <f t="array" ref="I1023">_xlfn.IFS($G1023=$G$5,I$5,$G1023=$G$6,I$6,$G1023=$G$7,I$7,$G1023=$G$8,I$8,$G1023=$G$9,I$9,$G1023=$G$10,I$10,$G1023=$G$11,I$11,$G1023=$G$12,I$12,$G1023=$G$13,I$13,$G1023=$G$15,I$15,$G1023=$G$16,I$16,$G1023=$G$17,I$17,$G1023=$G$18,I$18,$G1023=$G$19,I$19,$G1023=$G$20,I$20,$G1023=$G$21,I$21,$G1023=$G$22,I$22,$G1023=$G$25,I$25,$G1023=$G$26,I$26,$G1023=$G$27,I$27,$G1023=$G$29,I$29,$G1023=$G$31,I$31,$G1023=$G$32,I$150,$G1023=$G$248,I$248,$G1023=$G$250,I$250)</f>
        <v>2.077556</v>
      </c>
      <c r="J1023" s="61" cm="1">
        <f t="array" ref="J1023">_xlfn.IFS($G1023=$G$5,J$5,$G1023=$G$6,J$6,$G1023=$G$7,J$7,$G1023=$G$8,J$8,$G1023=$G$9,J$9,$G1023=$G$10,J$10,$G1023=$G$11,J$11,$G1023=$G$12,J$12,$G1023=$G$13,J$13,$G1023=$G$15,J$15,$G1023=$G$16,J$16,$G1023=$G$17,J$17,$G1023=$G$18,J$18,$G1023=$G$19,J$19,$G1023=$G$20,J$20,$G1023=$G$21,J$21,$G1023=$G$22,J$22,$G1023=$G$25,J$25,$G1023=$G$26,J$26,$G1023=$G$27,J$27,$G1023=$G$29,J$29,$G1023=$G$31,J$31,$G1023=$G$32,J$150,$G1023=$G$248,J$248,$G1023=$G$250,J$250)</f>
        <v>243.3</v>
      </c>
      <c r="K1023" t="str" cm="1">
        <f t="array" ref="K1023">_xlfn.IFS($G1023=$G$5,K$5,$G1023=$G$6,K$6,$G1023=$G$7,K$7,$G1023=$G$8,K$8,$G1023=$G$9,K$9,$G1023=$G$10,K$10,$G1023=$G$11,K$11,$G1023=$G$12,K$12,$G1023=$G$13,K$13,$G1023=$G$15,K$15,$G1023=$G$16,K$16,$G1023=$G$17,K$17,$G1023=$G$18,K$18,$G1023=$G$19,K$19,$G1023=$G$20,K$20,$G1023=$G$21,K$21,$G1023=$G$22,K$22,$G1023=$G$25,K$25,$G1023=$G$26,K$26,$G1023=$G$27,K$27,$G1023=$G$29,K$29,$G1023=$G$31,K$31,$G1023=$G$32,K$150,$G1023=$G$248,K$248,$G1023=$G$250,K$250)</f>
        <v>BG sentinel + BG lure7</v>
      </c>
      <c r="O1023" s="69" t="str">
        <f t="shared" si="82"/>
        <v>A_SP_BCN_22_211027</v>
      </c>
      <c r="P1023" s="64">
        <v>44496</v>
      </c>
      <c r="R1023" s="72"/>
      <c r="S1023" s="64">
        <v>44503</v>
      </c>
      <c r="U1023" s="72"/>
      <c r="V1023" s="54" t="s">
        <v>66</v>
      </c>
      <c r="W1023" t="s">
        <v>173</v>
      </c>
      <c r="X1023" s="69">
        <f t="shared" si="76"/>
        <v>7</v>
      </c>
      <c r="Z1023" s="69" t="s">
        <v>69</v>
      </c>
      <c r="AA1023" s="69">
        <f t="shared" si="83"/>
        <v>5</v>
      </c>
      <c r="AB1023" t="str">
        <f t="shared" si="73"/>
        <v>Adult</v>
      </c>
      <c r="AC1023" s="69">
        <v>5</v>
      </c>
      <c r="AD1023" s="69">
        <v>0</v>
      </c>
      <c r="AE1023" s="45" t="str">
        <f t="shared" si="74"/>
        <v>Morphological</v>
      </c>
      <c r="AF1023" s="56">
        <v>4</v>
      </c>
    </row>
    <row r="1024" spans="1:32" ht="18" customHeight="1" x14ac:dyDescent="0.25">
      <c r="A1024" s="45">
        <v>1020</v>
      </c>
      <c r="B1024" s="45" t="s">
        <v>60</v>
      </c>
      <c r="C1024" s="45" t="s">
        <v>61</v>
      </c>
      <c r="D1024" s="45" t="s">
        <v>62</v>
      </c>
      <c r="E1024" s="45" t="s">
        <v>62</v>
      </c>
      <c r="F1024" s="59" cm="1">
        <f t="array" ref="F1024">_xlfn.IFS($G1024=$G$5,F$5,$G1024=$G$6,F$6,$G1024=$G$7,F$7,$G1024=$G$8,F$8,$G1024=$G$9,F$9,$G1024=$G$10,F$10,$G1024=$G$11,F$11,$G1024=$G$12,F$12,$G1024=$G$13,F$13,$G1024=$G$15,F$15,$G1024=$G$16,F$16,$G1024=$G$17,F$17,$G1024=$G$18,F$18,$G1024=$G$19,F$19,$G1024=$G$20,F$20,$G1024=$G$21,F$21,$G1024=$G$22,F$22,$G1024=$G$25,F$25,$G1024=$G$26,F$26,$G1024=$G$27,F$27,$G1024=$G$29,F$29,$G1024=$G$31,F$31,$G1024=$G$32,F$32,$G1024=$G$248,F$248,$G1024=$G$250,F$250)</f>
        <v>8017</v>
      </c>
      <c r="G1024" t="s">
        <v>98</v>
      </c>
      <c r="H1024" s="60" cm="1">
        <f t="array" ref="H1024">_xlfn.IFS($G1024=$G$5,H$5,$G1024=$G$6,H$6,$G1024=$G$7,H$7,$G1024=$G$8,H$8,$G1024=$G$9,H$9,$G1024=$G$10,H$10,$G1024=$G$11,H$11,$G1024=$G$12,H$12,$G1024=$G$13,H$13,$G1024=$G$15,H$15,$G1024=$G$16,H$16,$G1024=$G$17,H$17,$G1024=$G$18,H$18,$G1024=$G$19,H$19,$G1024=$G$20,H$20,$G1024=$G$21,H$21,$G1024=$G$22,H$22,$G1024=$G$25,H$25,$G1024=$G$26,H$26,$G1024=$G$27,H$27,$G1024=$G$29,H$29,$G1024=$G$31,H$31,$G1024=$G$32,H$150,$G1024=$G$248,H$248,$G1024=$G$250,H$250)</f>
        <v>41.430315999999998</v>
      </c>
      <c r="I1024" s="60" cm="1">
        <f t="array" ref="I1024">_xlfn.IFS($G1024=$G$5,I$5,$G1024=$G$6,I$6,$G1024=$G$7,I$7,$G1024=$G$8,I$8,$G1024=$G$9,I$9,$G1024=$G$10,I$10,$G1024=$G$11,I$11,$G1024=$G$12,I$12,$G1024=$G$13,I$13,$G1024=$G$15,I$15,$G1024=$G$16,I$16,$G1024=$G$17,I$17,$G1024=$G$18,I$18,$G1024=$G$19,I$19,$G1024=$G$20,I$20,$G1024=$G$21,I$21,$G1024=$G$22,I$22,$G1024=$G$25,I$25,$G1024=$G$26,I$26,$G1024=$G$27,I$27,$G1024=$G$29,I$29,$G1024=$G$31,I$31,$G1024=$G$32,I$150,$G1024=$G$248,I$248,$G1024=$G$250,I$250)</f>
        <v>2.077556</v>
      </c>
      <c r="J1024" s="61" cm="1">
        <f t="array" ref="J1024">_xlfn.IFS($G1024=$G$5,J$5,$G1024=$G$6,J$6,$G1024=$G$7,J$7,$G1024=$G$8,J$8,$G1024=$G$9,J$9,$G1024=$G$10,J$10,$G1024=$G$11,J$11,$G1024=$G$12,J$12,$G1024=$G$13,J$13,$G1024=$G$15,J$15,$G1024=$G$16,J$16,$G1024=$G$17,J$17,$G1024=$G$18,J$18,$G1024=$G$19,J$19,$G1024=$G$20,J$20,$G1024=$G$21,J$21,$G1024=$G$22,J$22,$G1024=$G$25,J$25,$G1024=$G$26,J$26,$G1024=$G$27,J$27,$G1024=$G$29,J$29,$G1024=$G$31,J$31,$G1024=$G$32,J$150,$G1024=$G$248,J$248,$G1024=$G$250,J$250)</f>
        <v>243.3</v>
      </c>
      <c r="K1024" t="str" cm="1">
        <f t="array" ref="K1024">_xlfn.IFS($G1024=$G$5,K$5,$G1024=$G$6,K$6,$G1024=$G$7,K$7,$G1024=$G$8,K$8,$G1024=$G$9,K$9,$G1024=$G$10,K$10,$G1024=$G$11,K$11,$G1024=$G$12,K$12,$G1024=$G$13,K$13,$G1024=$G$15,K$15,$G1024=$G$16,K$16,$G1024=$G$17,K$17,$G1024=$G$18,K$18,$G1024=$G$19,K$19,$G1024=$G$20,K$20,$G1024=$G$21,K$21,$G1024=$G$22,K$22,$G1024=$G$25,K$25,$G1024=$G$26,K$26,$G1024=$G$27,K$27,$G1024=$G$29,K$29,$G1024=$G$31,K$31,$G1024=$G$32,K$150,$G1024=$G$248,K$248,$G1024=$G$250,K$250)</f>
        <v>BG sentinel + BG lure7</v>
      </c>
      <c r="O1024" s="69" t="str">
        <f t="shared" si="82"/>
        <v>A_SP_BCN_22_211027</v>
      </c>
      <c r="P1024" s="64">
        <v>44496</v>
      </c>
      <c r="R1024" s="72"/>
      <c r="S1024" s="64">
        <v>44503</v>
      </c>
      <c r="U1024" s="72"/>
      <c r="V1024" s="54" t="s">
        <v>66</v>
      </c>
      <c r="W1024" t="s">
        <v>173</v>
      </c>
      <c r="X1024" s="69">
        <f t="shared" si="76"/>
        <v>7</v>
      </c>
      <c r="Z1024" s="45" t="s">
        <v>70</v>
      </c>
      <c r="AA1024" s="69">
        <f t="shared" si="83"/>
        <v>1</v>
      </c>
      <c r="AB1024" t="str">
        <f t="shared" si="73"/>
        <v>Adult</v>
      </c>
      <c r="AC1024" s="69">
        <v>1</v>
      </c>
      <c r="AD1024" s="69">
        <v>0</v>
      </c>
      <c r="AE1024" s="45" t="str">
        <f t="shared" si="74"/>
        <v>Morphological</v>
      </c>
      <c r="AF1024" s="56">
        <v>4</v>
      </c>
    </row>
    <row r="1025" spans="1:32" ht="18" customHeight="1" x14ac:dyDescent="0.25">
      <c r="A1025" s="45">
        <v>1021</v>
      </c>
      <c r="B1025" s="45" t="s">
        <v>60</v>
      </c>
      <c r="C1025" s="45" t="s">
        <v>61</v>
      </c>
      <c r="D1025" s="45" t="s">
        <v>62</v>
      </c>
      <c r="E1025" s="45" t="s">
        <v>62</v>
      </c>
      <c r="F1025" s="59" cm="1">
        <f t="array" ref="F1025">_xlfn.IFS($G1025=$G$5,F$5,$G1025=$G$6,F$6,$G1025=$G$7,F$7,$G1025=$G$8,F$8,$G1025=$G$9,F$9,$G1025=$G$10,F$10,$G1025=$G$11,F$11,$G1025=$G$12,F$12,$G1025=$G$13,F$13,$G1025=$G$15,F$15,$G1025=$G$16,F$16,$G1025=$G$17,F$17,$G1025=$G$18,F$18,$G1025=$G$19,F$19,$G1025=$G$20,F$20,$G1025=$G$21,F$21,$G1025=$G$22,F$22,$G1025=$G$25,F$25,$G1025=$G$26,F$26,$G1025=$G$27,F$27,$G1025=$G$29,F$29,$G1025=$G$31,F$31,$G1025=$G$32,F$32,$G1025=$G$248,F$248,$G1025=$G$250,F$250)</f>
        <v>8038</v>
      </c>
      <c r="G1025" t="s">
        <v>103</v>
      </c>
      <c r="H1025" s="60" cm="1">
        <f t="array" ref="H1025">_xlfn.IFS($G1025=$G$5,H$5,$G1025=$G$6,H$6,$G1025=$G$7,H$7,$G1025=$G$8,H$8,$G1025=$G$9,H$9,$G1025=$G$10,H$10,$G1025=$G$11,H$11,$G1025=$G$12,H$12,$G1025=$G$13,H$13,$G1025=$G$15,H$15,$G1025=$G$16,H$16,$G1025=$G$17,H$17,$G1025=$G$18,H$18,$G1025=$G$19,H$19,$G1025=$G$20,H$20,$G1025=$G$21,H$21,$G1025=$G$22,H$22,$G1025=$G$25,H$25,$G1025=$G$26,H$26,$G1025=$G$27,H$27,$G1025=$G$29,H$29,$G1025=$G$31,H$31,$G1025=$G$32,H$150,$G1025=$G$248,H$248,$G1025=$G$250,H$250)</f>
        <v>41.367100000000001</v>
      </c>
      <c r="I1025" s="60" cm="1">
        <f t="array" ref="I1025">_xlfn.IFS($G1025=$G$5,I$5,$G1025=$G$6,I$6,$G1025=$G$7,I$7,$G1025=$G$8,I$8,$G1025=$G$9,I$9,$G1025=$G$10,I$10,$G1025=$G$11,I$11,$G1025=$G$12,I$12,$G1025=$G$13,I$13,$G1025=$G$15,I$15,$G1025=$G$16,I$16,$G1025=$G$17,I$17,$G1025=$G$18,I$18,$G1025=$G$19,I$19,$G1025=$G$20,I$20,$G1025=$G$21,I$21,$G1025=$G$22,I$22,$G1025=$G$25,I$25,$G1025=$G$26,I$26,$G1025=$G$27,I$27,$G1025=$G$29,I$29,$G1025=$G$31,I$31,$G1025=$G$32,I$150,$G1025=$G$248,I$248,$G1025=$G$250,I$250)</f>
        <v>2.1539079999999999</v>
      </c>
      <c r="J1025" s="61" cm="1">
        <f t="array" ref="J1025">_xlfn.IFS($G1025=$G$5,J$5,$G1025=$G$6,J$6,$G1025=$G$7,J$7,$G1025=$G$8,J$8,$G1025=$G$9,J$9,$G1025=$G$10,J$10,$G1025=$G$11,J$11,$G1025=$G$12,J$12,$G1025=$G$13,J$13,$G1025=$G$15,J$15,$G1025=$G$16,J$16,$G1025=$G$17,J$17,$G1025=$G$18,J$18,$G1025=$G$19,J$19,$G1025=$G$20,J$20,$G1025=$G$21,J$21,$G1025=$G$22,J$22,$G1025=$G$25,J$25,$G1025=$G$26,J$26,$G1025=$G$27,J$27,$G1025=$G$29,J$29,$G1025=$G$31,J$31,$G1025=$G$32,J$150,$G1025=$G$248,J$248,$G1025=$G$250,J$250)</f>
        <v>68</v>
      </c>
      <c r="K1025" t="str" cm="1">
        <f t="array" ref="K1025">_xlfn.IFS($G1025=$G$5,K$5,$G1025=$G$6,K$6,$G1025=$G$7,K$7,$G1025=$G$8,K$8,$G1025=$G$9,K$9,$G1025=$G$10,K$10,$G1025=$G$11,K$11,$G1025=$G$12,K$12,$G1025=$G$13,K$13,$G1025=$G$15,K$15,$G1025=$G$16,K$16,$G1025=$G$17,K$17,$G1025=$G$18,K$18,$G1025=$G$19,K$19,$G1025=$G$20,K$20,$G1025=$G$21,K$21,$G1025=$G$22,K$22,$G1025=$G$25,K$25,$G1025=$G$26,K$26,$G1025=$G$27,K$27,$G1025=$G$29,K$29,$G1025=$G$31,K$31,$G1025=$G$32,K$150,$G1025=$G$248,K$248,$G1025=$G$250,K$250)</f>
        <v>BG sentinel + BG lure7</v>
      </c>
      <c r="O1025" s="69" t="str">
        <f t="shared" si="82"/>
        <v>A_SP_BCN_23_211028</v>
      </c>
      <c r="P1025" s="64">
        <v>44497</v>
      </c>
      <c r="R1025" s="72"/>
      <c r="S1025" s="64">
        <v>44504</v>
      </c>
      <c r="U1025" s="72"/>
      <c r="V1025" s="54" t="s">
        <v>66</v>
      </c>
      <c r="X1025" s="69">
        <f t="shared" si="76"/>
        <v>7</v>
      </c>
      <c r="Z1025" s="69" t="s">
        <v>69</v>
      </c>
      <c r="AA1025" s="69">
        <f t="shared" si="83"/>
        <v>8</v>
      </c>
      <c r="AB1025" t="str">
        <f t="shared" si="73"/>
        <v>Adult</v>
      </c>
      <c r="AC1025" s="69">
        <v>7</v>
      </c>
      <c r="AD1025" s="69">
        <v>1</v>
      </c>
      <c r="AE1025" s="45" t="str">
        <f t="shared" si="74"/>
        <v>Morphological</v>
      </c>
      <c r="AF1025" s="56">
        <v>4</v>
      </c>
    </row>
    <row r="1026" spans="1:32" ht="18" customHeight="1" x14ac:dyDescent="0.25">
      <c r="A1026" s="45">
        <v>1022</v>
      </c>
      <c r="B1026" s="45" t="s">
        <v>60</v>
      </c>
      <c r="C1026" s="45" t="s">
        <v>61</v>
      </c>
      <c r="D1026" s="45" t="s">
        <v>62</v>
      </c>
      <c r="E1026" s="45" t="s">
        <v>62</v>
      </c>
      <c r="F1026" s="59" cm="1">
        <f t="array" ref="F1026">_xlfn.IFS($G1026=$G$5,F$5,$G1026=$G$6,F$6,$G1026=$G$7,F$7,$G1026=$G$8,F$8,$G1026=$G$9,F$9,$G1026=$G$10,F$10,$G1026=$G$11,F$11,$G1026=$G$12,F$12,$G1026=$G$13,F$13,$G1026=$G$15,F$15,$G1026=$G$16,F$16,$G1026=$G$17,F$17,$G1026=$G$18,F$18,$G1026=$G$19,F$19,$G1026=$G$20,F$20,$G1026=$G$21,F$21,$G1026=$G$22,F$22,$G1026=$G$25,F$25,$G1026=$G$26,F$26,$G1026=$G$27,F$27,$G1026=$G$29,F$29,$G1026=$G$31,F$31,$G1026=$G$32,F$32,$G1026=$G$248,F$248,$G1026=$G$250,F$250)</f>
        <v>8038</v>
      </c>
      <c r="G1026" t="s">
        <v>103</v>
      </c>
      <c r="H1026" s="60" cm="1">
        <f t="array" ref="H1026">_xlfn.IFS($G1026=$G$5,H$5,$G1026=$G$6,H$6,$G1026=$G$7,H$7,$G1026=$G$8,H$8,$G1026=$G$9,H$9,$G1026=$G$10,H$10,$G1026=$G$11,H$11,$G1026=$G$12,H$12,$G1026=$G$13,H$13,$G1026=$G$15,H$15,$G1026=$G$16,H$16,$G1026=$G$17,H$17,$G1026=$G$18,H$18,$G1026=$G$19,H$19,$G1026=$G$20,H$20,$G1026=$G$21,H$21,$G1026=$G$22,H$22,$G1026=$G$25,H$25,$G1026=$G$26,H$26,$G1026=$G$27,H$27,$G1026=$G$29,H$29,$G1026=$G$31,H$31,$G1026=$G$32,H$150,$G1026=$G$248,H$248,$G1026=$G$250,H$250)</f>
        <v>41.367100000000001</v>
      </c>
      <c r="I1026" s="60" cm="1">
        <f t="array" ref="I1026">_xlfn.IFS($G1026=$G$5,I$5,$G1026=$G$6,I$6,$G1026=$G$7,I$7,$G1026=$G$8,I$8,$G1026=$G$9,I$9,$G1026=$G$10,I$10,$G1026=$G$11,I$11,$G1026=$G$12,I$12,$G1026=$G$13,I$13,$G1026=$G$15,I$15,$G1026=$G$16,I$16,$G1026=$G$17,I$17,$G1026=$G$18,I$18,$G1026=$G$19,I$19,$G1026=$G$20,I$20,$G1026=$G$21,I$21,$G1026=$G$22,I$22,$G1026=$G$25,I$25,$G1026=$G$26,I$26,$G1026=$G$27,I$27,$G1026=$G$29,I$29,$G1026=$G$31,I$31,$G1026=$G$32,I$150,$G1026=$G$248,I$248,$G1026=$G$250,I$250)</f>
        <v>2.1539079999999999</v>
      </c>
      <c r="J1026" s="61" cm="1">
        <f t="array" ref="J1026">_xlfn.IFS($G1026=$G$5,J$5,$G1026=$G$6,J$6,$G1026=$G$7,J$7,$G1026=$G$8,J$8,$G1026=$G$9,J$9,$G1026=$G$10,J$10,$G1026=$G$11,J$11,$G1026=$G$12,J$12,$G1026=$G$13,J$13,$G1026=$G$15,J$15,$G1026=$G$16,J$16,$G1026=$G$17,J$17,$G1026=$G$18,J$18,$G1026=$G$19,J$19,$G1026=$G$20,J$20,$G1026=$G$21,J$21,$G1026=$G$22,J$22,$G1026=$G$25,J$25,$G1026=$G$26,J$26,$G1026=$G$27,J$27,$G1026=$G$29,J$29,$G1026=$G$31,J$31,$G1026=$G$32,J$150,$G1026=$G$248,J$248,$G1026=$G$250,J$250)</f>
        <v>68</v>
      </c>
      <c r="K1026" t="str" cm="1">
        <f t="array" ref="K1026">_xlfn.IFS($G1026=$G$5,K$5,$G1026=$G$6,K$6,$G1026=$G$7,K$7,$G1026=$G$8,K$8,$G1026=$G$9,K$9,$G1026=$G$10,K$10,$G1026=$G$11,K$11,$G1026=$G$12,K$12,$G1026=$G$13,K$13,$G1026=$G$15,K$15,$G1026=$G$16,K$16,$G1026=$G$17,K$17,$G1026=$G$18,K$18,$G1026=$G$19,K$19,$G1026=$G$20,K$20,$G1026=$G$21,K$21,$G1026=$G$22,K$22,$G1026=$G$25,K$25,$G1026=$G$26,K$26,$G1026=$G$27,K$27,$G1026=$G$29,K$29,$G1026=$G$31,K$31,$G1026=$G$32,K$150,$G1026=$G$248,K$248,$G1026=$G$250,K$250)</f>
        <v>BG sentinel + BG lure7</v>
      </c>
      <c r="O1026" s="69" t="str">
        <f t="shared" si="82"/>
        <v>A_SP_BCN_23_211028</v>
      </c>
      <c r="P1026" s="64">
        <v>44497</v>
      </c>
      <c r="R1026" s="72"/>
      <c r="S1026" s="64">
        <v>44504</v>
      </c>
      <c r="U1026" s="72"/>
      <c r="V1026" s="54" t="s">
        <v>66</v>
      </c>
      <c r="X1026" s="69">
        <f t="shared" si="76"/>
        <v>7</v>
      </c>
      <c r="Z1026" s="45" t="s">
        <v>70</v>
      </c>
      <c r="AA1026" s="69">
        <f t="shared" si="83"/>
        <v>4</v>
      </c>
      <c r="AB1026" t="str">
        <f t="shared" si="73"/>
        <v>Adult</v>
      </c>
      <c r="AC1026" s="69">
        <v>1</v>
      </c>
      <c r="AD1026" s="69">
        <v>3</v>
      </c>
      <c r="AE1026" s="45" t="str">
        <f t="shared" si="74"/>
        <v>Morphological</v>
      </c>
      <c r="AF1026" s="56">
        <v>4</v>
      </c>
    </row>
    <row r="1027" spans="1:32" ht="18" customHeight="1" x14ac:dyDescent="0.25">
      <c r="A1027" s="45">
        <v>1023</v>
      </c>
      <c r="B1027" s="45" t="s">
        <v>60</v>
      </c>
      <c r="C1027" s="45" t="s">
        <v>61</v>
      </c>
      <c r="D1027" s="45" t="s">
        <v>62</v>
      </c>
      <c r="E1027" s="45" t="s">
        <v>62</v>
      </c>
      <c r="F1027" s="59" cm="1">
        <f t="array" ref="F1027">_xlfn.IFS($G1027=$G$5,F$5,$G1027=$G$6,F$6,$G1027=$G$7,F$7,$G1027=$G$8,F$8,$G1027=$G$9,F$9,$G1027=$G$10,F$10,$G1027=$G$11,F$11,$G1027=$G$12,F$12,$G1027=$G$13,F$13,$G1027=$G$15,F$15,$G1027=$G$16,F$16,$G1027=$G$17,F$17,$G1027=$G$18,F$18,$G1027=$G$19,F$19,$G1027=$G$20,F$20,$G1027=$G$21,F$21,$G1027=$G$22,F$22,$G1027=$G$25,F$25,$G1027=$G$26,F$26,$G1027=$G$27,F$27,$G1027=$G$29,F$29,$G1027=$G$31,F$31,$G1027=$G$32,F$32,$G1027=$G$248,F$248,$G1027=$G$250,F$250)</f>
        <v>8015</v>
      </c>
      <c r="G1027" t="s">
        <v>109</v>
      </c>
      <c r="H1027" s="60" cm="1">
        <f t="array" ref="H1027">_xlfn.IFS($G1027=$G$5,H$5,$G1027=$G$6,H$6,$G1027=$G$7,H$7,$G1027=$G$8,H$8,$G1027=$G$9,H$9,$G1027=$G$10,H$10,$G1027=$G$11,H$11,$G1027=$G$12,H$12,$G1027=$G$13,H$13,$G1027=$G$15,H$15,$G1027=$G$16,H$16,$G1027=$G$17,H$17,$G1027=$G$18,H$18,$G1027=$G$19,H$19,$G1027=$G$20,H$20,$G1027=$G$21,H$21,$G1027=$G$22,H$22,$G1027=$G$25,H$25,$G1027=$G$26,H$26,$G1027=$G$27,H$27,$G1027=$G$29,H$29,$G1027=$G$31,H$31,$G1027=$G$32,H$150,$G1027=$G$248,H$248,$G1027=$G$250,H$250)</f>
        <v>41.381725000000003</v>
      </c>
      <c r="I1027" s="60" cm="1">
        <f t="array" ref="I1027">_xlfn.IFS($G1027=$G$5,I$5,$G1027=$G$6,I$6,$G1027=$G$7,I$7,$G1027=$G$8,I$8,$G1027=$G$9,I$9,$G1027=$G$10,I$10,$G1027=$G$11,I$11,$G1027=$G$12,I$12,$G1027=$G$13,I$13,$G1027=$G$15,I$15,$G1027=$G$16,I$16,$G1027=$G$17,I$17,$G1027=$G$18,I$18,$G1027=$G$19,I$19,$G1027=$G$20,I$20,$G1027=$G$21,I$21,$G1027=$G$22,I$22,$G1027=$G$25,I$25,$G1027=$G$26,I$26,$G1027=$G$27,I$27,$G1027=$G$29,I$29,$G1027=$G$31,I$31,$G1027=$G$32,I$150,$G1027=$G$248,I$248,$G1027=$G$250,I$250)</f>
        <v>2.1543679999999998</v>
      </c>
      <c r="J1027" s="61" cm="1">
        <f t="array" ref="J1027">_xlfn.IFS($G1027=$G$5,J$5,$G1027=$G$6,J$6,$G1027=$G$7,J$7,$G1027=$G$8,J$8,$G1027=$G$9,J$9,$G1027=$G$10,J$10,$G1027=$G$11,J$11,$G1027=$G$12,J$12,$G1027=$G$13,J$13,$G1027=$G$15,J$15,$G1027=$G$16,J$16,$G1027=$G$17,J$17,$G1027=$G$18,J$18,$G1027=$G$19,J$19,$G1027=$G$20,J$20,$G1027=$G$21,J$21,$G1027=$G$22,J$22,$G1027=$G$25,J$25,$G1027=$G$26,J$26,$G1027=$G$27,J$27,$G1027=$G$29,J$29,$G1027=$G$31,J$31,$G1027=$G$32,J$150,$G1027=$G$248,J$248,$G1027=$G$250,J$250)</f>
        <v>20.7</v>
      </c>
      <c r="K1027" t="str" cm="1">
        <f t="array" ref="K1027">_xlfn.IFS($G1027=$G$5,K$5,$G1027=$G$6,K$6,$G1027=$G$7,K$7,$G1027=$G$8,K$8,$G1027=$G$9,K$9,$G1027=$G$10,K$10,$G1027=$G$11,K$11,$G1027=$G$12,K$12,$G1027=$G$13,K$13,$G1027=$G$15,K$15,$G1027=$G$16,K$16,$G1027=$G$17,K$17,$G1027=$G$18,K$18,$G1027=$G$19,K$19,$G1027=$G$20,K$20,$G1027=$G$21,K$21,$G1027=$G$22,K$22,$G1027=$G$25,K$25,$G1027=$G$26,K$26,$G1027=$G$27,K$27,$G1027=$G$29,K$29,$G1027=$G$31,K$31,$G1027=$G$32,K$150,$G1027=$G$248,K$248,$G1027=$G$250,K$250)</f>
        <v>BG sentinel + BG lure7</v>
      </c>
      <c r="O1027" s="69" t="str">
        <f t="shared" si="82"/>
        <v>A_SP_BCN_24_211028</v>
      </c>
      <c r="P1027" s="64">
        <v>44497</v>
      </c>
      <c r="R1027" s="72"/>
      <c r="S1027" s="64">
        <v>44504</v>
      </c>
      <c r="U1027" s="72"/>
      <c r="V1027" s="54" t="s">
        <v>66</v>
      </c>
      <c r="X1027" s="69">
        <f t="shared" si="76"/>
        <v>7</v>
      </c>
      <c r="Z1027" s="69" t="s">
        <v>69</v>
      </c>
      <c r="AA1027" s="69">
        <f t="shared" si="83"/>
        <v>5</v>
      </c>
      <c r="AB1027" t="str">
        <f t="shared" si="73"/>
        <v>Adult</v>
      </c>
      <c r="AC1027" s="69">
        <v>1</v>
      </c>
      <c r="AD1027" s="69">
        <v>4</v>
      </c>
      <c r="AE1027" s="45" t="str">
        <f t="shared" si="74"/>
        <v>Morphological</v>
      </c>
      <c r="AF1027" s="56">
        <v>4</v>
      </c>
    </row>
    <row r="1028" spans="1:32" ht="18" customHeight="1" x14ac:dyDescent="0.25">
      <c r="A1028" s="45">
        <v>1024</v>
      </c>
      <c r="B1028" s="45" t="s">
        <v>60</v>
      </c>
      <c r="C1028" s="45" t="s">
        <v>61</v>
      </c>
      <c r="D1028" s="45" t="s">
        <v>62</v>
      </c>
      <c r="E1028" s="45" t="s">
        <v>62</v>
      </c>
      <c r="F1028" s="59" cm="1">
        <f t="array" ref="F1028">_xlfn.IFS($G1028=$G$5,F$5,$G1028=$G$6,F$6,$G1028=$G$7,F$7,$G1028=$G$8,F$8,$G1028=$G$9,F$9,$G1028=$G$10,F$10,$G1028=$G$11,F$11,$G1028=$G$12,F$12,$G1028=$G$13,F$13,$G1028=$G$15,F$15,$G1028=$G$16,F$16,$G1028=$G$17,F$17,$G1028=$G$18,F$18,$G1028=$G$19,F$19,$G1028=$G$20,F$20,$G1028=$G$21,F$21,$G1028=$G$22,F$22,$G1028=$G$25,F$25,$G1028=$G$26,F$26,$G1028=$G$27,F$27,$G1028=$G$29,F$29,$G1028=$G$31,F$31,$G1028=$G$32,F$32,$G1028=$G$248,F$248,$G1028=$G$250,F$250)</f>
        <v>8015</v>
      </c>
      <c r="G1028" t="s">
        <v>109</v>
      </c>
      <c r="H1028" s="60" cm="1">
        <f t="array" ref="H1028">_xlfn.IFS($G1028=$G$5,H$5,$G1028=$G$6,H$6,$G1028=$G$7,H$7,$G1028=$G$8,H$8,$G1028=$G$9,H$9,$G1028=$G$10,H$10,$G1028=$G$11,H$11,$G1028=$G$12,H$12,$G1028=$G$13,H$13,$G1028=$G$15,H$15,$G1028=$G$16,H$16,$G1028=$G$17,H$17,$G1028=$G$18,H$18,$G1028=$G$19,H$19,$G1028=$G$20,H$20,$G1028=$G$21,H$21,$G1028=$G$22,H$22,$G1028=$G$25,H$25,$G1028=$G$26,H$26,$G1028=$G$27,H$27,$G1028=$G$29,H$29,$G1028=$G$31,H$31,$G1028=$G$32,H$150,$G1028=$G$248,H$248,$G1028=$G$250,H$250)</f>
        <v>41.381725000000003</v>
      </c>
      <c r="I1028" s="60" cm="1">
        <f t="array" ref="I1028">_xlfn.IFS($G1028=$G$5,I$5,$G1028=$G$6,I$6,$G1028=$G$7,I$7,$G1028=$G$8,I$8,$G1028=$G$9,I$9,$G1028=$G$10,I$10,$G1028=$G$11,I$11,$G1028=$G$12,I$12,$G1028=$G$13,I$13,$G1028=$G$15,I$15,$G1028=$G$16,I$16,$G1028=$G$17,I$17,$G1028=$G$18,I$18,$G1028=$G$19,I$19,$G1028=$G$20,I$20,$G1028=$G$21,I$21,$G1028=$G$22,I$22,$G1028=$G$25,I$25,$G1028=$G$26,I$26,$G1028=$G$27,I$27,$G1028=$G$29,I$29,$G1028=$G$31,I$31,$G1028=$G$32,I$150,$G1028=$G$248,I$248,$G1028=$G$250,I$250)</f>
        <v>2.1543679999999998</v>
      </c>
      <c r="J1028" s="61" cm="1">
        <f t="array" ref="J1028">_xlfn.IFS($G1028=$G$5,J$5,$G1028=$G$6,J$6,$G1028=$G$7,J$7,$G1028=$G$8,J$8,$G1028=$G$9,J$9,$G1028=$G$10,J$10,$G1028=$G$11,J$11,$G1028=$G$12,J$12,$G1028=$G$13,J$13,$G1028=$G$15,J$15,$G1028=$G$16,J$16,$G1028=$G$17,J$17,$G1028=$G$18,J$18,$G1028=$G$19,J$19,$G1028=$G$20,J$20,$G1028=$G$21,J$21,$G1028=$G$22,J$22,$G1028=$G$25,J$25,$G1028=$G$26,J$26,$G1028=$G$27,J$27,$G1028=$G$29,J$29,$G1028=$G$31,J$31,$G1028=$G$32,J$150,$G1028=$G$248,J$248,$G1028=$G$250,J$250)</f>
        <v>20.7</v>
      </c>
      <c r="K1028" t="str" cm="1">
        <f t="array" ref="K1028">_xlfn.IFS($G1028=$G$5,K$5,$G1028=$G$6,K$6,$G1028=$G$7,K$7,$G1028=$G$8,K$8,$G1028=$G$9,K$9,$G1028=$G$10,K$10,$G1028=$G$11,K$11,$G1028=$G$12,K$12,$G1028=$G$13,K$13,$G1028=$G$15,K$15,$G1028=$G$16,K$16,$G1028=$G$17,K$17,$G1028=$G$18,K$18,$G1028=$G$19,K$19,$G1028=$G$20,K$20,$G1028=$G$21,K$21,$G1028=$G$22,K$22,$G1028=$G$25,K$25,$G1028=$G$26,K$26,$G1028=$G$27,K$27,$G1028=$G$29,K$29,$G1028=$G$31,K$31,$G1028=$G$32,K$150,$G1028=$G$248,K$248,$G1028=$G$250,K$250)</f>
        <v>BG sentinel + BG lure7</v>
      </c>
      <c r="O1028" s="69" t="str">
        <f t="shared" si="82"/>
        <v>A_SP_BCN_24_211028</v>
      </c>
      <c r="P1028" s="64">
        <v>44497</v>
      </c>
      <c r="R1028" s="72"/>
      <c r="S1028" s="64">
        <v>44504</v>
      </c>
      <c r="U1028" s="72"/>
      <c r="V1028" s="54" t="s">
        <v>66</v>
      </c>
      <c r="X1028" s="69">
        <f t="shared" si="76"/>
        <v>7</v>
      </c>
      <c r="Z1028" s="45" t="s">
        <v>70</v>
      </c>
      <c r="AA1028" s="69">
        <f t="shared" si="83"/>
        <v>2</v>
      </c>
      <c r="AB1028" t="str">
        <f t="shared" si="73"/>
        <v>Adult</v>
      </c>
      <c r="AC1028" s="69">
        <v>1</v>
      </c>
      <c r="AD1028" s="69">
        <v>1</v>
      </c>
      <c r="AE1028" s="45" t="str">
        <f t="shared" si="74"/>
        <v>Morphological</v>
      </c>
      <c r="AF1028" s="56">
        <v>4</v>
      </c>
    </row>
    <row r="1029" spans="1:32" ht="18" customHeight="1" x14ac:dyDescent="0.25">
      <c r="A1029" s="45">
        <v>1025</v>
      </c>
      <c r="B1029" s="45" t="s">
        <v>60</v>
      </c>
      <c r="C1029" s="45" t="s">
        <v>61</v>
      </c>
      <c r="D1029" s="45" t="s">
        <v>62</v>
      </c>
      <c r="E1029" s="45" t="s">
        <v>62</v>
      </c>
      <c r="F1029" s="59" cm="1">
        <f t="array" ref="F1029">_xlfn.IFS($G1029=$G$5,F$5,$G1029=$G$6,F$6,$G1029=$G$7,F$7,$G1029=$G$8,F$8,$G1029=$G$9,F$9,$G1029=$G$10,F$10,$G1029=$G$11,F$11,$G1029=$G$12,F$12,$G1029=$G$13,F$13,$G1029=$G$15,F$15,$G1029=$G$16,F$16,$G1029=$G$17,F$17,$G1029=$G$18,F$18,$G1029=$G$19,F$19,$G1029=$G$20,F$20,$G1029=$G$21,F$21,$G1029=$G$22,F$22,$G1029=$G$25,F$25,$G1029=$G$26,F$26,$G1029=$G$27,F$27,$G1029=$G$29,F$29,$G1029=$G$31,F$31,$G1029=$G$32,F$32,$G1029=$G$248,F$248,$G1029=$G$250,F$250)</f>
        <v>8024</v>
      </c>
      <c r="G1029" t="s">
        <v>63</v>
      </c>
      <c r="H1029" s="60" cm="1">
        <f t="array" ref="H1029">_xlfn.IFS($G1029=$G$5,H$5,$G1029=$G$6,H$6,$G1029=$G$7,H$7,$G1029=$G$8,H$8,$G1029=$G$9,H$9,$G1029=$G$10,H$10,$G1029=$G$11,H$11,$G1029=$G$12,H$12,$G1029=$G$13,H$13,$G1029=$G$15,H$15,$G1029=$G$16,H$16,$G1029=$G$17,H$17,$G1029=$G$18,H$18,$G1029=$G$19,H$19,$G1029=$G$20,H$20,$G1029=$G$21,H$21,$G1029=$G$22,H$22,$G1029=$G$25,H$25,$G1029=$G$26,H$26,$G1029=$G$27,H$27,$G1029=$G$29,H$29,$G1029=$G$31,H$31,$G1029=$G$32,H$150,$G1029=$G$248,H$248,$G1029=$G$250,H$250)</f>
        <v>41.413573999999997</v>
      </c>
      <c r="I1029" s="60" cm="1">
        <f t="array" ref="I1029">_xlfn.IFS($G1029=$G$5,I$5,$G1029=$G$6,I$6,$G1029=$G$7,I$7,$G1029=$G$8,I$8,$G1029=$G$9,I$9,$G1029=$G$10,I$10,$G1029=$G$11,I$11,$G1029=$G$12,I$12,$G1029=$G$13,I$13,$G1029=$G$15,I$15,$G1029=$G$16,I$16,$G1029=$G$17,I$17,$G1029=$G$18,I$18,$G1029=$G$19,I$19,$G1029=$G$20,I$20,$G1029=$G$21,I$21,$G1029=$G$22,I$22,$G1029=$G$25,I$25,$G1029=$G$26,I$26,$G1029=$G$27,I$27,$G1029=$G$29,I$29,$G1029=$G$31,I$31,$G1029=$G$32,I$150,$G1029=$G$248,I$248,$G1029=$G$250,I$250)</f>
        <v>2.1520730000000001</v>
      </c>
      <c r="J1029" s="61" cm="1">
        <f t="array" ref="J1029">_xlfn.IFS($G1029=$G$5,J$5,$G1029=$G$6,J$6,$G1029=$G$7,J$7,$G1029=$G$8,J$8,$G1029=$G$9,J$9,$G1029=$G$10,J$10,$G1029=$G$11,J$11,$G1029=$G$12,J$12,$G1029=$G$13,J$13,$G1029=$G$15,J$15,$G1029=$G$16,J$16,$G1029=$G$17,J$17,$G1029=$G$18,J$18,$G1029=$G$19,J$19,$G1029=$G$20,J$20,$G1029=$G$21,J$21,$G1029=$G$22,J$22,$G1029=$G$25,J$25,$G1029=$G$26,J$26,$G1029=$G$27,J$27,$G1029=$G$29,J$29,$G1029=$G$31,J$31,$G1029=$G$32,J$150,$G1029=$G$248,J$248,$G1029=$G$250,J$250)</f>
        <v>141</v>
      </c>
      <c r="K1029" t="str" cm="1">
        <f t="array" ref="K1029">_xlfn.IFS($G1029=$G$5,K$5,$G1029=$G$6,K$6,$G1029=$G$7,K$7,$G1029=$G$8,K$8,$G1029=$G$9,K$9,$G1029=$G$10,K$10,$G1029=$G$11,K$11,$G1029=$G$12,K$12,$G1029=$G$13,K$13,$G1029=$G$15,K$15,$G1029=$G$16,K$16,$G1029=$G$17,K$17,$G1029=$G$18,K$18,$G1029=$G$19,K$19,$G1029=$G$20,K$20,$G1029=$G$21,K$21,$G1029=$G$22,K$22,$G1029=$G$25,K$25,$G1029=$G$26,K$26,$G1029=$G$27,K$27,$G1029=$G$29,K$29,$G1029=$G$31,K$31,$G1029=$G$32,K$150,$G1029=$G$248,K$248,$G1029=$G$250,K$250)</f>
        <v>BG sentinel + BG lure7</v>
      </c>
      <c r="O1029" s="69" t="str">
        <f t="shared" si="82"/>
        <v>A_SP_BCN_1_211103</v>
      </c>
      <c r="P1029" s="64">
        <v>44503</v>
      </c>
      <c r="R1029" s="72"/>
      <c r="S1029" s="64">
        <v>44510</v>
      </c>
      <c r="U1029" s="72"/>
      <c r="V1029" s="54" t="s">
        <v>66</v>
      </c>
      <c r="X1029" s="69">
        <f t="shared" si="76"/>
        <v>7</v>
      </c>
      <c r="Z1029" s="69" t="s">
        <v>69</v>
      </c>
      <c r="AA1029" s="69">
        <f t="shared" si="83"/>
        <v>10</v>
      </c>
      <c r="AB1029" t="str">
        <f t="shared" si="73"/>
        <v>Adult</v>
      </c>
      <c r="AC1029" s="69">
        <v>9</v>
      </c>
      <c r="AD1029" s="69">
        <v>1</v>
      </c>
      <c r="AE1029" s="45" t="str">
        <f t="shared" si="74"/>
        <v>Morphological</v>
      </c>
      <c r="AF1029" s="56">
        <v>4</v>
      </c>
    </row>
    <row r="1030" spans="1:32" ht="18" customHeight="1" x14ac:dyDescent="0.25">
      <c r="A1030" s="45">
        <v>1026</v>
      </c>
      <c r="B1030" s="45" t="s">
        <v>60</v>
      </c>
      <c r="C1030" s="45" t="s">
        <v>61</v>
      </c>
      <c r="D1030" s="45" t="s">
        <v>62</v>
      </c>
      <c r="E1030" s="45" t="s">
        <v>62</v>
      </c>
      <c r="F1030" s="59" cm="1">
        <f t="array" ref="F1030">_xlfn.IFS($G1030=$G$5,F$5,$G1030=$G$6,F$6,$G1030=$G$7,F$7,$G1030=$G$8,F$8,$G1030=$G$9,F$9,$G1030=$G$10,F$10,$G1030=$G$11,F$11,$G1030=$G$12,F$12,$G1030=$G$13,F$13,$G1030=$G$15,F$15,$G1030=$G$16,F$16,$G1030=$G$17,F$17,$G1030=$G$18,F$18,$G1030=$G$19,F$19,$G1030=$G$20,F$20,$G1030=$G$21,F$21,$G1030=$G$22,F$22,$G1030=$G$25,F$25,$G1030=$G$26,F$26,$G1030=$G$27,F$27,$G1030=$G$29,F$29,$G1030=$G$31,F$31,$G1030=$G$32,F$32,$G1030=$G$248,F$248,$G1030=$G$250,F$250)</f>
        <v>8024</v>
      </c>
      <c r="G1030" t="s">
        <v>63</v>
      </c>
      <c r="H1030" s="60" cm="1">
        <f t="array" ref="H1030">_xlfn.IFS($G1030=$G$5,H$5,$G1030=$G$6,H$6,$G1030=$G$7,H$7,$G1030=$G$8,H$8,$G1030=$G$9,H$9,$G1030=$G$10,H$10,$G1030=$G$11,H$11,$G1030=$G$12,H$12,$G1030=$G$13,H$13,$G1030=$G$15,H$15,$G1030=$G$16,H$16,$G1030=$G$17,H$17,$G1030=$G$18,H$18,$G1030=$G$19,H$19,$G1030=$G$20,H$20,$G1030=$G$21,H$21,$G1030=$G$22,H$22,$G1030=$G$25,H$25,$G1030=$G$26,H$26,$G1030=$G$27,H$27,$G1030=$G$29,H$29,$G1030=$G$31,H$31,$G1030=$G$32,H$150,$G1030=$G$248,H$248,$G1030=$G$250,H$250)</f>
        <v>41.413573999999997</v>
      </c>
      <c r="I1030" s="60" cm="1">
        <f t="array" ref="I1030">_xlfn.IFS($G1030=$G$5,I$5,$G1030=$G$6,I$6,$G1030=$G$7,I$7,$G1030=$G$8,I$8,$G1030=$G$9,I$9,$G1030=$G$10,I$10,$G1030=$G$11,I$11,$G1030=$G$12,I$12,$G1030=$G$13,I$13,$G1030=$G$15,I$15,$G1030=$G$16,I$16,$G1030=$G$17,I$17,$G1030=$G$18,I$18,$G1030=$G$19,I$19,$G1030=$G$20,I$20,$G1030=$G$21,I$21,$G1030=$G$22,I$22,$G1030=$G$25,I$25,$G1030=$G$26,I$26,$G1030=$G$27,I$27,$G1030=$G$29,I$29,$G1030=$G$31,I$31,$G1030=$G$32,I$150,$G1030=$G$248,I$248,$G1030=$G$250,I$250)</f>
        <v>2.1520730000000001</v>
      </c>
      <c r="J1030" s="61" cm="1">
        <f t="array" ref="J1030">_xlfn.IFS($G1030=$G$5,J$5,$G1030=$G$6,J$6,$G1030=$G$7,J$7,$G1030=$G$8,J$8,$G1030=$G$9,J$9,$G1030=$G$10,J$10,$G1030=$G$11,J$11,$G1030=$G$12,J$12,$G1030=$G$13,J$13,$G1030=$G$15,J$15,$G1030=$G$16,J$16,$G1030=$G$17,J$17,$G1030=$G$18,J$18,$G1030=$G$19,J$19,$G1030=$G$20,J$20,$G1030=$G$21,J$21,$G1030=$G$22,J$22,$G1030=$G$25,J$25,$G1030=$G$26,J$26,$G1030=$G$27,J$27,$G1030=$G$29,J$29,$G1030=$G$31,J$31,$G1030=$G$32,J$150,$G1030=$G$248,J$248,$G1030=$G$250,J$250)</f>
        <v>141</v>
      </c>
      <c r="K1030" t="str" cm="1">
        <f t="array" ref="K1030">_xlfn.IFS($G1030=$G$5,K$5,$G1030=$G$6,K$6,$G1030=$G$7,K$7,$G1030=$G$8,K$8,$G1030=$G$9,K$9,$G1030=$G$10,K$10,$G1030=$G$11,K$11,$G1030=$G$12,K$12,$G1030=$G$13,K$13,$G1030=$G$15,K$15,$G1030=$G$16,K$16,$G1030=$G$17,K$17,$G1030=$G$18,K$18,$G1030=$G$19,K$19,$G1030=$G$20,K$20,$G1030=$G$21,K$21,$G1030=$G$22,K$22,$G1030=$G$25,K$25,$G1030=$G$26,K$26,$G1030=$G$27,K$27,$G1030=$G$29,K$29,$G1030=$G$31,K$31,$G1030=$G$32,K$150,$G1030=$G$248,K$248,$G1030=$G$250,K$250)</f>
        <v>BG sentinel + BG lure7</v>
      </c>
      <c r="O1030" s="69" t="str">
        <f t="shared" si="82"/>
        <v>A_SP_BCN_1_211103</v>
      </c>
      <c r="P1030" s="64">
        <v>44503</v>
      </c>
      <c r="R1030" s="72"/>
      <c r="S1030" s="64">
        <v>44510</v>
      </c>
      <c r="U1030" s="72"/>
      <c r="V1030" s="54" t="s">
        <v>66</v>
      </c>
      <c r="X1030" s="69">
        <f t="shared" si="76"/>
        <v>7</v>
      </c>
      <c r="Z1030" s="45" t="s">
        <v>80</v>
      </c>
      <c r="AA1030" s="69">
        <f t="shared" si="83"/>
        <v>1</v>
      </c>
      <c r="AB1030" t="str">
        <f t="shared" si="73"/>
        <v>Adult</v>
      </c>
      <c r="AC1030" s="69">
        <v>0</v>
      </c>
      <c r="AD1030" s="69">
        <v>1</v>
      </c>
      <c r="AE1030" s="45" t="str">
        <f t="shared" si="74"/>
        <v>Morphological</v>
      </c>
      <c r="AF1030" s="56">
        <v>4</v>
      </c>
    </row>
    <row r="1031" spans="1:32" ht="18" customHeight="1" x14ac:dyDescent="0.25">
      <c r="A1031" s="45">
        <v>1027</v>
      </c>
      <c r="B1031" s="45" t="s">
        <v>60</v>
      </c>
      <c r="C1031" s="45" t="s">
        <v>61</v>
      </c>
      <c r="D1031" s="45" t="s">
        <v>62</v>
      </c>
      <c r="E1031" s="45" t="s">
        <v>62</v>
      </c>
      <c r="F1031" s="59" cm="1">
        <f t="array" ref="F1031">_xlfn.IFS($G1031=$G$5,F$5,$G1031=$G$6,F$6,$G1031=$G$7,F$7,$G1031=$G$8,F$8,$G1031=$G$9,F$9,$G1031=$G$10,F$10,$G1031=$G$11,F$11,$G1031=$G$12,F$12,$G1031=$G$13,F$13,$G1031=$G$15,F$15,$G1031=$G$16,F$16,$G1031=$G$17,F$17,$G1031=$G$18,F$18,$G1031=$G$19,F$19,$G1031=$G$20,F$20,$G1031=$G$21,F$21,$G1031=$G$22,F$22,$G1031=$G$25,F$25,$G1031=$G$26,F$26,$G1031=$G$27,F$27,$G1031=$G$29,F$29,$G1031=$G$31,F$31,$G1031=$G$32,F$32,$G1031=$G$248,F$248,$G1031=$G$250,F$250)</f>
        <v>8035</v>
      </c>
      <c r="G1031" t="s">
        <v>67</v>
      </c>
      <c r="H1031" s="60" cm="1">
        <f t="array" ref="H1031">_xlfn.IFS($G1031=$G$5,H$5,$G1031=$G$6,H$6,$G1031=$G$7,H$7,$G1031=$G$8,H$8,$G1031=$G$9,H$9,$G1031=$G$10,H$10,$G1031=$G$11,H$11,$G1031=$G$12,H$12,$G1031=$G$13,H$13,$G1031=$G$15,H$15,$G1031=$G$16,H$16,$G1031=$G$17,H$17,$G1031=$G$18,H$18,$G1031=$G$19,H$19,$G1031=$G$20,H$20,$G1031=$G$21,H$21,$G1031=$G$22,H$22,$G1031=$G$25,H$25,$G1031=$G$26,H$26,$G1031=$G$27,H$27,$G1031=$G$29,H$29,$G1031=$G$31,H$31,$G1031=$G$32,H$150,$G1031=$G$248,H$248,$G1031=$G$250,H$250)</f>
        <v>41.424387000000003</v>
      </c>
      <c r="I1031" s="60" cm="1">
        <f t="array" ref="I1031">_xlfn.IFS($G1031=$G$5,I$5,$G1031=$G$6,I$6,$G1031=$G$7,I$7,$G1031=$G$8,I$8,$G1031=$G$9,I$9,$G1031=$G$10,I$10,$G1031=$G$11,I$11,$G1031=$G$12,I$12,$G1031=$G$13,I$13,$G1031=$G$15,I$15,$G1031=$G$16,I$16,$G1031=$G$17,I$17,$G1031=$G$18,I$18,$G1031=$G$19,I$19,$G1031=$G$20,I$20,$G1031=$G$21,I$21,$G1031=$G$22,I$22,$G1031=$G$25,I$25,$G1031=$G$26,I$26,$G1031=$G$27,I$27,$G1031=$G$29,I$29,$G1031=$G$31,I$31,$G1031=$G$32,I$150,$G1031=$G$248,I$248,$G1031=$G$250,I$250)</f>
        <v>2.1431439999999999</v>
      </c>
      <c r="J1031" s="61" cm="1">
        <f t="array" ref="J1031">_xlfn.IFS($G1031=$G$5,J$5,$G1031=$G$6,J$6,$G1031=$G$7,J$7,$G1031=$G$8,J$8,$G1031=$G$9,J$9,$G1031=$G$10,J$10,$G1031=$G$11,J$11,$G1031=$G$12,J$12,$G1031=$G$13,J$13,$G1031=$G$15,J$15,$G1031=$G$16,J$16,$G1031=$G$17,J$17,$G1031=$G$18,J$18,$G1031=$G$19,J$19,$G1031=$G$20,J$20,$G1031=$G$21,J$21,$G1031=$G$22,J$22,$G1031=$G$25,J$25,$G1031=$G$26,J$26,$G1031=$G$27,J$27,$G1031=$G$29,J$29,$G1031=$G$31,J$31,$G1031=$G$32,J$150,$G1031=$G$248,J$248,$G1031=$G$250,J$250)</f>
        <v>160</v>
      </c>
      <c r="K1031" t="str" cm="1">
        <f t="array" ref="K1031">_xlfn.IFS($G1031=$G$5,K$5,$G1031=$G$6,K$6,$G1031=$G$7,K$7,$G1031=$G$8,K$8,$G1031=$G$9,K$9,$G1031=$G$10,K$10,$G1031=$G$11,K$11,$G1031=$G$12,K$12,$G1031=$G$13,K$13,$G1031=$G$15,K$15,$G1031=$G$16,K$16,$G1031=$G$17,K$17,$G1031=$G$18,K$18,$G1031=$G$19,K$19,$G1031=$G$20,K$20,$G1031=$G$21,K$21,$G1031=$G$22,K$22,$G1031=$G$25,K$25,$G1031=$G$26,K$26,$G1031=$G$27,K$27,$G1031=$G$29,K$29,$G1031=$G$31,K$31,$G1031=$G$32,K$150,$G1031=$G$248,K$248,$G1031=$G$250,K$250)</f>
        <v>BG sentinel + BG lure7</v>
      </c>
      <c r="O1031" s="69" t="str">
        <f t="shared" si="82"/>
        <v>A_SP_BCN_2_211103</v>
      </c>
      <c r="P1031" s="64">
        <v>44503</v>
      </c>
      <c r="R1031" s="72"/>
      <c r="S1031" s="64">
        <v>44510</v>
      </c>
      <c r="U1031" s="72"/>
      <c r="V1031" s="54" t="s">
        <v>66</v>
      </c>
      <c r="X1031" s="69">
        <f t="shared" si="76"/>
        <v>7</v>
      </c>
      <c r="AA1031" s="69">
        <f t="shared" si="83"/>
        <v>0</v>
      </c>
      <c r="AB1031" t="str">
        <f t="shared" si="73"/>
        <v/>
      </c>
      <c r="AE1031" s="45" t="str">
        <f t="shared" si="74"/>
        <v/>
      </c>
      <c r="AF1031" s="56">
        <v>4</v>
      </c>
    </row>
    <row r="1032" spans="1:32" ht="18" customHeight="1" x14ac:dyDescent="0.25">
      <c r="A1032" s="45">
        <v>1028</v>
      </c>
      <c r="B1032" s="45" t="s">
        <v>60</v>
      </c>
      <c r="C1032" s="45" t="s">
        <v>61</v>
      </c>
      <c r="D1032" s="45" t="s">
        <v>62</v>
      </c>
      <c r="E1032" s="45" t="s">
        <v>62</v>
      </c>
      <c r="F1032" s="59" cm="1">
        <f t="array" ref="F1032">_xlfn.IFS($G1032=$G$5,F$5,$G1032=$G$6,F$6,$G1032=$G$7,F$7,$G1032=$G$8,F$8,$G1032=$G$9,F$9,$G1032=$G$10,F$10,$G1032=$G$11,F$11,$G1032=$G$12,F$12,$G1032=$G$13,F$13,$G1032=$G$15,F$15,$G1032=$G$16,F$16,$G1032=$G$17,F$17,$G1032=$G$18,F$18,$G1032=$G$19,F$19,$G1032=$G$20,F$20,$G1032=$G$21,F$21,$G1032=$G$22,F$22,$G1032=$G$25,F$25,$G1032=$G$26,F$26,$G1032=$G$27,F$27,$G1032=$G$29,F$29,$G1032=$G$31,F$31,$G1032=$G$32,F$32,$G1032=$G$248,F$248,$G1032=$G$250,F$250)</f>
        <v>8016</v>
      </c>
      <c r="G1032" t="s">
        <v>68</v>
      </c>
      <c r="H1032" s="60" cm="1">
        <f t="array" ref="H1032">_xlfn.IFS($G1032=$G$5,H$5,$G1032=$G$6,H$6,$G1032=$G$7,H$7,$G1032=$G$8,H$8,$G1032=$G$9,H$9,$G1032=$G$10,H$10,$G1032=$G$11,H$11,$G1032=$G$12,H$12,$G1032=$G$13,H$13,$G1032=$G$15,H$15,$G1032=$G$16,H$16,$G1032=$G$17,H$17,$G1032=$G$18,H$18,$G1032=$G$19,H$19,$G1032=$G$20,H$20,$G1032=$G$21,H$21,$G1032=$G$22,H$22,$G1032=$G$25,H$25,$G1032=$G$26,H$26,$G1032=$G$27,H$27,$G1032=$G$29,H$29,$G1032=$G$31,H$31,$G1032=$G$32,H$150,$G1032=$G$248,H$248,$G1032=$G$250,H$250)</f>
        <v>41.437435000000001</v>
      </c>
      <c r="I1032" s="60" cm="1">
        <f t="array" ref="I1032">_xlfn.IFS($G1032=$G$5,I$5,$G1032=$G$6,I$6,$G1032=$G$7,I$7,$G1032=$G$8,I$8,$G1032=$G$9,I$9,$G1032=$G$10,I$10,$G1032=$G$11,I$11,$G1032=$G$12,I$12,$G1032=$G$13,I$13,$G1032=$G$15,I$15,$G1032=$G$16,I$16,$G1032=$G$17,I$17,$G1032=$G$18,I$18,$G1032=$G$19,I$19,$G1032=$G$20,I$20,$G1032=$G$21,I$21,$G1032=$G$22,I$22,$G1032=$G$25,I$25,$G1032=$G$26,I$26,$G1032=$G$27,I$27,$G1032=$G$29,I$29,$G1032=$G$31,I$31,$G1032=$G$32,I$150,$G1032=$G$248,I$248,$G1032=$G$250,I$250)</f>
        <v>2.1812779999999998</v>
      </c>
      <c r="J1032" s="61" cm="1">
        <f t="array" ref="J1032">_xlfn.IFS($G1032=$G$5,J$5,$G1032=$G$6,J$6,$G1032=$G$7,J$7,$G1032=$G$8,J$8,$G1032=$G$9,J$9,$G1032=$G$10,J$10,$G1032=$G$11,J$11,$G1032=$G$12,J$12,$G1032=$G$13,J$13,$G1032=$G$15,J$15,$G1032=$G$16,J$16,$G1032=$G$17,J$17,$G1032=$G$18,J$18,$G1032=$G$19,J$19,$G1032=$G$20,J$20,$G1032=$G$21,J$21,$G1032=$G$22,J$22,$G1032=$G$25,J$25,$G1032=$G$26,J$26,$G1032=$G$27,J$27,$G1032=$G$29,J$29,$G1032=$G$31,J$31,$G1032=$G$32,J$150,$G1032=$G$248,J$248,$G1032=$G$250,J$250)</f>
        <v>47</v>
      </c>
      <c r="K1032" t="str" cm="1">
        <f t="array" ref="K1032">_xlfn.IFS($G1032=$G$5,K$5,$G1032=$G$6,K$6,$G1032=$G$7,K$7,$G1032=$G$8,K$8,$G1032=$G$9,K$9,$G1032=$G$10,K$10,$G1032=$G$11,K$11,$G1032=$G$12,K$12,$G1032=$G$13,K$13,$G1032=$G$15,K$15,$G1032=$G$16,K$16,$G1032=$G$17,K$17,$G1032=$G$18,K$18,$G1032=$G$19,K$19,$G1032=$G$20,K$20,$G1032=$G$21,K$21,$G1032=$G$22,K$22,$G1032=$G$25,K$25,$G1032=$G$26,K$26,$G1032=$G$27,K$27,$G1032=$G$29,K$29,$G1032=$G$31,K$31,$G1032=$G$32,K$150,$G1032=$G$248,K$248,$G1032=$G$250,K$250)</f>
        <v>BG sentinel + BG lure7</v>
      </c>
      <c r="O1032" s="69" t="str">
        <f t="shared" si="82"/>
        <v>A_SP_BCN_3_211103</v>
      </c>
      <c r="P1032" s="64">
        <v>44503</v>
      </c>
      <c r="R1032" s="72"/>
      <c r="S1032" s="64">
        <v>44510</v>
      </c>
      <c r="U1032" s="72"/>
      <c r="V1032" s="54" t="s">
        <v>66</v>
      </c>
      <c r="X1032" s="69">
        <f t="shared" si="76"/>
        <v>7</v>
      </c>
      <c r="Z1032" s="45" t="s">
        <v>70</v>
      </c>
      <c r="AA1032" s="69">
        <f t="shared" ref="AA1032:AA1181" si="84">SUM(AC1032:AD1032)</f>
        <v>1</v>
      </c>
      <c r="AB1032" t="str">
        <f t="shared" si="73"/>
        <v>Adult</v>
      </c>
      <c r="AC1032" s="69">
        <v>1</v>
      </c>
      <c r="AD1032" s="69">
        <v>0</v>
      </c>
      <c r="AE1032" s="45" t="str">
        <f t="shared" si="74"/>
        <v>Morphological</v>
      </c>
      <c r="AF1032" s="56">
        <v>4</v>
      </c>
    </row>
    <row r="1033" spans="1:32" ht="18" customHeight="1" x14ac:dyDescent="0.25">
      <c r="A1033" s="45">
        <v>1029</v>
      </c>
      <c r="B1033" s="45" t="s">
        <v>60</v>
      </c>
      <c r="C1033" s="45" t="s">
        <v>61</v>
      </c>
      <c r="D1033" s="45" t="s">
        <v>62</v>
      </c>
      <c r="E1033" s="45" t="s">
        <v>62</v>
      </c>
      <c r="F1033" s="59" cm="1">
        <f t="array" ref="F1033">_xlfn.IFS($G1033=$G$5,F$5,$G1033=$G$6,F$6,$G1033=$G$7,F$7,$G1033=$G$8,F$8,$G1033=$G$9,F$9,$G1033=$G$10,F$10,$G1033=$G$11,F$11,$G1033=$G$12,F$12,$G1033=$G$13,F$13,$G1033=$G$15,F$15,$G1033=$G$16,F$16,$G1033=$G$17,F$17,$G1033=$G$18,F$18,$G1033=$G$19,F$19,$G1033=$G$20,F$20,$G1033=$G$21,F$21,$G1033=$G$22,F$22,$G1033=$G$25,F$25,$G1033=$G$26,F$26,$G1033=$G$27,F$27,$G1033=$G$29,F$29,$G1033=$G$31,F$31,$G1033=$G$32,F$32,$G1033=$G$248,F$248,$G1033=$G$250,F$250)</f>
        <v>8018</v>
      </c>
      <c r="G1033" t="s">
        <v>71</v>
      </c>
      <c r="H1033" s="60" cm="1">
        <f t="array" ref="H1033">_xlfn.IFS($G1033=$G$5,H$5,$G1033=$G$6,H$6,$G1033=$G$7,H$7,$G1033=$G$8,H$8,$G1033=$G$9,H$9,$G1033=$G$10,H$10,$G1033=$G$11,H$11,$G1033=$G$12,H$12,$G1033=$G$13,H$13,$G1033=$G$15,H$15,$G1033=$G$16,H$16,$G1033=$G$17,H$17,$G1033=$G$18,H$18,$G1033=$G$19,H$19,$G1033=$G$20,H$20,$G1033=$G$21,H$21,$G1033=$G$22,H$22,$G1033=$G$25,H$25,$G1033=$G$26,H$26,$G1033=$G$27,H$27,$G1033=$G$29,H$29,$G1033=$G$31,H$31,$G1033=$G$32,H$150,$G1033=$G$248,H$248,$G1033=$G$250,H$250)</f>
        <v>41.410684000000003</v>
      </c>
      <c r="I1033" s="60" cm="1">
        <f t="array" ref="I1033">_xlfn.IFS($G1033=$G$5,I$5,$G1033=$G$6,I$6,$G1033=$G$7,I$7,$G1033=$G$8,I$8,$G1033=$G$9,I$9,$G1033=$G$10,I$10,$G1033=$G$11,I$11,$G1033=$G$12,I$12,$G1033=$G$13,I$13,$G1033=$G$15,I$15,$G1033=$G$16,I$16,$G1033=$G$17,I$17,$G1033=$G$18,I$18,$G1033=$G$19,I$19,$G1033=$G$20,I$20,$G1033=$G$21,I$21,$G1033=$G$22,I$22,$G1033=$G$25,I$25,$G1033=$G$26,I$26,$G1033=$G$27,I$27,$G1033=$G$29,I$29,$G1033=$G$31,I$31,$G1033=$G$32,I$150,$G1033=$G$248,I$248,$G1033=$G$250,I$250)</f>
        <v>2.2208019999999999</v>
      </c>
      <c r="J1033" s="61" cm="1">
        <f t="array" ref="J1033">_xlfn.IFS($G1033=$G$5,J$5,$G1033=$G$6,J$6,$G1033=$G$7,J$7,$G1033=$G$8,J$8,$G1033=$G$9,J$9,$G1033=$G$10,J$10,$G1033=$G$11,J$11,$G1033=$G$12,J$12,$G1033=$G$13,J$13,$G1033=$G$15,J$15,$G1033=$G$16,J$16,$G1033=$G$17,J$17,$G1033=$G$18,J$18,$G1033=$G$19,J$19,$G1033=$G$20,J$20,$G1033=$G$21,J$21,$G1033=$G$22,J$22,$G1033=$G$25,J$25,$G1033=$G$26,J$26,$G1033=$G$27,J$27,$G1033=$G$29,J$29,$G1033=$G$31,J$31,$G1033=$G$32,J$150,$G1033=$G$248,J$248,$G1033=$G$250,J$250)</f>
        <v>4</v>
      </c>
      <c r="K1033" t="str" cm="1">
        <f t="array" ref="K1033">_xlfn.IFS($G1033=$G$5,K$5,$G1033=$G$6,K$6,$G1033=$G$7,K$7,$G1033=$G$8,K$8,$G1033=$G$9,K$9,$G1033=$G$10,K$10,$G1033=$G$11,K$11,$G1033=$G$12,K$12,$G1033=$G$13,K$13,$G1033=$G$15,K$15,$G1033=$G$16,K$16,$G1033=$G$17,K$17,$G1033=$G$18,K$18,$G1033=$G$19,K$19,$G1033=$G$20,K$20,$G1033=$G$21,K$21,$G1033=$G$22,K$22,$G1033=$G$25,K$25,$G1033=$G$26,K$26,$G1033=$G$27,K$27,$G1033=$G$29,K$29,$G1033=$G$31,K$31,$G1033=$G$32,K$150,$G1033=$G$248,K$248,$G1033=$G$250,K$250)</f>
        <v>BG sentinel + BG lure7</v>
      </c>
      <c r="O1033" s="69" t="str">
        <f t="shared" si="82"/>
        <v>A_SP_BCN_4_211104</v>
      </c>
      <c r="P1033" s="64">
        <v>44504</v>
      </c>
      <c r="R1033" s="72"/>
      <c r="S1033" s="64">
        <v>44511</v>
      </c>
      <c r="U1033" s="72"/>
      <c r="V1033" s="54" t="s">
        <v>66</v>
      </c>
      <c r="X1033" s="69">
        <f t="shared" si="76"/>
        <v>7</v>
      </c>
      <c r="Z1033" s="45" t="s">
        <v>70</v>
      </c>
      <c r="AA1033" s="69">
        <f t="shared" si="84"/>
        <v>4</v>
      </c>
      <c r="AB1033" t="str">
        <f t="shared" si="73"/>
        <v>Adult</v>
      </c>
      <c r="AC1033" s="69">
        <v>3</v>
      </c>
      <c r="AD1033" s="69">
        <v>1</v>
      </c>
      <c r="AE1033" s="45" t="str">
        <f t="shared" si="74"/>
        <v>Morphological</v>
      </c>
      <c r="AF1033" s="56">
        <v>4</v>
      </c>
    </row>
    <row r="1034" spans="1:32" ht="18" customHeight="1" x14ac:dyDescent="0.25">
      <c r="A1034" s="45">
        <v>1030</v>
      </c>
      <c r="B1034" s="45" t="s">
        <v>60</v>
      </c>
      <c r="C1034" s="45" t="s">
        <v>61</v>
      </c>
      <c r="D1034" s="45" t="s">
        <v>62</v>
      </c>
      <c r="E1034" s="45" t="s">
        <v>62</v>
      </c>
      <c r="F1034" s="59" cm="1">
        <f t="array" ref="F1034">_xlfn.IFS($G1034=$G$5,F$5,$G1034=$G$6,F$6,$G1034=$G$7,F$7,$G1034=$G$8,F$8,$G1034=$G$9,F$9,$G1034=$G$10,F$10,$G1034=$G$11,F$11,$G1034=$G$12,F$12,$G1034=$G$13,F$13,$G1034=$G$15,F$15,$G1034=$G$16,F$16,$G1034=$G$17,F$17,$G1034=$G$18,F$18,$G1034=$G$19,F$19,$G1034=$G$20,F$20,$G1034=$G$21,F$21,$G1034=$G$22,F$22,$G1034=$G$25,F$25,$G1034=$G$26,F$26,$G1034=$G$27,F$27,$G1034=$G$29,F$29,$G1034=$G$31,F$31,$G1034=$G$32,F$32,$G1034=$G$248,F$248,$G1034=$G$250,F$250)</f>
        <v>8018</v>
      </c>
      <c r="G1034" t="s">
        <v>71</v>
      </c>
      <c r="H1034" s="60" cm="1">
        <f t="array" ref="H1034">_xlfn.IFS($G1034=$G$5,H$5,$G1034=$G$6,H$6,$G1034=$G$7,H$7,$G1034=$G$8,H$8,$G1034=$G$9,H$9,$G1034=$G$10,H$10,$G1034=$G$11,H$11,$G1034=$G$12,H$12,$G1034=$G$13,H$13,$G1034=$G$15,H$15,$G1034=$G$16,H$16,$G1034=$G$17,H$17,$G1034=$G$18,H$18,$G1034=$G$19,H$19,$G1034=$G$20,H$20,$G1034=$G$21,H$21,$G1034=$G$22,H$22,$G1034=$G$25,H$25,$G1034=$G$26,H$26,$G1034=$G$27,H$27,$G1034=$G$29,H$29,$G1034=$G$31,H$31,$G1034=$G$32,H$150,$G1034=$G$248,H$248,$G1034=$G$250,H$250)</f>
        <v>41.410684000000003</v>
      </c>
      <c r="I1034" s="60" cm="1">
        <f t="array" ref="I1034">_xlfn.IFS($G1034=$G$5,I$5,$G1034=$G$6,I$6,$G1034=$G$7,I$7,$G1034=$G$8,I$8,$G1034=$G$9,I$9,$G1034=$G$10,I$10,$G1034=$G$11,I$11,$G1034=$G$12,I$12,$G1034=$G$13,I$13,$G1034=$G$15,I$15,$G1034=$G$16,I$16,$G1034=$G$17,I$17,$G1034=$G$18,I$18,$G1034=$G$19,I$19,$G1034=$G$20,I$20,$G1034=$G$21,I$21,$G1034=$G$22,I$22,$G1034=$G$25,I$25,$G1034=$G$26,I$26,$G1034=$G$27,I$27,$G1034=$G$29,I$29,$G1034=$G$31,I$31,$G1034=$G$32,I$150,$G1034=$G$248,I$248,$G1034=$G$250,I$250)</f>
        <v>2.2208019999999999</v>
      </c>
      <c r="J1034" s="61" cm="1">
        <f t="array" ref="J1034">_xlfn.IFS($G1034=$G$5,J$5,$G1034=$G$6,J$6,$G1034=$G$7,J$7,$G1034=$G$8,J$8,$G1034=$G$9,J$9,$G1034=$G$10,J$10,$G1034=$G$11,J$11,$G1034=$G$12,J$12,$G1034=$G$13,J$13,$G1034=$G$15,J$15,$G1034=$G$16,J$16,$G1034=$G$17,J$17,$G1034=$G$18,J$18,$G1034=$G$19,J$19,$G1034=$G$20,J$20,$G1034=$G$21,J$21,$G1034=$G$22,J$22,$G1034=$G$25,J$25,$G1034=$G$26,J$26,$G1034=$G$27,J$27,$G1034=$G$29,J$29,$G1034=$G$31,J$31,$G1034=$G$32,J$150,$G1034=$G$248,J$248,$G1034=$G$250,J$250)</f>
        <v>4</v>
      </c>
      <c r="K1034" t="str" cm="1">
        <f t="array" ref="K1034">_xlfn.IFS($G1034=$G$5,K$5,$G1034=$G$6,K$6,$G1034=$G$7,K$7,$G1034=$G$8,K$8,$G1034=$G$9,K$9,$G1034=$G$10,K$10,$G1034=$G$11,K$11,$G1034=$G$12,K$12,$G1034=$G$13,K$13,$G1034=$G$15,K$15,$G1034=$G$16,K$16,$G1034=$G$17,K$17,$G1034=$G$18,K$18,$G1034=$G$19,K$19,$G1034=$G$20,K$20,$G1034=$G$21,K$21,$G1034=$G$22,K$22,$G1034=$G$25,K$25,$G1034=$G$26,K$26,$G1034=$G$27,K$27,$G1034=$G$29,K$29,$G1034=$G$31,K$31,$G1034=$G$32,K$150,$G1034=$G$248,K$248,$G1034=$G$250,K$250)</f>
        <v>BG sentinel + BG lure7</v>
      </c>
      <c r="O1034" s="69" t="str">
        <f t="shared" si="82"/>
        <v>A_SP_BCN_4_211104</v>
      </c>
      <c r="P1034" s="64">
        <v>44504</v>
      </c>
      <c r="R1034" s="72"/>
      <c r="S1034" s="64">
        <v>44511</v>
      </c>
      <c r="U1034" s="72"/>
      <c r="V1034" s="54" t="s">
        <v>66</v>
      </c>
      <c r="X1034" s="69">
        <f t="shared" si="76"/>
        <v>7</v>
      </c>
      <c r="Z1034" s="45" t="s">
        <v>80</v>
      </c>
      <c r="AA1034" s="69">
        <f t="shared" si="84"/>
        <v>1</v>
      </c>
      <c r="AB1034" t="str">
        <f t="shared" si="73"/>
        <v>Adult</v>
      </c>
      <c r="AC1034" s="69">
        <v>1</v>
      </c>
      <c r="AD1034" s="69">
        <v>0</v>
      </c>
      <c r="AE1034" s="45" t="str">
        <f t="shared" si="74"/>
        <v>Morphological</v>
      </c>
      <c r="AF1034" s="56">
        <v>4</v>
      </c>
    </row>
    <row r="1035" spans="1:32" ht="18" customHeight="1" x14ac:dyDescent="0.25">
      <c r="A1035" s="45">
        <v>1031</v>
      </c>
      <c r="B1035" s="45" t="s">
        <v>60</v>
      </c>
      <c r="C1035" s="45" t="s">
        <v>61</v>
      </c>
      <c r="D1035" s="45" t="s">
        <v>62</v>
      </c>
      <c r="E1035" s="45" t="s">
        <v>62</v>
      </c>
      <c r="F1035" s="59" cm="1">
        <f t="array" ref="F1035">_xlfn.IFS($G1035=$G$5,F$5,$G1035=$G$6,F$6,$G1035=$G$7,F$7,$G1035=$G$8,F$8,$G1035=$G$9,F$9,$G1035=$G$10,F$10,$G1035=$G$11,F$11,$G1035=$G$12,F$12,$G1035=$G$13,F$13,$G1035=$G$15,F$15,$G1035=$G$16,F$16,$G1035=$G$17,F$17,$G1035=$G$18,F$18,$G1035=$G$19,F$19,$G1035=$G$20,F$20,$G1035=$G$21,F$21,$G1035=$G$22,F$22,$G1035=$G$25,F$25,$G1035=$G$26,F$26,$G1035=$G$27,F$27,$G1035=$G$29,F$29,$G1035=$G$31,F$31,$G1035=$G$32,F$32,$G1035=$G$248,F$248,$G1035=$G$250,F$250)</f>
        <v>8019</v>
      </c>
      <c r="G1035" t="s">
        <v>72</v>
      </c>
      <c r="H1035" s="60" cm="1">
        <f t="array" ref="H1035">_xlfn.IFS($G1035=$G$5,H$5,$G1035=$G$6,H$6,$G1035=$G$7,H$7,$G1035=$G$8,H$8,$G1035=$G$9,H$9,$G1035=$G$10,H$10,$G1035=$G$11,H$11,$G1035=$G$12,H$12,$G1035=$G$13,H$13,$G1035=$G$15,H$15,$G1035=$G$16,H$16,$G1035=$G$17,H$17,$G1035=$G$18,H$18,$G1035=$G$19,H$19,$G1035=$G$20,H$20,$G1035=$G$21,H$21,$G1035=$G$22,H$22,$G1035=$G$25,H$25,$G1035=$G$26,H$26,$G1035=$G$27,H$27,$G1035=$G$29,H$29,$G1035=$G$31,H$31,$G1035=$G$32,H$150,$G1035=$G$248,H$248,$G1035=$G$250,H$250)</f>
        <v>41.382339999999999</v>
      </c>
      <c r="I1035" s="60" cm="1">
        <f t="array" ref="I1035">_xlfn.IFS($G1035=$G$5,I$5,$G1035=$G$6,I$6,$G1035=$G$7,I$7,$G1035=$G$8,I$8,$G1035=$G$9,I$9,$G1035=$G$10,I$10,$G1035=$G$11,I$11,$G1035=$G$12,I$12,$G1035=$G$13,I$13,$G1035=$G$15,I$15,$G1035=$G$16,I$16,$G1035=$G$17,I$17,$G1035=$G$18,I$18,$G1035=$G$19,I$19,$G1035=$G$20,I$20,$G1035=$G$21,I$21,$G1035=$G$22,I$22,$G1035=$G$25,I$25,$G1035=$G$26,I$26,$G1035=$G$27,I$27,$G1035=$G$29,I$29,$G1035=$G$31,I$31,$G1035=$G$32,I$150,$G1035=$G$248,I$248,$G1035=$G$250,I$250)</f>
        <v>2.1714790000000002</v>
      </c>
      <c r="J1035" s="61" cm="1">
        <f t="array" ref="J1035">_xlfn.IFS($G1035=$G$5,J$5,$G1035=$G$6,J$6,$G1035=$G$7,J$7,$G1035=$G$8,J$8,$G1035=$G$9,J$9,$G1035=$G$10,J$10,$G1035=$G$11,J$11,$G1035=$G$12,J$12,$G1035=$G$13,J$13,$G1035=$G$15,J$15,$G1035=$G$16,J$16,$G1035=$G$17,J$17,$G1035=$G$18,J$18,$G1035=$G$19,J$19,$G1035=$G$20,J$20,$G1035=$G$21,J$21,$G1035=$G$22,J$22,$G1035=$G$25,J$25,$G1035=$G$26,J$26,$G1035=$G$27,J$27,$G1035=$G$29,J$29,$G1035=$G$31,J$31,$G1035=$G$32,J$150,$G1035=$G$248,J$248,$G1035=$G$250,J$250)</f>
        <v>18</v>
      </c>
      <c r="K1035" t="str" cm="1">
        <f t="array" ref="K1035">_xlfn.IFS($G1035=$G$5,K$5,$G1035=$G$6,K$6,$G1035=$G$7,K$7,$G1035=$G$8,K$8,$G1035=$G$9,K$9,$G1035=$G$10,K$10,$G1035=$G$11,K$11,$G1035=$G$12,K$12,$G1035=$G$13,K$13,$G1035=$G$15,K$15,$G1035=$G$16,K$16,$G1035=$G$17,K$17,$G1035=$G$18,K$18,$G1035=$G$19,K$19,$G1035=$G$20,K$20,$G1035=$G$21,K$21,$G1035=$G$22,K$22,$G1035=$G$25,K$25,$G1035=$G$26,K$26,$G1035=$G$27,K$27,$G1035=$G$29,K$29,$G1035=$G$31,K$31,$G1035=$G$32,K$150,$G1035=$G$248,K$248,$G1035=$G$250,K$250)</f>
        <v>BG sentinel + BG lure7</v>
      </c>
      <c r="O1035" s="69" t="str">
        <f t="shared" si="82"/>
        <v>A_SP_BCN_5_211104</v>
      </c>
      <c r="P1035" s="64">
        <v>44504</v>
      </c>
      <c r="R1035" s="72"/>
      <c r="S1035" s="64">
        <v>44511</v>
      </c>
      <c r="U1035" s="72"/>
      <c r="V1035" s="54" t="s">
        <v>66</v>
      </c>
      <c r="X1035" s="69">
        <f t="shared" si="76"/>
        <v>7</v>
      </c>
      <c r="Z1035" s="45" t="s">
        <v>70</v>
      </c>
      <c r="AA1035" s="69">
        <f t="shared" si="84"/>
        <v>2</v>
      </c>
      <c r="AB1035" t="str">
        <f t="shared" si="73"/>
        <v>Adult</v>
      </c>
      <c r="AC1035" s="69">
        <v>2</v>
      </c>
      <c r="AD1035" s="69">
        <v>0</v>
      </c>
      <c r="AE1035" s="45" t="str">
        <f t="shared" si="74"/>
        <v>Morphological</v>
      </c>
      <c r="AF1035" s="56">
        <v>4</v>
      </c>
    </row>
    <row r="1036" spans="1:32" ht="18" customHeight="1" x14ac:dyDescent="0.25">
      <c r="A1036" s="45">
        <v>1032</v>
      </c>
      <c r="B1036" s="45" t="s">
        <v>60</v>
      </c>
      <c r="C1036" s="45" t="s">
        <v>61</v>
      </c>
      <c r="D1036" s="45" t="s">
        <v>62</v>
      </c>
      <c r="E1036" s="45" t="s">
        <v>62</v>
      </c>
      <c r="F1036" s="59" cm="1">
        <f t="array" ref="F1036">_xlfn.IFS($G1036=$G$5,F$5,$G1036=$G$6,F$6,$G1036=$G$7,F$7,$G1036=$G$8,F$8,$G1036=$G$9,F$9,$G1036=$G$10,F$10,$G1036=$G$11,F$11,$G1036=$G$12,F$12,$G1036=$G$13,F$13,$G1036=$G$15,F$15,$G1036=$G$16,F$16,$G1036=$G$17,F$17,$G1036=$G$18,F$18,$G1036=$G$19,F$19,$G1036=$G$20,F$20,$G1036=$G$21,F$21,$G1036=$G$22,F$22,$G1036=$G$25,F$25,$G1036=$G$26,F$26,$G1036=$G$27,F$27,$G1036=$G$29,F$29,$G1036=$G$31,F$31,$G1036=$G$32,F$32,$G1036=$G$248,F$248,$G1036=$G$250,F$250)</f>
        <v>8002</v>
      </c>
      <c r="G1036" t="s">
        <v>73</v>
      </c>
      <c r="H1036" s="60" cm="1">
        <f t="array" ref="H1036">_xlfn.IFS($G1036=$G$5,H$5,$G1036=$G$6,H$6,$G1036=$G$7,H$7,$G1036=$G$8,H$8,$G1036=$G$9,H$9,$G1036=$G$10,H$10,$G1036=$G$11,H$11,$G1036=$G$12,H$12,$G1036=$G$13,H$13,$G1036=$G$15,H$15,$G1036=$G$16,H$16,$G1036=$G$17,H$17,$G1036=$G$18,H$18,$G1036=$G$19,H$19,$G1036=$G$20,H$20,$G1036=$G$21,H$21,$G1036=$G$22,H$22,$G1036=$G$25,H$25,$G1036=$G$26,H$26,$G1036=$G$27,H$27,$G1036=$G$29,H$29,$G1036=$G$31,H$31,$G1036=$G$32,H$150,$G1036=$G$248,H$248,$G1036=$G$250,H$250)</f>
        <v>41.371864000000002</v>
      </c>
      <c r="I1036" s="60" cm="1">
        <f t="array" ref="I1036">_xlfn.IFS($G1036=$G$5,I$5,$G1036=$G$6,I$6,$G1036=$G$7,I$7,$G1036=$G$8,I$8,$G1036=$G$9,I$9,$G1036=$G$10,I$10,$G1036=$G$11,I$11,$G1036=$G$12,I$12,$G1036=$G$13,I$13,$G1036=$G$15,I$15,$G1036=$G$16,I$16,$G1036=$G$17,I$17,$G1036=$G$18,I$18,$G1036=$G$19,I$19,$G1036=$G$20,I$20,$G1036=$G$21,I$21,$G1036=$G$22,I$22,$G1036=$G$25,I$25,$G1036=$G$26,I$26,$G1036=$G$27,I$27,$G1036=$G$29,I$29,$G1036=$G$31,I$31,$G1036=$G$32,I$150,$G1036=$G$248,I$248,$G1036=$G$250,I$250)</f>
        <v>2.173899</v>
      </c>
      <c r="J1036" s="61" cm="1">
        <f t="array" ref="J1036">_xlfn.IFS($G1036=$G$5,J$5,$G1036=$G$6,J$6,$G1036=$G$7,J$7,$G1036=$G$8,J$8,$G1036=$G$9,J$9,$G1036=$G$10,J$10,$G1036=$G$11,J$11,$G1036=$G$12,J$12,$G1036=$G$13,J$13,$G1036=$G$15,J$15,$G1036=$G$16,J$16,$G1036=$G$17,J$17,$G1036=$G$18,J$18,$G1036=$G$19,J$19,$G1036=$G$20,J$20,$G1036=$G$21,J$21,$G1036=$G$22,J$22,$G1036=$G$25,J$25,$G1036=$G$26,J$26,$G1036=$G$27,J$27,$G1036=$G$29,J$29,$G1036=$G$31,J$31,$G1036=$G$32,J$150,$G1036=$G$248,J$248,$G1036=$G$250,J$250)</f>
        <v>19</v>
      </c>
      <c r="K1036" t="str" cm="1">
        <f t="array" ref="K1036">_xlfn.IFS($G1036=$G$5,K$5,$G1036=$G$6,K$6,$G1036=$G$7,K$7,$G1036=$G$8,K$8,$G1036=$G$9,K$9,$G1036=$G$10,K$10,$G1036=$G$11,K$11,$G1036=$G$12,K$12,$G1036=$G$13,K$13,$G1036=$G$15,K$15,$G1036=$G$16,K$16,$G1036=$G$17,K$17,$G1036=$G$18,K$18,$G1036=$G$19,K$19,$G1036=$G$20,K$20,$G1036=$G$21,K$21,$G1036=$G$22,K$22,$G1036=$G$25,K$25,$G1036=$G$26,K$26,$G1036=$G$27,K$27,$G1036=$G$29,K$29,$G1036=$G$31,K$31,$G1036=$G$32,K$150,$G1036=$G$248,K$248,$G1036=$G$250,K$250)</f>
        <v>BG sentinel + BG lure7</v>
      </c>
      <c r="O1036" s="69" t="str">
        <f t="shared" si="82"/>
        <v>A_SP_BCN_6_211104</v>
      </c>
      <c r="P1036" s="64">
        <v>44504</v>
      </c>
      <c r="R1036" s="72"/>
      <c r="S1036" s="64">
        <v>44511</v>
      </c>
      <c r="U1036" s="72"/>
      <c r="V1036" s="54" t="s">
        <v>66</v>
      </c>
      <c r="X1036" s="69">
        <f t="shared" si="76"/>
        <v>7</v>
      </c>
      <c r="Z1036" s="69" t="s">
        <v>69</v>
      </c>
      <c r="AA1036" s="69">
        <f t="shared" ref="AA1036:AA1064" si="85">SUM(AC1036:AD1036)</f>
        <v>1</v>
      </c>
      <c r="AB1036" t="str">
        <f t="shared" si="73"/>
        <v>Adult</v>
      </c>
      <c r="AC1036" s="69">
        <v>1</v>
      </c>
      <c r="AD1036" s="69">
        <v>0</v>
      </c>
      <c r="AE1036" s="45" t="str">
        <f t="shared" si="74"/>
        <v>Morphological</v>
      </c>
      <c r="AF1036" s="56">
        <v>4</v>
      </c>
    </row>
    <row r="1037" spans="1:32" ht="18" customHeight="1" x14ac:dyDescent="0.25">
      <c r="A1037" s="45">
        <v>1033</v>
      </c>
      <c r="B1037" s="45" t="s">
        <v>60</v>
      </c>
      <c r="C1037" s="45" t="s">
        <v>61</v>
      </c>
      <c r="D1037" s="45" t="s">
        <v>62</v>
      </c>
      <c r="E1037" s="45" t="s">
        <v>62</v>
      </c>
      <c r="F1037" s="59" cm="1">
        <f t="array" ref="F1037">_xlfn.IFS($G1037=$G$5,F$5,$G1037=$G$6,F$6,$G1037=$G$7,F$7,$G1037=$G$8,F$8,$G1037=$G$9,F$9,$G1037=$G$10,F$10,$G1037=$G$11,F$11,$G1037=$G$12,F$12,$G1037=$G$13,F$13,$G1037=$G$15,F$15,$G1037=$G$16,F$16,$G1037=$G$17,F$17,$G1037=$G$18,F$18,$G1037=$G$19,F$19,$G1037=$G$20,F$20,$G1037=$G$21,F$21,$G1037=$G$22,F$22,$G1037=$G$25,F$25,$G1037=$G$26,F$26,$G1037=$G$27,F$27,$G1037=$G$29,F$29,$G1037=$G$31,F$31,$G1037=$G$32,F$32,$G1037=$G$248,F$248,$G1037=$G$250,F$250)</f>
        <v>8002</v>
      </c>
      <c r="G1037" t="s">
        <v>73</v>
      </c>
      <c r="H1037" s="60" cm="1">
        <f t="array" ref="H1037">_xlfn.IFS($G1037=$G$5,H$5,$G1037=$G$6,H$6,$G1037=$G$7,H$7,$G1037=$G$8,H$8,$G1037=$G$9,H$9,$G1037=$G$10,H$10,$G1037=$G$11,H$11,$G1037=$G$12,H$12,$G1037=$G$13,H$13,$G1037=$G$15,H$15,$G1037=$G$16,H$16,$G1037=$G$17,H$17,$G1037=$G$18,H$18,$G1037=$G$19,H$19,$G1037=$G$20,H$20,$G1037=$G$21,H$21,$G1037=$G$22,H$22,$G1037=$G$25,H$25,$G1037=$G$26,H$26,$G1037=$G$27,H$27,$G1037=$G$29,H$29,$G1037=$G$31,H$31,$G1037=$G$32,H$150,$G1037=$G$248,H$248,$G1037=$G$250,H$250)</f>
        <v>41.371864000000002</v>
      </c>
      <c r="I1037" s="60" cm="1">
        <f t="array" ref="I1037">_xlfn.IFS($G1037=$G$5,I$5,$G1037=$G$6,I$6,$G1037=$G$7,I$7,$G1037=$G$8,I$8,$G1037=$G$9,I$9,$G1037=$G$10,I$10,$G1037=$G$11,I$11,$G1037=$G$12,I$12,$G1037=$G$13,I$13,$G1037=$G$15,I$15,$G1037=$G$16,I$16,$G1037=$G$17,I$17,$G1037=$G$18,I$18,$G1037=$G$19,I$19,$G1037=$G$20,I$20,$G1037=$G$21,I$21,$G1037=$G$22,I$22,$G1037=$G$25,I$25,$G1037=$G$26,I$26,$G1037=$G$27,I$27,$G1037=$G$29,I$29,$G1037=$G$31,I$31,$G1037=$G$32,I$150,$G1037=$G$248,I$248,$G1037=$G$250,I$250)</f>
        <v>2.173899</v>
      </c>
      <c r="J1037" s="61" cm="1">
        <f t="array" ref="J1037">_xlfn.IFS($G1037=$G$5,J$5,$G1037=$G$6,J$6,$G1037=$G$7,J$7,$G1037=$G$8,J$8,$G1037=$G$9,J$9,$G1037=$G$10,J$10,$G1037=$G$11,J$11,$G1037=$G$12,J$12,$G1037=$G$13,J$13,$G1037=$G$15,J$15,$G1037=$G$16,J$16,$G1037=$G$17,J$17,$G1037=$G$18,J$18,$G1037=$G$19,J$19,$G1037=$G$20,J$20,$G1037=$G$21,J$21,$G1037=$G$22,J$22,$G1037=$G$25,J$25,$G1037=$G$26,J$26,$G1037=$G$27,J$27,$G1037=$G$29,J$29,$G1037=$G$31,J$31,$G1037=$G$32,J$150,$G1037=$G$248,J$248,$G1037=$G$250,J$250)</f>
        <v>19</v>
      </c>
      <c r="K1037" t="str" cm="1">
        <f t="array" ref="K1037">_xlfn.IFS($G1037=$G$5,K$5,$G1037=$G$6,K$6,$G1037=$G$7,K$7,$G1037=$G$8,K$8,$G1037=$G$9,K$9,$G1037=$G$10,K$10,$G1037=$G$11,K$11,$G1037=$G$12,K$12,$G1037=$G$13,K$13,$G1037=$G$15,K$15,$G1037=$G$16,K$16,$G1037=$G$17,K$17,$G1037=$G$18,K$18,$G1037=$G$19,K$19,$G1037=$G$20,K$20,$G1037=$G$21,K$21,$G1037=$G$22,K$22,$G1037=$G$25,K$25,$G1037=$G$26,K$26,$G1037=$G$27,K$27,$G1037=$G$29,K$29,$G1037=$G$31,K$31,$G1037=$G$32,K$150,$G1037=$G$248,K$248,$G1037=$G$250,K$250)</f>
        <v>BG sentinel + BG lure7</v>
      </c>
      <c r="O1037" s="69" t="str">
        <f t="shared" si="82"/>
        <v>A_SP_BCN_6_211104</v>
      </c>
      <c r="P1037" s="64">
        <v>44504</v>
      </c>
      <c r="R1037" s="72"/>
      <c r="S1037" s="64">
        <v>44511</v>
      </c>
      <c r="U1037" s="72"/>
      <c r="V1037" s="54" t="s">
        <v>66</v>
      </c>
      <c r="X1037" s="69">
        <f t="shared" si="76"/>
        <v>7</v>
      </c>
      <c r="Z1037" s="45" t="s">
        <v>70</v>
      </c>
      <c r="AA1037" s="69">
        <f t="shared" si="85"/>
        <v>2</v>
      </c>
      <c r="AB1037" t="str">
        <f t="shared" si="73"/>
        <v>Adult</v>
      </c>
      <c r="AC1037" s="69">
        <v>2</v>
      </c>
      <c r="AD1037" s="69">
        <v>0</v>
      </c>
      <c r="AE1037" s="45" t="str">
        <f t="shared" si="74"/>
        <v>Morphological</v>
      </c>
      <c r="AF1037" s="56">
        <v>4</v>
      </c>
    </row>
    <row r="1038" spans="1:32" ht="18" customHeight="1" x14ac:dyDescent="0.25">
      <c r="A1038" s="45">
        <v>1034</v>
      </c>
      <c r="B1038" s="45" t="s">
        <v>60</v>
      </c>
      <c r="C1038" s="45" t="s">
        <v>61</v>
      </c>
      <c r="D1038" s="45" t="s">
        <v>62</v>
      </c>
      <c r="E1038" s="45" t="s">
        <v>62</v>
      </c>
      <c r="F1038" s="59" cm="1">
        <f t="array" ref="F1038">_xlfn.IFS($G1038=$G$5,F$5,$G1038=$G$6,F$6,$G1038=$G$7,F$7,$G1038=$G$8,F$8,$G1038=$G$9,F$9,$G1038=$G$10,F$10,$G1038=$G$11,F$11,$G1038=$G$12,F$12,$G1038=$G$13,F$13,$G1038=$G$15,F$15,$G1038=$G$16,F$16,$G1038=$G$17,F$17,$G1038=$G$18,F$18,$G1038=$G$19,F$19,$G1038=$G$20,F$20,$G1038=$G$21,F$21,$G1038=$G$22,F$22,$G1038=$G$25,F$25,$G1038=$G$26,F$26,$G1038=$G$27,F$27,$G1038=$G$29,F$29,$G1038=$G$31,F$31,$G1038=$G$32,F$32,$G1038=$G$248,F$248,$G1038=$G$250,F$250)</f>
        <v>8038</v>
      </c>
      <c r="G1038" t="s">
        <v>74</v>
      </c>
      <c r="H1038" s="60" cm="1">
        <f t="array" ref="H1038">_xlfn.IFS($G1038=$G$5,H$5,$G1038=$G$6,H$6,$G1038=$G$7,H$7,$G1038=$G$8,H$8,$G1038=$G$9,H$9,$G1038=$G$10,H$10,$G1038=$G$11,H$11,$G1038=$G$12,H$12,$G1038=$G$13,H$13,$G1038=$G$15,H$15,$G1038=$G$16,H$16,$G1038=$G$17,H$17,$G1038=$G$18,H$18,$G1038=$G$19,H$19,$G1038=$G$20,H$20,$G1038=$G$21,H$21,$G1038=$G$22,H$22,$G1038=$G$25,H$25,$G1038=$G$26,H$26,$G1038=$G$27,H$27,$G1038=$G$29,H$29,$G1038=$G$31,H$31,$G1038=$G$32,H$150,$G1038=$G$248,H$248,$G1038=$G$250,H$250)</f>
        <v>41.371864000000002</v>
      </c>
      <c r="I1038" s="60" cm="1">
        <f t="array" ref="I1038">_xlfn.IFS($G1038=$G$5,I$5,$G1038=$G$6,I$6,$G1038=$G$7,I$7,$G1038=$G$8,I$8,$G1038=$G$9,I$9,$G1038=$G$10,I$10,$G1038=$G$11,I$11,$G1038=$G$12,I$12,$G1038=$G$13,I$13,$G1038=$G$15,I$15,$G1038=$G$16,I$16,$G1038=$G$17,I$17,$G1038=$G$18,I$18,$G1038=$G$19,I$19,$G1038=$G$20,I$20,$G1038=$G$21,I$21,$G1038=$G$22,I$22,$G1038=$G$25,I$25,$G1038=$G$26,I$26,$G1038=$G$27,I$27,$G1038=$G$29,I$29,$G1038=$G$31,I$31,$G1038=$G$32,I$150,$G1038=$G$248,I$248,$G1038=$G$250,I$250)</f>
        <v>2.173899</v>
      </c>
      <c r="J1038" s="61" cm="1">
        <f t="array" ref="J1038">_xlfn.IFS($G1038=$G$5,J$5,$G1038=$G$6,J$6,$G1038=$G$7,J$7,$G1038=$G$8,J$8,$G1038=$G$9,J$9,$G1038=$G$10,J$10,$G1038=$G$11,J$11,$G1038=$G$12,J$12,$G1038=$G$13,J$13,$G1038=$G$15,J$15,$G1038=$G$16,J$16,$G1038=$G$17,J$17,$G1038=$G$18,J$18,$G1038=$G$19,J$19,$G1038=$G$20,J$20,$G1038=$G$21,J$21,$G1038=$G$22,J$22,$G1038=$G$25,J$25,$G1038=$G$26,J$26,$G1038=$G$27,J$27,$G1038=$G$29,J$29,$G1038=$G$31,J$31,$G1038=$G$32,J$150,$G1038=$G$248,J$248,$G1038=$G$250,J$250)</f>
        <v>5</v>
      </c>
      <c r="K1038" t="str" cm="1">
        <f t="array" ref="K1038">_xlfn.IFS($G1038=$G$5,K$5,$G1038=$G$6,K$6,$G1038=$G$7,K$7,$G1038=$G$8,K$8,$G1038=$G$9,K$9,$G1038=$G$10,K$10,$G1038=$G$11,K$11,$G1038=$G$12,K$12,$G1038=$G$13,K$13,$G1038=$G$15,K$15,$G1038=$G$16,K$16,$G1038=$G$17,K$17,$G1038=$G$18,K$18,$G1038=$G$19,K$19,$G1038=$G$20,K$20,$G1038=$G$21,K$21,$G1038=$G$22,K$22,$G1038=$G$25,K$25,$G1038=$G$26,K$26,$G1038=$G$27,K$27,$G1038=$G$29,K$29,$G1038=$G$31,K$31,$G1038=$G$32,K$150,$G1038=$G$248,K$248,$G1038=$G$250,K$250)</f>
        <v>BG sentinel + BG lure7</v>
      </c>
      <c r="O1038" s="69" t="str">
        <f t="shared" si="82"/>
        <v>A_SP_BCN_7_211104</v>
      </c>
      <c r="P1038" s="64">
        <v>44504</v>
      </c>
      <c r="R1038" s="72"/>
      <c r="S1038" s="64">
        <v>44511</v>
      </c>
      <c r="U1038" s="72"/>
      <c r="V1038" s="54" t="s">
        <v>66</v>
      </c>
      <c r="X1038" s="69">
        <f t="shared" si="76"/>
        <v>7</v>
      </c>
      <c r="Z1038" s="69" t="s">
        <v>69</v>
      </c>
      <c r="AA1038" s="69">
        <f t="shared" si="85"/>
        <v>1</v>
      </c>
      <c r="AB1038" t="str">
        <f t="shared" si="73"/>
        <v>Adult</v>
      </c>
      <c r="AC1038" s="69">
        <v>1</v>
      </c>
      <c r="AD1038" s="69">
        <v>0</v>
      </c>
      <c r="AE1038" s="45" t="str">
        <f t="shared" si="74"/>
        <v>Morphological</v>
      </c>
      <c r="AF1038" s="56">
        <v>4</v>
      </c>
    </row>
    <row r="1039" spans="1:32" ht="18" customHeight="1" x14ac:dyDescent="0.25">
      <c r="A1039" s="45">
        <v>1035</v>
      </c>
      <c r="B1039" s="45" t="s">
        <v>60</v>
      </c>
      <c r="C1039" s="45" t="s">
        <v>61</v>
      </c>
      <c r="D1039" s="45" t="s">
        <v>62</v>
      </c>
      <c r="E1039" s="45" t="s">
        <v>62</v>
      </c>
      <c r="F1039" s="59" cm="1">
        <f t="array" ref="F1039">_xlfn.IFS($G1039=$G$5,F$5,$G1039=$G$6,F$6,$G1039=$G$7,F$7,$G1039=$G$8,F$8,$G1039=$G$9,F$9,$G1039=$G$10,F$10,$G1039=$G$11,F$11,$G1039=$G$12,F$12,$G1039=$G$13,F$13,$G1039=$G$15,F$15,$G1039=$G$16,F$16,$G1039=$G$17,F$17,$G1039=$G$18,F$18,$G1039=$G$19,F$19,$G1039=$G$20,F$20,$G1039=$G$21,F$21,$G1039=$G$22,F$22,$G1039=$G$25,F$25,$G1039=$G$26,F$26,$G1039=$G$27,F$27,$G1039=$G$29,F$29,$G1039=$G$31,F$31,$G1039=$G$32,F$32,$G1039=$G$248,F$248,$G1039=$G$250,F$250)</f>
        <v>8038</v>
      </c>
      <c r="G1039" t="s">
        <v>74</v>
      </c>
      <c r="H1039" s="60" cm="1">
        <f t="array" ref="H1039">_xlfn.IFS($G1039=$G$5,H$5,$G1039=$G$6,H$6,$G1039=$G$7,H$7,$G1039=$G$8,H$8,$G1039=$G$9,H$9,$G1039=$G$10,H$10,$G1039=$G$11,H$11,$G1039=$G$12,H$12,$G1039=$G$13,H$13,$G1039=$G$15,H$15,$G1039=$G$16,H$16,$G1039=$G$17,H$17,$G1039=$G$18,H$18,$G1039=$G$19,H$19,$G1039=$G$20,H$20,$G1039=$G$21,H$21,$G1039=$G$22,H$22,$G1039=$G$25,H$25,$G1039=$G$26,H$26,$G1039=$G$27,H$27,$G1039=$G$29,H$29,$G1039=$G$31,H$31,$G1039=$G$32,H$150,$G1039=$G$248,H$248,$G1039=$G$250,H$250)</f>
        <v>41.371864000000002</v>
      </c>
      <c r="I1039" s="60" cm="1">
        <f t="array" ref="I1039">_xlfn.IFS($G1039=$G$5,I$5,$G1039=$G$6,I$6,$G1039=$G$7,I$7,$G1039=$G$8,I$8,$G1039=$G$9,I$9,$G1039=$G$10,I$10,$G1039=$G$11,I$11,$G1039=$G$12,I$12,$G1039=$G$13,I$13,$G1039=$G$15,I$15,$G1039=$G$16,I$16,$G1039=$G$17,I$17,$G1039=$G$18,I$18,$G1039=$G$19,I$19,$G1039=$G$20,I$20,$G1039=$G$21,I$21,$G1039=$G$22,I$22,$G1039=$G$25,I$25,$G1039=$G$26,I$26,$G1039=$G$27,I$27,$G1039=$G$29,I$29,$G1039=$G$31,I$31,$G1039=$G$32,I$150,$G1039=$G$248,I$248,$G1039=$G$250,I$250)</f>
        <v>2.173899</v>
      </c>
      <c r="J1039" s="61" cm="1">
        <f t="array" ref="J1039">_xlfn.IFS($G1039=$G$5,J$5,$G1039=$G$6,J$6,$G1039=$G$7,J$7,$G1039=$G$8,J$8,$G1039=$G$9,J$9,$G1039=$G$10,J$10,$G1039=$G$11,J$11,$G1039=$G$12,J$12,$G1039=$G$13,J$13,$G1039=$G$15,J$15,$G1039=$G$16,J$16,$G1039=$G$17,J$17,$G1039=$G$18,J$18,$G1039=$G$19,J$19,$G1039=$G$20,J$20,$G1039=$G$21,J$21,$G1039=$G$22,J$22,$G1039=$G$25,J$25,$G1039=$G$26,J$26,$G1039=$G$27,J$27,$G1039=$G$29,J$29,$G1039=$G$31,J$31,$G1039=$G$32,J$150,$G1039=$G$248,J$248,$G1039=$G$250,J$250)</f>
        <v>5</v>
      </c>
      <c r="K1039" t="str" cm="1">
        <f t="array" ref="K1039">_xlfn.IFS($G1039=$G$5,K$5,$G1039=$G$6,K$6,$G1039=$G$7,K$7,$G1039=$G$8,K$8,$G1039=$G$9,K$9,$G1039=$G$10,K$10,$G1039=$G$11,K$11,$G1039=$G$12,K$12,$G1039=$G$13,K$13,$G1039=$G$15,K$15,$G1039=$G$16,K$16,$G1039=$G$17,K$17,$G1039=$G$18,K$18,$G1039=$G$19,K$19,$G1039=$G$20,K$20,$G1039=$G$21,K$21,$G1039=$G$22,K$22,$G1039=$G$25,K$25,$G1039=$G$26,K$26,$G1039=$G$27,K$27,$G1039=$G$29,K$29,$G1039=$G$31,K$31,$G1039=$G$32,K$150,$G1039=$G$248,K$248,$G1039=$G$250,K$250)</f>
        <v>BG sentinel + BG lure7</v>
      </c>
      <c r="O1039" s="69" t="str">
        <f t="shared" si="82"/>
        <v>A_SP_BCN_7_211104</v>
      </c>
      <c r="P1039" s="64">
        <v>44504</v>
      </c>
      <c r="R1039" s="72"/>
      <c r="S1039" s="64">
        <v>44511</v>
      </c>
      <c r="U1039" s="72"/>
      <c r="V1039" s="54" t="s">
        <v>66</v>
      </c>
      <c r="X1039" s="69">
        <f t="shared" si="76"/>
        <v>7</v>
      </c>
      <c r="Z1039" s="45" t="s">
        <v>70</v>
      </c>
      <c r="AA1039" s="69">
        <f t="shared" si="85"/>
        <v>2</v>
      </c>
      <c r="AB1039" t="str">
        <f t="shared" si="73"/>
        <v>Adult</v>
      </c>
      <c r="AC1039" s="69">
        <v>0</v>
      </c>
      <c r="AD1039" s="69">
        <v>2</v>
      </c>
      <c r="AE1039" s="45" t="str">
        <f t="shared" si="74"/>
        <v>Morphological</v>
      </c>
      <c r="AF1039" s="56">
        <v>4</v>
      </c>
    </row>
    <row r="1040" spans="1:32" ht="18" customHeight="1" x14ac:dyDescent="0.25">
      <c r="A1040" s="45">
        <v>1036</v>
      </c>
      <c r="B1040" s="45" t="s">
        <v>60</v>
      </c>
      <c r="C1040" s="45" t="s">
        <v>61</v>
      </c>
      <c r="D1040" s="45" t="s">
        <v>62</v>
      </c>
      <c r="E1040" s="45" t="s">
        <v>62</v>
      </c>
      <c r="F1040" s="59" cm="1">
        <f t="array" ref="F1040">_xlfn.IFS($G1040=$G$5,F$5,$G1040=$G$6,F$6,$G1040=$G$7,F$7,$G1040=$G$8,F$8,$G1040=$G$9,F$9,$G1040=$G$10,F$10,$G1040=$G$11,F$11,$G1040=$G$12,F$12,$G1040=$G$13,F$13,$G1040=$G$15,F$15,$G1040=$G$16,F$16,$G1040=$G$17,F$17,$G1040=$G$18,F$18,$G1040=$G$19,F$19,$G1040=$G$20,F$20,$G1040=$G$21,F$21,$G1040=$G$22,F$22,$G1040=$G$25,F$25,$G1040=$G$26,F$26,$G1040=$G$27,F$27,$G1040=$G$29,F$29,$G1040=$G$31,F$31,$G1040=$G$32,F$32,$G1040=$G$248,F$248,$G1040=$G$250,F$250)</f>
        <v>8038</v>
      </c>
      <c r="G1040" t="s">
        <v>75</v>
      </c>
      <c r="H1040" s="60" cm="1">
        <f t="array" ref="H1040">_xlfn.IFS($G1040=$G$5,H$5,$G1040=$G$6,H$6,$G1040=$G$7,H$7,$G1040=$G$8,H$8,$G1040=$G$9,H$9,$G1040=$G$10,H$10,$G1040=$G$11,H$11,$G1040=$G$12,H$12,$G1040=$G$13,H$13,$G1040=$G$15,H$15,$G1040=$G$16,H$16,$G1040=$G$17,H$17,$G1040=$G$18,H$18,$G1040=$G$19,H$19,$G1040=$G$20,H$20,$G1040=$G$21,H$21,$G1040=$G$22,H$22,$G1040=$G$25,H$25,$G1040=$G$26,H$26,$G1040=$G$27,H$27,$G1040=$G$29,H$29,$G1040=$G$31,H$31,$G1040=$G$32,H$150,$G1040=$G$248,H$248,$G1040=$G$250,H$250)</f>
        <v>41.368589</v>
      </c>
      <c r="I1040" s="60" cm="1">
        <f t="array" ref="I1040">_xlfn.IFS($G1040=$G$5,I$5,$G1040=$G$6,I$6,$G1040=$G$7,I$7,$G1040=$G$8,I$8,$G1040=$G$9,I$9,$G1040=$G$10,I$10,$G1040=$G$11,I$11,$G1040=$G$12,I$12,$G1040=$G$13,I$13,$G1040=$G$15,I$15,$G1040=$G$16,I$16,$G1040=$G$17,I$17,$G1040=$G$18,I$18,$G1040=$G$19,I$19,$G1040=$G$20,I$20,$G1040=$G$21,I$21,$G1040=$G$22,I$22,$G1040=$G$25,I$25,$G1040=$G$26,I$26,$G1040=$G$27,I$27,$G1040=$G$29,I$29,$G1040=$G$31,I$31,$G1040=$G$32,I$150,$G1040=$G$248,I$248,$G1040=$G$250,I$250)</f>
        <v>2.1620900000000001</v>
      </c>
      <c r="J1040" s="61" cm="1">
        <f t="array" ref="J1040">_xlfn.IFS($G1040=$G$5,J$5,$G1040=$G$6,J$6,$G1040=$G$7,J$7,$G1040=$G$8,J$8,$G1040=$G$9,J$9,$G1040=$G$10,J$10,$G1040=$G$11,J$11,$G1040=$G$12,J$12,$G1040=$G$13,J$13,$G1040=$G$15,J$15,$G1040=$G$16,J$16,$G1040=$G$17,J$17,$G1040=$G$18,J$18,$G1040=$G$19,J$19,$G1040=$G$20,J$20,$G1040=$G$21,J$21,$G1040=$G$22,J$22,$G1040=$G$25,J$25,$G1040=$G$26,J$26,$G1040=$G$27,J$27,$G1040=$G$29,J$29,$G1040=$G$31,J$31,$G1040=$G$32,J$150,$G1040=$G$248,J$248,$G1040=$G$250,J$250)</f>
        <v>95</v>
      </c>
      <c r="K1040" t="str" cm="1">
        <f t="array" ref="K1040">_xlfn.IFS($G1040=$G$5,K$5,$G1040=$G$6,K$6,$G1040=$G$7,K$7,$G1040=$G$8,K$8,$G1040=$G$9,K$9,$G1040=$G$10,K$10,$G1040=$G$11,K$11,$G1040=$G$12,K$12,$G1040=$G$13,K$13,$G1040=$G$15,K$15,$G1040=$G$16,K$16,$G1040=$G$17,K$17,$G1040=$G$18,K$18,$G1040=$G$19,K$19,$G1040=$G$20,K$20,$G1040=$G$21,K$21,$G1040=$G$22,K$22,$G1040=$G$25,K$25,$G1040=$G$26,K$26,$G1040=$G$27,K$27,$G1040=$G$29,K$29,$G1040=$G$31,K$31,$G1040=$G$32,K$150,$G1040=$G$248,K$248,$G1040=$G$250,K$250)</f>
        <v>BG sentinel + BG lure7</v>
      </c>
      <c r="O1040" s="69" t="str">
        <f t="shared" si="82"/>
        <v>A_SP_BCN_8_211104</v>
      </c>
      <c r="P1040" s="64">
        <v>44504</v>
      </c>
      <c r="R1040" s="72"/>
      <c r="S1040" s="64">
        <v>44511</v>
      </c>
      <c r="U1040" s="72"/>
      <c r="V1040" s="54" t="s">
        <v>66</v>
      </c>
      <c r="X1040" s="69">
        <f t="shared" si="76"/>
        <v>7</v>
      </c>
      <c r="Z1040" s="69" t="s">
        <v>69</v>
      </c>
      <c r="AA1040" s="69">
        <f t="shared" si="85"/>
        <v>3</v>
      </c>
      <c r="AB1040" t="str">
        <f t="shared" si="73"/>
        <v>Adult</v>
      </c>
      <c r="AC1040" s="69">
        <v>3</v>
      </c>
      <c r="AD1040" s="69">
        <v>0</v>
      </c>
      <c r="AE1040" s="45" t="str">
        <f t="shared" si="74"/>
        <v>Morphological</v>
      </c>
      <c r="AF1040" s="56">
        <v>4</v>
      </c>
    </row>
    <row r="1041" spans="1:32" ht="18" customHeight="1" x14ac:dyDescent="0.25">
      <c r="A1041" s="45">
        <v>1037</v>
      </c>
      <c r="B1041" s="45" t="s">
        <v>60</v>
      </c>
      <c r="C1041" s="45" t="s">
        <v>61</v>
      </c>
      <c r="D1041" s="45" t="s">
        <v>62</v>
      </c>
      <c r="E1041" s="45" t="s">
        <v>62</v>
      </c>
      <c r="F1041" s="59" cm="1">
        <f t="array" ref="F1041">_xlfn.IFS($G1041=$G$5,F$5,$G1041=$G$6,F$6,$G1041=$G$7,F$7,$G1041=$G$8,F$8,$G1041=$G$9,F$9,$G1041=$G$10,F$10,$G1041=$G$11,F$11,$G1041=$G$12,F$12,$G1041=$G$13,F$13,$G1041=$G$15,F$15,$G1041=$G$16,F$16,$G1041=$G$17,F$17,$G1041=$G$18,F$18,$G1041=$G$19,F$19,$G1041=$G$20,F$20,$G1041=$G$21,F$21,$G1041=$G$22,F$22,$G1041=$G$25,F$25,$G1041=$G$26,F$26,$G1041=$G$27,F$27,$G1041=$G$29,F$29,$G1041=$G$31,F$31,$G1041=$G$32,F$32,$G1041=$G$248,F$248,$G1041=$G$250,F$250)</f>
        <v>8038</v>
      </c>
      <c r="G1041" t="s">
        <v>75</v>
      </c>
      <c r="H1041" s="60" cm="1">
        <f t="array" ref="H1041">_xlfn.IFS($G1041=$G$5,H$5,$G1041=$G$6,H$6,$G1041=$G$7,H$7,$G1041=$G$8,H$8,$G1041=$G$9,H$9,$G1041=$G$10,H$10,$G1041=$G$11,H$11,$G1041=$G$12,H$12,$G1041=$G$13,H$13,$G1041=$G$15,H$15,$G1041=$G$16,H$16,$G1041=$G$17,H$17,$G1041=$G$18,H$18,$G1041=$G$19,H$19,$G1041=$G$20,H$20,$G1041=$G$21,H$21,$G1041=$G$22,H$22,$G1041=$G$25,H$25,$G1041=$G$26,H$26,$G1041=$G$27,H$27,$G1041=$G$29,H$29,$G1041=$G$31,H$31,$G1041=$G$32,H$150,$G1041=$G$248,H$248,$G1041=$G$250,H$250)</f>
        <v>41.368589</v>
      </c>
      <c r="I1041" s="60" cm="1">
        <f t="array" ref="I1041">_xlfn.IFS($G1041=$G$5,I$5,$G1041=$G$6,I$6,$G1041=$G$7,I$7,$G1041=$G$8,I$8,$G1041=$G$9,I$9,$G1041=$G$10,I$10,$G1041=$G$11,I$11,$G1041=$G$12,I$12,$G1041=$G$13,I$13,$G1041=$G$15,I$15,$G1041=$G$16,I$16,$G1041=$G$17,I$17,$G1041=$G$18,I$18,$G1041=$G$19,I$19,$G1041=$G$20,I$20,$G1041=$G$21,I$21,$G1041=$G$22,I$22,$G1041=$G$25,I$25,$G1041=$G$26,I$26,$G1041=$G$27,I$27,$G1041=$G$29,I$29,$G1041=$G$31,I$31,$G1041=$G$32,I$150,$G1041=$G$248,I$248,$G1041=$G$250,I$250)</f>
        <v>2.1620900000000001</v>
      </c>
      <c r="J1041" s="61" cm="1">
        <f t="array" ref="J1041">_xlfn.IFS($G1041=$G$5,J$5,$G1041=$G$6,J$6,$G1041=$G$7,J$7,$G1041=$G$8,J$8,$G1041=$G$9,J$9,$G1041=$G$10,J$10,$G1041=$G$11,J$11,$G1041=$G$12,J$12,$G1041=$G$13,J$13,$G1041=$G$15,J$15,$G1041=$G$16,J$16,$G1041=$G$17,J$17,$G1041=$G$18,J$18,$G1041=$G$19,J$19,$G1041=$G$20,J$20,$G1041=$G$21,J$21,$G1041=$G$22,J$22,$G1041=$G$25,J$25,$G1041=$G$26,J$26,$G1041=$G$27,J$27,$G1041=$G$29,J$29,$G1041=$G$31,J$31,$G1041=$G$32,J$150,$G1041=$G$248,J$248,$G1041=$G$250,J$250)</f>
        <v>95</v>
      </c>
      <c r="K1041" t="str" cm="1">
        <f t="array" ref="K1041">_xlfn.IFS($G1041=$G$5,K$5,$G1041=$G$6,K$6,$G1041=$G$7,K$7,$G1041=$G$8,K$8,$G1041=$G$9,K$9,$G1041=$G$10,K$10,$G1041=$G$11,K$11,$G1041=$G$12,K$12,$G1041=$G$13,K$13,$G1041=$G$15,K$15,$G1041=$G$16,K$16,$G1041=$G$17,K$17,$G1041=$G$18,K$18,$G1041=$G$19,K$19,$G1041=$G$20,K$20,$G1041=$G$21,K$21,$G1041=$G$22,K$22,$G1041=$G$25,K$25,$G1041=$G$26,K$26,$G1041=$G$27,K$27,$G1041=$G$29,K$29,$G1041=$G$31,K$31,$G1041=$G$32,K$150,$G1041=$G$248,K$248,$G1041=$G$250,K$250)</f>
        <v>BG sentinel + BG lure7</v>
      </c>
      <c r="O1041" s="69" t="str">
        <f t="shared" si="82"/>
        <v>A_SP_BCN_8_211104</v>
      </c>
      <c r="P1041" s="64">
        <v>44504</v>
      </c>
      <c r="R1041" s="72"/>
      <c r="S1041" s="64">
        <v>44511</v>
      </c>
      <c r="U1041" s="72"/>
      <c r="V1041" s="54" t="s">
        <v>66</v>
      </c>
      <c r="X1041" s="69">
        <f t="shared" si="76"/>
        <v>7</v>
      </c>
      <c r="Z1041" s="45" t="s">
        <v>70</v>
      </c>
      <c r="AA1041" s="69">
        <f t="shared" si="85"/>
        <v>2</v>
      </c>
      <c r="AB1041" t="str">
        <f t="shared" si="73"/>
        <v>Adult</v>
      </c>
      <c r="AC1041" s="69">
        <v>2</v>
      </c>
      <c r="AD1041" s="69">
        <v>0</v>
      </c>
      <c r="AE1041" s="45" t="str">
        <f t="shared" si="74"/>
        <v>Morphological</v>
      </c>
      <c r="AF1041" s="56">
        <v>4</v>
      </c>
    </row>
    <row r="1042" spans="1:32" ht="18" customHeight="1" x14ac:dyDescent="0.25">
      <c r="A1042" s="45">
        <v>1038</v>
      </c>
      <c r="B1042" s="45" t="s">
        <v>60</v>
      </c>
      <c r="C1042" s="45" t="s">
        <v>61</v>
      </c>
      <c r="D1042" s="45" t="s">
        <v>62</v>
      </c>
      <c r="E1042" s="45" t="s">
        <v>62</v>
      </c>
      <c r="F1042" s="59" cm="1">
        <f t="array" ref="F1042">_xlfn.IFS($G1042=$G$5,F$5,$G1042=$G$6,F$6,$G1042=$G$7,F$7,$G1042=$G$8,F$8,$G1042=$G$9,F$9,$G1042=$G$10,F$10,$G1042=$G$11,F$11,$G1042=$G$12,F$12,$G1042=$G$13,F$13,$G1042=$G$15,F$15,$G1042=$G$16,F$16,$G1042=$G$17,F$17,$G1042=$G$18,F$18,$G1042=$G$19,F$19,$G1042=$G$20,F$20,$G1042=$G$21,F$21,$G1042=$G$22,F$22,$G1042=$G$25,F$25,$G1042=$G$26,F$26,$G1042=$G$27,F$27,$G1042=$G$29,F$29,$G1042=$G$31,F$31,$G1042=$G$32,F$32,$G1042=$G$248,F$248,$G1042=$G$250,F$250)</f>
        <v>8034</v>
      </c>
      <c r="G1042" t="s">
        <v>78</v>
      </c>
      <c r="H1042" s="60" cm="1">
        <f t="array" ref="H1042">_xlfn.IFS($G1042=$G$5,H$5,$G1042=$G$6,H$6,$G1042=$G$7,H$7,$G1042=$G$8,H$8,$G1042=$G$9,H$9,$G1042=$G$10,H$10,$G1042=$G$11,H$11,$G1042=$G$12,H$12,$G1042=$G$13,H$13,$G1042=$G$15,H$15,$G1042=$G$16,H$16,$G1042=$G$17,H$17,$G1042=$G$18,H$18,$G1042=$G$19,H$19,$G1042=$G$20,H$20,$G1042=$G$21,H$21,$G1042=$G$22,H$22,$G1042=$G$25,H$25,$G1042=$G$26,H$26,$G1042=$G$27,H$27,$G1042=$G$29,H$29,$G1042=$G$31,H$31,$G1042=$G$32,H$150,$G1042=$G$248,H$248,$G1042=$G$250,H$250)</f>
        <v>41.393644999999999</v>
      </c>
      <c r="I1042" s="60" cm="1">
        <f t="array" ref="I1042">_xlfn.IFS($G1042=$G$5,I$5,$G1042=$G$6,I$6,$G1042=$G$7,I$7,$G1042=$G$8,I$8,$G1042=$G$9,I$9,$G1042=$G$10,I$10,$G1042=$G$11,I$11,$G1042=$G$12,I$12,$G1042=$G$13,I$13,$G1042=$G$15,I$15,$G1042=$G$16,I$16,$G1042=$G$17,I$17,$G1042=$G$18,I$18,$G1042=$G$19,I$19,$G1042=$G$20,I$20,$G1042=$G$21,I$21,$G1042=$G$22,I$22,$G1042=$G$25,I$25,$G1042=$G$26,I$26,$G1042=$G$27,I$27,$G1042=$G$29,I$29,$G1042=$G$31,I$31,$G1042=$G$32,I$150,$G1042=$G$248,I$248,$G1042=$G$250,I$250)</f>
        <v>2.1216780000000002</v>
      </c>
      <c r="J1042" s="61" cm="1">
        <f t="array" ref="J1042">_xlfn.IFS($G1042=$G$5,J$5,$G1042=$G$6,J$6,$G1042=$G$7,J$7,$G1042=$G$8,J$8,$G1042=$G$9,J$9,$G1042=$G$10,J$10,$G1042=$G$11,J$11,$G1042=$G$12,J$12,$G1042=$G$13,J$13,$G1042=$G$15,J$15,$G1042=$G$16,J$16,$G1042=$G$17,J$17,$G1042=$G$18,J$18,$G1042=$G$19,J$19,$G1042=$G$20,J$20,$G1042=$G$21,J$21,$G1042=$G$22,J$22,$G1042=$G$25,J$25,$G1042=$G$26,J$26,$G1042=$G$27,J$27,$G1042=$G$29,J$29,$G1042=$G$31,J$31,$G1042=$G$32,J$150,$G1042=$G$248,J$248,$G1042=$G$250,J$250)</f>
        <v>98</v>
      </c>
      <c r="K1042" t="str" cm="1">
        <f t="array" ref="K1042">_xlfn.IFS($G1042=$G$5,K$5,$G1042=$G$6,K$6,$G1042=$G$7,K$7,$G1042=$G$8,K$8,$G1042=$G$9,K$9,$G1042=$G$10,K$10,$G1042=$G$11,K$11,$G1042=$G$12,K$12,$G1042=$G$13,K$13,$G1042=$G$15,K$15,$G1042=$G$16,K$16,$G1042=$G$17,K$17,$G1042=$G$18,K$18,$G1042=$G$19,K$19,$G1042=$G$20,K$20,$G1042=$G$21,K$21,$G1042=$G$22,K$22,$G1042=$G$25,K$25,$G1042=$G$26,K$26,$G1042=$G$27,K$27,$G1042=$G$29,K$29,$G1042=$G$31,K$31,$G1042=$G$32,K$150,$G1042=$G$248,K$248,$G1042=$G$250,K$250)</f>
        <v>BG sentinel + BG lure7</v>
      </c>
      <c r="O1042" s="69" t="str">
        <f t="shared" si="82"/>
        <v>A_SP_BCN_9_211103</v>
      </c>
      <c r="P1042" s="64">
        <v>44503</v>
      </c>
      <c r="R1042" s="72"/>
      <c r="S1042" s="64">
        <v>44510</v>
      </c>
      <c r="U1042" s="72"/>
      <c r="V1042" s="54" t="s">
        <v>66</v>
      </c>
      <c r="X1042" s="69">
        <f t="shared" si="76"/>
        <v>7</v>
      </c>
      <c r="Z1042" s="45" t="s">
        <v>80</v>
      </c>
      <c r="AA1042" s="69">
        <f t="shared" si="85"/>
        <v>1</v>
      </c>
      <c r="AB1042" t="str">
        <f t="shared" si="73"/>
        <v>Adult</v>
      </c>
      <c r="AC1042" s="69">
        <v>1</v>
      </c>
      <c r="AD1042" s="69">
        <v>0</v>
      </c>
      <c r="AE1042" s="45" t="str">
        <f t="shared" si="74"/>
        <v>Morphological</v>
      </c>
      <c r="AF1042" s="56">
        <v>4</v>
      </c>
    </row>
    <row r="1043" spans="1:32" ht="18" customHeight="1" x14ac:dyDescent="0.25">
      <c r="A1043" s="45">
        <v>1039</v>
      </c>
      <c r="B1043" s="45" t="s">
        <v>60</v>
      </c>
      <c r="C1043" s="45" t="s">
        <v>61</v>
      </c>
      <c r="D1043" s="45" t="s">
        <v>62</v>
      </c>
      <c r="E1043" s="45" t="s">
        <v>62</v>
      </c>
      <c r="F1043" s="59" cm="1">
        <f t="array" ref="F1043">_xlfn.IFS($G1043=$G$5,F$5,$G1043=$G$6,F$6,$G1043=$G$7,F$7,$G1043=$G$8,F$8,$G1043=$G$9,F$9,$G1043=$G$10,F$10,$G1043=$G$11,F$11,$G1043=$G$12,F$12,$G1043=$G$13,F$13,$G1043=$G$15,F$15,$G1043=$G$16,F$16,$G1043=$G$17,F$17,$G1043=$G$18,F$18,$G1043=$G$19,F$19,$G1043=$G$20,F$20,$G1043=$G$21,F$21,$G1043=$G$22,F$22,$G1043=$G$25,F$25,$G1043=$G$26,F$26,$G1043=$G$27,F$27,$G1043=$G$29,F$29,$G1043=$G$31,F$31,$G1043=$G$32,F$32,$G1043=$G$248,F$248,$G1043=$G$250,F$250)</f>
        <v>8040</v>
      </c>
      <c r="G1043" t="s">
        <v>81</v>
      </c>
      <c r="H1043" s="60" cm="1">
        <f t="array" ref="H1043">_xlfn.IFS($G1043=$G$5,H$5,$G1043=$G$6,H$6,$G1043=$G$7,H$7,$G1043=$G$8,H$8,$G1043=$G$9,H$9,$G1043=$G$10,H$10,$G1043=$G$11,H$11,$G1043=$G$12,H$12,$G1043=$G$13,H$13,$G1043=$G$15,H$15,$G1043=$G$16,H$16,$G1043=$G$17,H$17,$G1043=$G$18,H$18,$G1043=$G$19,H$19,$G1043=$G$20,H$20,$G1043=$G$21,H$21,$G1043=$G$22,H$22,$G1043=$G$25,H$25,$G1043=$G$26,H$26,$G1043=$G$27,H$27,$G1043=$G$29,H$29,$G1043=$G$31,H$31,$G1043=$G$32,H$150,$G1043=$G$248,H$248,$G1043=$G$250,H$250)</f>
        <v>41.343685000000001</v>
      </c>
      <c r="I1043" s="60" cm="1">
        <f t="array" ref="I1043">_xlfn.IFS($G1043=$G$5,I$5,$G1043=$G$6,I$6,$G1043=$G$7,I$7,$G1043=$G$8,I$8,$G1043=$G$9,I$9,$G1043=$G$10,I$10,$G1043=$G$11,I$11,$G1043=$G$12,I$12,$G1043=$G$13,I$13,$G1043=$G$15,I$15,$G1043=$G$16,I$16,$G1043=$G$17,I$17,$G1043=$G$18,I$18,$G1043=$G$19,I$19,$G1043=$G$20,I$20,$G1043=$G$21,I$21,$G1043=$G$22,I$22,$G1043=$G$25,I$25,$G1043=$G$26,I$26,$G1043=$G$27,I$27,$G1043=$G$29,I$29,$G1043=$G$31,I$31,$G1043=$G$32,I$150,$G1043=$G$248,I$248,$G1043=$G$250,I$250)</f>
        <v>2.1441490000000001</v>
      </c>
      <c r="J1043" s="61" cm="1">
        <f t="array" ref="J1043">_xlfn.IFS($G1043=$G$5,J$5,$G1043=$G$6,J$6,$G1043=$G$7,J$7,$G1043=$G$8,J$8,$G1043=$G$9,J$9,$G1043=$G$10,J$10,$G1043=$G$11,J$11,$G1043=$G$12,J$12,$G1043=$G$13,J$13,$G1043=$G$15,J$15,$G1043=$G$16,J$16,$G1043=$G$17,J$17,$G1043=$G$18,J$18,$G1043=$G$19,J$19,$G1043=$G$20,J$20,$G1043=$G$21,J$21,$G1043=$G$22,J$22,$G1043=$G$25,J$25,$G1043=$G$26,J$26,$G1043=$G$27,J$27,$G1043=$G$29,J$29,$G1043=$G$31,J$31,$G1043=$G$32,J$150,$G1043=$G$248,J$248,$G1043=$G$250,J$250)</f>
        <v>4</v>
      </c>
      <c r="K1043" t="str" cm="1">
        <f t="array" ref="K1043">_xlfn.IFS($G1043=$G$5,K$5,$G1043=$G$6,K$6,$G1043=$G$7,K$7,$G1043=$G$8,K$8,$G1043=$G$9,K$9,$G1043=$G$10,K$10,$G1043=$G$11,K$11,$G1043=$G$12,K$12,$G1043=$G$13,K$13,$G1043=$G$15,K$15,$G1043=$G$16,K$16,$G1043=$G$17,K$17,$G1043=$G$18,K$18,$G1043=$G$19,K$19,$G1043=$G$20,K$20,$G1043=$G$21,K$21,$G1043=$G$22,K$22,$G1043=$G$25,K$25,$G1043=$G$26,K$26,$G1043=$G$27,K$27,$G1043=$G$29,K$29,$G1043=$G$31,K$31,$G1043=$G$32,K$150,$G1043=$G$248,K$248,$G1043=$G$250,K$250)</f>
        <v>BG sentinel + BG lure7</v>
      </c>
      <c r="O1043" s="69" t="str">
        <f t="shared" si="82"/>
        <v>A_SP_BCN_10_211104</v>
      </c>
      <c r="P1043" s="64">
        <v>44504</v>
      </c>
      <c r="R1043" s="72"/>
      <c r="S1043" s="64">
        <v>44511</v>
      </c>
      <c r="U1043" s="72"/>
      <c r="V1043" s="54" t="s">
        <v>66</v>
      </c>
      <c r="X1043" s="69">
        <f t="shared" si="76"/>
        <v>7</v>
      </c>
      <c r="Z1043" s="45" t="s">
        <v>70</v>
      </c>
      <c r="AA1043" s="69">
        <f t="shared" si="85"/>
        <v>1</v>
      </c>
      <c r="AB1043" t="str">
        <f t="shared" si="73"/>
        <v>Adult</v>
      </c>
      <c r="AC1043" s="69">
        <v>1</v>
      </c>
      <c r="AD1043" s="69">
        <v>0</v>
      </c>
      <c r="AE1043" s="45" t="str">
        <f t="shared" si="74"/>
        <v>Morphological</v>
      </c>
      <c r="AF1043" s="56">
        <v>4</v>
      </c>
    </row>
    <row r="1044" spans="1:32" ht="18" customHeight="1" x14ac:dyDescent="0.25">
      <c r="A1044" s="45">
        <v>1040</v>
      </c>
      <c r="B1044" s="45" t="s">
        <v>60</v>
      </c>
      <c r="C1044" s="45" t="s">
        <v>61</v>
      </c>
      <c r="D1044" s="45" t="s">
        <v>62</v>
      </c>
      <c r="E1044" s="45" t="s">
        <v>62</v>
      </c>
      <c r="F1044" s="59" cm="1">
        <f t="array" ref="F1044">_xlfn.IFS($G1044=$G$5,F$5,$G1044=$G$6,F$6,$G1044=$G$7,F$7,$G1044=$G$8,F$8,$G1044=$G$9,F$9,$G1044=$G$10,F$10,$G1044=$G$11,F$11,$G1044=$G$12,F$12,$G1044=$G$13,F$13,$G1044=$G$15,F$15,$G1044=$G$16,F$16,$G1044=$G$17,F$17,$G1044=$G$18,F$18,$G1044=$G$19,F$19,$G1044=$G$20,F$20,$G1044=$G$21,F$21,$G1044=$G$22,F$22,$G1044=$G$25,F$25,$G1044=$G$26,F$26,$G1044=$G$27,F$27,$G1044=$G$29,F$29,$G1044=$G$31,F$31,$G1044=$G$32,F$32,$G1044=$G$248,F$248,$G1044=$G$250,F$250)</f>
        <v>8038</v>
      </c>
      <c r="G1044" t="s">
        <v>82</v>
      </c>
      <c r="H1044" s="60" cm="1">
        <f t="array" ref="H1044">_xlfn.IFS($G1044=$G$5,H$5,$G1044=$G$6,H$6,$G1044=$G$7,H$7,$G1044=$G$8,H$8,$G1044=$G$9,H$9,$G1044=$G$10,H$10,$G1044=$G$11,H$11,$G1044=$G$12,H$12,$G1044=$G$13,H$13,$G1044=$G$15,H$15,$G1044=$G$16,H$16,$G1044=$G$17,H$17,$G1044=$G$18,H$18,$G1044=$G$19,H$19,$G1044=$G$20,H$20,$G1044=$G$21,H$21,$G1044=$G$22,H$22,$G1044=$G$25,H$25,$G1044=$G$26,H$26,$G1044=$G$27,H$27,$G1044=$G$29,H$29,$G1044=$G$31,H$31,$G1044=$G$32,H$150,$G1044=$G$248,H$248,$G1044=$G$250,H$250)</f>
        <v>41.367429999999999</v>
      </c>
      <c r="I1044" s="60" cm="1">
        <f t="array" ref="I1044">_xlfn.IFS($G1044=$G$5,I$5,$G1044=$G$6,I$6,$G1044=$G$7,I$7,$G1044=$G$8,I$8,$G1044=$G$9,I$9,$G1044=$G$10,I$10,$G1044=$G$11,I$11,$G1044=$G$12,I$12,$G1044=$G$13,I$13,$G1044=$G$15,I$15,$G1044=$G$16,I$16,$G1044=$G$17,I$17,$G1044=$G$18,I$18,$G1044=$G$19,I$19,$G1044=$G$20,I$20,$G1044=$G$21,I$21,$G1044=$G$22,I$22,$G1044=$G$25,I$25,$G1044=$G$26,I$26,$G1044=$G$27,I$27,$G1044=$G$29,I$29,$G1044=$G$31,I$31,$G1044=$G$32,I$150,$G1044=$G$248,I$248,$G1044=$G$250,I$250)</f>
        <v>2.1569609999999999</v>
      </c>
      <c r="J1044" s="61" cm="1">
        <f t="array" ref="J1044">_xlfn.IFS($G1044=$G$5,J$5,$G1044=$G$6,J$6,$G1044=$G$7,J$7,$G1044=$G$8,J$8,$G1044=$G$9,J$9,$G1044=$G$10,J$10,$G1044=$G$11,J$11,$G1044=$G$12,J$12,$G1044=$G$13,J$13,$G1044=$G$15,J$15,$G1044=$G$16,J$16,$G1044=$G$17,J$17,$G1044=$G$18,J$18,$G1044=$G$19,J$19,$G1044=$G$20,J$20,$G1044=$G$21,J$21,$G1044=$G$22,J$22,$G1044=$G$25,J$25,$G1044=$G$26,J$26,$G1044=$G$27,J$27,$G1044=$G$29,J$29,$G1044=$G$31,J$31,$G1044=$G$32,J$150,$G1044=$G$248,J$248,$G1044=$G$250,J$250)</f>
        <v>91</v>
      </c>
      <c r="K1044" t="str" cm="1">
        <f t="array" ref="K1044">_xlfn.IFS($G1044=$G$5,K$5,$G1044=$G$6,K$6,$G1044=$G$7,K$7,$G1044=$G$8,K$8,$G1044=$G$9,K$9,$G1044=$G$10,K$10,$G1044=$G$11,K$11,$G1044=$G$12,K$12,$G1044=$G$13,K$13,$G1044=$G$15,K$15,$G1044=$G$16,K$16,$G1044=$G$17,K$17,$G1044=$G$18,K$18,$G1044=$G$19,K$19,$G1044=$G$20,K$20,$G1044=$G$21,K$21,$G1044=$G$22,K$22,$G1044=$G$25,K$25,$G1044=$G$26,K$26,$G1044=$G$27,K$27,$G1044=$G$29,K$29,$G1044=$G$31,K$31,$G1044=$G$32,K$150,$G1044=$G$248,K$248,$G1044=$G$250,K$250)</f>
        <v>BG sentinel + BG lure7</v>
      </c>
      <c r="O1044" s="69" t="str">
        <f t="shared" si="82"/>
        <v>A_SP_BCN_11_211104</v>
      </c>
      <c r="P1044" s="64">
        <v>44504</v>
      </c>
      <c r="R1044" s="72"/>
      <c r="S1044" s="64">
        <v>44511</v>
      </c>
      <c r="U1044" s="72"/>
      <c r="V1044" s="54" t="s">
        <v>66</v>
      </c>
      <c r="X1044" s="69">
        <f t="shared" si="76"/>
        <v>7</v>
      </c>
      <c r="AA1044" s="69">
        <f t="shared" si="85"/>
        <v>0</v>
      </c>
      <c r="AB1044" t="str">
        <f t="shared" si="73"/>
        <v/>
      </c>
      <c r="AE1044" s="45" t="str">
        <f t="shared" si="74"/>
        <v/>
      </c>
      <c r="AF1044" s="56">
        <v>4</v>
      </c>
    </row>
    <row r="1045" spans="1:32" ht="18" customHeight="1" x14ac:dyDescent="0.25">
      <c r="A1045" s="45">
        <v>1041</v>
      </c>
      <c r="B1045" s="45" t="s">
        <v>60</v>
      </c>
      <c r="C1045" s="45" t="s">
        <v>61</v>
      </c>
      <c r="D1045" s="45" t="s">
        <v>62</v>
      </c>
      <c r="E1045" s="45" t="s">
        <v>62</v>
      </c>
      <c r="F1045" s="59" cm="1">
        <f t="array" ref="F1045">_xlfn.IFS($G1045=$G$5,F$5,$G1045=$G$6,F$6,$G1045=$G$7,F$7,$G1045=$G$8,F$8,$G1045=$G$9,F$9,$G1045=$G$10,F$10,$G1045=$G$11,F$11,$G1045=$G$12,F$12,$G1045=$G$13,F$13,$G1045=$G$15,F$15,$G1045=$G$16,F$16,$G1045=$G$17,F$17,$G1045=$G$18,F$18,$G1045=$G$19,F$19,$G1045=$G$20,F$20,$G1045=$G$21,F$21,$G1045=$G$22,F$22,$G1045=$G$25,F$25,$G1045=$G$26,F$26,$G1045=$G$27,F$27,$G1045=$G$29,F$29,$G1045=$G$31,F$31,$G1045=$G$32,F$32,$G1045=$G$248,F$248,$G1045=$G$250,F$250)</f>
        <v>8038</v>
      </c>
      <c r="G1045" t="s">
        <v>84</v>
      </c>
      <c r="H1045" s="60" cm="1">
        <f t="array" ref="H1045">_xlfn.IFS($G1045=$G$5,H$5,$G1045=$G$6,H$6,$G1045=$G$7,H$7,$G1045=$G$8,H$8,$G1045=$G$9,H$9,$G1045=$G$10,H$10,$G1045=$G$11,H$11,$G1045=$G$12,H$12,$G1045=$G$13,H$13,$G1045=$G$15,H$15,$G1045=$G$16,H$16,$G1045=$G$17,H$17,$G1045=$G$18,H$18,$G1045=$G$19,H$19,$G1045=$G$20,H$20,$G1045=$G$21,H$21,$G1045=$G$22,H$22,$G1045=$G$25,H$25,$G1045=$G$26,H$26,$G1045=$G$27,H$27,$G1045=$G$29,H$29,$G1045=$G$31,H$31,$G1045=$G$32,H$150,$G1045=$G$248,H$248,$G1045=$G$250,H$250)</f>
        <v>41.363377999999997</v>
      </c>
      <c r="I1045" s="60" cm="1">
        <f t="array" ref="I1045">_xlfn.IFS($G1045=$G$5,I$5,$G1045=$G$6,I$6,$G1045=$G$7,I$7,$G1045=$G$8,I$8,$G1045=$G$9,I$9,$G1045=$G$10,I$10,$G1045=$G$11,I$11,$G1045=$G$12,I$12,$G1045=$G$13,I$13,$G1045=$G$15,I$15,$G1045=$G$16,I$16,$G1045=$G$17,I$17,$G1045=$G$18,I$18,$G1045=$G$19,I$19,$G1045=$G$20,I$20,$G1045=$G$21,I$21,$G1045=$G$22,I$22,$G1045=$G$25,I$25,$G1045=$G$26,I$26,$G1045=$G$27,I$27,$G1045=$G$29,I$29,$G1045=$G$31,I$31,$G1045=$G$32,I$150,$G1045=$G$248,I$248,$G1045=$G$250,I$250)</f>
        <v>2.164879</v>
      </c>
      <c r="J1045" s="61" cm="1">
        <f t="array" ref="J1045">_xlfn.IFS($G1045=$G$5,J$5,$G1045=$G$6,J$6,$G1045=$G$7,J$7,$G1045=$G$8,J$8,$G1045=$G$9,J$9,$G1045=$G$10,J$10,$G1045=$G$11,J$11,$G1045=$G$12,J$12,$G1045=$G$13,J$13,$G1045=$G$15,J$15,$G1045=$G$16,J$16,$G1045=$G$17,J$17,$G1045=$G$18,J$18,$G1045=$G$19,J$19,$G1045=$G$20,J$20,$G1045=$G$21,J$21,$G1045=$G$22,J$22,$G1045=$G$25,J$25,$G1045=$G$26,J$26,$G1045=$G$27,J$27,$G1045=$G$29,J$29,$G1045=$G$31,J$31,$G1045=$G$32,J$150,$G1045=$G$248,J$248,$G1045=$G$250,J$250)</f>
        <v>185</v>
      </c>
      <c r="K1045" t="str" cm="1">
        <f t="array" ref="K1045">_xlfn.IFS($G1045=$G$5,K$5,$G1045=$G$6,K$6,$G1045=$G$7,K$7,$G1045=$G$8,K$8,$G1045=$G$9,K$9,$G1045=$G$10,K$10,$G1045=$G$11,K$11,$G1045=$G$12,K$12,$G1045=$G$13,K$13,$G1045=$G$15,K$15,$G1045=$G$16,K$16,$G1045=$G$17,K$17,$G1045=$G$18,K$18,$G1045=$G$19,K$19,$G1045=$G$20,K$20,$G1045=$G$21,K$21,$G1045=$G$22,K$22,$G1045=$G$25,K$25,$G1045=$G$26,K$26,$G1045=$G$27,K$27,$G1045=$G$29,K$29,$G1045=$G$31,K$31,$G1045=$G$32,K$150,$G1045=$G$248,K$248,$G1045=$G$250,K$250)</f>
        <v>BG sentinel + BG lure7</v>
      </c>
      <c r="O1045" s="69" t="str">
        <f t="shared" si="82"/>
        <v>A_SP_BCN_12_211104</v>
      </c>
      <c r="P1045" s="64">
        <v>44504</v>
      </c>
      <c r="R1045" s="72"/>
      <c r="S1045" s="64">
        <v>44511</v>
      </c>
      <c r="U1045" s="72"/>
      <c r="V1045" s="54" t="s">
        <v>66</v>
      </c>
      <c r="X1045" s="69">
        <f t="shared" si="76"/>
        <v>7</v>
      </c>
      <c r="Z1045" s="45" t="s">
        <v>70</v>
      </c>
      <c r="AA1045" s="69">
        <f t="shared" si="85"/>
        <v>3</v>
      </c>
      <c r="AB1045" t="str">
        <f t="shared" si="73"/>
        <v>Adult</v>
      </c>
      <c r="AC1045" s="69">
        <v>3</v>
      </c>
      <c r="AD1045" s="69">
        <v>0</v>
      </c>
      <c r="AE1045" s="45" t="str">
        <f t="shared" si="74"/>
        <v>Morphological</v>
      </c>
      <c r="AF1045" s="56">
        <v>4</v>
      </c>
    </row>
    <row r="1046" spans="1:32" ht="18" customHeight="1" x14ac:dyDescent="0.25">
      <c r="A1046" s="45">
        <v>1042</v>
      </c>
      <c r="B1046" s="45" t="s">
        <v>60</v>
      </c>
      <c r="C1046" s="45" t="s">
        <v>61</v>
      </c>
      <c r="D1046" s="45" t="s">
        <v>62</v>
      </c>
      <c r="E1046" s="45" t="s">
        <v>62</v>
      </c>
      <c r="F1046" s="59" cm="1">
        <f t="array" ref="F1046">_xlfn.IFS($G1046=$G$5,F$5,$G1046=$G$6,F$6,$G1046=$G$7,F$7,$G1046=$G$8,F$8,$G1046=$G$9,F$9,$G1046=$G$10,F$10,$G1046=$G$11,F$11,$G1046=$G$12,F$12,$G1046=$G$13,F$13,$G1046=$G$15,F$15,$G1046=$G$16,F$16,$G1046=$G$17,F$17,$G1046=$G$18,F$18,$G1046=$G$19,F$19,$G1046=$G$20,F$20,$G1046=$G$21,F$21,$G1046=$G$22,F$22,$G1046=$G$25,F$25,$G1046=$G$26,F$26,$G1046=$G$27,F$27,$G1046=$G$29,F$29,$G1046=$G$31,F$31,$G1046=$G$32,F$32,$G1046=$G$248,F$248,$G1046=$G$250,F$250)</f>
        <v>8038</v>
      </c>
      <c r="G1046" t="s">
        <v>84</v>
      </c>
      <c r="H1046" s="60" cm="1">
        <f t="array" ref="H1046">_xlfn.IFS($G1046=$G$5,H$5,$G1046=$G$6,H$6,$G1046=$G$7,H$7,$G1046=$G$8,H$8,$G1046=$G$9,H$9,$G1046=$G$10,H$10,$G1046=$G$11,H$11,$G1046=$G$12,H$12,$G1046=$G$13,H$13,$G1046=$G$15,H$15,$G1046=$G$16,H$16,$G1046=$G$17,H$17,$G1046=$G$18,H$18,$G1046=$G$19,H$19,$G1046=$G$20,H$20,$G1046=$G$21,H$21,$G1046=$G$22,H$22,$G1046=$G$25,H$25,$G1046=$G$26,H$26,$G1046=$G$27,H$27,$G1046=$G$29,H$29,$G1046=$G$31,H$31,$G1046=$G$32,H$150,$G1046=$G$248,H$248,$G1046=$G$250,H$250)</f>
        <v>41.363377999999997</v>
      </c>
      <c r="I1046" s="60" cm="1">
        <f t="array" ref="I1046">_xlfn.IFS($G1046=$G$5,I$5,$G1046=$G$6,I$6,$G1046=$G$7,I$7,$G1046=$G$8,I$8,$G1046=$G$9,I$9,$G1046=$G$10,I$10,$G1046=$G$11,I$11,$G1046=$G$12,I$12,$G1046=$G$13,I$13,$G1046=$G$15,I$15,$G1046=$G$16,I$16,$G1046=$G$17,I$17,$G1046=$G$18,I$18,$G1046=$G$19,I$19,$G1046=$G$20,I$20,$G1046=$G$21,I$21,$G1046=$G$22,I$22,$G1046=$G$25,I$25,$G1046=$G$26,I$26,$G1046=$G$27,I$27,$G1046=$G$29,I$29,$G1046=$G$31,I$31,$G1046=$G$32,I$150,$G1046=$G$248,I$248,$G1046=$G$250,I$250)</f>
        <v>2.164879</v>
      </c>
      <c r="J1046" s="61" cm="1">
        <f t="array" ref="J1046">_xlfn.IFS($G1046=$G$5,J$5,$G1046=$G$6,J$6,$G1046=$G$7,J$7,$G1046=$G$8,J$8,$G1046=$G$9,J$9,$G1046=$G$10,J$10,$G1046=$G$11,J$11,$G1046=$G$12,J$12,$G1046=$G$13,J$13,$G1046=$G$15,J$15,$G1046=$G$16,J$16,$G1046=$G$17,J$17,$G1046=$G$18,J$18,$G1046=$G$19,J$19,$G1046=$G$20,J$20,$G1046=$G$21,J$21,$G1046=$G$22,J$22,$G1046=$G$25,J$25,$G1046=$G$26,J$26,$G1046=$G$27,J$27,$G1046=$G$29,J$29,$G1046=$G$31,J$31,$G1046=$G$32,J$150,$G1046=$G$248,J$248,$G1046=$G$250,J$250)</f>
        <v>185</v>
      </c>
      <c r="K1046" t="str" cm="1">
        <f t="array" ref="K1046">_xlfn.IFS($G1046=$G$5,K$5,$G1046=$G$6,K$6,$G1046=$G$7,K$7,$G1046=$G$8,K$8,$G1046=$G$9,K$9,$G1046=$G$10,K$10,$G1046=$G$11,K$11,$G1046=$G$12,K$12,$G1046=$G$13,K$13,$G1046=$G$15,K$15,$G1046=$G$16,K$16,$G1046=$G$17,K$17,$G1046=$G$18,K$18,$G1046=$G$19,K$19,$G1046=$G$20,K$20,$G1046=$G$21,K$21,$G1046=$G$22,K$22,$G1046=$G$25,K$25,$G1046=$G$26,K$26,$G1046=$G$27,K$27,$G1046=$G$29,K$29,$G1046=$G$31,K$31,$G1046=$G$32,K$150,$G1046=$G$248,K$248,$G1046=$G$250,K$250)</f>
        <v>BG sentinel + BG lure7</v>
      </c>
      <c r="O1046" s="69" t="str">
        <f t="shared" si="82"/>
        <v>A_SP_BCN_12_211104</v>
      </c>
      <c r="P1046" s="64">
        <v>44504</v>
      </c>
      <c r="R1046" s="72"/>
      <c r="S1046" s="64">
        <v>44511</v>
      </c>
      <c r="U1046" s="72"/>
      <c r="V1046" s="54" t="s">
        <v>66</v>
      </c>
      <c r="X1046" s="69">
        <f t="shared" si="76"/>
        <v>7</v>
      </c>
      <c r="Z1046" s="45" t="s">
        <v>80</v>
      </c>
      <c r="AA1046" s="69">
        <f t="shared" si="85"/>
        <v>3</v>
      </c>
      <c r="AB1046" t="str">
        <f t="shared" si="73"/>
        <v>Adult</v>
      </c>
      <c r="AC1046" s="69">
        <v>1</v>
      </c>
      <c r="AD1046" s="69">
        <v>2</v>
      </c>
      <c r="AE1046" s="45" t="str">
        <f t="shared" si="74"/>
        <v>Morphological</v>
      </c>
      <c r="AF1046" s="56">
        <v>4</v>
      </c>
    </row>
    <row r="1047" spans="1:32" ht="18" customHeight="1" x14ac:dyDescent="0.25">
      <c r="A1047" s="45">
        <v>1043</v>
      </c>
      <c r="B1047" s="45" t="s">
        <v>60</v>
      </c>
      <c r="C1047" s="45" t="s">
        <v>61</v>
      </c>
      <c r="D1047" s="45" t="s">
        <v>62</v>
      </c>
      <c r="E1047" s="45" t="s">
        <v>62</v>
      </c>
      <c r="F1047" s="59" cm="1">
        <f t="array" ref="F1047">_xlfn.IFS($G1047=$G$5,F$5,$G1047=$G$6,F$6,$G1047=$G$7,F$7,$G1047=$G$8,F$8,$G1047=$G$9,F$9,$G1047=$G$10,F$10,$G1047=$G$11,F$11,$G1047=$G$12,F$12,$G1047=$G$13,F$13,$G1047=$G$15,F$15,$G1047=$G$16,F$16,$G1047=$G$17,F$17,$G1047=$G$18,F$18,$G1047=$G$19,F$19,$G1047=$G$20,F$20,$G1047=$G$21,F$21,$G1047=$G$22,F$22,$G1047=$G$25,F$25,$G1047=$G$26,F$26,$G1047=$G$27,F$27,$G1047=$G$29,F$29,$G1047=$G$31,F$31,$G1047=$G$32,F$32,$G1047=$G$248,F$248,$G1047=$G$250,F$250)</f>
        <v>8035</v>
      </c>
      <c r="G1047" t="s">
        <v>85</v>
      </c>
      <c r="H1047" s="60" cm="1">
        <f t="array" ref="H1047">_xlfn.IFS($G1047=$G$5,H$5,$G1047=$G$6,H$6,$G1047=$G$7,H$7,$G1047=$G$8,H$8,$G1047=$G$9,H$9,$G1047=$G$10,H$10,$G1047=$G$11,H$11,$G1047=$G$12,H$12,$G1047=$G$13,H$13,$G1047=$G$15,H$15,$G1047=$G$16,H$16,$G1047=$G$17,H$17,$G1047=$G$18,H$18,$G1047=$G$19,H$19,$G1047=$G$20,H$20,$G1047=$G$21,H$21,$G1047=$G$22,H$22,$G1047=$G$25,H$25,$G1047=$G$26,H$26,$G1047=$G$27,H$27,$G1047=$G$29,H$29,$G1047=$G$31,H$31,$G1047=$G$32,H$150,$G1047=$G$248,H$248,$G1047=$G$250,H$250)</f>
        <v>41.434472</v>
      </c>
      <c r="I1047" s="60" cm="1">
        <f t="array" ref="I1047">_xlfn.IFS($G1047=$G$5,I$5,$G1047=$G$6,I$6,$G1047=$G$7,I$7,$G1047=$G$8,I$8,$G1047=$G$9,I$9,$G1047=$G$10,I$10,$G1047=$G$11,I$11,$G1047=$G$12,I$12,$G1047=$G$13,I$13,$G1047=$G$15,I$15,$G1047=$G$16,I$16,$G1047=$G$17,I$17,$G1047=$G$18,I$18,$G1047=$G$19,I$19,$G1047=$G$20,I$20,$G1047=$G$21,I$21,$G1047=$G$22,I$22,$G1047=$G$25,I$25,$G1047=$G$26,I$26,$G1047=$G$27,I$27,$G1047=$G$29,I$29,$G1047=$G$31,I$31,$G1047=$G$32,I$150,$G1047=$G$248,I$248,$G1047=$G$250,I$250)</f>
        <v>2.1315789999999999</v>
      </c>
      <c r="J1047" s="61" cm="1">
        <f t="array" ref="J1047">_xlfn.IFS($G1047=$G$5,J$5,$G1047=$G$6,J$6,$G1047=$G$7,J$7,$G1047=$G$8,J$8,$G1047=$G$9,J$9,$G1047=$G$10,J$10,$G1047=$G$11,J$11,$G1047=$G$12,J$12,$G1047=$G$13,J$13,$G1047=$G$15,J$15,$G1047=$G$16,J$16,$G1047=$G$17,J$17,$G1047=$G$18,J$18,$G1047=$G$19,J$19,$G1047=$G$20,J$20,$G1047=$G$21,J$21,$G1047=$G$22,J$22,$G1047=$G$25,J$25,$G1047=$G$26,J$26,$G1047=$G$27,J$27,$G1047=$G$29,J$29,$G1047=$G$31,J$31,$G1047=$G$32,J$150,$G1047=$G$248,J$248,$G1047=$G$250,J$250)</f>
        <v>365</v>
      </c>
      <c r="K1047" t="str" cm="1">
        <f t="array" ref="K1047">_xlfn.IFS($G1047=$G$5,K$5,$G1047=$G$6,K$6,$G1047=$G$7,K$7,$G1047=$G$8,K$8,$G1047=$G$9,K$9,$G1047=$G$10,K$10,$G1047=$G$11,K$11,$G1047=$G$12,K$12,$G1047=$G$13,K$13,$G1047=$G$15,K$15,$G1047=$G$16,K$16,$G1047=$G$17,K$17,$G1047=$G$18,K$18,$G1047=$G$19,K$19,$G1047=$G$20,K$20,$G1047=$G$21,K$21,$G1047=$G$22,K$22,$G1047=$G$25,K$25,$G1047=$G$26,K$26,$G1047=$G$27,K$27,$G1047=$G$29,K$29,$G1047=$G$31,K$31,$G1047=$G$32,K$150,$G1047=$G$248,K$248,$G1047=$G$250,K$250)</f>
        <v>BG sentinel + BG lure7</v>
      </c>
      <c r="O1047" s="69" t="str">
        <f t="shared" si="82"/>
        <v>A_SP_BCN_13_211103</v>
      </c>
      <c r="P1047" s="64">
        <v>44503</v>
      </c>
      <c r="R1047" s="72"/>
      <c r="S1047" s="64">
        <v>44510</v>
      </c>
      <c r="U1047" s="72"/>
      <c r="V1047" s="54" t="s">
        <v>66</v>
      </c>
      <c r="X1047" s="69">
        <f t="shared" si="76"/>
        <v>7</v>
      </c>
      <c r="AA1047" s="69">
        <f t="shared" si="85"/>
        <v>0</v>
      </c>
      <c r="AB1047" t="str">
        <f t="shared" si="73"/>
        <v/>
      </c>
      <c r="AE1047" s="45" t="str">
        <f t="shared" si="74"/>
        <v/>
      </c>
      <c r="AF1047" s="56">
        <v>4</v>
      </c>
    </row>
    <row r="1048" spans="1:32" ht="18" customHeight="1" x14ac:dyDescent="0.25">
      <c r="A1048" s="45">
        <v>1044</v>
      </c>
      <c r="B1048" s="45" t="s">
        <v>60</v>
      </c>
      <c r="C1048" s="45" t="s">
        <v>61</v>
      </c>
      <c r="D1048" s="45" t="s">
        <v>62</v>
      </c>
      <c r="E1048" s="45" t="s">
        <v>62</v>
      </c>
      <c r="F1048" s="59" cm="1">
        <f t="array" ref="F1048">_xlfn.IFS($G1048=$G$5,F$5,$G1048=$G$6,F$6,$G1048=$G$7,F$7,$G1048=$G$8,F$8,$G1048=$G$9,F$9,$G1048=$G$10,F$10,$G1048=$G$11,F$11,$G1048=$G$12,F$12,$G1048=$G$13,F$13,$G1048=$G$15,F$15,$G1048=$G$16,F$16,$G1048=$G$17,F$17,$G1048=$G$18,F$18,$G1048=$G$19,F$19,$G1048=$G$20,F$20,$G1048=$G$21,F$21,$G1048=$G$22,F$22,$G1048=$G$25,F$25,$G1048=$G$26,F$26,$G1048=$G$27,F$27,$G1048=$G$29,F$29,$G1048=$G$31,F$31,$G1048=$G$32,F$32,$G1048=$G$248,F$248,$G1048=$G$250,F$250)</f>
        <v>8017</v>
      </c>
      <c r="G1048" t="s">
        <v>86</v>
      </c>
      <c r="H1048" s="60" cm="1">
        <f t="array" ref="H1048">_xlfn.IFS($G1048=$G$5,H$5,$G1048=$G$6,H$6,$G1048=$G$7,H$7,$G1048=$G$8,H$8,$G1048=$G$9,H$9,$G1048=$G$10,H$10,$G1048=$G$11,H$11,$G1048=$G$12,H$12,$G1048=$G$13,H$13,$G1048=$G$15,H$15,$G1048=$G$16,H$16,$G1048=$G$17,H$17,$G1048=$G$18,H$18,$G1048=$G$19,H$19,$G1048=$G$20,H$20,$G1048=$G$21,H$21,$G1048=$G$22,H$22,$G1048=$G$25,H$25,$G1048=$G$26,H$26,$G1048=$G$27,H$27,$G1048=$G$29,H$29,$G1048=$G$31,H$31,$G1048=$G$32,H$150,$G1048=$G$248,H$248,$G1048=$G$250,H$250)</f>
        <v>41.428533999999999</v>
      </c>
      <c r="I1048" s="60" cm="1">
        <f t="array" ref="I1048">_xlfn.IFS($G1048=$G$5,I$5,$G1048=$G$6,I$6,$G1048=$G$7,I$7,$G1048=$G$8,I$8,$G1048=$G$9,I$9,$G1048=$G$10,I$10,$G1048=$G$11,I$11,$G1048=$G$12,I$12,$G1048=$G$13,I$13,$G1048=$G$15,I$15,$G1048=$G$16,I$16,$G1048=$G$17,I$17,$G1048=$G$18,I$18,$G1048=$G$19,I$19,$G1048=$G$20,I$20,$G1048=$G$21,I$21,$G1048=$G$22,I$22,$G1048=$G$25,I$25,$G1048=$G$26,I$26,$G1048=$G$27,I$27,$G1048=$G$29,I$29,$G1048=$G$31,I$31,$G1048=$G$32,I$150,$G1048=$G$248,I$248,$G1048=$G$250,I$250)</f>
        <v>2.090954</v>
      </c>
      <c r="J1048" s="61" cm="1">
        <f t="array" ref="J1048">_xlfn.IFS($G1048=$G$5,J$5,$G1048=$G$6,J$6,$G1048=$G$7,J$7,$G1048=$G$8,J$8,$G1048=$G$9,J$9,$G1048=$G$10,J$10,$G1048=$G$11,J$11,$G1048=$G$12,J$12,$G1048=$G$13,J$13,$G1048=$G$15,J$15,$G1048=$G$16,J$16,$G1048=$G$17,J$17,$G1048=$G$18,J$18,$G1048=$G$19,J$19,$G1048=$G$20,J$20,$G1048=$G$21,J$21,$G1048=$G$22,J$22,$G1048=$G$25,J$25,$G1048=$G$26,J$26,$G1048=$G$27,J$27,$G1048=$G$29,J$29,$G1048=$G$31,J$31,$G1048=$G$32,J$150,$G1048=$G$248,J$248,$G1048=$G$250,J$250)</f>
        <v>215</v>
      </c>
      <c r="K1048" t="str" cm="1">
        <f t="array" ref="K1048">_xlfn.IFS($G1048=$G$5,K$5,$G1048=$G$6,K$6,$G1048=$G$7,K$7,$G1048=$G$8,K$8,$G1048=$G$9,K$9,$G1048=$G$10,K$10,$G1048=$G$11,K$11,$G1048=$G$12,K$12,$G1048=$G$13,K$13,$G1048=$G$15,K$15,$G1048=$G$16,K$16,$G1048=$G$17,K$17,$G1048=$G$18,K$18,$G1048=$G$19,K$19,$G1048=$G$20,K$20,$G1048=$G$21,K$21,$G1048=$G$22,K$22,$G1048=$G$25,K$25,$G1048=$G$26,K$26,$G1048=$G$27,K$27,$G1048=$G$29,K$29,$G1048=$G$31,K$31,$G1048=$G$32,K$150,$G1048=$G$248,K$248,$G1048=$G$250,K$250)</f>
        <v>BG sentinel + BG lure7</v>
      </c>
      <c r="O1048" s="69" t="str">
        <f t="shared" ref="O1048:O1111" si="86">G1048&amp;"_"&amp;TEXT(P1048, "AAMMDD")</f>
        <v>A_SP_BCN_14_211103</v>
      </c>
      <c r="P1048" s="64">
        <v>44503</v>
      </c>
      <c r="R1048" s="72"/>
      <c r="S1048" s="64">
        <v>44510</v>
      </c>
      <c r="U1048" s="72"/>
      <c r="V1048" s="54" t="s">
        <v>66</v>
      </c>
      <c r="X1048" s="69">
        <f t="shared" si="76"/>
        <v>7</v>
      </c>
      <c r="AA1048" s="69">
        <f t="shared" si="85"/>
        <v>0</v>
      </c>
      <c r="AB1048" t="str">
        <f t="shared" si="73"/>
        <v/>
      </c>
      <c r="AE1048" s="45" t="str">
        <f t="shared" si="74"/>
        <v/>
      </c>
      <c r="AF1048" s="56">
        <v>4</v>
      </c>
    </row>
    <row r="1049" spans="1:32" ht="18" customHeight="1" x14ac:dyDescent="0.25">
      <c r="A1049" s="45">
        <v>1045</v>
      </c>
      <c r="B1049" s="45" t="s">
        <v>60</v>
      </c>
      <c r="C1049" s="45" t="s">
        <v>61</v>
      </c>
      <c r="D1049" s="45" t="s">
        <v>62</v>
      </c>
      <c r="E1049" s="45" t="s">
        <v>62</v>
      </c>
      <c r="F1049" s="59" cm="1">
        <f t="array" ref="F1049">_xlfn.IFS($G1049=$G$5,F$5,$G1049=$G$6,F$6,$G1049=$G$7,F$7,$G1049=$G$8,F$8,$G1049=$G$9,F$9,$G1049=$G$10,F$10,$G1049=$G$11,F$11,$G1049=$G$12,F$12,$G1049=$G$13,F$13,$G1049=$G$15,F$15,$G1049=$G$16,F$16,$G1049=$G$17,F$17,$G1049=$G$18,F$18,$G1049=$G$19,F$19,$G1049=$G$20,F$20,$G1049=$G$21,F$21,$G1049=$G$22,F$22,$G1049=$G$25,F$25,$G1049=$G$26,F$26,$G1049=$G$27,F$27,$G1049=$G$29,F$29,$G1049=$G$31,F$31,$G1049=$G$32,F$32,$G1049=$G$248,F$248,$G1049=$G$250,F$250)</f>
        <v>8017</v>
      </c>
      <c r="G1049" t="s">
        <v>87</v>
      </c>
      <c r="H1049" s="60" cm="1">
        <f t="array" ref="H1049">_xlfn.IFS($G1049=$G$5,H$5,$G1049=$G$6,H$6,$G1049=$G$7,H$7,$G1049=$G$8,H$8,$G1049=$G$9,H$9,$G1049=$G$10,H$10,$G1049=$G$11,H$11,$G1049=$G$12,H$12,$G1049=$G$13,H$13,$G1049=$G$15,H$15,$G1049=$G$16,H$16,$G1049=$G$17,H$17,$G1049=$G$18,H$18,$G1049=$G$19,H$19,$G1049=$G$20,H$20,$G1049=$G$21,H$21,$G1049=$G$22,H$22,$G1049=$G$25,H$25,$G1049=$G$26,H$26,$G1049=$G$27,H$27,$G1049=$G$29,H$29,$G1049=$G$31,H$31,$G1049=$G$32,H$150,$G1049=$G$248,H$248,$G1049=$G$250,H$250)</f>
        <v>41.419471000000001</v>
      </c>
      <c r="I1049" s="60" cm="1">
        <f t="array" ref="I1049">_xlfn.IFS($G1049=$G$5,I$5,$G1049=$G$6,I$6,$G1049=$G$7,I$7,$G1049=$G$8,I$8,$G1049=$G$9,I$9,$G1049=$G$10,I$10,$G1049=$G$11,I$11,$G1049=$G$12,I$12,$G1049=$G$13,I$13,$G1049=$G$15,I$15,$G1049=$G$16,I$16,$G1049=$G$17,I$17,$G1049=$G$18,I$18,$G1049=$G$19,I$19,$G1049=$G$20,I$20,$G1049=$G$21,I$21,$G1049=$G$22,I$22,$G1049=$G$25,I$25,$G1049=$G$26,I$26,$G1049=$G$27,I$27,$G1049=$G$29,I$29,$G1049=$G$31,I$31,$G1049=$G$32,I$150,$G1049=$G$248,I$248,$G1049=$G$250,I$250)</f>
        <v>2.1010149999999999</v>
      </c>
      <c r="J1049" s="61" cm="1">
        <f t="array" ref="J1049">_xlfn.IFS($G1049=$G$5,J$5,$G1049=$G$6,J$6,$G1049=$G$7,J$7,$G1049=$G$8,J$8,$G1049=$G$9,J$9,$G1049=$G$10,J$10,$G1049=$G$11,J$11,$G1049=$G$12,J$12,$G1049=$G$13,J$13,$G1049=$G$15,J$15,$G1049=$G$16,J$16,$G1049=$G$17,J$17,$G1049=$G$18,J$18,$G1049=$G$19,J$19,$G1049=$G$20,J$20,$G1049=$G$21,J$21,$G1049=$G$22,J$22,$G1049=$G$25,J$25,$G1049=$G$26,J$26,$G1049=$G$27,J$27,$G1049=$G$29,J$29,$G1049=$G$31,J$31,$G1049=$G$32,J$150,$G1049=$G$248,J$248,$G1049=$G$250,J$250)</f>
        <v>284</v>
      </c>
      <c r="K1049" t="str" cm="1">
        <f t="array" ref="K1049">_xlfn.IFS($G1049=$G$5,K$5,$G1049=$G$6,K$6,$G1049=$G$7,K$7,$G1049=$G$8,K$8,$G1049=$G$9,K$9,$G1049=$G$10,K$10,$G1049=$G$11,K$11,$G1049=$G$12,K$12,$G1049=$G$13,K$13,$G1049=$G$15,K$15,$G1049=$G$16,K$16,$G1049=$G$17,K$17,$G1049=$G$18,K$18,$G1049=$G$19,K$19,$G1049=$G$20,K$20,$G1049=$G$21,K$21,$G1049=$G$22,K$22,$G1049=$G$25,K$25,$G1049=$G$26,K$26,$G1049=$G$27,K$27,$G1049=$G$29,K$29,$G1049=$G$31,K$31,$G1049=$G$32,K$150,$G1049=$G$248,K$248,$G1049=$G$250,K$250)</f>
        <v>BG sentinel + BG lure7</v>
      </c>
      <c r="O1049" s="69" t="str">
        <f t="shared" si="86"/>
        <v>A_SP_BCN_15_211103</v>
      </c>
      <c r="P1049" s="64">
        <v>44503</v>
      </c>
      <c r="R1049" s="72"/>
      <c r="S1049" s="64">
        <v>44510</v>
      </c>
      <c r="U1049" s="72"/>
      <c r="V1049" s="54" t="s">
        <v>66</v>
      </c>
      <c r="W1049" t="s">
        <v>130</v>
      </c>
      <c r="X1049" s="69">
        <f t="shared" si="76"/>
        <v>7</v>
      </c>
      <c r="AA1049" s="69">
        <f t="shared" si="85"/>
        <v>0</v>
      </c>
      <c r="AB1049" t="str">
        <f t="shared" si="73"/>
        <v/>
      </c>
      <c r="AE1049" s="45" t="str">
        <f t="shared" si="74"/>
        <v/>
      </c>
      <c r="AF1049" s="56">
        <v>3</v>
      </c>
    </row>
    <row r="1050" spans="1:32" ht="18" customHeight="1" x14ac:dyDescent="0.25">
      <c r="A1050" s="45">
        <v>1046</v>
      </c>
      <c r="B1050" s="45" t="s">
        <v>60</v>
      </c>
      <c r="C1050" s="45" t="s">
        <v>61</v>
      </c>
      <c r="D1050" s="45" t="s">
        <v>62</v>
      </c>
      <c r="E1050" s="45" t="s">
        <v>62</v>
      </c>
      <c r="F1050" s="59" cm="1">
        <f t="array" ref="F1050">_xlfn.IFS($G1050=$G$5,F$5,$G1050=$G$6,F$6,$G1050=$G$7,F$7,$G1050=$G$8,F$8,$G1050=$G$9,F$9,$G1050=$G$10,F$10,$G1050=$G$11,F$11,$G1050=$G$12,F$12,$G1050=$G$13,F$13,$G1050=$G$15,F$15,$G1050=$G$16,F$16,$G1050=$G$17,F$17,$G1050=$G$18,F$18,$G1050=$G$19,F$19,$G1050=$G$20,F$20,$G1050=$G$21,F$21,$G1050=$G$22,F$22,$G1050=$G$25,F$25,$G1050=$G$26,F$26,$G1050=$G$27,F$27,$G1050=$G$29,F$29,$G1050=$G$31,F$31,$G1050=$G$32,F$32,$G1050=$G$248,F$248,$G1050=$G$250,F$250)</f>
        <v>8017</v>
      </c>
      <c r="G1050" t="s">
        <v>88</v>
      </c>
      <c r="H1050" s="60" cm="1">
        <f t="array" ref="H1050">_xlfn.IFS($G1050=$G$5,H$5,$G1050=$G$6,H$6,$G1050=$G$7,H$7,$G1050=$G$8,H$8,$G1050=$G$9,H$9,$G1050=$G$10,H$10,$G1050=$G$11,H$11,$G1050=$G$12,H$12,$G1050=$G$13,H$13,$G1050=$G$15,H$15,$G1050=$G$16,H$16,$G1050=$G$17,H$17,$G1050=$G$18,H$18,$G1050=$G$19,H$19,$G1050=$G$20,H$20,$G1050=$G$21,H$21,$G1050=$G$22,H$22,$G1050=$G$25,H$25,$G1050=$G$26,H$26,$G1050=$G$27,H$27,$G1050=$G$29,H$29,$G1050=$G$31,H$31,$G1050=$G$32,H$150,$G1050=$G$248,H$248,$G1050=$G$250,H$250)</f>
        <v>41.398387</v>
      </c>
      <c r="I1050" s="60" cm="1">
        <f t="array" ref="I1050">_xlfn.IFS($G1050=$G$5,I$5,$G1050=$G$6,I$6,$G1050=$G$7,I$7,$G1050=$G$8,I$8,$G1050=$G$9,I$9,$G1050=$G$10,I$10,$G1050=$G$11,I$11,$G1050=$G$12,I$12,$G1050=$G$13,I$13,$G1050=$G$15,I$15,$G1050=$G$16,I$16,$G1050=$G$17,I$17,$G1050=$G$18,I$18,$G1050=$G$19,I$19,$G1050=$G$20,I$20,$G1050=$G$21,I$21,$G1050=$G$22,I$22,$G1050=$G$25,I$25,$G1050=$G$26,I$26,$G1050=$G$27,I$27,$G1050=$G$29,I$29,$G1050=$G$31,I$31,$G1050=$G$32,I$150,$G1050=$G$248,I$248,$G1050=$G$250,I$250)</f>
        <v>2.1244429999999999</v>
      </c>
      <c r="J1050" s="61" cm="1">
        <f t="array" ref="J1050">_xlfn.IFS($G1050=$G$5,J$5,$G1050=$G$6,J$6,$G1050=$G$7,J$7,$G1050=$G$8,J$8,$G1050=$G$9,J$9,$G1050=$G$10,J$10,$G1050=$G$11,J$11,$G1050=$G$12,J$12,$G1050=$G$13,J$13,$G1050=$G$15,J$15,$G1050=$G$16,J$16,$G1050=$G$17,J$17,$G1050=$G$18,J$18,$G1050=$G$19,J$19,$G1050=$G$20,J$20,$G1050=$G$21,J$21,$G1050=$G$22,J$22,$G1050=$G$25,J$25,$G1050=$G$26,J$26,$G1050=$G$27,J$27,$G1050=$G$29,J$29,$G1050=$G$31,J$31,$G1050=$G$32,J$150,$G1050=$G$248,J$248,$G1050=$G$250,J$250)</f>
        <v>106</v>
      </c>
      <c r="K1050" t="str" cm="1">
        <f t="array" ref="K1050">_xlfn.IFS($G1050=$G$5,K$5,$G1050=$G$6,K$6,$G1050=$G$7,K$7,$G1050=$G$8,K$8,$G1050=$G$9,K$9,$G1050=$G$10,K$10,$G1050=$G$11,K$11,$G1050=$G$12,K$12,$G1050=$G$13,K$13,$G1050=$G$15,K$15,$G1050=$G$16,K$16,$G1050=$G$17,K$17,$G1050=$G$18,K$18,$G1050=$G$19,K$19,$G1050=$G$20,K$20,$G1050=$G$21,K$21,$G1050=$G$22,K$22,$G1050=$G$25,K$25,$G1050=$G$26,K$26,$G1050=$G$27,K$27,$G1050=$G$29,K$29,$G1050=$G$31,K$31,$G1050=$G$32,K$150,$G1050=$G$248,K$248,$G1050=$G$250,K$250)</f>
        <v>BG sentinel + BG lure7</v>
      </c>
      <c r="O1050" s="69" t="str">
        <f t="shared" si="86"/>
        <v>A_SP_BCN_16_211103</v>
      </c>
      <c r="P1050" s="64">
        <v>44503</v>
      </c>
      <c r="R1050" s="72"/>
      <c r="S1050" s="64">
        <v>44509</v>
      </c>
      <c r="U1050" s="72"/>
      <c r="V1050" t="s">
        <v>174</v>
      </c>
      <c r="X1050" s="69">
        <f t="shared" si="76"/>
        <v>6</v>
      </c>
      <c r="Z1050" s="69" t="s">
        <v>69</v>
      </c>
      <c r="AA1050" s="69">
        <f t="shared" si="85"/>
        <v>2</v>
      </c>
      <c r="AB1050" t="str">
        <f t="shared" si="73"/>
        <v>Adult</v>
      </c>
      <c r="AC1050" s="69">
        <v>2</v>
      </c>
      <c r="AD1050" s="69">
        <v>0</v>
      </c>
      <c r="AE1050" s="45" t="str">
        <f t="shared" si="74"/>
        <v>Morphological</v>
      </c>
      <c r="AF1050" s="56">
        <v>2</v>
      </c>
    </row>
    <row r="1051" spans="1:32" ht="18" customHeight="1" x14ac:dyDescent="0.25">
      <c r="A1051" s="45">
        <v>1047</v>
      </c>
      <c r="B1051" s="45" t="s">
        <v>60</v>
      </c>
      <c r="C1051" s="45" t="s">
        <v>61</v>
      </c>
      <c r="D1051" s="45" t="s">
        <v>62</v>
      </c>
      <c r="E1051" s="45" t="s">
        <v>62</v>
      </c>
      <c r="F1051" s="59" cm="1">
        <f t="array" ref="F1051">_xlfn.IFS($G1051=$G$5,F$5,$G1051=$G$6,F$6,$G1051=$G$7,F$7,$G1051=$G$8,F$8,$G1051=$G$9,F$9,$G1051=$G$10,F$10,$G1051=$G$11,F$11,$G1051=$G$12,F$12,$G1051=$G$13,F$13,$G1051=$G$15,F$15,$G1051=$G$16,F$16,$G1051=$G$17,F$17,$G1051=$G$18,F$18,$G1051=$G$19,F$19,$G1051=$G$20,F$20,$G1051=$G$21,F$21,$G1051=$G$22,F$22,$G1051=$G$25,F$25,$G1051=$G$26,F$26,$G1051=$G$27,F$27,$G1051=$G$29,F$29,$G1051=$G$31,F$31,$G1051=$G$32,F$32,$G1051=$G$248,F$248,$G1051=$G$250,F$250)</f>
        <v>8017</v>
      </c>
      <c r="G1051" t="s">
        <v>88</v>
      </c>
      <c r="H1051" s="60" cm="1">
        <f t="array" ref="H1051">_xlfn.IFS($G1051=$G$5,H$5,$G1051=$G$6,H$6,$G1051=$G$7,H$7,$G1051=$G$8,H$8,$G1051=$G$9,H$9,$G1051=$G$10,H$10,$G1051=$G$11,H$11,$G1051=$G$12,H$12,$G1051=$G$13,H$13,$G1051=$G$15,H$15,$G1051=$G$16,H$16,$G1051=$G$17,H$17,$G1051=$G$18,H$18,$G1051=$G$19,H$19,$G1051=$G$20,H$20,$G1051=$G$21,H$21,$G1051=$G$22,H$22,$G1051=$G$25,H$25,$G1051=$G$26,H$26,$G1051=$G$27,H$27,$G1051=$G$29,H$29,$G1051=$G$31,H$31,$G1051=$G$32,H$150,$G1051=$G$248,H$248,$G1051=$G$250,H$250)</f>
        <v>41.398387</v>
      </c>
      <c r="I1051" s="60" cm="1">
        <f t="array" ref="I1051">_xlfn.IFS($G1051=$G$5,I$5,$G1051=$G$6,I$6,$G1051=$G$7,I$7,$G1051=$G$8,I$8,$G1051=$G$9,I$9,$G1051=$G$10,I$10,$G1051=$G$11,I$11,$G1051=$G$12,I$12,$G1051=$G$13,I$13,$G1051=$G$15,I$15,$G1051=$G$16,I$16,$G1051=$G$17,I$17,$G1051=$G$18,I$18,$G1051=$G$19,I$19,$G1051=$G$20,I$20,$G1051=$G$21,I$21,$G1051=$G$22,I$22,$G1051=$G$25,I$25,$G1051=$G$26,I$26,$G1051=$G$27,I$27,$G1051=$G$29,I$29,$G1051=$G$31,I$31,$G1051=$G$32,I$150,$G1051=$G$248,I$248,$G1051=$G$250,I$250)</f>
        <v>2.1244429999999999</v>
      </c>
      <c r="J1051" s="61" cm="1">
        <f t="array" ref="J1051">_xlfn.IFS($G1051=$G$5,J$5,$G1051=$G$6,J$6,$G1051=$G$7,J$7,$G1051=$G$8,J$8,$G1051=$G$9,J$9,$G1051=$G$10,J$10,$G1051=$G$11,J$11,$G1051=$G$12,J$12,$G1051=$G$13,J$13,$G1051=$G$15,J$15,$G1051=$G$16,J$16,$G1051=$G$17,J$17,$G1051=$G$18,J$18,$G1051=$G$19,J$19,$G1051=$G$20,J$20,$G1051=$G$21,J$21,$G1051=$G$22,J$22,$G1051=$G$25,J$25,$G1051=$G$26,J$26,$G1051=$G$27,J$27,$G1051=$G$29,J$29,$G1051=$G$31,J$31,$G1051=$G$32,J$150,$G1051=$G$248,J$248,$G1051=$G$250,J$250)</f>
        <v>106</v>
      </c>
      <c r="K1051" t="str" cm="1">
        <f t="array" ref="K1051">_xlfn.IFS($G1051=$G$5,K$5,$G1051=$G$6,K$6,$G1051=$G$7,K$7,$G1051=$G$8,K$8,$G1051=$G$9,K$9,$G1051=$G$10,K$10,$G1051=$G$11,K$11,$G1051=$G$12,K$12,$G1051=$G$13,K$13,$G1051=$G$15,K$15,$G1051=$G$16,K$16,$G1051=$G$17,K$17,$G1051=$G$18,K$18,$G1051=$G$19,K$19,$G1051=$G$20,K$20,$G1051=$G$21,K$21,$G1051=$G$22,K$22,$G1051=$G$25,K$25,$G1051=$G$26,K$26,$G1051=$G$27,K$27,$G1051=$G$29,K$29,$G1051=$G$31,K$31,$G1051=$G$32,K$150,$G1051=$G$248,K$248,$G1051=$G$250,K$250)</f>
        <v>BG sentinel + BG lure7</v>
      </c>
      <c r="O1051" s="69" t="str">
        <f t="shared" si="86"/>
        <v>A_SP_BCN_16_211103</v>
      </c>
      <c r="P1051" s="64">
        <v>44503</v>
      </c>
      <c r="R1051" s="72"/>
      <c r="S1051" s="64">
        <v>44509</v>
      </c>
      <c r="U1051" s="72"/>
      <c r="V1051" t="s">
        <v>174</v>
      </c>
      <c r="X1051" s="69">
        <f t="shared" si="76"/>
        <v>6</v>
      </c>
      <c r="Z1051" s="45" t="s">
        <v>70</v>
      </c>
      <c r="AA1051" s="69">
        <f t="shared" si="85"/>
        <v>3</v>
      </c>
      <c r="AB1051" t="str">
        <f t="shared" si="73"/>
        <v>Adult</v>
      </c>
      <c r="AC1051" s="69">
        <v>2</v>
      </c>
      <c r="AD1051" s="69">
        <v>1</v>
      </c>
      <c r="AE1051" s="45" t="str">
        <f t="shared" si="74"/>
        <v>Morphological</v>
      </c>
      <c r="AF1051" s="56">
        <v>2</v>
      </c>
    </row>
    <row r="1052" spans="1:32" ht="18" customHeight="1" x14ac:dyDescent="0.25">
      <c r="A1052" s="45">
        <v>1048</v>
      </c>
      <c r="B1052" s="45" t="s">
        <v>60</v>
      </c>
      <c r="C1052" s="45" t="s">
        <v>61</v>
      </c>
      <c r="D1052" s="45" t="s">
        <v>62</v>
      </c>
      <c r="E1052" s="45" t="s">
        <v>62</v>
      </c>
      <c r="F1052" s="59" cm="1">
        <f t="array" ref="F1052">_xlfn.IFS($G1052=$G$5,F$5,$G1052=$G$6,F$6,$G1052=$G$7,F$7,$G1052=$G$8,F$8,$G1052=$G$9,F$9,$G1052=$G$10,F$10,$G1052=$G$11,F$11,$G1052=$G$12,F$12,$G1052=$G$13,F$13,$G1052=$G$15,F$15,$G1052=$G$16,F$16,$G1052=$G$17,F$17,$G1052=$G$18,F$18,$G1052=$G$19,F$19,$G1052=$G$20,F$20,$G1052=$G$21,F$21,$G1052=$G$22,F$22,$G1052=$G$25,F$25,$G1052=$G$26,F$26,$G1052=$G$27,F$27,$G1052=$G$29,F$29,$G1052=$G$31,F$31,$G1052=$G$32,F$32,$G1052=$G$248,F$248,$G1052=$G$250,F$250)</f>
        <v>8023</v>
      </c>
      <c r="G1052" t="s">
        <v>89</v>
      </c>
      <c r="H1052" s="60" cm="1">
        <f t="array" ref="H1052">_xlfn.IFS($G1052=$G$5,H$5,$G1052=$G$6,H$6,$G1052=$G$7,H$7,$G1052=$G$8,H$8,$G1052=$G$9,H$9,$G1052=$G$10,H$10,$G1052=$G$11,H$11,$G1052=$G$12,H$12,$G1052=$G$13,H$13,$G1052=$G$15,H$15,$G1052=$G$16,H$16,$G1052=$G$17,H$17,$G1052=$G$18,H$18,$G1052=$G$19,H$19,$G1052=$G$20,H$20,$G1052=$G$21,H$21,$G1052=$G$22,H$22,$G1052=$G$25,H$25,$G1052=$G$26,H$26,$G1052=$G$27,H$27,$G1052=$G$29,H$29,$G1052=$G$31,H$31,$G1052=$G$32,H$150,$G1052=$G$248,H$248,$G1052=$G$250,H$250)</f>
        <v>41.417256000000002</v>
      </c>
      <c r="I1052" s="60" cm="1">
        <f t="array" ref="I1052">_xlfn.IFS($G1052=$G$5,I$5,$G1052=$G$6,I$6,$G1052=$G$7,I$7,$G1052=$G$8,I$8,$G1052=$G$9,I$9,$G1052=$G$10,I$10,$G1052=$G$11,I$11,$G1052=$G$12,I$12,$G1052=$G$13,I$13,$G1052=$G$15,I$15,$G1052=$G$16,I$16,$G1052=$G$17,I$17,$G1052=$G$18,I$18,$G1052=$G$19,I$19,$G1052=$G$20,I$20,$G1052=$G$21,I$21,$G1052=$G$22,I$22,$G1052=$G$25,I$25,$G1052=$G$26,I$26,$G1052=$G$27,I$27,$G1052=$G$29,I$29,$G1052=$G$31,I$31,$G1052=$G$32,I$150,$G1052=$G$248,I$248,$G1052=$G$250,I$250)</f>
        <v>2.1455709999999999</v>
      </c>
      <c r="J1052" s="61" cm="1">
        <f t="array" ref="J1052">_xlfn.IFS($G1052=$G$5,J$5,$G1052=$G$6,J$6,$G1052=$G$7,J$7,$G1052=$G$8,J$8,$G1052=$G$9,J$9,$G1052=$G$10,J$10,$G1052=$G$11,J$11,$G1052=$G$12,J$12,$G1052=$G$13,J$13,$G1052=$G$15,J$15,$G1052=$G$16,J$16,$G1052=$G$17,J$17,$G1052=$G$18,J$18,$G1052=$G$19,J$19,$G1052=$G$20,J$20,$G1052=$G$21,J$21,$G1052=$G$22,J$22,$G1052=$G$25,J$25,$G1052=$G$26,J$26,$G1052=$G$27,J$27,$G1052=$G$29,J$29,$G1052=$G$31,J$31,$G1052=$G$32,J$150,$G1052=$G$248,J$248,$G1052=$G$250,J$250)</f>
        <v>186</v>
      </c>
      <c r="K1052" t="str" cm="1">
        <f t="array" ref="K1052">_xlfn.IFS($G1052=$G$5,K$5,$G1052=$G$6,K$6,$G1052=$G$7,K$7,$G1052=$G$8,K$8,$G1052=$G$9,K$9,$G1052=$G$10,K$10,$G1052=$G$11,K$11,$G1052=$G$12,K$12,$G1052=$G$13,K$13,$G1052=$G$15,K$15,$G1052=$G$16,K$16,$G1052=$G$17,K$17,$G1052=$G$18,K$18,$G1052=$G$19,K$19,$G1052=$G$20,K$20,$G1052=$G$21,K$21,$G1052=$G$22,K$22,$G1052=$G$25,K$25,$G1052=$G$26,K$26,$G1052=$G$27,K$27,$G1052=$G$29,K$29,$G1052=$G$31,K$31,$G1052=$G$32,K$150,$G1052=$G$248,K$248,$G1052=$G$250,K$250)</f>
        <v>BG sentinel + BG lure7</v>
      </c>
      <c r="O1052" s="69" t="str">
        <f t="shared" si="86"/>
        <v>A_SP_BCN_17_211103</v>
      </c>
      <c r="P1052" s="64">
        <v>44503</v>
      </c>
      <c r="R1052" s="72"/>
      <c r="S1052" s="64">
        <v>44510</v>
      </c>
      <c r="U1052" s="72"/>
      <c r="V1052" s="54" t="s">
        <v>66</v>
      </c>
      <c r="X1052" s="69">
        <f t="shared" si="76"/>
        <v>7</v>
      </c>
      <c r="AA1052" s="69">
        <f t="shared" si="85"/>
        <v>0</v>
      </c>
      <c r="AB1052" t="str">
        <f t="shared" si="73"/>
        <v/>
      </c>
      <c r="AE1052" s="45" t="str">
        <f t="shared" si="74"/>
        <v/>
      </c>
      <c r="AF1052" s="56">
        <v>4</v>
      </c>
    </row>
    <row r="1053" spans="1:32" ht="18" customHeight="1" x14ac:dyDescent="0.25">
      <c r="A1053" s="45">
        <v>1049</v>
      </c>
      <c r="B1053" s="45" t="s">
        <v>60</v>
      </c>
      <c r="C1053" s="45" t="s">
        <v>61</v>
      </c>
      <c r="D1053" s="45" t="s">
        <v>62</v>
      </c>
      <c r="E1053" s="45" t="s">
        <v>62</v>
      </c>
      <c r="F1053" s="59" cm="1">
        <f t="array" ref="F1053">_xlfn.IFS($G1053=$G$5,F$5,$G1053=$G$6,F$6,$G1053=$G$7,F$7,$G1053=$G$8,F$8,$G1053=$G$9,F$9,$G1053=$G$10,F$10,$G1053=$G$11,F$11,$G1053=$G$12,F$12,$G1053=$G$13,F$13,$G1053=$G$15,F$15,$G1053=$G$16,F$16,$G1053=$G$17,F$17,$G1053=$G$18,F$18,$G1053=$G$19,F$19,$G1053=$G$20,F$20,$G1053=$G$21,F$21,$G1053=$G$22,F$22,$G1053=$G$25,F$25,$G1053=$G$26,F$26,$G1053=$G$27,F$27,$G1053=$G$29,F$29,$G1053=$G$31,F$31,$G1053=$G$32,F$32,$G1053=$G$248,F$248,$G1053=$G$250,F$250)</f>
        <v>8031</v>
      </c>
      <c r="G1053" t="s">
        <v>92</v>
      </c>
      <c r="H1053" s="60" cm="1">
        <f t="array" ref="H1053">_xlfn.IFS($G1053=$G$5,H$5,$G1053=$G$6,H$6,$G1053=$G$7,H$7,$G1053=$G$8,H$8,$G1053=$G$9,H$9,$G1053=$G$10,H$10,$G1053=$G$11,H$11,$G1053=$G$12,H$12,$G1053=$G$13,H$13,$G1053=$G$15,H$15,$G1053=$G$16,H$16,$G1053=$G$17,H$17,$G1053=$G$18,H$18,$G1053=$G$19,H$19,$G1053=$G$20,H$20,$G1053=$G$21,H$21,$G1053=$G$22,H$22,$G1053=$G$25,H$25,$G1053=$G$26,H$26,$G1053=$G$27,H$27,$G1053=$G$29,H$29,$G1053=$G$31,H$31,$G1053=$G$32,H$150,$G1053=$G$248,H$248,$G1053=$G$250,H$250)</f>
        <v>41.433618000000003</v>
      </c>
      <c r="I1053" s="60" cm="1">
        <f t="array" ref="I1053">_xlfn.IFS($G1053=$G$5,I$5,$G1053=$G$6,I$6,$G1053=$G$7,I$7,$G1053=$G$8,I$8,$G1053=$G$9,I$9,$G1053=$G$10,I$10,$G1053=$G$11,I$11,$G1053=$G$12,I$12,$G1053=$G$13,I$13,$G1053=$G$15,I$15,$G1053=$G$16,I$16,$G1053=$G$17,I$17,$G1053=$G$18,I$18,$G1053=$G$19,I$19,$G1053=$G$20,I$20,$G1053=$G$21,I$21,$G1053=$G$22,I$22,$G1053=$G$25,I$25,$G1053=$G$26,I$26,$G1053=$G$27,I$27,$G1053=$G$29,I$29,$G1053=$G$31,I$31,$G1053=$G$32,I$150,$G1053=$G$248,I$248,$G1053=$G$250,I$250)</f>
        <v>2.1677469999999999</v>
      </c>
      <c r="J1053" s="61" cm="1">
        <f t="array" ref="J1053">_xlfn.IFS($G1053=$G$5,J$5,$G1053=$G$6,J$6,$G1053=$G$7,J$7,$G1053=$G$8,J$8,$G1053=$G$9,J$9,$G1053=$G$10,J$10,$G1053=$G$11,J$11,$G1053=$G$12,J$12,$G1053=$G$13,J$13,$G1053=$G$15,J$15,$G1053=$G$16,J$16,$G1053=$G$17,J$17,$G1053=$G$18,J$18,$G1053=$G$19,J$19,$G1053=$G$20,J$20,$G1053=$G$21,J$21,$G1053=$G$22,J$22,$G1053=$G$25,J$25,$G1053=$G$26,J$26,$G1053=$G$27,J$27,$G1053=$G$29,J$29,$G1053=$G$31,J$31,$G1053=$G$32,J$150,$G1053=$G$248,J$248,$G1053=$G$250,J$250)</f>
        <v>96.85</v>
      </c>
      <c r="K1053" t="str" cm="1">
        <f t="array" ref="K1053">_xlfn.IFS($G1053=$G$5,K$5,$G1053=$G$6,K$6,$G1053=$G$7,K$7,$G1053=$G$8,K$8,$G1053=$G$9,K$9,$G1053=$G$10,K$10,$G1053=$G$11,K$11,$G1053=$G$12,K$12,$G1053=$G$13,K$13,$G1053=$G$15,K$15,$G1053=$G$16,K$16,$G1053=$G$17,K$17,$G1053=$G$18,K$18,$G1053=$G$19,K$19,$G1053=$G$20,K$20,$G1053=$G$21,K$21,$G1053=$G$22,K$22,$G1053=$G$25,K$25,$G1053=$G$26,K$26,$G1053=$G$27,K$27,$G1053=$G$29,K$29,$G1053=$G$31,K$31,$G1053=$G$32,K$150,$G1053=$G$248,K$248,$G1053=$G$250,K$250)</f>
        <v>BG sentinel + BG lure7</v>
      </c>
      <c r="O1053" s="69" t="str">
        <f t="shared" si="86"/>
        <v>A_SP_BCN_18_211103</v>
      </c>
      <c r="P1053" s="64">
        <v>44503</v>
      </c>
      <c r="R1053" s="72"/>
      <c r="S1053" s="64">
        <v>44510</v>
      </c>
      <c r="U1053" s="72"/>
      <c r="V1053" s="54" t="s">
        <v>66</v>
      </c>
      <c r="X1053" s="69">
        <f t="shared" si="76"/>
        <v>7</v>
      </c>
      <c r="AA1053" s="69">
        <f t="shared" si="85"/>
        <v>0</v>
      </c>
      <c r="AB1053" t="str">
        <f t="shared" si="73"/>
        <v/>
      </c>
      <c r="AE1053" s="45" t="str">
        <f t="shared" si="74"/>
        <v/>
      </c>
      <c r="AF1053" s="56">
        <v>4</v>
      </c>
    </row>
    <row r="1054" spans="1:32" ht="18" customHeight="1" x14ac:dyDescent="0.25">
      <c r="A1054" s="45">
        <v>1050</v>
      </c>
      <c r="B1054" s="45" t="s">
        <v>60</v>
      </c>
      <c r="C1054" s="45" t="s">
        <v>61</v>
      </c>
      <c r="D1054" s="45" t="s">
        <v>62</v>
      </c>
      <c r="E1054" s="45" t="s">
        <v>62</v>
      </c>
      <c r="F1054" s="59" cm="1">
        <f t="array" ref="F1054">_xlfn.IFS($G1054=$G$5,F$5,$G1054=$G$6,F$6,$G1054=$G$7,F$7,$G1054=$G$8,F$8,$G1054=$G$9,F$9,$G1054=$G$10,F$10,$G1054=$G$11,F$11,$G1054=$G$12,F$12,$G1054=$G$13,F$13,$G1054=$G$15,F$15,$G1054=$G$16,F$16,$G1054=$G$17,F$17,$G1054=$G$18,F$18,$G1054=$G$19,F$19,$G1054=$G$20,F$20,$G1054=$G$21,F$21,$G1054=$G$22,F$22,$G1054=$G$25,F$25,$G1054=$G$26,F$26,$G1054=$G$27,F$27,$G1054=$G$29,F$29,$G1054=$G$31,F$31,$G1054=$G$32,F$32,$G1054=$G$248,F$248,$G1054=$G$250,F$250)</f>
        <v>8038</v>
      </c>
      <c r="G1054" t="s">
        <v>93</v>
      </c>
      <c r="H1054" s="60" cm="1">
        <f t="array" ref="H1054">_xlfn.IFS($G1054=$G$5,H$5,$G1054=$G$6,H$6,$G1054=$G$7,H$7,$G1054=$G$8,H$8,$G1054=$G$9,H$9,$G1054=$G$10,H$10,$G1054=$G$11,H$11,$G1054=$G$12,H$12,$G1054=$G$13,H$13,$G1054=$G$15,H$15,$G1054=$G$16,H$16,$G1054=$G$17,H$17,$G1054=$G$18,H$18,$G1054=$G$19,H$19,$G1054=$G$20,H$20,$G1054=$G$21,H$21,$G1054=$G$22,H$22,$G1054=$G$25,H$25,$G1054=$G$26,H$26,$G1054=$G$27,H$27,$G1054=$G$29,H$29,$G1054=$G$31,H$31,$G1054=$G$32,H$150,$G1054=$G$248,H$248,$G1054=$G$250,H$250)</f>
        <v>41.359864999999999</v>
      </c>
      <c r="I1054" s="60" cm="1">
        <f t="array" ref="I1054">_xlfn.IFS($G1054=$G$5,I$5,$G1054=$G$6,I$6,$G1054=$G$7,I$7,$G1054=$G$8,I$8,$G1054=$G$9,I$9,$G1054=$G$10,I$10,$G1054=$G$11,I$11,$G1054=$G$12,I$12,$G1054=$G$13,I$13,$G1054=$G$15,I$15,$G1054=$G$16,I$16,$G1054=$G$17,I$17,$G1054=$G$18,I$18,$G1054=$G$19,I$19,$G1054=$G$20,I$20,$G1054=$G$21,I$21,$G1054=$G$22,I$22,$G1054=$G$25,I$25,$G1054=$G$26,I$26,$G1054=$G$27,I$27,$G1054=$G$29,I$29,$G1054=$G$31,I$31,$G1054=$G$32,I$150,$G1054=$G$248,I$248,$G1054=$G$250,I$250)</f>
        <v>2.1445430000000001</v>
      </c>
      <c r="J1054" s="61" cm="1">
        <f t="array" ref="J1054">_xlfn.IFS($G1054=$G$5,J$5,$G1054=$G$6,J$6,$G1054=$G$7,J$7,$G1054=$G$8,J$8,$G1054=$G$9,J$9,$G1054=$G$10,J$10,$G1054=$G$11,J$11,$G1054=$G$12,J$12,$G1054=$G$13,J$13,$G1054=$G$15,J$15,$G1054=$G$16,J$16,$G1054=$G$17,J$17,$G1054=$G$18,J$18,$G1054=$G$19,J$19,$G1054=$G$20,J$20,$G1054=$G$21,J$21,$G1054=$G$22,J$22,$G1054=$G$25,J$25,$G1054=$G$26,J$26,$G1054=$G$27,J$27,$G1054=$G$29,J$29,$G1054=$G$31,J$31,$G1054=$G$32,J$150,$G1054=$G$248,J$248,$G1054=$G$250,J$250)</f>
        <v>11.4</v>
      </c>
      <c r="K1054" t="str" cm="1">
        <f t="array" ref="K1054">_xlfn.IFS($G1054=$G$5,K$5,$G1054=$G$6,K$6,$G1054=$G$7,K$7,$G1054=$G$8,K$8,$G1054=$G$9,K$9,$G1054=$G$10,K$10,$G1054=$G$11,K$11,$G1054=$G$12,K$12,$G1054=$G$13,K$13,$G1054=$G$15,K$15,$G1054=$G$16,K$16,$G1054=$G$17,K$17,$G1054=$G$18,K$18,$G1054=$G$19,K$19,$G1054=$G$20,K$20,$G1054=$G$21,K$21,$G1054=$G$22,K$22,$G1054=$G$25,K$25,$G1054=$G$26,K$26,$G1054=$G$27,K$27,$G1054=$G$29,K$29,$G1054=$G$31,K$31,$G1054=$G$32,K$150,$G1054=$G$248,K$248,$G1054=$G$250,K$250)</f>
        <v>BG sentinel + BG lure7</v>
      </c>
      <c r="O1054" s="69" t="str">
        <f t="shared" si="86"/>
        <v>A_SP_BCN_19_211104</v>
      </c>
      <c r="P1054" s="64">
        <v>44504</v>
      </c>
      <c r="R1054" s="72"/>
      <c r="S1054" s="64">
        <v>44511</v>
      </c>
      <c r="U1054" s="72"/>
      <c r="V1054" s="54" t="s">
        <v>66</v>
      </c>
      <c r="W1054" t="s">
        <v>175</v>
      </c>
      <c r="X1054" s="69">
        <f t="shared" si="76"/>
        <v>7</v>
      </c>
      <c r="Z1054" s="69" t="s">
        <v>69</v>
      </c>
      <c r="AA1054" s="69">
        <f t="shared" si="85"/>
        <v>11</v>
      </c>
      <c r="AB1054" t="str">
        <f t="shared" si="73"/>
        <v>Adult</v>
      </c>
      <c r="AC1054" s="69">
        <v>9</v>
      </c>
      <c r="AD1054" s="69">
        <v>2</v>
      </c>
      <c r="AE1054" s="45" t="str">
        <f t="shared" si="74"/>
        <v>Morphological</v>
      </c>
      <c r="AF1054" s="56">
        <v>2</v>
      </c>
    </row>
    <row r="1055" spans="1:32" ht="18" customHeight="1" x14ac:dyDescent="0.25">
      <c r="A1055" s="45">
        <v>1051</v>
      </c>
      <c r="B1055" s="45" t="s">
        <v>60</v>
      </c>
      <c r="C1055" s="45" t="s">
        <v>61</v>
      </c>
      <c r="D1055" s="45" t="s">
        <v>62</v>
      </c>
      <c r="E1055" s="45" t="s">
        <v>62</v>
      </c>
      <c r="F1055" s="59" cm="1">
        <f t="array" ref="F1055">_xlfn.IFS($G1055=$G$5,F$5,$G1055=$G$6,F$6,$G1055=$G$7,F$7,$G1055=$G$8,F$8,$G1055=$G$9,F$9,$G1055=$G$10,F$10,$G1055=$G$11,F$11,$G1055=$G$12,F$12,$G1055=$G$13,F$13,$G1055=$G$15,F$15,$G1055=$G$16,F$16,$G1055=$G$17,F$17,$G1055=$G$18,F$18,$G1055=$G$19,F$19,$G1055=$G$20,F$20,$G1055=$G$21,F$21,$G1055=$G$22,F$22,$G1055=$G$25,F$25,$G1055=$G$26,F$26,$G1055=$G$27,F$27,$G1055=$G$29,F$29,$G1055=$G$31,F$31,$G1055=$G$32,F$32,$G1055=$G$248,F$248,$G1055=$G$250,F$250)</f>
        <v>8038</v>
      </c>
      <c r="G1055" t="s">
        <v>93</v>
      </c>
      <c r="H1055" s="60" cm="1">
        <f t="array" ref="H1055">_xlfn.IFS($G1055=$G$5,H$5,$G1055=$G$6,H$6,$G1055=$G$7,H$7,$G1055=$G$8,H$8,$G1055=$G$9,H$9,$G1055=$G$10,H$10,$G1055=$G$11,H$11,$G1055=$G$12,H$12,$G1055=$G$13,H$13,$G1055=$G$15,H$15,$G1055=$G$16,H$16,$G1055=$G$17,H$17,$G1055=$G$18,H$18,$G1055=$G$19,H$19,$G1055=$G$20,H$20,$G1055=$G$21,H$21,$G1055=$G$22,H$22,$G1055=$G$25,H$25,$G1055=$G$26,H$26,$G1055=$G$27,H$27,$G1055=$G$29,H$29,$G1055=$G$31,H$31,$G1055=$G$32,H$150,$G1055=$G$248,H$248,$G1055=$G$250,H$250)</f>
        <v>41.359864999999999</v>
      </c>
      <c r="I1055" s="60" cm="1">
        <f t="array" ref="I1055">_xlfn.IFS($G1055=$G$5,I$5,$G1055=$G$6,I$6,$G1055=$G$7,I$7,$G1055=$G$8,I$8,$G1055=$G$9,I$9,$G1055=$G$10,I$10,$G1055=$G$11,I$11,$G1055=$G$12,I$12,$G1055=$G$13,I$13,$G1055=$G$15,I$15,$G1055=$G$16,I$16,$G1055=$G$17,I$17,$G1055=$G$18,I$18,$G1055=$G$19,I$19,$G1055=$G$20,I$20,$G1055=$G$21,I$21,$G1055=$G$22,I$22,$G1055=$G$25,I$25,$G1055=$G$26,I$26,$G1055=$G$27,I$27,$G1055=$G$29,I$29,$G1055=$G$31,I$31,$G1055=$G$32,I$150,$G1055=$G$248,I$248,$G1055=$G$250,I$250)</f>
        <v>2.1445430000000001</v>
      </c>
      <c r="J1055" s="61" cm="1">
        <f t="array" ref="J1055">_xlfn.IFS($G1055=$G$5,J$5,$G1055=$G$6,J$6,$G1055=$G$7,J$7,$G1055=$G$8,J$8,$G1055=$G$9,J$9,$G1055=$G$10,J$10,$G1055=$G$11,J$11,$G1055=$G$12,J$12,$G1055=$G$13,J$13,$G1055=$G$15,J$15,$G1055=$G$16,J$16,$G1055=$G$17,J$17,$G1055=$G$18,J$18,$G1055=$G$19,J$19,$G1055=$G$20,J$20,$G1055=$G$21,J$21,$G1055=$G$22,J$22,$G1055=$G$25,J$25,$G1055=$G$26,J$26,$G1055=$G$27,J$27,$G1055=$G$29,J$29,$G1055=$G$31,J$31,$G1055=$G$32,J$150,$G1055=$G$248,J$248,$G1055=$G$250,J$250)</f>
        <v>11.4</v>
      </c>
      <c r="K1055" t="str" cm="1">
        <f t="array" ref="K1055">_xlfn.IFS($G1055=$G$5,K$5,$G1055=$G$6,K$6,$G1055=$G$7,K$7,$G1055=$G$8,K$8,$G1055=$G$9,K$9,$G1055=$G$10,K$10,$G1055=$G$11,K$11,$G1055=$G$12,K$12,$G1055=$G$13,K$13,$G1055=$G$15,K$15,$G1055=$G$16,K$16,$G1055=$G$17,K$17,$G1055=$G$18,K$18,$G1055=$G$19,K$19,$G1055=$G$20,K$20,$G1055=$G$21,K$21,$G1055=$G$22,K$22,$G1055=$G$25,K$25,$G1055=$G$26,K$26,$G1055=$G$27,K$27,$G1055=$G$29,K$29,$G1055=$G$31,K$31,$G1055=$G$32,K$150,$G1055=$G$248,K$248,$G1055=$G$250,K$250)</f>
        <v>BG sentinel + BG lure7</v>
      </c>
      <c r="O1055" s="69" t="str">
        <f t="shared" si="86"/>
        <v>A_SP_BCN_19_211104</v>
      </c>
      <c r="P1055" s="64">
        <v>44504</v>
      </c>
      <c r="R1055" s="72"/>
      <c r="S1055" s="64">
        <v>44511</v>
      </c>
      <c r="U1055" s="72"/>
      <c r="V1055" s="54" t="s">
        <v>66</v>
      </c>
      <c r="W1055" t="s">
        <v>175</v>
      </c>
      <c r="X1055" s="69">
        <f t="shared" si="76"/>
        <v>7</v>
      </c>
      <c r="Z1055" s="45" t="s">
        <v>70</v>
      </c>
      <c r="AA1055" s="69">
        <f t="shared" si="85"/>
        <v>5</v>
      </c>
      <c r="AB1055" t="str">
        <f t="shared" si="73"/>
        <v>Adult</v>
      </c>
      <c r="AC1055" s="69">
        <v>4</v>
      </c>
      <c r="AD1055" s="69">
        <v>1</v>
      </c>
      <c r="AE1055" s="45" t="str">
        <f t="shared" si="74"/>
        <v>Morphological</v>
      </c>
      <c r="AF1055" s="56">
        <v>2</v>
      </c>
    </row>
    <row r="1056" spans="1:32" ht="18" customHeight="1" x14ac:dyDescent="0.25">
      <c r="A1056" s="45">
        <v>1052</v>
      </c>
      <c r="B1056" s="45" t="s">
        <v>60</v>
      </c>
      <c r="C1056" s="45" t="s">
        <v>61</v>
      </c>
      <c r="D1056" s="45" t="s">
        <v>62</v>
      </c>
      <c r="E1056" s="45" t="s">
        <v>62</v>
      </c>
      <c r="F1056" s="59" cm="1">
        <f t="array" ref="F1056">_xlfn.IFS($G1056=$G$5,F$5,$G1056=$G$6,F$6,$G1056=$G$7,F$7,$G1056=$G$8,F$8,$G1056=$G$9,F$9,$G1056=$G$10,F$10,$G1056=$G$11,F$11,$G1056=$G$12,F$12,$G1056=$G$13,F$13,$G1056=$G$15,F$15,$G1056=$G$16,F$16,$G1056=$G$17,F$17,$G1056=$G$18,F$18,$G1056=$G$19,F$19,$G1056=$G$20,F$20,$G1056=$G$21,F$21,$G1056=$G$22,F$22,$G1056=$G$25,F$25,$G1056=$G$26,F$26,$G1056=$G$27,F$27,$G1056=$G$29,F$29,$G1056=$G$31,F$31,$G1056=$G$32,F$32,$G1056=$G$248,F$248,$G1056=$G$250,F$250)</f>
        <v>8002</v>
      </c>
      <c r="G1056" t="s">
        <v>94</v>
      </c>
      <c r="H1056" s="60" cm="1">
        <f t="array" ref="H1056">_xlfn.IFS($G1056=$G$5,H$5,$G1056=$G$6,H$6,$G1056=$G$7,H$7,$G1056=$G$8,H$8,$G1056=$G$9,H$9,$G1056=$G$10,H$10,$G1056=$G$11,H$11,$G1056=$G$12,H$12,$G1056=$G$13,H$13,$G1056=$G$15,H$15,$G1056=$G$16,H$16,$G1056=$G$17,H$17,$G1056=$G$18,H$18,$G1056=$G$19,H$19,$G1056=$G$20,H$20,$G1056=$G$21,H$21,$G1056=$G$22,H$22,$G1056=$G$25,H$25,$G1056=$G$26,H$26,$G1056=$G$27,H$27,$G1056=$G$29,H$29,$G1056=$G$31,H$31,$G1056=$G$32,H$150,$G1056=$G$248,H$248,$G1056=$G$250,H$250)</f>
        <v>41.385213</v>
      </c>
      <c r="I1056" s="60" cm="1">
        <f t="array" ref="I1056">_xlfn.IFS($G1056=$G$5,I$5,$G1056=$G$6,I$6,$G1056=$G$7,I$7,$G1056=$G$8,I$8,$G1056=$G$9,I$9,$G1056=$G$10,I$10,$G1056=$G$11,I$11,$G1056=$G$12,I$12,$G1056=$G$13,I$13,$G1056=$G$15,I$15,$G1056=$G$16,I$16,$G1056=$G$17,I$17,$G1056=$G$18,I$18,$G1056=$G$19,I$19,$G1056=$G$20,I$20,$G1056=$G$21,I$21,$G1056=$G$22,I$22,$G1056=$G$25,I$25,$G1056=$G$26,I$26,$G1056=$G$27,I$27,$G1056=$G$29,I$29,$G1056=$G$31,I$31,$G1056=$G$32,I$150,$G1056=$G$248,I$248,$G1056=$G$250,I$250)</f>
        <v>2.174852</v>
      </c>
      <c r="J1056" s="61" cm="1">
        <f t="array" ref="J1056">_xlfn.IFS($G1056=$G$5,J$5,$G1056=$G$6,J$6,$G1056=$G$7,J$7,$G1056=$G$8,J$8,$G1056=$G$9,J$9,$G1056=$G$10,J$10,$G1056=$G$11,J$11,$G1056=$G$12,J$12,$G1056=$G$13,J$13,$G1056=$G$15,J$15,$G1056=$G$16,J$16,$G1056=$G$17,J$17,$G1056=$G$18,J$18,$G1056=$G$19,J$19,$G1056=$G$20,J$20,$G1056=$G$21,J$21,$G1056=$G$22,J$22,$G1056=$G$25,J$25,$G1056=$G$26,J$26,$G1056=$G$27,J$27,$G1056=$G$29,J$29,$G1056=$G$31,J$31,$G1056=$G$32,J$150,$G1056=$G$248,J$248,$G1056=$G$250,J$250)</f>
        <v>14</v>
      </c>
      <c r="K1056" t="str" cm="1">
        <f t="array" ref="K1056">_xlfn.IFS($G1056=$G$5,K$5,$G1056=$G$6,K$6,$G1056=$G$7,K$7,$G1056=$G$8,K$8,$G1056=$G$9,K$9,$G1056=$G$10,K$10,$G1056=$G$11,K$11,$G1056=$G$12,K$12,$G1056=$G$13,K$13,$G1056=$G$15,K$15,$G1056=$G$16,K$16,$G1056=$G$17,K$17,$G1056=$G$18,K$18,$G1056=$G$19,K$19,$G1056=$G$20,K$20,$G1056=$G$21,K$21,$G1056=$G$22,K$22,$G1056=$G$25,K$25,$G1056=$G$26,K$26,$G1056=$G$27,K$27,$G1056=$G$29,K$29,$G1056=$G$31,K$31,$G1056=$G$32,K$150,$G1056=$G$248,K$248,$G1056=$G$250,K$250)</f>
        <v>BG sentinel + BG lure7</v>
      </c>
      <c r="O1056" s="69" t="str">
        <f t="shared" si="86"/>
        <v>A_SP_BCN_20_211104</v>
      </c>
      <c r="P1056" s="64">
        <v>44504</v>
      </c>
      <c r="R1056" s="72"/>
      <c r="S1056" s="64">
        <v>44511</v>
      </c>
      <c r="U1056" s="72"/>
      <c r="V1056" s="54" t="s">
        <v>66</v>
      </c>
      <c r="X1056" s="69">
        <f t="shared" si="76"/>
        <v>7</v>
      </c>
      <c r="Z1056" s="69" t="s">
        <v>69</v>
      </c>
      <c r="AA1056" s="69">
        <f t="shared" si="85"/>
        <v>1</v>
      </c>
      <c r="AB1056" t="str">
        <f t="shared" si="73"/>
        <v>Adult</v>
      </c>
      <c r="AC1056" s="69">
        <v>1</v>
      </c>
      <c r="AD1056" s="69">
        <v>0</v>
      </c>
      <c r="AE1056" s="45" t="str">
        <f t="shared" si="74"/>
        <v>Morphological</v>
      </c>
      <c r="AF1056" s="56">
        <v>4</v>
      </c>
    </row>
    <row r="1057" spans="1:32" ht="18" customHeight="1" x14ac:dyDescent="0.25">
      <c r="A1057" s="45">
        <v>1053</v>
      </c>
      <c r="B1057" s="45" t="s">
        <v>60</v>
      </c>
      <c r="C1057" s="45" t="s">
        <v>61</v>
      </c>
      <c r="D1057" s="45" t="s">
        <v>62</v>
      </c>
      <c r="E1057" s="45" t="s">
        <v>62</v>
      </c>
      <c r="F1057" s="59" cm="1">
        <f t="array" ref="F1057">_xlfn.IFS($G1057=$G$5,F$5,$G1057=$G$6,F$6,$G1057=$G$7,F$7,$G1057=$G$8,F$8,$G1057=$G$9,F$9,$G1057=$G$10,F$10,$G1057=$G$11,F$11,$G1057=$G$12,F$12,$G1057=$G$13,F$13,$G1057=$G$15,F$15,$G1057=$G$16,F$16,$G1057=$G$17,F$17,$G1057=$G$18,F$18,$G1057=$G$19,F$19,$G1057=$G$20,F$20,$G1057=$G$21,F$21,$G1057=$G$22,F$22,$G1057=$G$25,F$25,$G1057=$G$26,F$26,$G1057=$G$27,F$27,$G1057=$G$29,F$29,$G1057=$G$31,F$31,$G1057=$G$32,F$32,$G1057=$G$248,F$248,$G1057=$G$250,F$250)</f>
        <v>8002</v>
      </c>
      <c r="G1057" t="s">
        <v>94</v>
      </c>
      <c r="H1057" s="60" cm="1">
        <f t="array" ref="H1057">_xlfn.IFS($G1057=$G$5,H$5,$G1057=$G$6,H$6,$G1057=$G$7,H$7,$G1057=$G$8,H$8,$G1057=$G$9,H$9,$G1057=$G$10,H$10,$G1057=$G$11,H$11,$G1057=$G$12,H$12,$G1057=$G$13,H$13,$G1057=$G$15,H$15,$G1057=$G$16,H$16,$G1057=$G$17,H$17,$G1057=$G$18,H$18,$G1057=$G$19,H$19,$G1057=$G$20,H$20,$G1057=$G$21,H$21,$G1057=$G$22,H$22,$G1057=$G$25,H$25,$G1057=$G$26,H$26,$G1057=$G$27,H$27,$G1057=$G$29,H$29,$G1057=$G$31,H$31,$G1057=$G$32,H$150,$G1057=$G$248,H$248,$G1057=$G$250,H$250)</f>
        <v>41.385213</v>
      </c>
      <c r="I1057" s="60" cm="1">
        <f t="array" ref="I1057">_xlfn.IFS($G1057=$G$5,I$5,$G1057=$G$6,I$6,$G1057=$G$7,I$7,$G1057=$G$8,I$8,$G1057=$G$9,I$9,$G1057=$G$10,I$10,$G1057=$G$11,I$11,$G1057=$G$12,I$12,$G1057=$G$13,I$13,$G1057=$G$15,I$15,$G1057=$G$16,I$16,$G1057=$G$17,I$17,$G1057=$G$18,I$18,$G1057=$G$19,I$19,$G1057=$G$20,I$20,$G1057=$G$21,I$21,$G1057=$G$22,I$22,$G1057=$G$25,I$25,$G1057=$G$26,I$26,$G1057=$G$27,I$27,$G1057=$G$29,I$29,$G1057=$G$31,I$31,$G1057=$G$32,I$150,$G1057=$G$248,I$248,$G1057=$G$250,I$250)</f>
        <v>2.174852</v>
      </c>
      <c r="J1057" s="61" cm="1">
        <f t="array" ref="J1057">_xlfn.IFS($G1057=$G$5,J$5,$G1057=$G$6,J$6,$G1057=$G$7,J$7,$G1057=$G$8,J$8,$G1057=$G$9,J$9,$G1057=$G$10,J$10,$G1057=$G$11,J$11,$G1057=$G$12,J$12,$G1057=$G$13,J$13,$G1057=$G$15,J$15,$G1057=$G$16,J$16,$G1057=$G$17,J$17,$G1057=$G$18,J$18,$G1057=$G$19,J$19,$G1057=$G$20,J$20,$G1057=$G$21,J$21,$G1057=$G$22,J$22,$G1057=$G$25,J$25,$G1057=$G$26,J$26,$G1057=$G$27,J$27,$G1057=$G$29,J$29,$G1057=$G$31,J$31,$G1057=$G$32,J$150,$G1057=$G$248,J$248,$G1057=$G$250,J$250)</f>
        <v>14</v>
      </c>
      <c r="K1057" t="str" cm="1">
        <f t="array" ref="K1057">_xlfn.IFS($G1057=$G$5,K$5,$G1057=$G$6,K$6,$G1057=$G$7,K$7,$G1057=$G$8,K$8,$G1057=$G$9,K$9,$G1057=$G$10,K$10,$G1057=$G$11,K$11,$G1057=$G$12,K$12,$G1057=$G$13,K$13,$G1057=$G$15,K$15,$G1057=$G$16,K$16,$G1057=$G$17,K$17,$G1057=$G$18,K$18,$G1057=$G$19,K$19,$G1057=$G$20,K$20,$G1057=$G$21,K$21,$G1057=$G$22,K$22,$G1057=$G$25,K$25,$G1057=$G$26,K$26,$G1057=$G$27,K$27,$G1057=$G$29,K$29,$G1057=$G$31,K$31,$G1057=$G$32,K$150,$G1057=$G$248,K$248,$G1057=$G$250,K$250)</f>
        <v>BG sentinel + BG lure7</v>
      </c>
      <c r="O1057" s="69" t="str">
        <f t="shared" si="86"/>
        <v>A_SP_BCN_20_211104</v>
      </c>
      <c r="P1057" s="64">
        <v>44504</v>
      </c>
      <c r="R1057" s="72"/>
      <c r="S1057" s="64">
        <v>44511</v>
      </c>
      <c r="U1057" s="72"/>
      <c r="V1057" s="54" t="s">
        <v>66</v>
      </c>
      <c r="X1057" s="69">
        <f t="shared" si="76"/>
        <v>7</v>
      </c>
      <c r="Z1057" s="45" t="s">
        <v>70</v>
      </c>
      <c r="AA1057" s="69">
        <f t="shared" si="85"/>
        <v>20</v>
      </c>
      <c r="AB1057" t="str">
        <f t="shared" si="73"/>
        <v>Adult</v>
      </c>
      <c r="AC1057" s="69">
        <v>16</v>
      </c>
      <c r="AD1057" s="69">
        <v>4</v>
      </c>
      <c r="AE1057" s="45" t="str">
        <f t="shared" si="74"/>
        <v>Morphological</v>
      </c>
      <c r="AF1057" s="56">
        <v>4</v>
      </c>
    </row>
    <row r="1058" spans="1:32" ht="18" customHeight="1" x14ac:dyDescent="0.25">
      <c r="A1058" s="45">
        <v>1054</v>
      </c>
      <c r="B1058" s="45" t="s">
        <v>60</v>
      </c>
      <c r="C1058" s="45" t="s">
        <v>61</v>
      </c>
      <c r="D1058" s="45" t="s">
        <v>62</v>
      </c>
      <c r="E1058" s="45" t="s">
        <v>62</v>
      </c>
      <c r="F1058" s="59" cm="1">
        <f t="array" ref="F1058">_xlfn.IFS($G1058=$G$5,F$5,$G1058=$G$6,F$6,$G1058=$G$7,F$7,$G1058=$G$8,F$8,$G1058=$G$9,F$9,$G1058=$G$10,F$10,$G1058=$G$11,F$11,$G1058=$G$12,F$12,$G1058=$G$13,F$13,$G1058=$G$15,F$15,$G1058=$G$16,F$16,$G1058=$G$17,F$17,$G1058=$G$18,F$18,$G1058=$G$19,F$19,$G1058=$G$20,F$20,$G1058=$G$21,F$21,$G1058=$G$22,F$22,$G1058=$G$25,F$25,$G1058=$G$26,F$26,$G1058=$G$27,F$27,$G1058=$G$29,F$29,$G1058=$G$31,F$31,$G1058=$G$32,F$32,$G1058=$G$248,F$248,$G1058=$G$250,F$250)</f>
        <v>8002</v>
      </c>
      <c r="G1058" t="s">
        <v>94</v>
      </c>
      <c r="H1058" s="60" cm="1">
        <f t="array" ref="H1058">_xlfn.IFS($G1058=$G$5,H$5,$G1058=$G$6,H$6,$G1058=$G$7,H$7,$G1058=$G$8,H$8,$G1058=$G$9,H$9,$G1058=$G$10,H$10,$G1058=$G$11,H$11,$G1058=$G$12,H$12,$G1058=$G$13,H$13,$G1058=$G$15,H$15,$G1058=$G$16,H$16,$G1058=$G$17,H$17,$G1058=$G$18,H$18,$G1058=$G$19,H$19,$G1058=$G$20,H$20,$G1058=$G$21,H$21,$G1058=$G$22,H$22,$G1058=$G$25,H$25,$G1058=$G$26,H$26,$G1058=$G$27,H$27,$G1058=$G$29,H$29,$G1058=$G$31,H$31,$G1058=$G$32,H$150,$G1058=$G$248,H$248,$G1058=$G$250,H$250)</f>
        <v>41.385213</v>
      </c>
      <c r="I1058" s="60" cm="1">
        <f t="array" ref="I1058">_xlfn.IFS($G1058=$G$5,I$5,$G1058=$G$6,I$6,$G1058=$G$7,I$7,$G1058=$G$8,I$8,$G1058=$G$9,I$9,$G1058=$G$10,I$10,$G1058=$G$11,I$11,$G1058=$G$12,I$12,$G1058=$G$13,I$13,$G1058=$G$15,I$15,$G1058=$G$16,I$16,$G1058=$G$17,I$17,$G1058=$G$18,I$18,$G1058=$G$19,I$19,$G1058=$G$20,I$20,$G1058=$G$21,I$21,$G1058=$G$22,I$22,$G1058=$G$25,I$25,$G1058=$G$26,I$26,$G1058=$G$27,I$27,$G1058=$G$29,I$29,$G1058=$G$31,I$31,$G1058=$G$32,I$150,$G1058=$G$248,I$248,$G1058=$G$250,I$250)</f>
        <v>2.174852</v>
      </c>
      <c r="J1058" s="61" cm="1">
        <f t="array" ref="J1058">_xlfn.IFS($G1058=$G$5,J$5,$G1058=$G$6,J$6,$G1058=$G$7,J$7,$G1058=$G$8,J$8,$G1058=$G$9,J$9,$G1058=$G$10,J$10,$G1058=$G$11,J$11,$G1058=$G$12,J$12,$G1058=$G$13,J$13,$G1058=$G$15,J$15,$G1058=$G$16,J$16,$G1058=$G$17,J$17,$G1058=$G$18,J$18,$G1058=$G$19,J$19,$G1058=$G$20,J$20,$G1058=$G$21,J$21,$G1058=$G$22,J$22,$G1058=$G$25,J$25,$G1058=$G$26,J$26,$G1058=$G$27,J$27,$G1058=$G$29,J$29,$G1058=$G$31,J$31,$G1058=$G$32,J$150,$G1058=$G$248,J$248,$G1058=$G$250,J$250)</f>
        <v>14</v>
      </c>
      <c r="K1058" t="str" cm="1">
        <f t="array" ref="K1058">_xlfn.IFS($G1058=$G$5,K$5,$G1058=$G$6,K$6,$G1058=$G$7,K$7,$G1058=$G$8,K$8,$G1058=$G$9,K$9,$G1058=$G$10,K$10,$G1058=$G$11,K$11,$G1058=$G$12,K$12,$G1058=$G$13,K$13,$G1058=$G$15,K$15,$G1058=$G$16,K$16,$G1058=$G$17,K$17,$G1058=$G$18,K$18,$G1058=$G$19,K$19,$G1058=$G$20,K$20,$G1058=$G$21,K$21,$G1058=$G$22,K$22,$G1058=$G$25,K$25,$G1058=$G$26,K$26,$G1058=$G$27,K$27,$G1058=$G$29,K$29,$G1058=$G$31,K$31,$G1058=$G$32,K$150,$G1058=$G$248,K$248,$G1058=$G$250,K$250)</f>
        <v>BG sentinel + BG lure7</v>
      </c>
      <c r="O1058" s="69" t="str">
        <f t="shared" si="86"/>
        <v>A_SP_BCN_20_211104</v>
      </c>
      <c r="P1058" s="64">
        <v>44504</v>
      </c>
      <c r="R1058" s="72"/>
      <c r="S1058" s="64">
        <v>44511</v>
      </c>
      <c r="U1058" s="72"/>
      <c r="V1058" s="54" t="s">
        <v>66</v>
      </c>
      <c r="X1058" s="69">
        <f t="shared" si="76"/>
        <v>7</v>
      </c>
      <c r="Z1058" s="45" t="s">
        <v>80</v>
      </c>
      <c r="AA1058" s="69">
        <f t="shared" si="85"/>
        <v>1</v>
      </c>
      <c r="AB1058" t="str">
        <f t="shared" si="73"/>
        <v>Adult</v>
      </c>
      <c r="AC1058" s="69">
        <v>0</v>
      </c>
      <c r="AD1058" s="69">
        <v>1</v>
      </c>
      <c r="AE1058" s="45" t="str">
        <f t="shared" si="74"/>
        <v>Morphological</v>
      </c>
      <c r="AF1058" s="56">
        <v>4</v>
      </c>
    </row>
    <row r="1059" spans="1:32" ht="18" customHeight="1" x14ac:dyDescent="0.25">
      <c r="A1059" s="45">
        <v>1055</v>
      </c>
      <c r="B1059" s="45" t="s">
        <v>60</v>
      </c>
      <c r="C1059" s="45" t="s">
        <v>61</v>
      </c>
      <c r="D1059" s="45" t="s">
        <v>62</v>
      </c>
      <c r="E1059" s="45" t="s">
        <v>62</v>
      </c>
      <c r="F1059" s="59" cm="1">
        <f t="array" ref="F1059">_xlfn.IFS($G1059=$G$5,F$5,$G1059=$G$6,F$6,$G1059=$G$7,F$7,$G1059=$G$8,F$8,$G1059=$G$9,F$9,$G1059=$G$10,F$10,$G1059=$G$11,F$11,$G1059=$G$12,F$12,$G1059=$G$13,F$13,$G1059=$G$15,F$15,$G1059=$G$16,F$16,$G1059=$G$17,F$17,$G1059=$G$18,F$18,$G1059=$G$19,F$19,$G1059=$G$20,F$20,$G1059=$G$21,F$21,$G1059=$G$22,F$22,$G1059=$G$25,F$25,$G1059=$G$26,F$26,$G1059=$G$27,F$27,$G1059=$G$29,F$29,$G1059=$G$31,F$31,$G1059=$G$32,F$32,$G1059=$G$248,F$248,$G1059=$G$250,F$250)</f>
        <v>8017</v>
      </c>
      <c r="G1059" t="s">
        <v>98</v>
      </c>
      <c r="H1059" s="60" cm="1">
        <f t="array" ref="H1059">_xlfn.IFS($G1059=$G$5,H$5,$G1059=$G$6,H$6,$G1059=$G$7,H$7,$G1059=$G$8,H$8,$G1059=$G$9,H$9,$G1059=$G$10,H$10,$G1059=$G$11,H$11,$G1059=$G$12,H$12,$G1059=$G$13,H$13,$G1059=$G$15,H$15,$G1059=$G$16,H$16,$G1059=$G$17,H$17,$G1059=$G$18,H$18,$G1059=$G$19,H$19,$G1059=$G$20,H$20,$G1059=$G$21,H$21,$G1059=$G$22,H$22,$G1059=$G$25,H$25,$G1059=$G$26,H$26,$G1059=$G$27,H$27,$G1059=$G$29,H$29,$G1059=$G$31,H$31,$G1059=$G$32,H$150,$G1059=$G$248,H$248,$G1059=$G$250,H$250)</f>
        <v>41.430315999999998</v>
      </c>
      <c r="I1059" s="60" cm="1">
        <f t="array" ref="I1059">_xlfn.IFS($G1059=$G$5,I$5,$G1059=$G$6,I$6,$G1059=$G$7,I$7,$G1059=$G$8,I$8,$G1059=$G$9,I$9,$G1059=$G$10,I$10,$G1059=$G$11,I$11,$G1059=$G$12,I$12,$G1059=$G$13,I$13,$G1059=$G$15,I$15,$G1059=$G$16,I$16,$G1059=$G$17,I$17,$G1059=$G$18,I$18,$G1059=$G$19,I$19,$G1059=$G$20,I$20,$G1059=$G$21,I$21,$G1059=$G$22,I$22,$G1059=$G$25,I$25,$G1059=$G$26,I$26,$G1059=$G$27,I$27,$G1059=$G$29,I$29,$G1059=$G$31,I$31,$G1059=$G$32,I$150,$G1059=$G$248,I$248,$G1059=$G$250,I$250)</f>
        <v>2.077556</v>
      </c>
      <c r="J1059" s="61" cm="1">
        <f t="array" ref="J1059">_xlfn.IFS($G1059=$G$5,J$5,$G1059=$G$6,J$6,$G1059=$G$7,J$7,$G1059=$G$8,J$8,$G1059=$G$9,J$9,$G1059=$G$10,J$10,$G1059=$G$11,J$11,$G1059=$G$12,J$12,$G1059=$G$13,J$13,$G1059=$G$15,J$15,$G1059=$G$16,J$16,$G1059=$G$17,J$17,$G1059=$G$18,J$18,$G1059=$G$19,J$19,$G1059=$G$20,J$20,$G1059=$G$21,J$21,$G1059=$G$22,J$22,$G1059=$G$25,J$25,$G1059=$G$26,J$26,$G1059=$G$27,J$27,$G1059=$G$29,J$29,$G1059=$G$31,J$31,$G1059=$G$32,J$150,$G1059=$G$248,J$248,$G1059=$G$250,J$250)</f>
        <v>243.3</v>
      </c>
      <c r="K1059" t="str" cm="1">
        <f t="array" ref="K1059">_xlfn.IFS($G1059=$G$5,K$5,$G1059=$G$6,K$6,$G1059=$G$7,K$7,$G1059=$G$8,K$8,$G1059=$G$9,K$9,$G1059=$G$10,K$10,$G1059=$G$11,K$11,$G1059=$G$12,K$12,$G1059=$G$13,K$13,$G1059=$G$15,K$15,$G1059=$G$16,K$16,$G1059=$G$17,K$17,$G1059=$G$18,K$18,$G1059=$G$19,K$19,$G1059=$G$20,K$20,$G1059=$G$21,K$21,$G1059=$G$22,K$22,$G1059=$G$25,K$25,$G1059=$G$26,K$26,$G1059=$G$27,K$27,$G1059=$G$29,K$29,$G1059=$G$31,K$31,$G1059=$G$32,K$150,$G1059=$G$248,K$248,$G1059=$G$250,K$250)</f>
        <v>BG sentinel + BG lure7</v>
      </c>
      <c r="O1059" s="69" t="str">
        <f t="shared" si="86"/>
        <v>A_SP_BCN_22_211103</v>
      </c>
      <c r="P1059" s="64">
        <v>44503</v>
      </c>
      <c r="R1059" s="72"/>
      <c r="S1059" s="64">
        <v>44510</v>
      </c>
      <c r="U1059" s="72"/>
      <c r="V1059" s="54" t="s">
        <v>66</v>
      </c>
      <c r="X1059" s="69">
        <f t="shared" si="76"/>
        <v>7</v>
      </c>
      <c r="Z1059" s="45" t="s">
        <v>70</v>
      </c>
      <c r="AA1059" s="69">
        <f t="shared" si="85"/>
        <v>3</v>
      </c>
      <c r="AB1059" t="str">
        <f t="shared" si="73"/>
        <v>Adult</v>
      </c>
      <c r="AC1059" s="69">
        <v>0</v>
      </c>
      <c r="AD1059" s="69">
        <v>3</v>
      </c>
      <c r="AE1059" s="45" t="str">
        <f t="shared" si="74"/>
        <v>Morphological</v>
      </c>
      <c r="AF1059" s="56">
        <v>4</v>
      </c>
    </row>
    <row r="1060" spans="1:32" ht="18" customHeight="1" x14ac:dyDescent="0.25">
      <c r="A1060" s="45">
        <v>1056</v>
      </c>
      <c r="B1060" s="45" t="s">
        <v>60</v>
      </c>
      <c r="C1060" s="45" t="s">
        <v>61</v>
      </c>
      <c r="D1060" s="45" t="s">
        <v>62</v>
      </c>
      <c r="E1060" s="45" t="s">
        <v>62</v>
      </c>
      <c r="F1060" s="59" cm="1">
        <f t="array" ref="F1060">_xlfn.IFS($G1060=$G$5,F$5,$G1060=$G$6,F$6,$G1060=$G$7,F$7,$G1060=$G$8,F$8,$G1060=$G$9,F$9,$G1060=$G$10,F$10,$G1060=$G$11,F$11,$G1060=$G$12,F$12,$G1060=$G$13,F$13,$G1060=$G$15,F$15,$G1060=$G$16,F$16,$G1060=$G$17,F$17,$G1060=$G$18,F$18,$G1060=$G$19,F$19,$G1060=$G$20,F$20,$G1060=$G$21,F$21,$G1060=$G$22,F$22,$G1060=$G$25,F$25,$G1060=$G$26,F$26,$G1060=$G$27,F$27,$G1060=$G$29,F$29,$G1060=$G$31,F$31,$G1060=$G$32,F$32,$G1060=$G$248,F$248,$G1060=$G$250,F$250)</f>
        <v>8017</v>
      </c>
      <c r="G1060" t="s">
        <v>98</v>
      </c>
      <c r="H1060" s="60" cm="1">
        <f t="array" ref="H1060">_xlfn.IFS($G1060=$G$5,H$5,$G1060=$G$6,H$6,$G1060=$G$7,H$7,$G1060=$G$8,H$8,$G1060=$G$9,H$9,$G1060=$G$10,H$10,$G1060=$G$11,H$11,$G1060=$G$12,H$12,$G1060=$G$13,H$13,$G1060=$G$15,H$15,$G1060=$G$16,H$16,$G1060=$G$17,H$17,$G1060=$G$18,H$18,$G1060=$G$19,H$19,$G1060=$G$20,H$20,$G1060=$G$21,H$21,$G1060=$G$22,H$22,$G1060=$G$25,H$25,$G1060=$G$26,H$26,$G1060=$G$27,H$27,$G1060=$G$29,H$29,$G1060=$G$31,H$31,$G1060=$G$32,H$150,$G1060=$G$248,H$248,$G1060=$G$250,H$250)</f>
        <v>41.430315999999998</v>
      </c>
      <c r="I1060" s="60" cm="1">
        <f t="array" ref="I1060">_xlfn.IFS($G1060=$G$5,I$5,$G1060=$G$6,I$6,$G1060=$G$7,I$7,$G1060=$G$8,I$8,$G1060=$G$9,I$9,$G1060=$G$10,I$10,$G1060=$G$11,I$11,$G1060=$G$12,I$12,$G1060=$G$13,I$13,$G1060=$G$15,I$15,$G1060=$G$16,I$16,$G1060=$G$17,I$17,$G1060=$G$18,I$18,$G1060=$G$19,I$19,$G1060=$G$20,I$20,$G1060=$G$21,I$21,$G1060=$G$22,I$22,$G1060=$G$25,I$25,$G1060=$G$26,I$26,$G1060=$G$27,I$27,$G1060=$G$29,I$29,$G1060=$G$31,I$31,$G1060=$G$32,I$150,$G1060=$G$248,I$248,$G1060=$G$250,I$250)</f>
        <v>2.077556</v>
      </c>
      <c r="J1060" s="61" cm="1">
        <f t="array" ref="J1060">_xlfn.IFS($G1060=$G$5,J$5,$G1060=$G$6,J$6,$G1060=$G$7,J$7,$G1060=$G$8,J$8,$G1060=$G$9,J$9,$G1060=$G$10,J$10,$G1060=$G$11,J$11,$G1060=$G$12,J$12,$G1060=$G$13,J$13,$G1060=$G$15,J$15,$G1060=$G$16,J$16,$G1060=$G$17,J$17,$G1060=$G$18,J$18,$G1060=$G$19,J$19,$G1060=$G$20,J$20,$G1060=$G$21,J$21,$G1060=$G$22,J$22,$G1060=$G$25,J$25,$G1060=$G$26,J$26,$G1060=$G$27,J$27,$G1060=$G$29,J$29,$G1060=$G$31,J$31,$G1060=$G$32,J$150,$G1060=$G$248,J$248,$G1060=$G$250,J$250)</f>
        <v>243.3</v>
      </c>
      <c r="K1060" t="str" cm="1">
        <f t="array" ref="K1060">_xlfn.IFS($G1060=$G$5,K$5,$G1060=$G$6,K$6,$G1060=$G$7,K$7,$G1060=$G$8,K$8,$G1060=$G$9,K$9,$G1060=$G$10,K$10,$G1060=$G$11,K$11,$G1060=$G$12,K$12,$G1060=$G$13,K$13,$G1060=$G$15,K$15,$G1060=$G$16,K$16,$G1060=$G$17,K$17,$G1060=$G$18,K$18,$G1060=$G$19,K$19,$G1060=$G$20,K$20,$G1060=$G$21,K$21,$G1060=$G$22,K$22,$G1060=$G$25,K$25,$G1060=$G$26,K$26,$G1060=$G$27,K$27,$G1060=$G$29,K$29,$G1060=$G$31,K$31,$G1060=$G$32,K$150,$G1060=$G$248,K$248,$G1060=$G$250,K$250)</f>
        <v>BG sentinel + BG lure7</v>
      </c>
      <c r="O1060" s="69" t="str">
        <f t="shared" si="86"/>
        <v>A_SP_BCN_22_211103</v>
      </c>
      <c r="P1060" s="64">
        <v>44503</v>
      </c>
      <c r="R1060" s="72"/>
      <c r="S1060" s="64">
        <v>44510</v>
      </c>
      <c r="U1060" s="72"/>
      <c r="V1060" s="54" t="s">
        <v>66</v>
      </c>
      <c r="X1060" s="69">
        <f t="shared" si="76"/>
        <v>7</v>
      </c>
      <c r="Z1060" s="45" t="s">
        <v>80</v>
      </c>
      <c r="AA1060" s="69">
        <f t="shared" si="85"/>
        <v>1</v>
      </c>
      <c r="AB1060" t="str">
        <f t="shared" si="73"/>
        <v>Adult</v>
      </c>
      <c r="AC1060" s="69">
        <v>0</v>
      </c>
      <c r="AD1060" s="69">
        <v>1</v>
      </c>
      <c r="AE1060" s="45" t="str">
        <f t="shared" si="74"/>
        <v>Morphological</v>
      </c>
      <c r="AF1060" s="56">
        <v>4</v>
      </c>
    </row>
    <row r="1061" spans="1:32" ht="18" customHeight="1" x14ac:dyDescent="0.25">
      <c r="A1061" s="45">
        <v>1057</v>
      </c>
      <c r="B1061" s="45" t="s">
        <v>60</v>
      </c>
      <c r="C1061" s="45" t="s">
        <v>61</v>
      </c>
      <c r="D1061" s="45" t="s">
        <v>62</v>
      </c>
      <c r="E1061" s="45" t="s">
        <v>62</v>
      </c>
      <c r="F1061" s="59" cm="1">
        <f t="array" ref="F1061">_xlfn.IFS($G1061=$G$5,F$5,$G1061=$G$6,F$6,$G1061=$G$7,F$7,$G1061=$G$8,F$8,$G1061=$G$9,F$9,$G1061=$G$10,F$10,$G1061=$G$11,F$11,$G1061=$G$12,F$12,$G1061=$G$13,F$13,$G1061=$G$15,F$15,$G1061=$G$16,F$16,$G1061=$G$17,F$17,$G1061=$G$18,F$18,$G1061=$G$19,F$19,$G1061=$G$20,F$20,$G1061=$G$21,F$21,$G1061=$G$22,F$22,$G1061=$G$25,F$25,$G1061=$G$26,F$26,$G1061=$G$27,F$27,$G1061=$G$29,F$29,$G1061=$G$31,F$31,$G1061=$G$32,F$32,$G1061=$G$248,F$248,$G1061=$G$250,F$250)</f>
        <v>8038</v>
      </c>
      <c r="G1061" t="s">
        <v>103</v>
      </c>
      <c r="H1061" s="60" cm="1">
        <f t="array" ref="H1061">_xlfn.IFS($G1061=$G$5,H$5,$G1061=$G$6,H$6,$G1061=$G$7,H$7,$G1061=$G$8,H$8,$G1061=$G$9,H$9,$G1061=$G$10,H$10,$G1061=$G$11,H$11,$G1061=$G$12,H$12,$G1061=$G$13,H$13,$G1061=$G$15,H$15,$G1061=$G$16,H$16,$G1061=$G$17,H$17,$G1061=$G$18,H$18,$G1061=$G$19,H$19,$G1061=$G$20,H$20,$G1061=$G$21,H$21,$G1061=$G$22,H$22,$G1061=$G$25,H$25,$G1061=$G$26,H$26,$G1061=$G$27,H$27,$G1061=$G$29,H$29,$G1061=$G$31,H$31,$G1061=$G$32,H$150,$G1061=$G$248,H$248,$G1061=$G$250,H$250)</f>
        <v>41.367100000000001</v>
      </c>
      <c r="I1061" s="60" cm="1">
        <f t="array" ref="I1061">_xlfn.IFS($G1061=$G$5,I$5,$G1061=$G$6,I$6,$G1061=$G$7,I$7,$G1061=$G$8,I$8,$G1061=$G$9,I$9,$G1061=$G$10,I$10,$G1061=$G$11,I$11,$G1061=$G$12,I$12,$G1061=$G$13,I$13,$G1061=$G$15,I$15,$G1061=$G$16,I$16,$G1061=$G$17,I$17,$G1061=$G$18,I$18,$G1061=$G$19,I$19,$G1061=$G$20,I$20,$G1061=$G$21,I$21,$G1061=$G$22,I$22,$G1061=$G$25,I$25,$G1061=$G$26,I$26,$G1061=$G$27,I$27,$G1061=$G$29,I$29,$G1061=$G$31,I$31,$G1061=$G$32,I$150,$G1061=$G$248,I$248,$G1061=$G$250,I$250)</f>
        <v>2.1539079999999999</v>
      </c>
      <c r="J1061" s="61" cm="1">
        <f t="array" ref="J1061">_xlfn.IFS($G1061=$G$5,J$5,$G1061=$G$6,J$6,$G1061=$G$7,J$7,$G1061=$G$8,J$8,$G1061=$G$9,J$9,$G1061=$G$10,J$10,$G1061=$G$11,J$11,$G1061=$G$12,J$12,$G1061=$G$13,J$13,$G1061=$G$15,J$15,$G1061=$G$16,J$16,$G1061=$G$17,J$17,$G1061=$G$18,J$18,$G1061=$G$19,J$19,$G1061=$G$20,J$20,$G1061=$G$21,J$21,$G1061=$G$22,J$22,$G1061=$G$25,J$25,$G1061=$G$26,J$26,$G1061=$G$27,J$27,$G1061=$G$29,J$29,$G1061=$G$31,J$31,$G1061=$G$32,J$150,$G1061=$G$248,J$248,$G1061=$G$250,J$250)</f>
        <v>68</v>
      </c>
      <c r="K1061" t="str" cm="1">
        <f t="array" ref="K1061">_xlfn.IFS($G1061=$G$5,K$5,$G1061=$G$6,K$6,$G1061=$G$7,K$7,$G1061=$G$8,K$8,$G1061=$G$9,K$9,$G1061=$G$10,K$10,$G1061=$G$11,K$11,$G1061=$G$12,K$12,$G1061=$G$13,K$13,$G1061=$G$15,K$15,$G1061=$G$16,K$16,$G1061=$G$17,K$17,$G1061=$G$18,K$18,$G1061=$G$19,K$19,$G1061=$G$20,K$20,$G1061=$G$21,K$21,$G1061=$G$22,K$22,$G1061=$G$25,K$25,$G1061=$G$26,K$26,$G1061=$G$27,K$27,$G1061=$G$29,K$29,$G1061=$G$31,K$31,$G1061=$G$32,K$150,$G1061=$G$248,K$248,$G1061=$G$250,K$250)</f>
        <v>BG sentinel + BG lure7</v>
      </c>
      <c r="O1061" s="69" t="str">
        <f t="shared" si="86"/>
        <v>A_SP_BCN_23_211104</v>
      </c>
      <c r="P1061" s="64">
        <v>44504</v>
      </c>
      <c r="R1061" s="72"/>
      <c r="S1061" s="64">
        <v>44511</v>
      </c>
      <c r="U1061" s="72"/>
      <c r="V1061" s="54" t="s">
        <v>66</v>
      </c>
      <c r="X1061" s="69">
        <f t="shared" si="76"/>
        <v>7</v>
      </c>
      <c r="Z1061" s="45" t="s">
        <v>70</v>
      </c>
      <c r="AA1061" s="69">
        <f t="shared" si="85"/>
        <v>4</v>
      </c>
      <c r="AB1061" t="str">
        <f t="shared" si="73"/>
        <v>Adult</v>
      </c>
      <c r="AC1061" s="69">
        <v>0</v>
      </c>
      <c r="AD1061" s="69">
        <v>4</v>
      </c>
      <c r="AE1061" s="45" t="str">
        <f t="shared" si="74"/>
        <v>Morphological</v>
      </c>
      <c r="AF1061" s="56">
        <v>4</v>
      </c>
    </row>
    <row r="1062" spans="1:32" ht="18" customHeight="1" x14ac:dyDescent="0.25">
      <c r="A1062" s="45">
        <v>1058</v>
      </c>
      <c r="B1062" s="45" t="s">
        <v>60</v>
      </c>
      <c r="C1062" s="45" t="s">
        <v>61</v>
      </c>
      <c r="D1062" s="45" t="s">
        <v>62</v>
      </c>
      <c r="E1062" s="45" t="s">
        <v>62</v>
      </c>
      <c r="F1062" s="59" cm="1">
        <f t="array" ref="F1062">_xlfn.IFS($G1062=$G$5,F$5,$G1062=$G$6,F$6,$G1062=$G$7,F$7,$G1062=$G$8,F$8,$G1062=$G$9,F$9,$G1062=$G$10,F$10,$G1062=$G$11,F$11,$G1062=$G$12,F$12,$G1062=$G$13,F$13,$G1062=$G$15,F$15,$G1062=$G$16,F$16,$G1062=$G$17,F$17,$G1062=$G$18,F$18,$G1062=$G$19,F$19,$G1062=$G$20,F$20,$G1062=$G$21,F$21,$G1062=$G$22,F$22,$G1062=$G$25,F$25,$G1062=$G$26,F$26,$G1062=$G$27,F$27,$G1062=$G$29,F$29,$G1062=$G$31,F$31,$G1062=$G$32,F$32,$G1062=$G$248,F$248,$G1062=$G$250,F$250)</f>
        <v>8015</v>
      </c>
      <c r="G1062" t="s">
        <v>109</v>
      </c>
      <c r="H1062" s="60" cm="1">
        <f t="array" ref="H1062">_xlfn.IFS($G1062=$G$5,H$5,$G1062=$G$6,H$6,$G1062=$G$7,H$7,$G1062=$G$8,H$8,$G1062=$G$9,H$9,$G1062=$G$10,H$10,$G1062=$G$11,H$11,$G1062=$G$12,H$12,$G1062=$G$13,H$13,$G1062=$G$15,H$15,$G1062=$G$16,H$16,$G1062=$G$17,H$17,$G1062=$G$18,H$18,$G1062=$G$19,H$19,$G1062=$G$20,H$20,$G1062=$G$21,H$21,$G1062=$G$22,H$22,$G1062=$G$25,H$25,$G1062=$G$26,H$26,$G1062=$G$27,H$27,$G1062=$G$29,H$29,$G1062=$G$31,H$31,$G1062=$G$32,H$150,$G1062=$G$248,H$248,$G1062=$G$250,H$250)</f>
        <v>41.381725000000003</v>
      </c>
      <c r="I1062" s="60" cm="1">
        <f t="array" ref="I1062">_xlfn.IFS($G1062=$G$5,I$5,$G1062=$G$6,I$6,$G1062=$G$7,I$7,$G1062=$G$8,I$8,$G1062=$G$9,I$9,$G1062=$G$10,I$10,$G1062=$G$11,I$11,$G1062=$G$12,I$12,$G1062=$G$13,I$13,$G1062=$G$15,I$15,$G1062=$G$16,I$16,$G1062=$G$17,I$17,$G1062=$G$18,I$18,$G1062=$G$19,I$19,$G1062=$G$20,I$20,$G1062=$G$21,I$21,$G1062=$G$22,I$22,$G1062=$G$25,I$25,$G1062=$G$26,I$26,$G1062=$G$27,I$27,$G1062=$G$29,I$29,$G1062=$G$31,I$31,$G1062=$G$32,I$150,$G1062=$G$248,I$248,$G1062=$G$250,I$250)</f>
        <v>2.1543679999999998</v>
      </c>
      <c r="J1062" s="61" cm="1">
        <f t="array" ref="J1062">_xlfn.IFS($G1062=$G$5,J$5,$G1062=$G$6,J$6,$G1062=$G$7,J$7,$G1062=$G$8,J$8,$G1062=$G$9,J$9,$G1062=$G$10,J$10,$G1062=$G$11,J$11,$G1062=$G$12,J$12,$G1062=$G$13,J$13,$G1062=$G$15,J$15,$G1062=$G$16,J$16,$G1062=$G$17,J$17,$G1062=$G$18,J$18,$G1062=$G$19,J$19,$G1062=$G$20,J$20,$G1062=$G$21,J$21,$G1062=$G$22,J$22,$G1062=$G$25,J$25,$G1062=$G$26,J$26,$G1062=$G$27,J$27,$G1062=$G$29,J$29,$G1062=$G$31,J$31,$G1062=$G$32,J$150,$G1062=$G$248,J$248,$G1062=$G$250,J$250)</f>
        <v>20.7</v>
      </c>
      <c r="K1062" t="str" cm="1">
        <f t="array" ref="K1062">_xlfn.IFS($G1062=$G$5,K$5,$G1062=$G$6,K$6,$G1062=$G$7,K$7,$G1062=$G$8,K$8,$G1062=$G$9,K$9,$G1062=$G$10,K$10,$G1062=$G$11,K$11,$G1062=$G$12,K$12,$G1062=$G$13,K$13,$G1062=$G$15,K$15,$G1062=$G$16,K$16,$G1062=$G$17,K$17,$G1062=$G$18,K$18,$G1062=$G$19,K$19,$G1062=$G$20,K$20,$G1062=$G$21,K$21,$G1062=$G$22,K$22,$G1062=$G$25,K$25,$G1062=$G$26,K$26,$G1062=$G$27,K$27,$G1062=$G$29,K$29,$G1062=$G$31,K$31,$G1062=$G$32,K$150,$G1062=$G$248,K$248,$G1062=$G$250,K$250)</f>
        <v>BG sentinel + BG lure7</v>
      </c>
      <c r="O1062" s="69" t="str">
        <f t="shared" si="86"/>
        <v>A_SP_BCN_24_211104</v>
      </c>
      <c r="P1062" s="64">
        <v>44504</v>
      </c>
      <c r="R1062" s="72"/>
      <c r="S1062" s="64">
        <v>44511</v>
      </c>
      <c r="U1062" s="72"/>
      <c r="V1062" s="54" t="s">
        <v>66</v>
      </c>
      <c r="X1062" s="69">
        <f t="shared" si="76"/>
        <v>7</v>
      </c>
      <c r="Z1062" s="69" t="s">
        <v>69</v>
      </c>
      <c r="AA1062" s="69">
        <f t="shared" si="85"/>
        <v>1</v>
      </c>
      <c r="AB1062" t="str">
        <f t="shared" si="73"/>
        <v>Adult</v>
      </c>
      <c r="AC1062" s="69">
        <v>1</v>
      </c>
      <c r="AD1062" s="69">
        <v>0</v>
      </c>
      <c r="AE1062" s="45" t="str">
        <f t="shared" si="74"/>
        <v>Morphological</v>
      </c>
      <c r="AF1062" s="56">
        <v>4</v>
      </c>
    </row>
    <row r="1063" spans="1:32" ht="18" customHeight="1" x14ac:dyDescent="0.25">
      <c r="A1063" s="45">
        <v>1059</v>
      </c>
      <c r="B1063" s="45" t="s">
        <v>60</v>
      </c>
      <c r="C1063" s="45" t="s">
        <v>61</v>
      </c>
      <c r="D1063" s="45" t="s">
        <v>62</v>
      </c>
      <c r="E1063" s="45" t="s">
        <v>62</v>
      </c>
      <c r="F1063" s="59" cm="1">
        <f t="array" ref="F1063">_xlfn.IFS($G1063=$G$5,F$5,$G1063=$G$6,F$6,$G1063=$G$7,F$7,$G1063=$G$8,F$8,$G1063=$G$9,F$9,$G1063=$G$10,F$10,$G1063=$G$11,F$11,$G1063=$G$12,F$12,$G1063=$G$13,F$13,$G1063=$G$15,F$15,$G1063=$G$16,F$16,$G1063=$G$17,F$17,$G1063=$G$18,F$18,$G1063=$G$19,F$19,$G1063=$G$20,F$20,$G1063=$G$21,F$21,$G1063=$G$22,F$22,$G1063=$G$25,F$25,$G1063=$G$26,F$26,$G1063=$G$27,F$27,$G1063=$G$29,F$29,$G1063=$G$31,F$31,$G1063=$G$32,F$32,$G1063=$G$248,F$248,$G1063=$G$250,F$250)</f>
        <v>8015</v>
      </c>
      <c r="G1063" t="s">
        <v>109</v>
      </c>
      <c r="H1063" s="60" cm="1">
        <f t="array" ref="H1063">_xlfn.IFS($G1063=$G$5,H$5,$G1063=$G$6,H$6,$G1063=$G$7,H$7,$G1063=$G$8,H$8,$G1063=$G$9,H$9,$G1063=$G$10,H$10,$G1063=$G$11,H$11,$G1063=$G$12,H$12,$G1063=$G$13,H$13,$G1063=$G$15,H$15,$G1063=$G$16,H$16,$G1063=$G$17,H$17,$G1063=$G$18,H$18,$G1063=$G$19,H$19,$G1063=$G$20,H$20,$G1063=$G$21,H$21,$G1063=$G$22,H$22,$G1063=$G$25,H$25,$G1063=$G$26,H$26,$G1063=$G$27,H$27,$G1063=$G$29,H$29,$G1063=$G$31,H$31,$G1063=$G$32,H$150,$G1063=$G$248,H$248,$G1063=$G$250,H$250)</f>
        <v>41.381725000000003</v>
      </c>
      <c r="I1063" s="60" cm="1">
        <f t="array" ref="I1063">_xlfn.IFS($G1063=$G$5,I$5,$G1063=$G$6,I$6,$G1063=$G$7,I$7,$G1063=$G$8,I$8,$G1063=$G$9,I$9,$G1063=$G$10,I$10,$G1063=$G$11,I$11,$G1063=$G$12,I$12,$G1063=$G$13,I$13,$G1063=$G$15,I$15,$G1063=$G$16,I$16,$G1063=$G$17,I$17,$G1063=$G$18,I$18,$G1063=$G$19,I$19,$G1063=$G$20,I$20,$G1063=$G$21,I$21,$G1063=$G$22,I$22,$G1063=$G$25,I$25,$G1063=$G$26,I$26,$G1063=$G$27,I$27,$G1063=$G$29,I$29,$G1063=$G$31,I$31,$G1063=$G$32,I$150,$G1063=$G$248,I$248,$G1063=$G$250,I$250)</f>
        <v>2.1543679999999998</v>
      </c>
      <c r="J1063" s="61" cm="1">
        <f t="array" ref="J1063">_xlfn.IFS($G1063=$G$5,J$5,$G1063=$G$6,J$6,$G1063=$G$7,J$7,$G1063=$G$8,J$8,$G1063=$G$9,J$9,$G1063=$G$10,J$10,$G1063=$G$11,J$11,$G1063=$G$12,J$12,$G1063=$G$13,J$13,$G1063=$G$15,J$15,$G1063=$G$16,J$16,$G1063=$G$17,J$17,$G1063=$G$18,J$18,$G1063=$G$19,J$19,$G1063=$G$20,J$20,$G1063=$G$21,J$21,$G1063=$G$22,J$22,$G1063=$G$25,J$25,$G1063=$G$26,J$26,$G1063=$G$27,J$27,$G1063=$G$29,J$29,$G1063=$G$31,J$31,$G1063=$G$32,J$150,$G1063=$G$248,J$248,$G1063=$G$250,J$250)</f>
        <v>20.7</v>
      </c>
      <c r="K1063" t="str" cm="1">
        <f t="array" ref="K1063">_xlfn.IFS($G1063=$G$5,K$5,$G1063=$G$6,K$6,$G1063=$G$7,K$7,$G1063=$G$8,K$8,$G1063=$G$9,K$9,$G1063=$G$10,K$10,$G1063=$G$11,K$11,$G1063=$G$12,K$12,$G1063=$G$13,K$13,$G1063=$G$15,K$15,$G1063=$G$16,K$16,$G1063=$G$17,K$17,$G1063=$G$18,K$18,$G1063=$G$19,K$19,$G1063=$G$20,K$20,$G1063=$G$21,K$21,$G1063=$G$22,K$22,$G1063=$G$25,K$25,$G1063=$G$26,K$26,$G1063=$G$27,K$27,$G1063=$G$29,K$29,$G1063=$G$31,K$31,$G1063=$G$32,K$150,$G1063=$G$248,K$248,$G1063=$G$250,K$250)</f>
        <v>BG sentinel + BG lure7</v>
      </c>
      <c r="O1063" s="69" t="str">
        <f t="shared" si="86"/>
        <v>A_SP_BCN_24_211104</v>
      </c>
      <c r="P1063" s="64">
        <v>44504</v>
      </c>
      <c r="R1063" s="72"/>
      <c r="S1063" s="64">
        <v>44511</v>
      </c>
      <c r="U1063" s="72"/>
      <c r="V1063" s="54" t="s">
        <v>66</v>
      </c>
      <c r="X1063" s="69">
        <f t="shared" si="76"/>
        <v>7</v>
      </c>
      <c r="Z1063" s="45" t="s">
        <v>70</v>
      </c>
      <c r="AA1063" s="69">
        <f t="shared" si="85"/>
        <v>1</v>
      </c>
      <c r="AB1063" t="str">
        <f t="shared" si="73"/>
        <v>Adult</v>
      </c>
      <c r="AC1063" s="69">
        <v>1</v>
      </c>
      <c r="AD1063" s="69">
        <v>0</v>
      </c>
      <c r="AE1063" s="45" t="str">
        <f t="shared" si="74"/>
        <v>Morphological</v>
      </c>
      <c r="AF1063" s="56">
        <v>4</v>
      </c>
    </row>
    <row r="1064" spans="1:32" ht="18" customHeight="1" x14ac:dyDescent="0.25">
      <c r="A1064" s="45">
        <v>1060</v>
      </c>
      <c r="B1064" s="45" t="s">
        <v>60</v>
      </c>
      <c r="C1064" s="45" t="s">
        <v>61</v>
      </c>
      <c r="D1064" s="45" t="s">
        <v>62</v>
      </c>
      <c r="E1064" s="45" t="s">
        <v>62</v>
      </c>
      <c r="F1064" s="59" cm="1">
        <f t="array" ref="F1064">_xlfn.IFS($G1064=$G$5,F$5,$G1064=$G$6,F$6,$G1064=$G$7,F$7,$G1064=$G$8,F$8,$G1064=$G$9,F$9,$G1064=$G$10,F$10,$G1064=$G$11,F$11,$G1064=$G$12,F$12,$G1064=$G$13,F$13,$G1064=$G$15,F$15,$G1064=$G$16,F$16,$G1064=$G$17,F$17,$G1064=$G$18,F$18,$G1064=$G$19,F$19,$G1064=$G$20,F$20,$G1064=$G$21,F$21,$G1064=$G$22,F$22,$G1064=$G$25,F$25,$G1064=$G$26,F$26,$G1064=$G$27,F$27,$G1064=$G$29,F$29,$G1064=$G$31,F$31,$G1064=$G$32,F$32,$G1064=$G$248,F$248,$G1064=$G$250,F$250)</f>
        <v>8024</v>
      </c>
      <c r="G1064" t="s">
        <v>63</v>
      </c>
      <c r="H1064" s="60" cm="1">
        <f t="array" ref="H1064">_xlfn.IFS($G1064=$G$5,H$5,$G1064=$G$6,H$6,$G1064=$G$7,H$7,$G1064=$G$8,H$8,$G1064=$G$9,H$9,$G1064=$G$10,H$10,$G1064=$G$11,H$11,$G1064=$G$12,H$12,$G1064=$G$13,H$13,$G1064=$G$15,H$15,$G1064=$G$16,H$16,$G1064=$G$17,H$17,$G1064=$G$18,H$18,$G1064=$G$19,H$19,$G1064=$G$20,H$20,$G1064=$G$21,H$21,$G1064=$G$22,H$22,$G1064=$G$25,H$25,$G1064=$G$26,H$26,$G1064=$G$27,H$27,$G1064=$G$29,H$29,$G1064=$G$31,H$31,$G1064=$G$32,H$150,$G1064=$G$248,H$248,$G1064=$G$250,H$250)</f>
        <v>41.413573999999997</v>
      </c>
      <c r="I1064" s="60" cm="1">
        <f t="array" ref="I1064">_xlfn.IFS($G1064=$G$5,I$5,$G1064=$G$6,I$6,$G1064=$G$7,I$7,$G1064=$G$8,I$8,$G1064=$G$9,I$9,$G1064=$G$10,I$10,$G1064=$G$11,I$11,$G1064=$G$12,I$12,$G1064=$G$13,I$13,$G1064=$G$15,I$15,$G1064=$G$16,I$16,$G1064=$G$17,I$17,$G1064=$G$18,I$18,$G1064=$G$19,I$19,$G1064=$G$20,I$20,$G1064=$G$21,I$21,$G1064=$G$22,I$22,$G1064=$G$25,I$25,$G1064=$G$26,I$26,$G1064=$G$27,I$27,$G1064=$G$29,I$29,$G1064=$G$31,I$31,$G1064=$G$32,I$150,$G1064=$G$248,I$248,$G1064=$G$250,I$250)</f>
        <v>2.1520730000000001</v>
      </c>
      <c r="J1064" s="61" cm="1">
        <f t="array" ref="J1064">_xlfn.IFS($G1064=$G$5,J$5,$G1064=$G$6,J$6,$G1064=$G$7,J$7,$G1064=$G$8,J$8,$G1064=$G$9,J$9,$G1064=$G$10,J$10,$G1064=$G$11,J$11,$G1064=$G$12,J$12,$G1064=$G$13,J$13,$G1064=$G$15,J$15,$G1064=$G$16,J$16,$G1064=$G$17,J$17,$G1064=$G$18,J$18,$G1064=$G$19,J$19,$G1064=$G$20,J$20,$G1064=$G$21,J$21,$G1064=$G$22,J$22,$G1064=$G$25,J$25,$G1064=$G$26,J$26,$G1064=$G$27,J$27,$G1064=$G$29,J$29,$G1064=$G$31,J$31,$G1064=$G$32,J$150,$G1064=$G$248,J$248,$G1064=$G$250,J$250)</f>
        <v>141</v>
      </c>
      <c r="K1064" t="str" cm="1">
        <f t="array" ref="K1064">_xlfn.IFS($G1064=$G$5,K$5,$G1064=$G$6,K$6,$G1064=$G$7,K$7,$G1064=$G$8,K$8,$G1064=$G$9,K$9,$G1064=$G$10,K$10,$G1064=$G$11,K$11,$G1064=$G$12,K$12,$G1064=$G$13,K$13,$G1064=$G$15,K$15,$G1064=$G$16,K$16,$G1064=$G$17,K$17,$G1064=$G$18,K$18,$G1064=$G$19,K$19,$G1064=$G$20,K$20,$G1064=$G$21,K$21,$G1064=$G$22,K$22,$G1064=$G$25,K$25,$G1064=$G$26,K$26,$G1064=$G$27,K$27,$G1064=$G$29,K$29,$G1064=$G$31,K$31,$G1064=$G$32,K$150,$G1064=$G$248,K$248,$G1064=$G$250,K$250)</f>
        <v>BG sentinel + BG lure7</v>
      </c>
      <c r="O1064" s="69" t="str">
        <f t="shared" si="86"/>
        <v>A_SP_BCN_1_211110</v>
      </c>
      <c r="P1064" s="64">
        <v>44510</v>
      </c>
      <c r="R1064" s="72"/>
      <c r="S1064" s="64">
        <v>44517</v>
      </c>
      <c r="U1064" s="72"/>
      <c r="V1064" s="54" t="s">
        <v>66</v>
      </c>
      <c r="X1064" s="69">
        <f t="shared" si="76"/>
        <v>7</v>
      </c>
      <c r="Z1064" s="69" t="s">
        <v>69</v>
      </c>
      <c r="AA1064" s="69">
        <f t="shared" si="85"/>
        <v>10</v>
      </c>
      <c r="AB1064" t="str">
        <f t="shared" si="73"/>
        <v>Adult</v>
      </c>
      <c r="AC1064" s="69">
        <v>7</v>
      </c>
      <c r="AD1064" s="69">
        <v>3</v>
      </c>
      <c r="AE1064" s="45" t="str">
        <f t="shared" si="74"/>
        <v>Morphological</v>
      </c>
      <c r="AF1064" s="56">
        <v>4</v>
      </c>
    </row>
    <row r="1065" spans="1:32" ht="18" customHeight="1" x14ac:dyDescent="0.25">
      <c r="A1065" s="45">
        <v>1061</v>
      </c>
      <c r="B1065" s="45" t="s">
        <v>60</v>
      </c>
      <c r="C1065" s="45" t="s">
        <v>61</v>
      </c>
      <c r="D1065" s="45" t="s">
        <v>62</v>
      </c>
      <c r="E1065" s="45" t="s">
        <v>62</v>
      </c>
      <c r="F1065" s="59" cm="1">
        <f t="array" ref="F1065">_xlfn.IFS($G1065=$G$5,F$5,$G1065=$G$6,F$6,$G1065=$G$7,F$7,$G1065=$G$8,F$8,$G1065=$G$9,F$9,$G1065=$G$10,F$10,$G1065=$G$11,F$11,$G1065=$G$12,F$12,$G1065=$G$13,F$13,$G1065=$G$15,F$15,$G1065=$G$16,F$16,$G1065=$G$17,F$17,$G1065=$G$18,F$18,$G1065=$G$19,F$19,$G1065=$G$20,F$20,$G1065=$G$21,F$21,$G1065=$G$22,F$22,$G1065=$G$25,F$25,$G1065=$G$26,F$26,$G1065=$G$27,F$27,$G1065=$G$29,F$29,$G1065=$G$31,F$31,$G1065=$G$32,F$32,$G1065=$G$248,F$248,$G1065=$G$250,F$250)</f>
        <v>8035</v>
      </c>
      <c r="G1065" t="s">
        <v>67</v>
      </c>
      <c r="H1065" s="60" cm="1">
        <f t="array" ref="H1065">_xlfn.IFS($G1065=$G$5,H$5,$G1065=$G$6,H$6,$G1065=$G$7,H$7,$G1065=$G$8,H$8,$G1065=$G$9,H$9,$G1065=$G$10,H$10,$G1065=$G$11,H$11,$G1065=$G$12,H$12,$G1065=$G$13,H$13,$G1065=$G$15,H$15,$G1065=$G$16,H$16,$G1065=$G$17,H$17,$G1065=$G$18,H$18,$G1065=$G$19,H$19,$G1065=$G$20,H$20,$G1065=$G$21,H$21,$G1065=$G$22,H$22,$G1065=$G$25,H$25,$G1065=$G$26,H$26,$G1065=$G$27,H$27,$G1065=$G$29,H$29,$G1065=$G$31,H$31,$G1065=$G$32,H$150,$G1065=$G$248,H$248,$G1065=$G$250,H$250)</f>
        <v>41.424387000000003</v>
      </c>
      <c r="I1065" s="60" cm="1">
        <f t="array" ref="I1065">_xlfn.IFS($G1065=$G$5,I$5,$G1065=$G$6,I$6,$G1065=$G$7,I$7,$G1065=$G$8,I$8,$G1065=$G$9,I$9,$G1065=$G$10,I$10,$G1065=$G$11,I$11,$G1065=$G$12,I$12,$G1065=$G$13,I$13,$G1065=$G$15,I$15,$G1065=$G$16,I$16,$G1065=$G$17,I$17,$G1065=$G$18,I$18,$G1065=$G$19,I$19,$G1065=$G$20,I$20,$G1065=$G$21,I$21,$G1065=$G$22,I$22,$G1065=$G$25,I$25,$G1065=$G$26,I$26,$G1065=$G$27,I$27,$G1065=$G$29,I$29,$G1065=$G$31,I$31,$G1065=$G$32,I$150,$G1065=$G$248,I$248,$G1065=$G$250,I$250)</f>
        <v>2.1431439999999999</v>
      </c>
      <c r="J1065" s="61" cm="1">
        <f t="array" ref="J1065">_xlfn.IFS($G1065=$G$5,J$5,$G1065=$G$6,J$6,$G1065=$G$7,J$7,$G1065=$G$8,J$8,$G1065=$G$9,J$9,$G1065=$G$10,J$10,$G1065=$G$11,J$11,$G1065=$G$12,J$12,$G1065=$G$13,J$13,$G1065=$G$15,J$15,$G1065=$G$16,J$16,$G1065=$G$17,J$17,$G1065=$G$18,J$18,$G1065=$G$19,J$19,$G1065=$G$20,J$20,$G1065=$G$21,J$21,$G1065=$G$22,J$22,$G1065=$G$25,J$25,$G1065=$G$26,J$26,$G1065=$G$27,J$27,$G1065=$G$29,J$29,$G1065=$G$31,J$31,$G1065=$G$32,J$150,$G1065=$G$248,J$248,$G1065=$G$250,J$250)</f>
        <v>160</v>
      </c>
      <c r="K1065" t="str" cm="1">
        <f t="array" ref="K1065">_xlfn.IFS($G1065=$G$5,K$5,$G1065=$G$6,K$6,$G1065=$G$7,K$7,$G1065=$G$8,K$8,$G1065=$G$9,K$9,$G1065=$G$10,K$10,$G1065=$G$11,K$11,$G1065=$G$12,K$12,$G1065=$G$13,K$13,$G1065=$G$15,K$15,$G1065=$G$16,K$16,$G1065=$G$17,K$17,$G1065=$G$18,K$18,$G1065=$G$19,K$19,$G1065=$G$20,K$20,$G1065=$G$21,K$21,$G1065=$G$22,K$22,$G1065=$G$25,K$25,$G1065=$G$26,K$26,$G1065=$G$27,K$27,$G1065=$G$29,K$29,$G1065=$G$31,K$31,$G1065=$G$32,K$150,$G1065=$G$248,K$248,$G1065=$G$250,K$250)</f>
        <v>BG sentinel + BG lure7</v>
      </c>
      <c r="O1065" s="69" t="str">
        <f t="shared" si="86"/>
        <v>A_SP_BCN_2_211110</v>
      </c>
      <c r="P1065" s="64">
        <v>44510</v>
      </c>
      <c r="R1065" s="72"/>
      <c r="S1065" s="64">
        <v>44517</v>
      </c>
      <c r="U1065" s="72"/>
      <c r="V1065" s="79" t="s">
        <v>176</v>
      </c>
      <c r="X1065" s="69">
        <f t="shared" si="76"/>
        <v>7</v>
      </c>
      <c r="AB1065" t="str">
        <f t="shared" si="73"/>
        <v/>
      </c>
      <c r="AE1065" s="45" t="str">
        <f t="shared" si="74"/>
        <v/>
      </c>
      <c r="AF1065">
        <v>1</v>
      </c>
    </row>
    <row r="1066" spans="1:32" ht="18" customHeight="1" x14ac:dyDescent="0.25">
      <c r="A1066" s="45">
        <v>1062</v>
      </c>
      <c r="B1066" s="45" t="s">
        <v>60</v>
      </c>
      <c r="C1066" s="45" t="s">
        <v>61</v>
      </c>
      <c r="D1066" s="45" t="s">
        <v>62</v>
      </c>
      <c r="E1066" s="45" t="s">
        <v>62</v>
      </c>
      <c r="F1066" s="59" cm="1">
        <f t="array" ref="F1066">_xlfn.IFS($G1066=$G$5,F$5,$G1066=$G$6,F$6,$G1066=$G$7,F$7,$G1066=$G$8,F$8,$G1066=$G$9,F$9,$G1066=$G$10,F$10,$G1066=$G$11,F$11,$G1066=$G$12,F$12,$G1066=$G$13,F$13,$G1066=$G$15,F$15,$G1066=$G$16,F$16,$G1066=$G$17,F$17,$G1066=$G$18,F$18,$G1066=$G$19,F$19,$G1066=$G$20,F$20,$G1066=$G$21,F$21,$G1066=$G$22,F$22,$G1066=$G$25,F$25,$G1066=$G$26,F$26,$G1066=$G$27,F$27,$G1066=$G$29,F$29,$G1066=$G$31,F$31,$G1066=$G$32,F$32,$G1066=$G$248,F$248,$G1066=$G$250,F$250)</f>
        <v>8016</v>
      </c>
      <c r="G1066" t="s">
        <v>68</v>
      </c>
      <c r="H1066" s="60" cm="1">
        <f t="array" ref="H1066">_xlfn.IFS($G1066=$G$5,H$5,$G1066=$G$6,H$6,$G1066=$G$7,H$7,$G1066=$G$8,H$8,$G1066=$G$9,H$9,$G1066=$G$10,H$10,$G1066=$G$11,H$11,$G1066=$G$12,H$12,$G1066=$G$13,H$13,$G1066=$G$15,H$15,$G1066=$G$16,H$16,$G1066=$G$17,H$17,$G1066=$G$18,H$18,$G1066=$G$19,H$19,$G1066=$G$20,H$20,$G1066=$G$21,H$21,$G1066=$G$22,H$22,$G1066=$G$25,H$25,$G1066=$G$26,H$26,$G1066=$G$27,H$27,$G1066=$G$29,H$29,$G1066=$G$31,H$31,$G1066=$G$32,H$150,$G1066=$G$248,H$248,$G1066=$G$250,H$250)</f>
        <v>41.437435000000001</v>
      </c>
      <c r="I1066" s="60" cm="1">
        <f t="array" ref="I1066">_xlfn.IFS($G1066=$G$5,I$5,$G1066=$G$6,I$6,$G1066=$G$7,I$7,$G1066=$G$8,I$8,$G1066=$G$9,I$9,$G1066=$G$10,I$10,$G1066=$G$11,I$11,$G1066=$G$12,I$12,$G1066=$G$13,I$13,$G1066=$G$15,I$15,$G1066=$G$16,I$16,$G1066=$G$17,I$17,$G1066=$G$18,I$18,$G1066=$G$19,I$19,$G1066=$G$20,I$20,$G1066=$G$21,I$21,$G1066=$G$22,I$22,$G1066=$G$25,I$25,$G1066=$G$26,I$26,$G1066=$G$27,I$27,$G1066=$G$29,I$29,$G1066=$G$31,I$31,$G1066=$G$32,I$150,$G1066=$G$248,I$248,$G1066=$G$250,I$250)</f>
        <v>2.1812779999999998</v>
      </c>
      <c r="J1066" s="61" cm="1">
        <f t="array" ref="J1066">_xlfn.IFS($G1066=$G$5,J$5,$G1066=$G$6,J$6,$G1066=$G$7,J$7,$G1066=$G$8,J$8,$G1066=$G$9,J$9,$G1066=$G$10,J$10,$G1066=$G$11,J$11,$G1066=$G$12,J$12,$G1066=$G$13,J$13,$G1066=$G$15,J$15,$G1066=$G$16,J$16,$G1066=$G$17,J$17,$G1066=$G$18,J$18,$G1066=$G$19,J$19,$G1066=$G$20,J$20,$G1066=$G$21,J$21,$G1066=$G$22,J$22,$G1066=$G$25,J$25,$G1066=$G$26,J$26,$G1066=$G$27,J$27,$G1066=$G$29,J$29,$G1066=$G$31,J$31,$G1066=$G$32,J$150,$G1066=$G$248,J$248,$G1066=$G$250,J$250)</f>
        <v>47</v>
      </c>
      <c r="K1066" t="str" cm="1">
        <f t="array" ref="K1066">_xlfn.IFS($G1066=$G$5,K$5,$G1066=$G$6,K$6,$G1066=$G$7,K$7,$G1066=$G$8,K$8,$G1066=$G$9,K$9,$G1066=$G$10,K$10,$G1066=$G$11,K$11,$G1066=$G$12,K$12,$G1066=$G$13,K$13,$G1066=$G$15,K$15,$G1066=$G$16,K$16,$G1066=$G$17,K$17,$G1066=$G$18,K$18,$G1066=$G$19,K$19,$G1066=$G$20,K$20,$G1066=$G$21,K$21,$G1066=$G$22,K$22,$G1066=$G$25,K$25,$G1066=$G$26,K$26,$G1066=$G$27,K$27,$G1066=$G$29,K$29,$G1066=$G$31,K$31,$G1066=$G$32,K$150,$G1066=$G$248,K$248,$G1066=$G$250,K$250)</f>
        <v>BG sentinel + BG lure7</v>
      </c>
      <c r="O1066" s="69" t="str">
        <f t="shared" si="86"/>
        <v>A_SP_BCN_3_211110</v>
      </c>
      <c r="P1066" s="64">
        <v>44510</v>
      </c>
      <c r="R1066" s="72"/>
      <c r="S1066" s="64">
        <v>44517</v>
      </c>
      <c r="U1066" s="72"/>
      <c r="V1066" s="54" t="s">
        <v>66</v>
      </c>
      <c r="X1066" s="69">
        <f t="shared" si="76"/>
        <v>7</v>
      </c>
      <c r="Z1066" s="45" t="s">
        <v>70</v>
      </c>
      <c r="AA1066" s="69">
        <f t="shared" ref="AA1066:AA1078" si="87">SUM(AC1066:AD1066)</f>
        <v>1</v>
      </c>
      <c r="AB1066" t="str">
        <f t="shared" si="73"/>
        <v>Adult</v>
      </c>
      <c r="AC1066" s="69">
        <v>1</v>
      </c>
      <c r="AD1066" s="69">
        <v>0</v>
      </c>
      <c r="AE1066" s="45" t="str">
        <f t="shared" si="74"/>
        <v>Morphological</v>
      </c>
      <c r="AF1066" s="56">
        <v>4</v>
      </c>
    </row>
    <row r="1067" spans="1:32" ht="18" customHeight="1" x14ac:dyDescent="0.25">
      <c r="A1067" s="45">
        <v>1063</v>
      </c>
      <c r="B1067" s="45" t="s">
        <v>60</v>
      </c>
      <c r="C1067" s="45" t="s">
        <v>61</v>
      </c>
      <c r="D1067" s="45" t="s">
        <v>62</v>
      </c>
      <c r="E1067" s="45" t="s">
        <v>62</v>
      </c>
      <c r="F1067" s="59" cm="1">
        <f t="array" ref="F1067">_xlfn.IFS($G1067=$G$5,F$5,$G1067=$G$6,F$6,$G1067=$G$7,F$7,$G1067=$G$8,F$8,$G1067=$G$9,F$9,$G1067=$G$10,F$10,$G1067=$G$11,F$11,$G1067=$G$12,F$12,$G1067=$G$13,F$13,$G1067=$G$15,F$15,$G1067=$G$16,F$16,$G1067=$G$17,F$17,$G1067=$G$18,F$18,$G1067=$G$19,F$19,$G1067=$G$20,F$20,$G1067=$G$21,F$21,$G1067=$G$22,F$22,$G1067=$G$25,F$25,$G1067=$G$26,F$26,$G1067=$G$27,F$27,$G1067=$G$29,F$29,$G1067=$G$31,F$31,$G1067=$G$32,F$32,$G1067=$G$248,F$248,$G1067=$G$250,F$250)</f>
        <v>8016</v>
      </c>
      <c r="G1067" t="s">
        <v>68</v>
      </c>
      <c r="H1067" s="60" cm="1">
        <f t="array" ref="H1067">_xlfn.IFS($G1067=$G$5,H$5,$G1067=$G$6,H$6,$G1067=$G$7,H$7,$G1067=$G$8,H$8,$G1067=$G$9,H$9,$G1067=$G$10,H$10,$G1067=$G$11,H$11,$G1067=$G$12,H$12,$G1067=$G$13,H$13,$G1067=$G$15,H$15,$G1067=$G$16,H$16,$G1067=$G$17,H$17,$G1067=$G$18,H$18,$G1067=$G$19,H$19,$G1067=$G$20,H$20,$G1067=$G$21,H$21,$G1067=$G$22,H$22,$G1067=$G$25,H$25,$G1067=$G$26,H$26,$G1067=$G$27,H$27,$G1067=$G$29,H$29,$G1067=$G$31,H$31,$G1067=$G$32,H$150,$G1067=$G$248,H$248,$G1067=$G$250,H$250)</f>
        <v>41.437435000000001</v>
      </c>
      <c r="I1067" s="60" cm="1">
        <f t="array" ref="I1067">_xlfn.IFS($G1067=$G$5,I$5,$G1067=$G$6,I$6,$G1067=$G$7,I$7,$G1067=$G$8,I$8,$G1067=$G$9,I$9,$G1067=$G$10,I$10,$G1067=$G$11,I$11,$G1067=$G$12,I$12,$G1067=$G$13,I$13,$G1067=$G$15,I$15,$G1067=$G$16,I$16,$G1067=$G$17,I$17,$G1067=$G$18,I$18,$G1067=$G$19,I$19,$G1067=$G$20,I$20,$G1067=$G$21,I$21,$G1067=$G$22,I$22,$G1067=$G$25,I$25,$G1067=$G$26,I$26,$G1067=$G$27,I$27,$G1067=$G$29,I$29,$G1067=$G$31,I$31,$G1067=$G$32,I$150,$G1067=$G$248,I$248,$G1067=$G$250,I$250)</f>
        <v>2.1812779999999998</v>
      </c>
      <c r="J1067" s="61" cm="1">
        <f t="array" ref="J1067">_xlfn.IFS($G1067=$G$5,J$5,$G1067=$G$6,J$6,$G1067=$G$7,J$7,$G1067=$G$8,J$8,$G1067=$G$9,J$9,$G1067=$G$10,J$10,$G1067=$G$11,J$11,$G1067=$G$12,J$12,$G1067=$G$13,J$13,$G1067=$G$15,J$15,$G1067=$G$16,J$16,$G1067=$G$17,J$17,$G1067=$G$18,J$18,$G1067=$G$19,J$19,$G1067=$G$20,J$20,$G1067=$G$21,J$21,$G1067=$G$22,J$22,$G1067=$G$25,J$25,$G1067=$G$26,J$26,$G1067=$G$27,J$27,$G1067=$G$29,J$29,$G1067=$G$31,J$31,$G1067=$G$32,J$150,$G1067=$G$248,J$248,$G1067=$G$250,J$250)</f>
        <v>47</v>
      </c>
      <c r="K1067" t="str" cm="1">
        <f t="array" ref="K1067">_xlfn.IFS($G1067=$G$5,K$5,$G1067=$G$6,K$6,$G1067=$G$7,K$7,$G1067=$G$8,K$8,$G1067=$G$9,K$9,$G1067=$G$10,K$10,$G1067=$G$11,K$11,$G1067=$G$12,K$12,$G1067=$G$13,K$13,$G1067=$G$15,K$15,$G1067=$G$16,K$16,$G1067=$G$17,K$17,$G1067=$G$18,K$18,$G1067=$G$19,K$19,$G1067=$G$20,K$20,$G1067=$G$21,K$21,$G1067=$G$22,K$22,$G1067=$G$25,K$25,$G1067=$G$26,K$26,$G1067=$G$27,K$27,$G1067=$G$29,K$29,$G1067=$G$31,K$31,$G1067=$G$32,K$150,$G1067=$G$248,K$248,$G1067=$G$250,K$250)</f>
        <v>BG sentinel + BG lure7</v>
      </c>
      <c r="O1067" s="69" t="str">
        <f t="shared" si="86"/>
        <v>A_SP_BCN_3_211110</v>
      </c>
      <c r="P1067" s="64">
        <v>44510</v>
      </c>
      <c r="R1067" s="72"/>
      <c r="S1067" s="64">
        <v>44517</v>
      </c>
      <c r="U1067" s="72"/>
      <c r="V1067" s="54" t="s">
        <v>66</v>
      </c>
      <c r="X1067" s="69">
        <f t="shared" si="76"/>
        <v>7</v>
      </c>
      <c r="Z1067" s="45" t="s">
        <v>80</v>
      </c>
      <c r="AA1067" s="69">
        <f t="shared" si="87"/>
        <v>1</v>
      </c>
      <c r="AB1067" t="str">
        <f t="shared" si="73"/>
        <v>Adult</v>
      </c>
      <c r="AC1067" s="69">
        <v>0</v>
      </c>
      <c r="AD1067" s="69">
        <v>1</v>
      </c>
      <c r="AE1067" s="45" t="str">
        <f t="shared" si="74"/>
        <v>Morphological</v>
      </c>
      <c r="AF1067" s="56">
        <v>4</v>
      </c>
    </row>
    <row r="1068" spans="1:32" ht="18" customHeight="1" x14ac:dyDescent="0.25">
      <c r="A1068" s="45">
        <v>1064</v>
      </c>
      <c r="B1068" s="45" t="s">
        <v>60</v>
      </c>
      <c r="C1068" s="45" t="s">
        <v>61</v>
      </c>
      <c r="D1068" s="45" t="s">
        <v>62</v>
      </c>
      <c r="E1068" s="45" t="s">
        <v>62</v>
      </c>
      <c r="F1068" s="59" cm="1">
        <f t="array" ref="F1068">_xlfn.IFS($G1068=$G$5,F$5,$G1068=$G$6,F$6,$G1068=$G$7,F$7,$G1068=$G$8,F$8,$G1068=$G$9,F$9,$G1068=$G$10,F$10,$G1068=$G$11,F$11,$G1068=$G$12,F$12,$G1068=$G$13,F$13,$G1068=$G$15,F$15,$G1068=$G$16,F$16,$G1068=$G$17,F$17,$G1068=$G$18,F$18,$G1068=$G$19,F$19,$G1068=$G$20,F$20,$G1068=$G$21,F$21,$G1068=$G$22,F$22,$G1068=$G$25,F$25,$G1068=$G$26,F$26,$G1068=$G$27,F$27,$G1068=$G$29,F$29,$G1068=$G$31,F$31,$G1068=$G$32,F$32,$G1068=$G$248,F$248,$G1068=$G$250,F$250)</f>
        <v>8018</v>
      </c>
      <c r="G1068" t="s">
        <v>71</v>
      </c>
      <c r="H1068" s="60" cm="1">
        <f t="array" ref="H1068">_xlfn.IFS($G1068=$G$5,H$5,$G1068=$G$6,H$6,$G1068=$G$7,H$7,$G1068=$G$8,H$8,$G1068=$G$9,H$9,$G1068=$G$10,H$10,$G1068=$G$11,H$11,$G1068=$G$12,H$12,$G1068=$G$13,H$13,$G1068=$G$15,H$15,$G1068=$G$16,H$16,$G1068=$G$17,H$17,$G1068=$G$18,H$18,$G1068=$G$19,H$19,$G1068=$G$20,H$20,$G1068=$G$21,H$21,$G1068=$G$22,H$22,$G1068=$G$25,H$25,$G1068=$G$26,H$26,$G1068=$G$27,H$27,$G1068=$G$29,H$29,$G1068=$G$31,H$31,$G1068=$G$32,H$150,$G1068=$G$248,H$248,$G1068=$G$250,H$250)</f>
        <v>41.410684000000003</v>
      </c>
      <c r="I1068" s="60" cm="1">
        <f t="array" ref="I1068">_xlfn.IFS($G1068=$G$5,I$5,$G1068=$G$6,I$6,$G1068=$G$7,I$7,$G1068=$G$8,I$8,$G1068=$G$9,I$9,$G1068=$G$10,I$10,$G1068=$G$11,I$11,$G1068=$G$12,I$12,$G1068=$G$13,I$13,$G1068=$G$15,I$15,$G1068=$G$16,I$16,$G1068=$G$17,I$17,$G1068=$G$18,I$18,$G1068=$G$19,I$19,$G1068=$G$20,I$20,$G1068=$G$21,I$21,$G1068=$G$22,I$22,$G1068=$G$25,I$25,$G1068=$G$26,I$26,$G1068=$G$27,I$27,$G1068=$G$29,I$29,$G1068=$G$31,I$31,$G1068=$G$32,I$150,$G1068=$G$248,I$248,$G1068=$G$250,I$250)</f>
        <v>2.2208019999999999</v>
      </c>
      <c r="J1068" s="61" cm="1">
        <f t="array" ref="J1068">_xlfn.IFS($G1068=$G$5,J$5,$G1068=$G$6,J$6,$G1068=$G$7,J$7,$G1068=$G$8,J$8,$G1068=$G$9,J$9,$G1068=$G$10,J$10,$G1068=$G$11,J$11,$G1068=$G$12,J$12,$G1068=$G$13,J$13,$G1068=$G$15,J$15,$G1068=$G$16,J$16,$G1068=$G$17,J$17,$G1068=$G$18,J$18,$G1068=$G$19,J$19,$G1068=$G$20,J$20,$G1068=$G$21,J$21,$G1068=$G$22,J$22,$G1068=$G$25,J$25,$G1068=$G$26,J$26,$G1068=$G$27,J$27,$G1068=$G$29,J$29,$G1068=$G$31,J$31,$G1068=$G$32,J$150,$G1068=$G$248,J$248,$G1068=$G$250,J$250)</f>
        <v>4</v>
      </c>
      <c r="K1068" t="str" cm="1">
        <f t="array" ref="K1068">_xlfn.IFS($G1068=$G$5,K$5,$G1068=$G$6,K$6,$G1068=$G$7,K$7,$G1068=$G$8,K$8,$G1068=$G$9,K$9,$G1068=$G$10,K$10,$G1068=$G$11,K$11,$G1068=$G$12,K$12,$G1068=$G$13,K$13,$G1068=$G$15,K$15,$G1068=$G$16,K$16,$G1068=$G$17,K$17,$G1068=$G$18,K$18,$G1068=$G$19,K$19,$G1068=$G$20,K$20,$G1068=$G$21,K$21,$G1068=$G$22,K$22,$G1068=$G$25,K$25,$G1068=$G$26,K$26,$G1068=$G$27,K$27,$G1068=$G$29,K$29,$G1068=$G$31,K$31,$G1068=$G$32,K$150,$G1068=$G$248,K$248,$G1068=$G$250,K$250)</f>
        <v>BG sentinel + BG lure7</v>
      </c>
      <c r="O1068" s="69" t="str">
        <f t="shared" si="86"/>
        <v>A_SP_BCN_4_211111</v>
      </c>
      <c r="P1068" s="64">
        <v>44511</v>
      </c>
      <c r="R1068" s="72"/>
      <c r="S1068" s="64">
        <v>44518</v>
      </c>
      <c r="U1068" s="72"/>
      <c r="V1068" s="54" t="s">
        <v>66</v>
      </c>
      <c r="X1068" s="69">
        <f t="shared" ref="X1068:X1131" si="88">S1068-P1068</f>
        <v>7</v>
      </c>
      <c r="Z1068" s="69" t="s">
        <v>69</v>
      </c>
      <c r="AA1068" s="69">
        <f t="shared" si="87"/>
        <v>1</v>
      </c>
      <c r="AB1068" t="str">
        <f t="shared" si="73"/>
        <v>Adult</v>
      </c>
      <c r="AC1068" s="69">
        <v>1</v>
      </c>
      <c r="AD1068" s="69">
        <v>0</v>
      </c>
      <c r="AE1068" s="45" t="str">
        <f t="shared" si="74"/>
        <v>Morphological</v>
      </c>
      <c r="AF1068" s="56">
        <v>4</v>
      </c>
    </row>
    <row r="1069" spans="1:32" ht="18" customHeight="1" x14ac:dyDescent="0.25">
      <c r="A1069" s="45">
        <v>1065</v>
      </c>
      <c r="B1069" s="45" t="s">
        <v>60</v>
      </c>
      <c r="C1069" s="45" t="s">
        <v>61</v>
      </c>
      <c r="D1069" s="45" t="s">
        <v>62</v>
      </c>
      <c r="E1069" s="45" t="s">
        <v>62</v>
      </c>
      <c r="F1069" s="59" cm="1">
        <f t="array" ref="F1069">_xlfn.IFS($G1069=$G$5,F$5,$G1069=$G$6,F$6,$G1069=$G$7,F$7,$G1069=$G$8,F$8,$G1069=$G$9,F$9,$G1069=$G$10,F$10,$G1069=$G$11,F$11,$G1069=$G$12,F$12,$G1069=$G$13,F$13,$G1069=$G$15,F$15,$G1069=$G$16,F$16,$G1069=$G$17,F$17,$G1069=$G$18,F$18,$G1069=$G$19,F$19,$G1069=$G$20,F$20,$G1069=$G$21,F$21,$G1069=$G$22,F$22,$G1069=$G$25,F$25,$G1069=$G$26,F$26,$G1069=$G$27,F$27,$G1069=$G$29,F$29,$G1069=$G$31,F$31,$G1069=$G$32,F$32,$G1069=$G$248,F$248,$G1069=$G$250,F$250)</f>
        <v>8018</v>
      </c>
      <c r="G1069" t="s">
        <v>71</v>
      </c>
      <c r="H1069" s="60" cm="1">
        <f t="array" ref="H1069">_xlfn.IFS($G1069=$G$5,H$5,$G1069=$G$6,H$6,$G1069=$G$7,H$7,$G1069=$G$8,H$8,$G1069=$G$9,H$9,$G1069=$G$10,H$10,$G1069=$G$11,H$11,$G1069=$G$12,H$12,$G1069=$G$13,H$13,$G1069=$G$15,H$15,$G1069=$G$16,H$16,$G1069=$G$17,H$17,$G1069=$G$18,H$18,$G1069=$G$19,H$19,$G1069=$G$20,H$20,$G1069=$G$21,H$21,$G1069=$G$22,H$22,$G1069=$G$25,H$25,$G1069=$G$26,H$26,$G1069=$G$27,H$27,$G1069=$G$29,H$29,$G1069=$G$31,H$31,$G1069=$G$32,H$150,$G1069=$G$248,H$248,$G1069=$G$250,H$250)</f>
        <v>41.410684000000003</v>
      </c>
      <c r="I1069" s="60" cm="1">
        <f t="array" ref="I1069">_xlfn.IFS($G1069=$G$5,I$5,$G1069=$G$6,I$6,$G1069=$G$7,I$7,$G1069=$G$8,I$8,$G1069=$G$9,I$9,$G1069=$G$10,I$10,$G1069=$G$11,I$11,$G1069=$G$12,I$12,$G1069=$G$13,I$13,$G1069=$G$15,I$15,$G1069=$G$16,I$16,$G1069=$G$17,I$17,$G1069=$G$18,I$18,$G1069=$G$19,I$19,$G1069=$G$20,I$20,$G1069=$G$21,I$21,$G1069=$G$22,I$22,$G1069=$G$25,I$25,$G1069=$G$26,I$26,$G1069=$G$27,I$27,$G1069=$G$29,I$29,$G1069=$G$31,I$31,$G1069=$G$32,I$150,$G1069=$G$248,I$248,$G1069=$G$250,I$250)</f>
        <v>2.2208019999999999</v>
      </c>
      <c r="J1069" s="61" cm="1">
        <f t="array" ref="J1069">_xlfn.IFS($G1069=$G$5,J$5,$G1069=$G$6,J$6,$G1069=$G$7,J$7,$G1069=$G$8,J$8,$G1069=$G$9,J$9,$G1069=$G$10,J$10,$G1069=$G$11,J$11,$G1069=$G$12,J$12,$G1069=$G$13,J$13,$G1069=$G$15,J$15,$G1069=$G$16,J$16,$G1069=$G$17,J$17,$G1069=$G$18,J$18,$G1069=$G$19,J$19,$G1069=$G$20,J$20,$G1069=$G$21,J$21,$G1069=$G$22,J$22,$G1069=$G$25,J$25,$G1069=$G$26,J$26,$G1069=$G$27,J$27,$G1069=$G$29,J$29,$G1069=$G$31,J$31,$G1069=$G$32,J$150,$G1069=$G$248,J$248,$G1069=$G$250,J$250)</f>
        <v>4</v>
      </c>
      <c r="K1069" t="str" cm="1">
        <f t="array" ref="K1069">_xlfn.IFS($G1069=$G$5,K$5,$G1069=$G$6,K$6,$G1069=$G$7,K$7,$G1069=$G$8,K$8,$G1069=$G$9,K$9,$G1069=$G$10,K$10,$G1069=$G$11,K$11,$G1069=$G$12,K$12,$G1069=$G$13,K$13,$G1069=$G$15,K$15,$G1069=$G$16,K$16,$G1069=$G$17,K$17,$G1069=$G$18,K$18,$G1069=$G$19,K$19,$G1069=$G$20,K$20,$G1069=$G$21,K$21,$G1069=$G$22,K$22,$G1069=$G$25,K$25,$G1069=$G$26,K$26,$G1069=$G$27,K$27,$G1069=$G$29,K$29,$G1069=$G$31,K$31,$G1069=$G$32,K$150,$G1069=$G$248,K$248,$G1069=$G$250,K$250)</f>
        <v>BG sentinel + BG lure7</v>
      </c>
      <c r="O1069" s="69" t="str">
        <f t="shared" si="86"/>
        <v>A_SP_BCN_4_211111</v>
      </c>
      <c r="P1069" s="64">
        <v>44511</v>
      </c>
      <c r="R1069" s="72"/>
      <c r="S1069" s="64">
        <v>44518</v>
      </c>
      <c r="U1069" s="72"/>
      <c r="V1069" s="54" t="s">
        <v>66</v>
      </c>
      <c r="X1069" s="69">
        <f t="shared" si="88"/>
        <v>7</v>
      </c>
      <c r="Z1069" s="45" t="s">
        <v>70</v>
      </c>
      <c r="AA1069" s="69">
        <f t="shared" si="87"/>
        <v>3</v>
      </c>
      <c r="AB1069" t="str">
        <f t="shared" si="73"/>
        <v>Adult</v>
      </c>
      <c r="AC1069" s="69">
        <v>2</v>
      </c>
      <c r="AD1069" s="69">
        <v>1</v>
      </c>
      <c r="AE1069" s="45" t="str">
        <f t="shared" si="74"/>
        <v>Morphological</v>
      </c>
      <c r="AF1069" s="56">
        <v>4</v>
      </c>
    </row>
    <row r="1070" spans="1:32" ht="18" customHeight="1" x14ac:dyDescent="0.25">
      <c r="A1070" s="45">
        <v>1066</v>
      </c>
      <c r="B1070" s="45" t="s">
        <v>60</v>
      </c>
      <c r="C1070" s="45" t="s">
        <v>61</v>
      </c>
      <c r="D1070" s="45" t="s">
        <v>62</v>
      </c>
      <c r="E1070" s="45" t="s">
        <v>62</v>
      </c>
      <c r="F1070" s="59" cm="1">
        <f t="array" ref="F1070">_xlfn.IFS($G1070=$G$5,F$5,$G1070=$G$6,F$6,$G1070=$G$7,F$7,$G1070=$G$8,F$8,$G1070=$G$9,F$9,$G1070=$G$10,F$10,$G1070=$G$11,F$11,$G1070=$G$12,F$12,$G1070=$G$13,F$13,$G1070=$G$15,F$15,$G1070=$G$16,F$16,$G1070=$G$17,F$17,$G1070=$G$18,F$18,$G1070=$G$19,F$19,$G1070=$G$20,F$20,$G1070=$G$21,F$21,$G1070=$G$22,F$22,$G1070=$G$25,F$25,$G1070=$G$26,F$26,$G1070=$G$27,F$27,$G1070=$G$29,F$29,$G1070=$G$31,F$31,$G1070=$G$32,F$32,$G1070=$G$248,F$248,$G1070=$G$250,F$250)</f>
        <v>8018</v>
      </c>
      <c r="G1070" t="s">
        <v>71</v>
      </c>
      <c r="H1070" s="60" cm="1">
        <f t="array" ref="H1070">_xlfn.IFS($G1070=$G$5,H$5,$G1070=$G$6,H$6,$G1070=$G$7,H$7,$G1070=$G$8,H$8,$G1070=$G$9,H$9,$G1070=$G$10,H$10,$G1070=$G$11,H$11,$G1070=$G$12,H$12,$G1070=$G$13,H$13,$G1070=$G$15,H$15,$G1070=$G$16,H$16,$G1070=$G$17,H$17,$G1070=$G$18,H$18,$G1070=$G$19,H$19,$G1070=$G$20,H$20,$G1070=$G$21,H$21,$G1070=$G$22,H$22,$G1070=$G$25,H$25,$G1070=$G$26,H$26,$G1070=$G$27,H$27,$G1070=$G$29,H$29,$G1070=$G$31,H$31,$G1070=$G$32,H$150,$G1070=$G$248,H$248,$G1070=$G$250,H$250)</f>
        <v>41.410684000000003</v>
      </c>
      <c r="I1070" s="60" cm="1">
        <f t="array" ref="I1070">_xlfn.IFS($G1070=$G$5,I$5,$G1070=$G$6,I$6,$G1070=$G$7,I$7,$G1070=$G$8,I$8,$G1070=$G$9,I$9,$G1070=$G$10,I$10,$G1070=$G$11,I$11,$G1070=$G$12,I$12,$G1070=$G$13,I$13,$G1070=$G$15,I$15,$G1070=$G$16,I$16,$G1070=$G$17,I$17,$G1070=$G$18,I$18,$G1070=$G$19,I$19,$G1070=$G$20,I$20,$G1070=$G$21,I$21,$G1070=$G$22,I$22,$G1070=$G$25,I$25,$G1070=$G$26,I$26,$G1070=$G$27,I$27,$G1070=$G$29,I$29,$G1070=$G$31,I$31,$G1070=$G$32,I$150,$G1070=$G$248,I$248,$G1070=$G$250,I$250)</f>
        <v>2.2208019999999999</v>
      </c>
      <c r="J1070" s="61" cm="1">
        <f t="array" ref="J1070">_xlfn.IFS($G1070=$G$5,J$5,$G1070=$G$6,J$6,$G1070=$G$7,J$7,$G1070=$G$8,J$8,$G1070=$G$9,J$9,$G1070=$G$10,J$10,$G1070=$G$11,J$11,$G1070=$G$12,J$12,$G1070=$G$13,J$13,$G1070=$G$15,J$15,$G1070=$G$16,J$16,$G1070=$G$17,J$17,$G1070=$G$18,J$18,$G1070=$G$19,J$19,$G1070=$G$20,J$20,$G1070=$G$21,J$21,$G1070=$G$22,J$22,$G1070=$G$25,J$25,$G1070=$G$26,J$26,$G1070=$G$27,J$27,$G1070=$G$29,J$29,$G1070=$G$31,J$31,$G1070=$G$32,J$150,$G1070=$G$248,J$248,$G1070=$G$250,J$250)</f>
        <v>4</v>
      </c>
      <c r="K1070" t="str" cm="1">
        <f t="array" ref="K1070">_xlfn.IFS($G1070=$G$5,K$5,$G1070=$G$6,K$6,$G1070=$G$7,K$7,$G1070=$G$8,K$8,$G1070=$G$9,K$9,$G1070=$G$10,K$10,$G1070=$G$11,K$11,$G1070=$G$12,K$12,$G1070=$G$13,K$13,$G1070=$G$15,K$15,$G1070=$G$16,K$16,$G1070=$G$17,K$17,$G1070=$G$18,K$18,$G1070=$G$19,K$19,$G1070=$G$20,K$20,$G1070=$G$21,K$21,$G1070=$G$22,K$22,$G1070=$G$25,K$25,$G1070=$G$26,K$26,$G1070=$G$27,K$27,$G1070=$G$29,K$29,$G1070=$G$31,K$31,$G1070=$G$32,K$150,$G1070=$G$248,K$248,$G1070=$G$250,K$250)</f>
        <v>BG sentinel + BG lure7</v>
      </c>
      <c r="O1070" s="69" t="str">
        <f t="shared" si="86"/>
        <v>A_SP_BCN_4_211111</v>
      </c>
      <c r="P1070" s="64">
        <v>44511</v>
      </c>
      <c r="R1070" s="72"/>
      <c r="S1070" s="64">
        <v>44518</v>
      </c>
      <c r="U1070" s="72"/>
      <c r="V1070" s="54" t="s">
        <v>66</v>
      </c>
      <c r="X1070" s="69">
        <f t="shared" si="88"/>
        <v>7</v>
      </c>
      <c r="Z1070" s="45" t="s">
        <v>80</v>
      </c>
      <c r="AA1070" s="69">
        <f t="shared" si="87"/>
        <v>1</v>
      </c>
      <c r="AB1070" t="str">
        <f t="shared" si="73"/>
        <v>Adult</v>
      </c>
      <c r="AC1070" s="69">
        <v>0</v>
      </c>
      <c r="AD1070" s="69">
        <v>1</v>
      </c>
      <c r="AE1070" s="45" t="str">
        <f t="shared" si="74"/>
        <v>Morphological</v>
      </c>
      <c r="AF1070" s="56">
        <v>4</v>
      </c>
    </row>
    <row r="1071" spans="1:32" ht="18" customHeight="1" x14ac:dyDescent="0.25">
      <c r="A1071" s="45">
        <v>1067</v>
      </c>
      <c r="B1071" s="45" t="s">
        <v>60</v>
      </c>
      <c r="C1071" s="45" t="s">
        <v>61</v>
      </c>
      <c r="D1071" s="45" t="s">
        <v>62</v>
      </c>
      <c r="E1071" s="45" t="s">
        <v>62</v>
      </c>
      <c r="F1071" s="59" cm="1">
        <f t="array" ref="F1071">_xlfn.IFS($G1071=$G$5,F$5,$G1071=$G$6,F$6,$G1071=$G$7,F$7,$G1071=$G$8,F$8,$G1071=$G$9,F$9,$G1071=$G$10,F$10,$G1071=$G$11,F$11,$G1071=$G$12,F$12,$G1071=$G$13,F$13,$G1071=$G$15,F$15,$G1071=$G$16,F$16,$G1071=$G$17,F$17,$G1071=$G$18,F$18,$G1071=$G$19,F$19,$G1071=$G$20,F$20,$G1071=$G$21,F$21,$G1071=$G$22,F$22,$G1071=$G$25,F$25,$G1071=$G$26,F$26,$G1071=$G$27,F$27,$G1071=$G$29,F$29,$G1071=$G$31,F$31,$G1071=$G$32,F$32,$G1071=$G$248,F$248,$G1071=$G$250,F$250)</f>
        <v>8019</v>
      </c>
      <c r="G1071" t="s">
        <v>72</v>
      </c>
      <c r="H1071" s="60" cm="1">
        <f t="array" ref="H1071">_xlfn.IFS($G1071=$G$5,H$5,$G1071=$G$6,H$6,$G1071=$G$7,H$7,$G1071=$G$8,H$8,$G1071=$G$9,H$9,$G1071=$G$10,H$10,$G1071=$G$11,H$11,$G1071=$G$12,H$12,$G1071=$G$13,H$13,$G1071=$G$15,H$15,$G1071=$G$16,H$16,$G1071=$G$17,H$17,$G1071=$G$18,H$18,$G1071=$G$19,H$19,$G1071=$G$20,H$20,$G1071=$G$21,H$21,$G1071=$G$22,H$22,$G1071=$G$25,H$25,$G1071=$G$26,H$26,$G1071=$G$27,H$27,$G1071=$G$29,H$29,$G1071=$G$31,H$31,$G1071=$G$32,H$150,$G1071=$G$248,H$248,$G1071=$G$250,H$250)</f>
        <v>41.382339999999999</v>
      </c>
      <c r="I1071" s="60" cm="1">
        <f t="array" ref="I1071">_xlfn.IFS($G1071=$G$5,I$5,$G1071=$G$6,I$6,$G1071=$G$7,I$7,$G1071=$G$8,I$8,$G1071=$G$9,I$9,$G1071=$G$10,I$10,$G1071=$G$11,I$11,$G1071=$G$12,I$12,$G1071=$G$13,I$13,$G1071=$G$15,I$15,$G1071=$G$16,I$16,$G1071=$G$17,I$17,$G1071=$G$18,I$18,$G1071=$G$19,I$19,$G1071=$G$20,I$20,$G1071=$G$21,I$21,$G1071=$G$22,I$22,$G1071=$G$25,I$25,$G1071=$G$26,I$26,$G1071=$G$27,I$27,$G1071=$G$29,I$29,$G1071=$G$31,I$31,$G1071=$G$32,I$150,$G1071=$G$248,I$248,$G1071=$G$250,I$250)</f>
        <v>2.1714790000000002</v>
      </c>
      <c r="J1071" s="61" cm="1">
        <f t="array" ref="J1071">_xlfn.IFS($G1071=$G$5,J$5,$G1071=$G$6,J$6,$G1071=$G$7,J$7,$G1071=$G$8,J$8,$G1071=$G$9,J$9,$G1071=$G$10,J$10,$G1071=$G$11,J$11,$G1071=$G$12,J$12,$G1071=$G$13,J$13,$G1071=$G$15,J$15,$G1071=$G$16,J$16,$G1071=$G$17,J$17,$G1071=$G$18,J$18,$G1071=$G$19,J$19,$G1071=$G$20,J$20,$G1071=$G$21,J$21,$G1071=$G$22,J$22,$G1071=$G$25,J$25,$G1071=$G$26,J$26,$G1071=$G$27,J$27,$G1071=$G$29,J$29,$G1071=$G$31,J$31,$G1071=$G$32,J$150,$G1071=$G$248,J$248,$G1071=$G$250,J$250)</f>
        <v>18</v>
      </c>
      <c r="K1071" t="str" cm="1">
        <f t="array" ref="K1071">_xlfn.IFS($G1071=$G$5,K$5,$G1071=$G$6,K$6,$G1071=$G$7,K$7,$G1071=$G$8,K$8,$G1071=$G$9,K$9,$G1071=$G$10,K$10,$G1071=$G$11,K$11,$G1071=$G$12,K$12,$G1071=$G$13,K$13,$G1071=$G$15,K$15,$G1071=$G$16,K$16,$G1071=$G$17,K$17,$G1071=$G$18,K$18,$G1071=$G$19,K$19,$G1071=$G$20,K$20,$G1071=$G$21,K$21,$G1071=$G$22,K$22,$G1071=$G$25,K$25,$G1071=$G$26,K$26,$G1071=$G$27,K$27,$G1071=$G$29,K$29,$G1071=$G$31,K$31,$G1071=$G$32,K$150,$G1071=$G$248,K$248,$G1071=$G$250,K$250)</f>
        <v>BG sentinel + BG lure7</v>
      </c>
      <c r="O1071" s="69" t="str">
        <f t="shared" si="86"/>
        <v>A_SP_BCN_5_211111</v>
      </c>
      <c r="P1071" s="64">
        <v>44511</v>
      </c>
      <c r="R1071" s="72"/>
      <c r="S1071" s="64">
        <v>44518</v>
      </c>
      <c r="U1071" s="72"/>
      <c r="V1071" s="54" t="s">
        <v>66</v>
      </c>
      <c r="X1071" s="69">
        <f t="shared" si="88"/>
        <v>7</v>
      </c>
      <c r="Z1071" s="45" t="s">
        <v>70</v>
      </c>
      <c r="AA1071" s="69">
        <f t="shared" si="87"/>
        <v>1</v>
      </c>
      <c r="AB1071" t="str">
        <f t="shared" si="73"/>
        <v>Adult</v>
      </c>
      <c r="AC1071" s="69">
        <v>1</v>
      </c>
      <c r="AD1071" s="69">
        <v>0</v>
      </c>
      <c r="AE1071" s="45" t="str">
        <f t="shared" si="74"/>
        <v>Morphological</v>
      </c>
      <c r="AF1071" s="56">
        <v>4</v>
      </c>
    </row>
    <row r="1072" spans="1:32" ht="18" customHeight="1" x14ac:dyDescent="0.25">
      <c r="A1072" s="45">
        <v>1068</v>
      </c>
      <c r="B1072" s="45" t="s">
        <v>60</v>
      </c>
      <c r="C1072" s="45" t="s">
        <v>61</v>
      </c>
      <c r="D1072" s="45" t="s">
        <v>62</v>
      </c>
      <c r="E1072" s="45" t="s">
        <v>62</v>
      </c>
      <c r="F1072" s="59" cm="1">
        <f t="array" ref="F1072">_xlfn.IFS($G1072=$G$5,F$5,$G1072=$G$6,F$6,$G1072=$G$7,F$7,$G1072=$G$8,F$8,$G1072=$G$9,F$9,$G1072=$G$10,F$10,$G1072=$G$11,F$11,$G1072=$G$12,F$12,$G1072=$G$13,F$13,$G1072=$G$15,F$15,$G1072=$G$16,F$16,$G1072=$G$17,F$17,$G1072=$G$18,F$18,$G1072=$G$19,F$19,$G1072=$G$20,F$20,$G1072=$G$21,F$21,$G1072=$G$22,F$22,$G1072=$G$25,F$25,$G1072=$G$26,F$26,$G1072=$G$27,F$27,$G1072=$G$29,F$29,$G1072=$G$31,F$31,$G1072=$G$32,F$32,$G1072=$G$248,F$248,$G1072=$G$250,F$250)</f>
        <v>8002</v>
      </c>
      <c r="G1072" t="s">
        <v>73</v>
      </c>
      <c r="H1072" s="60" cm="1">
        <f t="array" ref="H1072">_xlfn.IFS($G1072=$G$5,H$5,$G1072=$G$6,H$6,$G1072=$G$7,H$7,$G1072=$G$8,H$8,$G1072=$G$9,H$9,$G1072=$G$10,H$10,$G1072=$G$11,H$11,$G1072=$G$12,H$12,$G1072=$G$13,H$13,$G1072=$G$15,H$15,$G1072=$G$16,H$16,$G1072=$G$17,H$17,$G1072=$G$18,H$18,$G1072=$G$19,H$19,$G1072=$G$20,H$20,$G1072=$G$21,H$21,$G1072=$G$22,H$22,$G1072=$G$25,H$25,$G1072=$G$26,H$26,$G1072=$G$27,H$27,$G1072=$G$29,H$29,$G1072=$G$31,H$31,$G1072=$G$32,H$150,$G1072=$G$248,H$248,$G1072=$G$250,H$250)</f>
        <v>41.371864000000002</v>
      </c>
      <c r="I1072" s="60" cm="1">
        <f t="array" ref="I1072">_xlfn.IFS($G1072=$G$5,I$5,$G1072=$G$6,I$6,$G1072=$G$7,I$7,$G1072=$G$8,I$8,$G1072=$G$9,I$9,$G1072=$G$10,I$10,$G1072=$G$11,I$11,$G1072=$G$12,I$12,$G1072=$G$13,I$13,$G1072=$G$15,I$15,$G1072=$G$16,I$16,$G1072=$G$17,I$17,$G1072=$G$18,I$18,$G1072=$G$19,I$19,$G1072=$G$20,I$20,$G1072=$G$21,I$21,$G1072=$G$22,I$22,$G1072=$G$25,I$25,$G1072=$G$26,I$26,$G1072=$G$27,I$27,$G1072=$G$29,I$29,$G1072=$G$31,I$31,$G1072=$G$32,I$150,$G1072=$G$248,I$248,$G1072=$G$250,I$250)</f>
        <v>2.173899</v>
      </c>
      <c r="J1072" s="61" cm="1">
        <f t="array" ref="J1072">_xlfn.IFS($G1072=$G$5,J$5,$G1072=$G$6,J$6,$G1072=$G$7,J$7,$G1072=$G$8,J$8,$G1072=$G$9,J$9,$G1072=$G$10,J$10,$G1072=$G$11,J$11,$G1072=$G$12,J$12,$G1072=$G$13,J$13,$G1072=$G$15,J$15,$G1072=$G$16,J$16,$G1072=$G$17,J$17,$G1072=$G$18,J$18,$G1072=$G$19,J$19,$G1072=$G$20,J$20,$G1072=$G$21,J$21,$G1072=$G$22,J$22,$G1072=$G$25,J$25,$G1072=$G$26,J$26,$G1072=$G$27,J$27,$G1072=$G$29,J$29,$G1072=$G$31,J$31,$G1072=$G$32,J$150,$G1072=$G$248,J$248,$G1072=$G$250,J$250)</f>
        <v>19</v>
      </c>
      <c r="K1072" t="str" cm="1">
        <f t="array" ref="K1072">_xlfn.IFS($G1072=$G$5,K$5,$G1072=$G$6,K$6,$G1072=$G$7,K$7,$G1072=$G$8,K$8,$G1072=$G$9,K$9,$G1072=$G$10,K$10,$G1072=$G$11,K$11,$G1072=$G$12,K$12,$G1072=$G$13,K$13,$G1072=$G$15,K$15,$G1072=$G$16,K$16,$G1072=$G$17,K$17,$G1072=$G$18,K$18,$G1072=$G$19,K$19,$G1072=$G$20,K$20,$G1072=$G$21,K$21,$G1072=$G$22,K$22,$G1072=$G$25,K$25,$G1072=$G$26,K$26,$G1072=$G$27,K$27,$G1072=$G$29,K$29,$G1072=$G$31,K$31,$G1072=$G$32,K$150,$G1072=$G$248,K$248,$G1072=$G$250,K$250)</f>
        <v>BG sentinel + BG lure7</v>
      </c>
      <c r="O1072" s="69" t="str">
        <f t="shared" si="86"/>
        <v>A_SP_BCN_6_211111</v>
      </c>
      <c r="P1072" s="64">
        <v>44511</v>
      </c>
      <c r="R1072" s="72"/>
      <c r="S1072" s="64">
        <v>44518</v>
      </c>
      <c r="U1072" s="72"/>
      <c r="V1072" s="54" t="s">
        <v>66</v>
      </c>
      <c r="X1072" s="69">
        <f t="shared" si="88"/>
        <v>7</v>
      </c>
      <c r="Z1072" s="45" t="s">
        <v>70</v>
      </c>
      <c r="AA1072" s="69">
        <f t="shared" si="87"/>
        <v>5</v>
      </c>
      <c r="AB1072" t="str">
        <f t="shared" si="73"/>
        <v>Adult</v>
      </c>
      <c r="AC1072" s="69">
        <v>5</v>
      </c>
      <c r="AD1072" s="69">
        <v>0</v>
      </c>
      <c r="AE1072" s="45" t="str">
        <f t="shared" si="74"/>
        <v>Morphological</v>
      </c>
      <c r="AF1072" s="56">
        <v>4</v>
      </c>
    </row>
    <row r="1073" spans="1:32" ht="18" customHeight="1" x14ac:dyDescent="0.25">
      <c r="A1073" s="45">
        <v>1069</v>
      </c>
      <c r="B1073" s="45" t="s">
        <v>60</v>
      </c>
      <c r="C1073" s="45" t="s">
        <v>61</v>
      </c>
      <c r="D1073" s="45" t="s">
        <v>62</v>
      </c>
      <c r="E1073" s="45" t="s">
        <v>62</v>
      </c>
      <c r="F1073" s="59" cm="1">
        <f t="array" ref="F1073">_xlfn.IFS($G1073=$G$5,F$5,$G1073=$G$6,F$6,$G1073=$G$7,F$7,$G1073=$G$8,F$8,$G1073=$G$9,F$9,$G1073=$G$10,F$10,$G1073=$G$11,F$11,$G1073=$G$12,F$12,$G1073=$G$13,F$13,$G1073=$G$15,F$15,$G1073=$G$16,F$16,$G1073=$G$17,F$17,$G1073=$G$18,F$18,$G1073=$G$19,F$19,$G1073=$G$20,F$20,$G1073=$G$21,F$21,$G1073=$G$22,F$22,$G1073=$G$25,F$25,$G1073=$G$26,F$26,$G1073=$G$27,F$27,$G1073=$G$29,F$29,$G1073=$G$31,F$31,$G1073=$G$32,F$32,$G1073=$G$248,F$248,$G1073=$G$250,F$250)</f>
        <v>8038</v>
      </c>
      <c r="G1073" t="s">
        <v>74</v>
      </c>
      <c r="H1073" s="60" cm="1">
        <f t="array" ref="H1073">_xlfn.IFS($G1073=$G$5,H$5,$G1073=$G$6,H$6,$G1073=$G$7,H$7,$G1073=$G$8,H$8,$G1073=$G$9,H$9,$G1073=$G$10,H$10,$G1073=$G$11,H$11,$G1073=$G$12,H$12,$G1073=$G$13,H$13,$G1073=$G$15,H$15,$G1073=$G$16,H$16,$G1073=$G$17,H$17,$G1073=$G$18,H$18,$G1073=$G$19,H$19,$G1073=$G$20,H$20,$G1073=$G$21,H$21,$G1073=$G$22,H$22,$G1073=$G$25,H$25,$G1073=$G$26,H$26,$G1073=$G$27,H$27,$G1073=$G$29,H$29,$G1073=$G$31,H$31,$G1073=$G$32,H$150,$G1073=$G$248,H$248,$G1073=$G$250,H$250)</f>
        <v>41.371864000000002</v>
      </c>
      <c r="I1073" s="60" cm="1">
        <f t="array" ref="I1073">_xlfn.IFS($G1073=$G$5,I$5,$G1073=$G$6,I$6,$G1073=$G$7,I$7,$G1073=$G$8,I$8,$G1073=$G$9,I$9,$G1073=$G$10,I$10,$G1073=$G$11,I$11,$G1073=$G$12,I$12,$G1073=$G$13,I$13,$G1073=$G$15,I$15,$G1073=$G$16,I$16,$G1073=$G$17,I$17,$G1073=$G$18,I$18,$G1073=$G$19,I$19,$G1073=$G$20,I$20,$G1073=$G$21,I$21,$G1073=$G$22,I$22,$G1073=$G$25,I$25,$G1073=$G$26,I$26,$G1073=$G$27,I$27,$G1073=$G$29,I$29,$G1073=$G$31,I$31,$G1073=$G$32,I$150,$G1073=$G$248,I$248,$G1073=$G$250,I$250)</f>
        <v>2.173899</v>
      </c>
      <c r="J1073" s="61" cm="1">
        <f t="array" ref="J1073">_xlfn.IFS($G1073=$G$5,J$5,$G1073=$G$6,J$6,$G1073=$G$7,J$7,$G1073=$G$8,J$8,$G1073=$G$9,J$9,$G1073=$G$10,J$10,$G1073=$G$11,J$11,$G1073=$G$12,J$12,$G1073=$G$13,J$13,$G1073=$G$15,J$15,$G1073=$G$16,J$16,$G1073=$G$17,J$17,$G1073=$G$18,J$18,$G1073=$G$19,J$19,$G1073=$G$20,J$20,$G1073=$G$21,J$21,$G1073=$G$22,J$22,$G1073=$G$25,J$25,$G1073=$G$26,J$26,$G1073=$G$27,J$27,$G1073=$G$29,J$29,$G1073=$G$31,J$31,$G1073=$G$32,J$150,$G1073=$G$248,J$248,$G1073=$G$250,J$250)</f>
        <v>5</v>
      </c>
      <c r="K1073" t="str" cm="1">
        <f t="array" ref="K1073">_xlfn.IFS($G1073=$G$5,K$5,$G1073=$G$6,K$6,$G1073=$G$7,K$7,$G1073=$G$8,K$8,$G1073=$G$9,K$9,$G1073=$G$10,K$10,$G1073=$G$11,K$11,$G1073=$G$12,K$12,$G1073=$G$13,K$13,$G1073=$G$15,K$15,$G1073=$G$16,K$16,$G1073=$G$17,K$17,$G1073=$G$18,K$18,$G1073=$G$19,K$19,$G1073=$G$20,K$20,$G1073=$G$21,K$21,$G1073=$G$22,K$22,$G1073=$G$25,K$25,$G1073=$G$26,K$26,$G1073=$G$27,K$27,$G1073=$G$29,K$29,$G1073=$G$31,K$31,$G1073=$G$32,K$150,$G1073=$G$248,K$248,$G1073=$G$250,K$250)</f>
        <v>BG sentinel + BG lure7</v>
      </c>
      <c r="O1073" s="69" t="str">
        <f t="shared" si="86"/>
        <v>A_SP_BCN_7_211111</v>
      </c>
      <c r="P1073" s="64">
        <v>44511</v>
      </c>
      <c r="R1073" s="72"/>
      <c r="S1073" s="64">
        <v>44518</v>
      </c>
      <c r="U1073" s="72"/>
      <c r="V1073" s="79" t="s">
        <v>177</v>
      </c>
      <c r="X1073" s="69">
        <f t="shared" si="88"/>
        <v>7</v>
      </c>
      <c r="Z1073" s="69" t="s">
        <v>69</v>
      </c>
      <c r="AA1073" s="69">
        <f t="shared" si="87"/>
        <v>1</v>
      </c>
      <c r="AB1073" t="str">
        <f t="shared" si="73"/>
        <v>Adult</v>
      </c>
      <c r="AC1073" s="69">
        <v>1</v>
      </c>
      <c r="AD1073" s="69">
        <v>0</v>
      </c>
      <c r="AE1073" s="45" t="str">
        <f t="shared" si="74"/>
        <v>Morphological</v>
      </c>
      <c r="AF1073">
        <v>1</v>
      </c>
    </row>
    <row r="1074" spans="1:32" ht="18" customHeight="1" x14ac:dyDescent="0.25">
      <c r="A1074" s="45">
        <v>1070</v>
      </c>
      <c r="B1074" s="45" t="s">
        <v>60</v>
      </c>
      <c r="C1074" s="45" t="s">
        <v>61</v>
      </c>
      <c r="D1074" s="45" t="s">
        <v>62</v>
      </c>
      <c r="E1074" s="45" t="s">
        <v>62</v>
      </c>
      <c r="F1074" s="59" cm="1">
        <f t="array" ref="F1074">_xlfn.IFS($G1074=$G$5,F$5,$G1074=$G$6,F$6,$G1074=$G$7,F$7,$G1074=$G$8,F$8,$G1074=$G$9,F$9,$G1074=$G$10,F$10,$G1074=$G$11,F$11,$G1074=$G$12,F$12,$G1074=$G$13,F$13,$G1074=$G$15,F$15,$G1074=$G$16,F$16,$G1074=$G$17,F$17,$G1074=$G$18,F$18,$G1074=$G$19,F$19,$G1074=$G$20,F$20,$G1074=$G$21,F$21,$G1074=$G$22,F$22,$G1074=$G$25,F$25,$G1074=$G$26,F$26,$G1074=$G$27,F$27,$G1074=$G$29,F$29,$G1074=$G$31,F$31,$G1074=$G$32,F$32,$G1074=$G$248,F$248,$G1074=$G$250,F$250)</f>
        <v>8038</v>
      </c>
      <c r="G1074" t="s">
        <v>75</v>
      </c>
      <c r="H1074" s="60" cm="1">
        <f t="array" ref="H1074">_xlfn.IFS($G1074=$G$5,H$5,$G1074=$G$6,H$6,$G1074=$G$7,H$7,$G1074=$G$8,H$8,$G1074=$G$9,H$9,$G1074=$G$10,H$10,$G1074=$G$11,H$11,$G1074=$G$12,H$12,$G1074=$G$13,H$13,$G1074=$G$15,H$15,$G1074=$G$16,H$16,$G1074=$G$17,H$17,$G1074=$G$18,H$18,$G1074=$G$19,H$19,$G1074=$G$20,H$20,$G1074=$G$21,H$21,$G1074=$G$22,H$22,$G1074=$G$25,H$25,$G1074=$G$26,H$26,$G1074=$G$27,H$27,$G1074=$G$29,H$29,$G1074=$G$31,H$31,$G1074=$G$32,H$150,$G1074=$G$248,H$248,$G1074=$G$250,H$250)</f>
        <v>41.368589</v>
      </c>
      <c r="I1074" s="60" cm="1">
        <f t="array" ref="I1074">_xlfn.IFS($G1074=$G$5,I$5,$G1074=$G$6,I$6,$G1074=$G$7,I$7,$G1074=$G$8,I$8,$G1074=$G$9,I$9,$G1074=$G$10,I$10,$G1074=$G$11,I$11,$G1074=$G$12,I$12,$G1074=$G$13,I$13,$G1074=$G$15,I$15,$G1074=$G$16,I$16,$G1074=$G$17,I$17,$G1074=$G$18,I$18,$G1074=$G$19,I$19,$G1074=$G$20,I$20,$G1074=$G$21,I$21,$G1074=$G$22,I$22,$G1074=$G$25,I$25,$G1074=$G$26,I$26,$G1074=$G$27,I$27,$G1074=$G$29,I$29,$G1074=$G$31,I$31,$G1074=$G$32,I$150,$G1074=$G$248,I$248,$G1074=$G$250,I$250)</f>
        <v>2.1620900000000001</v>
      </c>
      <c r="J1074" s="61" cm="1">
        <f t="array" ref="J1074">_xlfn.IFS($G1074=$G$5,J$5,$G1074=$G$6,J$6,$G1074=$G$7,J$7,$G1074=$G$8,J$8,$G1074=$G$9,J$9,$G1074=$G$10,J$10,$G1074=$G$11,J$11,$G1074=$G$12,J$12,$G1074=$G$13,J$13,$G1074=$G$15,J$15,$G1074=$G$16,J$16,$G1074=$G$17,J$17,$G1074=$G$18,J$18,$G1074=$G$19,J$19,$G1074=$G$20,J$20,$G1074=$G$21,J$21,$G1074=$G$22,J$22,$G1074=$G$25,J$25,$G1074=$G$26,J$26,$G1074=$G$27,J$27,$G1074=$G$29,J$29,$G1074=$G$31,J$31,$G1074=$G$32,J$150,$G1074=$G$248,J$248,$G1074=$G$250,J$250)</f>
        <v>95</v>
      </c>
      <c r="K1074" t="str" cm="1">
        <f t="array" ref="K1074">_xlfn.IFS($G1074=$G$5,K$5,$G1074=$G$6,K$6,$G1074=$G$7,K$7,$G1074=$G$8,K$8,$G1074=$G$9,K$9,$G1074=$G$10,K$10,$G1074=$G$11,K$11,$G1074=$G$12,K$12,$G1074=$G$13,K$13,$G1074=$G$15,K$15,$G1074=$G$16,K$16,$G1074=$G$17,K$17,$G1074=$G$18,K$18,$G1074=$G$19,K$19,$G1074=$G$20,K$20,$G1074=$G$21,K$21,$G1074=$G$22,K$22,$G1074=$G$25,K$25,$G1074=$G$26,K$26,$G1074=$G$27,K$27,$G1074=$G$29,K$29,$G1074=$G$31,K$31,$G1074=$G$32,K$150,$G1074=$G$248,K$248,$G1074=$G$250,K$250)</f>
        <v>BG sentinel + BG lure7</v>
      </c>
      <c r="O1074" s="69" t="str">
        <f t="shared" si="86"/>
        <v>A_SP_BCN_8_211111</v>
      </c>
      <c r="P1074" s="64">
        <v>44511</v>
      </c>
      <c r="R1074" s="72"/>
      <c r="S1074" s="64">
        <v>44518</v>
      </c>
      <c r="U1074" s="72"/>
      <c r="V1074" s="54" t="s">
        <v>66</v>
      </c>
      <c r="X1074" s="69">
        <f t="shared" si="88"/>
        <v>7</v>
      </c>
      <c r="Z1074" s="69" t="s">
        <v>69</v>
      </c>
      <c r="AA1074" s="69">
        <f t="shared" si="87"/>
        <v>2</v>
      </c>
      <c r="AB1074" t="str">
        <f t="shared" si="73"/>
        <v>Adult</v>
      </c>
      <c r="AC1074" s="69">
        <v>2</v>
      </c>
      <c r="AD1074" s="69">
        <v>0</v>
      </c>
      <c r="AE1074" s="45" t="str">
        <f t="shared" si="74"/>
        <v>Morphological</v>
      </c>
      <c r="AF1074" s="56">
        <v>4</v>
      </c>
    </row>
    <row r="1075" spans="1:32" ht="18" customHeight="1" x14ac:dyDescent="0.25">
      <c r="A1075" s="45">
        <v>1071</v>
      </c>
      <c r="B1075" s="45" t="s">
        <v>60</v>
      </c>
      <c r="C1075" s="45" t="s">
        <v>61</v>
      </c>
      <c r="D1075" s="45" t="s">
        <v>62</v>
      </c>
      <c r="E1075" s="45" t="s">
        <v>62</v>
      </c>
      <c r="F1075" s="59" cm="1">
        <f t="array" ref="F1075">_xlfn.IFS($G1075=$G$5,F$5,$G1075=$G$6,F$6,$G1075=$G$7,F$7,$G1075=$G$8,F$8,$G1075=$G$9,F$9,$G1075=$G$10,F$10,$G1075=$G$11,F$11,$G1075=$G$12,F$12,$G1075=$G$13,F$13,$G1075=$G$15,F$15,$G1075=$G$16,F$16,$G1075=$G$17,F$17,$G1075=$G$18,F$18,$G1075=$G$19,F$19,$G1075=$G$20,F$20,$G1075=$G$21,F$21,$G1075=$G$22,F$22,$G1075=$G$25,F$25,$G1075=$G$26,F$26,$G1075=$G$27,F$27,$G1075=$G$29,F$29,$G1075=$G$31,F$31,$G1075=$G$32,F$32,$G1075=$G$248,F$248,$G1075=$G$250,F$250)</f>
        <v>8038</v>
      </c>
      <c r="G1075" t="s">
        <v>75</v>
      </c>
      <c r="H1075" s="60" cm="1">
        <f t="array" ref="H1075">_xlfn.IFS($G1075=$G$5,H$5,$G1075=$G$6,H$6,$G1075=$G$7,H$7,$G1075=$G$8,H$8,$G1075=$G$9,H$9,$G1075=$G$10,H$10,$G1075=$G$11,H$11,$G1075=$G$12,H$12,$G1075=$G$13,H$13,$G1075=$G$15,H$15,$G1075=$G$16,H$16,$G1075=$G$17,H$17,$G1075=$G$18,H$18,$G1075=$G$19,H$19,$G1075=$G$20,H$20,$G1075=$G$21,H$21,$G1075=$G$22,H$22,$G1075=$G$25,H$25,$G1075=$G$26,H$26,$G1075=$G$27,H$27,$G1075=$G$29,H$29,$G1075=$G$31,H$31,$G1075=$G$32,H$150,$G1075=$G$248,H$248,$G1075=$G$250,H$250)</f>
        <v>41.368589</v>
      </c>
      <c r="I1075" s="60" cm="1">
        <f t="array" ref="I1075">_xlfn.IFS($G1075=$G$5,I$5,$G1075=$G$6,I$6,$G1075=$G$7,I$7,$G1075=$G$8,I$8,$G1075=$G$9,I$9,$G1075=$G$10,I$10,$G1075=$G$11,I$11,$G1075=$G$12,I$12,$G1075=$G$13,I$13,$G1075=$G$15,I$15,$G1075=$G$16,I$16,$G1075=$G$17,I$17,$G1075=$G$18,I$18,$G1075=$G$19,I$19,$G1075=$G$20,I$20,$G1075=$G$21,I$21,$G1075=$G$22,I$22,$G1075=$G$25,I$25,$G1075=$G$26,I$26,$G1075=$G$27,I$27,$G1075=$G$29,I$29,$G1075=$G$31,I$31,$G1075=$G$32,I$150,$G1075=$G$248,I$248,$G1075=$G$250,I$250)</f>
        <v>2.1620900000000001</v>
      </c>
      <c r="J1075" s="61" cm="1">
        <f t="array" ref="J1075">_xlfn.IFS($G1075=$G$5,J$5,$G1075=$G$6,J$6,$G1075=$G$7,J$7,$G1075=$G$8,J$8,$G1075=$G$9,J$9,$G1075=$G$10,J$10,$G1075=$G$11,J$11,$G1075=$G$12,J$12,$G1075=$G$13,J$13,$G1075=$G$15,J$15,$G1075=$G$16,J$16,$G1075=$G$17,J$17,$G1075=$G$18,J$18,$G1075=$G$19,J$19,$G1075=$G$20,J$20,$G1075=$G$21,J$21,$G1075=$G$22,J$22,$G1075=$G$25,J$25,$G1075=$G$26,J$26,$G1075=$G$27,J$27,$G1075=$G$29,J$29,$G1075=$G$31,J$31,$G1075=$G$32,J$150,$G1075=$G$248,J$248,$G1075=$G$250,J$250)</f>
        <v>95</v>
      </c>
      <c r="K1075" t="str" cm="1">
        <f t="array" ref="K1075">_xlfn.IFS($G1075=$G$5,K$5,$G1075=$G$6,K$6,$G1075=$G$7,K$7,$G1075=$G$8,K$8,$G1075=$G$9,K$9,$G1075=$G$10,K$10,$G1075=$G$11,K$11,$G1075=$G$12,K$12,$G1075=$G$13,K$13,$G1075=$G$15,K$15,$G1075=$G$16,K$16,$G1075=$G$17,K$17,$G1075=$G$18,K$18,$G1075=$G$19,K$19,$G1075=$G$20,K$20,$G1075=$G$21,K$21,$G1075=$G$22,K$22,$G1075=$G$25,K$25,$G1075=$G$26,K$26,$G1075=$G$27,K$27,$G1075=$G$29,K$29,$G1075=$G$31,K$31,$G1075=$G$32,K$150,$G1075=$G$248,K$248,$G1075=$G$250,K$250)</f>
        <v>BG sentinel + BG lure7</v>
      </c>
      <c r="O1075" s="69" t="str">
        <f t="shared" si="86"/>
        <v>A_SP_BCN_8_211111</v>
      </c>
      <c r="P1075" s="64">
        <v>44511</v>
      </c>
      <c r="R1075" s="72"/>
      <c r="S1075" s="64">
        <v>44518</v>
      </c>
      <c r="U1075" s="72"/>
      <c r="V1075" s="54" t="s">
        <v>66</v>
      </c>
      <c r="X1075" s="69">
        <f t="shared" si="88"/>
        <v>7</v>
      </c>
      <c r="Z1075" s="45" t="s">
        <v>80</v>
      </c>
      <c r="AA1075" s="69">
        <f t="shared" si="87"/>
        <v>5</v>
      </c>
      <c r="AB1075" t="str">
        <f t="shared" si="73"/>
        <v>Adult</v>
      </c>
      <c r="AC1075" s="69">
        <v>3</v>
      </c>
      <c r="AD1075" s="69">
        <v>2</v>
      </c>
      <c r="AE1075" s="45" t="str">
        <f t="shared" si="74"/>
        <v>Morphological</v>
      </c>
      <c r="AF1075" s="56">
        <v>4</v>
      </c>
    </row>
    <row r="1076" spans="1:32" ht="18" customHeight="1" x14ac:dyDescent="0.25">
      <c r="A1076" s="45">
        <v>1072</v>
      </c>
      <c r="B1076" s="45" t="s">
        <v>60</v>
      </c>
      <c r="C1076" s="45" t="s">
        <v>61</v>
      </c>
      <c r="D1076" s="45" t="s">
        <v>62</v>
      </c>
      <c r="E1076" s="45" t="s">
        <v>62</v>
      </c>
      <c r="F1076" s="59" cm="1">
        <f t="array" ref="F1076">_xlfn.IFS($G1076=$G$5,F$5,$G1076=$G$6,F$6,$G1076=$G$7,F$7,$G1076=$G$8,F$8,$G1076=$G$9,F$9,$G1076=$G$10,F$10,$G1076=$G$11,F$11,$G1076=$G$12,F$12,$G1076=$G$13,F$13,$G1076=$G$15,F$15,$G1076=$G$16,F$16,$G1076=$G$17,F$17,$G1076=$G$18,F$18,$G1076=$G$19,F$19,$G1076=$G$20,F$20,$G1076=$G$21,F$21,$G1076=$G$22,F$22,$G1076=$G$25,F$25,$G1076=$G$26,F$26,$G1076=$G$27,F$27,$G1076=$G$29,F$29,$G1076=$G$31,F$31,$G1076=$G$32,F$32,$G1076=$G$248,F$248,$G1076=$G$250,F$250)</f>
        <v>8034</v>
      </c>
      <c r="G1076" t="s">
        <v>78</v>
      </c>
      <c r="H1076" s="60" cm="1">
        <f t="array" ref="H1076">_xlfn.IFS($G1076=$G$5,H$5,$G1076=$G$6,H$6,$G1076=$G$7,H$7,$G1076=$G$8,H$8,$G1076=$G$9,H$9,$G1076=$G$10,H$10,$G1076=$G$11,H$11,$G1076=$G$12,H$12,$G1076=$G$13,H$13,$G1076=$G$15,H$15,$G1076=$G$16,H$16,$G1076=$G$17,H$17,$G1076=$G$18,H$18,$G1076=$G$19,H$19,$G1076=$G$20,H$20,$G1076=$G$21,H$21,$G1076=$G$22,H$22,$G1076=$G$25,H$25,$G1076=$G$26,H$26,$G1076=$G$27,H$27,$G1076=$G$29,H$29,$G1076=$G$31,H$31,$G1076=$G$32,H$150,$G1076=$G$248,H$248,$G1076=$G$250,H$250)</f>
        <v>41.393644999999999</v>
      </c>
      <c r="I1076" s="60" cm="1">
        <f t="array" ref="I1076">_xlfn.IFS($G1076=$G$5,I$5,$G1076=$G$6,I$6,$G1076=$G$7,I$7,$G1076=$G$8,I$8,$G1076=$G$9,I$9,$G1076=$G$10,I$10,$G1076=$G$11,I$11,$G1076=$G$12,I$12,$G1076=$G$13,I$13,$G1076=$G$15,I$15,$G1076=$G$16,I$16,$G1076=$G$17,I$17,$G1076=$G$18,I$18,$G1076=$G$19,I$19,$G1076=$G$20,I$20,$G1076=$G$21,I$21,$G1076=$G$22,I$22,$G1076=$G$25,I$25,$G1076=$G$26,I$26,$G1076=$G$27,I$27,$G1076=$G$29,I$29,$G1076=$G$31,I$31,$G1076=$G$32,I$150,$G1076=$G$248,I$248,$G1076=$G$250,I$250)</f>
        <v>2.1216780000000002</v>
      </c>
      <c r="J1076" s="61" cm="1">
        <f t="array" ref="J1076">_xlfn.IFS($G1076=$G$5,J$5,$G1076=$G$6,J$6,$G1076=$G$7,J$7,$G1076=$G$8,J$8,$G1076=$G$9,J$9,$G1076=$G$10,J$10,$G1076=$G$11,J$11,$G1076=$G$12,J$12,$G1076=$G$13,J$13,$G1076=$G$15,J$15,$G1076=$G$16,J$16,$G1076=$G$17,J$17,$G1076=$G$18,J$18,$G1076=$G$19,J$19,$G1076=$G$20,J$20,$G1076=$G$21,J$21,$G1076=$G$22,J$22,$G1076=$G$25,J$25,$G1076=$G$26,J$26,$G1076=$G$27,J$27,$G1076=$G$29,J$29,$G1076=$G$31,J$31,$G1076=$G$32,J$150,$G1076=$G$248,J$248,$G1076=$G$250,J$250)</f>
        <v>98</v>
      </c>
      <c r="K1076" t="str" cm="1">
        <f t="array" ref="K1076">_xlfn.IFS($G1076=$G$5,K$5,$G1076=$G$6,K$6,$G1076=$G$7,K$7,$G1076=$G$8,K$8,$G1076=$G$9,K$9,$G1076=$G$10,K$10,$G1076=$G$11,K$11,$G1076=$G$12,K$12,$G1076=$G$13,K$13,$G1076=$G$15,K$15,$G1076=$G$16,K$16,$G1076=$G$17,K$17,$G1076=$G$18,K$18,$G1076=$G$19,K$19,$G1076=$G$20,K$20,$G1076=$G$21,K$21,$G1076=$G$22,K$22,$G1076=$G$25,K$25,$G1076=$G$26,K$26,$G1076=$G$27,K$27,$G1076=$G$29,K$29,$G1076=$G$31,K$31,$G1076=$G$32,K$150,$G1076=$G$248,K$248,$G1076=$G$250,K$250)</f>
        <v>BG sentinel + BG lure7</v>
      </c>
      <c r="O1076" s="69" t="str">
        <f t="shared" si="86"/>
        <v>A_SP_BCN_9_211110</v>
      </c>
      <c r="P1076" s="64">
        <v>44510</v>
      </c>
      <c r="R1076" s="72"/>
      <c r="S1076" s="64">
        <v>44517</v>
      </c>
      <c r="U1076" s="72"/>
      <c r="V1076" s="54" t="s">
        <v>66</v>
      </c>
      <c r="X1076" s="69">
        <f t="shared" si="88"/>
        <v>7</v>
      </c>
      <c r="Z1076" s="69" t="s">
        <v>69</v>
      </c>
      <c r="AA1076" s="69">
        <f t="shared" si="87"/>
        <v>3</v>
      </c>
      <c r="AB1076" t="str">
        <f t="shared" si="73"/>
        <v>Adult</v>
      </c>
      <c r="AC1076" s="69">
        <v>3</v>
      </c>
      <c r="AD1076" s="69">
        <v>0</v>
      </c>
      <c r="AE1076" s="45" t="str">
        <f t="shared" si="74"/>
        <v>Morphological</v>
      </c>
      <c r="AF1076" s="56">
        <v>4</v>
      </c>
    </row>
    <row r="1077" spans="1:32" ht="18" customHeight="1" x14ac:dyDescent="0.25">
      <c r="A1077" s="45">
        <v>1073</v>
      </c>
      <c r="B1077" s="45" t="s">
        <v>60</v>
      </c>
      <c r="C1077" s="45" t="s">
        <v>61</v>
      </c>
      <c r="D1077" s="45" t="s">
        <v>62</v>
      </c>
      <c r="E1077" s="45" t="s">
        <v>62</v>
      </c>
      <c r="F1077" s="59" cm="1">
        <f t="array" ref="F1077">_xlfn.IFS($G1077=$G$5,F$5,$G1077=$G$6,F$6,$G1077=$G$7,F$7,$G1077=$G$8,F$8,$G1077=$G$9,F$9,$G1077=$G$10,F$10,$G1077=$G$11,F$11,$G1077=$G$12,F$12,$G1077=$G$13,F$13,$G1077=$G$15,F$15,$G1077=$G$16,F$16,$G1077=$G$17,F$17,$G1077=$G$18,F$18,$G1077=$G$19,F$19,$G1077=$G$20,F$20,$G1077=$G$21,F$21,$G1077=$G$22,F$22,$G1077=$G$25,F$25,$G1077=$G$26,F$26,$G1077=$G$27,F$27,$G1077=$G$29,F$29,$G1077=$G$31,F$31,$G1077=$G$32,F$32,$G1077=$G$248,F$248,$G1077=$G$250,F$250)</f>
        <v>8034</v>
      </c>
      <c r="G1077" t="s">
        <v>78</v>
      </c>
      <c r="H1077" s="60" cm="1">
        <f t="array" ref="H1077">_xlfn.IFS($G1077=$G$5,H$5,$G1077=$G$6,H$6,$G1077=$G$7,H$7,$G1077=$G$8,H$8,$G1077=$G$9,H$9,$G1077=$G$10,H$10,$G1077=$G$11,H$11,$G1077=$G$12,H$12,$G1077=$G$13,H$13,$G1077=$G$15,H$15,$G1077=$G$16,H$16,$G1077=$G$17,H$17,$G1077=$G$18,H$18,$G1077=$G$19,H$19,$G1077=$G$20,H$20,$G1077=$G$21,H$21,$G1077=$G$22,H$22,$G1077=$G$25,H$25,$G1077=$G$26,H$26,$G1077=$G$27,H$27,$G1077=$G$29,H$29,$G1077=$G$31,H$31,$G1077=$G$32,H$150,$G1077=$G$248,H$248,$G1077=$G$250,H$250)</f>
        <v>41.393644999999999</v>
      </c>
      <c r="I1077" s="60" cm="1">
        <f t="array" ref="I1077">_xlfn.IFS($G1077=$G$5,I$5,$G1077=$G$6,I$6,$G1077=$G$7,I$7,$G1077=$G$8,I$8,$G1077=$G$9,I$9,$G1077=$G$10,I$10,$G1077=$G$11,I$11,$G1077=$G$12,I$12,$G1077=$G$13,I$13,$G1077=$G$15,I$15,$G1077=$G$16,I$16,$G1077=$G$17,I$17,$G1077=$G$18,I$18,$G1077=$G$19,I$19,$G1077=$G$20,I$20,$G1077=$G$21,I$21,$G1077=$G$22,I$22,$G1077=$G$25,I$25,$G1077=$G$26,I$26,$G1077=$G$27,I$27,$G1077=$G$29,I$29,$G1077=$G$31,I$31,$G1077=$G$32,I$150,$G1077=$G$248,I$248,$G1077=$G$250,I$250)</f>
        <v>2.1216780000000002</v>
      </c>
      <c r="J1077" s="61" cm="1">
        <f t="array" ref="J1077">_xlfn.IFS($G1077=$G$5,J$5,$G1077=$G$6,J$6,$G1077=$G$7,J$7,$G1077=$G$8,J$8,$G1077=$G$9,J$9,$G1077=$G$10,J$10,$G1077=$G$11,J$11,$G1077=$G$12,J$12,$G1077=$G$13,J$13,$G1077=$G$15,J$15,$G1077=$G$16,J$16,$G1077=$G$17,J$17,$G1077=$G$18,J$18,$G1077=$G$19,J$19,$G1077=$G$20,J$20,$G1077=$G$21,J$21,$G1077=$G$22,J$22,$G1077=$G$25,J$25,$G1077=$G$26,J$26,$G1077=$G$27,J$27,$G1077=$G$29,J$29,$G1077=$G$31,J$31,$G1077=$G$32,J$150,$G1077=$G$248,J$248,$G1077=$G$250,J$250)</f>
        <v>98</v>
      </c>
      <c r="K1077" t="str" cm="1">
        <f t="array" ref="K1077">_xlfn.IFS($G1077=$G$5,K$5,$G1077=$G$6,K$6,$G1077=$G$7,K$7,$G1077=$G$8,K$8,$G1077=$G$9,K$9,$G1077=$G$10,K$10,$G1077=$G$11,K$11,$G1077=$G$12,K$12,$G1077=$G$13,K$13,$G1077=$G$15,K$15,$G1077=$G$16,K$16,$G1077=$G$17,K$17,$G1077=$G$18,K$18,$G1077=$G$19,K$19,$G1077=$G$20,K$20,$G1077=$G$21,K$21,$G1077=$G$22,K$22,$G1077=$G$25,K$25,$G1077=$G$26,K$26,$G1077=$G$27,K$27,$G1077=$G$29,K$29,$G1077=$G$31,K$31,$G1077=$G$32,K$150,$G1077=$G$248,K$248,$G1077=$G$250,K$250)</f>
        <v>BG sentinel + BG lure7</v>
      </c>
      <c r="O1077" s="69" t="str">
        <f t="shared" si="86"/>
        <v>A_SP_BCN_9_211110</v>
      </c>
      <c r="P1077" s="64">
        <v>44510</v>
      </c>
      <c r="R1077" s="72"/>
      <c r="S1077" s="64">
        <v>44517</v>
      </c>
      <c r="U1077" s="72"/>
      <c r="V1077" s="54" t="s">
        <v>66</v>
      </c>
      <c r="X1077" s="69">
        <f t="shared" si="88"/>
        <v>7</v>
      </c>
      <c r="Z1077" s="45" t="s">
        <v>80</v>
      </c>
      <c r="AA1077" s="69">
        <f t="shared" si="87"/>
        <v>4</v>
      </c>
      <c r="AB1077" t="str">
        <f t="shared" si="73"/>
        <v>Adult</v>
      </c>
      <c r="AC1077" s="69">
        <v>4</v>
      </c>
      <c r="AD1077" s="69">
        <v>0</v>
      </c>
      <c r="AE1077" s="45" t="str">
        <f t="shared" si="74"/>
        <v>Morphological</v>
      </c>
      <c r="AF1077" s="56">
        <v>4</v>
      </c>
    </row>
    <row r="1078" spans="1:32" ht="18" customHeight="1" x14ac:dyDescent="0.25">
      <c r="A1078" s="45">
        <v>1074</v>
      </c>
      <c r="B1078" s="45" t="s">
        <v>60</v>
      </c>
      <c r="C1078" s="45" t="s">
        <v>61</v>
      </c>
      <c r="D1078" s="45" t="s">
        <v>62</v>
      </c>
      <c r="E1078" s="45" t="s">
        <v>62</v>
      </c>
      <c r="F1078" s="59" cm="1">
        <f t="array" ref="F1078">_xlfn.IFS($G1078=$G$5,F$5,$G1078=$G$6,F$6,$G1078=$G$7,F$7,$G1078=$G$8,F$8,$G1078=$G$9,F$9,$G1078=$G$10,F$10,$G1078=$G$11,F$11,$G1078=$G$12,F$12,$G1078=$G$13,F$13,$G1078=$G$15,F$15,$G1078=$G$16,F$16,$G1078=$G$17,F$17,$G1078=$G$18,F$18,$G1078=$G$19,F$19,$G1078=$G$20,F$20,$G1078=$G$21,F$21,$G1078=$G$22,F$22,$G1078=$G$25,F$25,$G1078=$G$26,F$26,$G1078=$G$27,F$27,$G1078=$G$29,F$29,$G1078=$G$31,F$31,$G1078=$G$32,F$32,$G1078=$G$248,F$248,$G1078=$G$250,F$250)</f>
        <v>8040</v>
      </c>
      <c r="G1078" t="s">
        <v>81</v>
      </c>
      <c r="H1078" s="60" cm="1">
        <f t="array" ref="H1078">_xlfn.IFS($G1078=$G$5,H$5,$G1078=$G$6,H$6,$G1078=$G$7,H$7,$G1078=$G$8,H$8,$G1078=$G$9,H$9,$G1078=$G$10,H$10,$G1078=$G$11,H$11,$G1078=$G$12,H$12,$G1078=$G$13,H$13,$G1078=$G$15,H$15,$G1078=$G$16,H$16,$G1078=$G$17,H$17,$G1078=$G$18,H$18,$G1078=$G$19,H$19,$G1078=$G$20,H$20,$G1078=$G$21,H$21,$G1078=$G$22,H$22,$G1078=$G$25,H$25,$G1078=$G$26,H$26,$G1078=$G$27,H$27,$G1078=$G$29,H$29,$G1078=$G$31,H$31,$G1078=$G$32,H$150,$G1078=$G$248,H$248,$G1078=$G$250,H$250)</f>
        <v>41.343685000000001</v>
      </c>
      <c r="I1078" s="60" cm="1">
        <f t="array" ref="I1078">_xlfn.IFS($G1078=$G$5,I$5,$G1078=$G$6,I$6,$G1078=$G$7,I$7,$G1078=$G$8,I$8,$G1078=$G$9,I$9,$G1078=$G$10,I$10,$G1078=$G$11,I$11,$G1078=$G$12,I$12,$G1078=$G$13,I$13,$G1078=$G$15,I$15,$G1078=$G$16,I$16,$G1078=$G$17,I$17,$G1078=$G$18,I$18,$G1078=$G$19,I$19,$G1078=$G$20,I$20,$G1078=$G$21,I$21,$G1078=$G$22,I$22,$G1078=$G$25,I$25,$G1078=$G$26,I$26,$G1078=$G$27,I$27,$G1078=$G$29,I$29,$G1078=$G$31,I$31,$G1078=$G$32,I$150,$G1078=$G$248,I$248,$G1078=$G$250,I$250)</f>
        <v>2.1441490000000001</v>
      </c>
      <c r="J1078" s="61" cm="1">
        <f t="array" ref="J1078">_xlfn.IFS($G1078=$G$5,J$5,$G1078=$G$6,J$6,$G1078=$G$7,J$7,$G1078=$G$8,J$8,$G1078=$G$9,J$9,$G1078=$G$10,J$10,$G1078=$G$11,J$11,$G1078=$G$12,J$12,$G1078=$G$13,J$13,$G1078=$G$15,J$15,$G1078=$G$16,J$16,$G1078=$G$17,J$17,$G1078=$G$18,J$18,$G1078=$G$19,J$19,$G1078=$G$20,J$20,$G1078=$G$21,J$21,$G1078=$G$22,J$22,$G1078=$G$25,J$25,$G1078=$G$26,J$26,$G1078=$G$27,J$27,$G1078=$G$29,J$29,$G1078=$G$31,J$31,$G1078=$G$32,J$150,$G1078=$G$248,J$248,$G1078=$G$250,J$250)</f>
        <v>4</v>
      </c>
      <c r="K1078" t="str" cm="1">
        <f t="array" ref="K1078">_xlfn.IFS($G1078=$G$5,K$5,$G1078=$G$6,K$6,$G1078=$G$7,K$7,$G1078=$G$8,K$8,$G1078=$G$9,K$9,$G1078=$G$10,K$10,$G1078=$G$11,K$11,$G1078=$G$12,K$12,$G1078=$G$13,K$13,$G1078=$G$15,K$15,$G1078=$G$16,K$16,$G1078=$G$17,K$17,$G1078=$G$18,K$18,$G1078=$G$19,K$19,$G1078=$G$20,K$20,$G1078=$G$21,K$21,$G1078=$G$22,K$22,$G1078=$G$25,K$25,$G1078=$G$26,K$26,$G1078=$G$27,K$27,$G1078=$G$29,K$29,$G1078=$G$31,K$31,$G1078=$G$32,K$150,$G1078=$G$248,K$248,$G1078=$G$250,K$250)</f>
        <v>BG sentinel + BG lure7</v>
      </c>
      <c r="O1078" s="69" t="str">
        <f t="shared" si="86"/>
        <v>A_SP_BCN_10_211111</v>
      </c>
      <c r="P1078" s="64">
        <v>44511</v>
      </c>
      <c r="R1078" s="72"/>
      <c r="S1078" s="64">
        <v>44518</v>
      </c>
      <c r="U1078" s="72"/>
      <c r="V1078" s="54" t="s">
        <v>66</v>
      </c>
      <c r="X1078" s="69">
        <f t="shared" si="88"/>
        <v>7</v>
      </c>
      <c r="Z1078" s="45" t="s">
        <v>70</v>
      </c>
      <c r="AA1078" s="69">
        <f t="shared" si="87"/>
        <v>2</v>
      </c>
      <c r="AB1078" t="str">
        <f t="shared" si="73"/>
        <v>Adult</v>
      </c>
      <c r="AC1078" s="69">
        <v>2</v>
      </c>
      <c r="AD1078" s="69">
        <v>0</v>
      </c>
      <c r="AE1078" s="45" t="str">
        <f t="shared" si="74"/>
        <v>Morphological</v>
      </c>
      <c r="AF1078" s="56">
        <v>4</v>
      </c>
    </row>
    <row r="1079" spans="1:32" ht="18" customHeight="1" x14ac:dyDescent="0.25">
      <c r="A1079" s="45">
        <v>1075</v>
      </c>
      <c r="B1079" s="45" t="s">
        <v>60</v>
      </c>
      <c r="C1079" s="45" t="s">
        <v>61</v>
      </c>
      <c r="D1079" s="45" t="s">
        <v>62</v>
      </c>
      <c r="E1079" s="45" t="s">
        <v>62</v>
      </c>
      <c r="F1079" s="59" cm="1">
        <f t="array" ref="F1079">_xlfn.IFS($G1079=$G$5,F$5,$G1079=$G$6,F$6,$G1079=$G$7,F$7,$G1079=$G$8,F$8,$G1079=$G$9,F$9,$G1079=$G$10,F$10,$G1079=$G$11,F$11,$G1079=$G$12,F$12,$G1079=$G$13,F$13,$G1079=$G$15,F$15,$G1079=$G$16,F$16,$G1079=$G$17,F$17,$G1079=$G$18,F$18,$G1079=$G$19,F$19,$G1079=$G$20,F$20,$G1079=$G$21,F$21,$G1079=$G$22,F$22,$G1079=$G$25,F$25,$G1079=$G$26,F$26,$G1079=$G$27,F$27,$G1079=$G$29,F$29,$G1079=$G$31,F$31,$G1079=$G$32,F$32,$G1079=$G$248,F$248,$G1079=$G$250,F$250)</f>
        <v>8038</v>
      </c>
      <c r="G1079" t="s">
        <v>82</v>
      </c>
      <c r="H1079" s="60" cm="1">
        <f t="array" ref="H1079">_xlfn.IFS($G1079=$G$5,H$5,$G1079=$G$6,H$6,$G1079=$G$7,H$7,$G1079=$G$8,H$8,$G1079=$G$9,H$9,$G1079=$G$10,H$10,$G1079=$G$11,H$11,$G1079=$G$12,H$12,$G1079=$G$13,H$13,$G1079=$G$15,H$15,$G1079=$G$16,H$16,$G1079=$G$17,H$17,$G1079=$G$18,H$18,$G1079=$G$19,H$19,$G1079=$G$20,H$20,$G1079=$G$21,H$21,$G1079=$G$22,H$22,$G1079=$G$25,H$25,$G1079=$G$26,H$26,$G1079=$G$27,H$27,$G1079=$G$29,H$29,$G1079=$G$31,H$31,$G1079=$G$32,H$150,$G1079=$G$248,H$248,$G1079=$G$250,H$250)</f>
        <v>41.367429999999999</v>
      </c>
      <c r="I1079" s="60" cm="1">
        <f t="array" ref="I1079">_xlfn.IFS($G1079=$G$5,I$5,$G1079=$G$6,I$6,$G1079=$G$7,I$7,$G1079=$G$8,I$8,$G1079=$G$9,I$9,$G1079=$G$10,I$10,$G1079=$G$11,I$11,$G1079=$G$12,I$12,$G1079=$G$13,I$13,$G1079=$G$15,I$15,$G1079=$G$16,I$16,$G1079=$G$17,I$17,$G1079=$G$18,I$18,$G1079=$G$19,I$19,$G1079=$G$20,I$20,$G1079=$G$21,I$21,$G1079=$G$22,I$22,$G1079=$G$25,I$25,$G1079=$G$26,I$26,$G1079=$G$27,I$27,$G1079=$G$29,I$29,$G1079=$G$31,I$31,$G1079=$G$32,I$150,$G1079=$G$248,I$248,$G1079=$G$250,I$250)</f>
        <v>2.1569609999999999</v>
      </c>
      <c r="J1079" s="61" cm="1">
        <f t="array" ref="J1079">_xlfn.IFS($G1079=$G$5,J$5,$G1079=$G$6,J$6,$G1079=$G$7,J$7,$G1079=$G$8,J$8,$G1079=$G$9,J$9,$G1079=$G$10,J$10,$G1079=$G$11,J$11,$G1079=$G$12,J$12,$G1079=$G$13,J$13,$G1079=$G$15,J$15,$G1079=$G$16,J$16,$G1079=$G$17,J$17,$G1079=$G$18,J$18,$G1079=$G$19,J$19,$G1079=$G$20,J$20,$G1079=$G$21,J$21,$G1079=$G$22,J$22,$G1079=$G$25,J$25,$G1079=$G$26,J$26,$G1079=$G$27,J$27,$G1079=$G$29,J$29,$G1079=$G$31,J$31,$G1079=$G$32,J$150,$G1079=$G$248,J$248,$G1079=$G$250,J$250)</f>
        <v>91</v>
      </c>
      <c r="K1079" t="str" cm="1">
        <f t="array" ref="K1079">_xlfn.IFS($G1079=$G$5,K$5,$G1079=$G$6,K$6,$G1079=$G$7,K$7,$G1079=$G$8,K$8,$G1079=$G$9,K$9,$G1079=$G$10,K$10,$G1079=$G$11,K$11,$G1079=$G$12,K$12,$G1079=$G$13,K$13,$G1079=$G$15,K$15,$G1079=$G$16,K$16,$G1079=$G$17,K$17,$G1079=$G$18,K$18,$G1079=$G$19,K$19,$G1079=$G$20,K$20,$G1079=$G$21,K$21,$G1079=$G$22,K$22,$G1079=$G$25,K$25,$G1079=$G$26,K$26,$G1079=$G$27,K$27,$G1079=$G$29,K$29,$G1079=$G$31,K$31,$G1079=$G$32,K$150,$G1079=$G$248,K$248,$G1079=$G$250,K$250)</f>
        <v>BG sentinel + BG lure7</v>
      </c>
      <c r="O1079" s="69" t="str">
        <f t="shared" si="86"/>
        <v>A_SP_BCN_11_211111</v>
      </c>
      <c r="P1079" s="64">
        <v>44511</v>
      </c>
      <c r="R1079" s="72"/>
      <c r="S1079" s="64">
        <v>44518</v>
      </c>
      <c r="U1079" s="72"/>
      <c r="V1079" s="54" t="s">
        <v>66</v>
      </c>
      <c r="X1079" s="69">
        <f t="shared" si="88"/>
        <v>7</v>
      </c>
      <c r="AA1079" s="69">
        <f>SUM(AC1079:AD1079)</f>
        <v>0</v>
      </c>
      <c r="AB1079"/>
      <c r="AE1079" s="45" t="str">
        <f t="shared" si="74"/>
        <v/>
      </c>
      <c r="AF1079" s="56">
        <v>4</v>
      </c>
    </row>
    <row r="1080" spans="1:32" ht="18" customHeight="1" x14ac:dyDescent="0.25">
      <c r="A1080" s="45">
        <v>1076</v>
      </c>
      <c r="B1080" s="45" t="s">
        <v>60</v>
      </c>
      <c r="C1080" s="45" t="s">
        <v>61</v>
      </c>
      <c r="D1080" s="45" t="s">
        <v>62</v>
      </c>
      <c r="E1080" s="45" t="s">
        <v>62</v>
      </c>
      <c r="F1080" s="59" cm="1">
        <f t="array" ref="F1080">_xlfn.IFS($G1080=$G$5,F$5,$G1080=$G$6,F$6,$G1080=$G$7,F$7,$G1080=$G$8,F$8,$G1080=$G$9,F$9,$G1080=$G$10,F$10,$G1080=$G$11,F$11,$G1080=$G$12,F$12,$G1080=$G$13,F$13,$G1080=$G$15,F$15,$G1080=$G$16,F$16,$G1080=$G$17,F$17,$G1080=$G$18,F$18,$G1080=$G$19,F$19,$G1080=$G$20,F$20,$G1080=$G$21,F$21,$G1080=$G$22,F$22,$G1080=$G$25,F$25,$G1080=$G$26,F$26,$G1080=$G$27,F$27,$G1080=$G$29,F$29,$G1080=$G$31,F$31,$G1080=$G$32,F$32,$G1080=$G$248,F$248,$G1080=$G$250,F$250)</f>
        <v>8038</v>
      </c>
      <c r="G1080" t="s">
        <v>84</v>
      </c>
      <c r="H1080" s="60" cm="1">
        <f t="array" ref="H1080">_xlfn.IFS($G1080=$G$5,H$5,$G1080=$G$6,H$6,$G1080=$G$7,H$7,$G1080=$G$8,H$8,$G1080=$G$9,H$9,$G1080=$G$10,H$10,$G1080=$G$11,H$11,$G1080=$G$12,H$12,$G1080=$G$13,H$13,$G1080=$G$15,H$15,$G1080=$G$16,H$16,$G1080=$G$17,H$17,$G1080=$G$18,H$18,$G1080=$G$19,H$19,$G1080=$G$20,H$20,$G1080=$G$21,H$21,$G1080=$G$22,H$22,$G1080=$G$25,H$25,$G1080=$G$26,H$26,$G1080=$G$27,H$27,$G1080=$G$29,H$29,$G1080=$G$31,H$31,$G1080=$G$32,H$150,$G1080=$G$248,H$248,$G1080=$G$250,H$250)</f>
        <v>41.363377999999997</v>
      </c>
      <c r="I1080" s="60" cm="1">
        <f t="array" ref="I1080">_xlfn.IFS($G1080=$G$5,I$5,$G1080=$G$6,I$6,$G1080=$G$7,I$7,$G1080=$G$8,I$8,$G1080=$G$9,I$9,$G1080=$G$10,I$10,$G1080=$G$11,I$11,$G1080=$G$12,I$12,$G1080=$G$13,I$13,$G1080=$G$15,I$15,$G1080=$G$16,I$16,$G1080=$G$17,I$17,$G1080=$G$18,I$18,$G1080=$G$19,I$19,$G1080=$G$20,I$20,$G1080=$G$21,I$21,$G1080=$G$22,I$22,$G1080=$G$25,I$25,$G1080=$G$26,I$26,$G1080=$G$27,I$27,$G1080=$G$29,I$29,$G1080=$G$31,I$31,$G1080=$G$32,I$150,$G1080=$G$248,I$248,$G1080=$G$250,I$250)</f>
        <v>2.164879</v>
      </c>
      <c r="J1080" s="61" cm="1">
        <f t="array" ref="J1080">_xlfn.IFS($G1080=$G$5,J$5,$G1080=$G$6,J$6,$G1080=$G$7,J$7,$G1080=$G$8,J$8,$G1080=$G$9,J$9,$G1080=$G$10,J$10,$G1080=$G$11,J$11,$G1080=$G$12,J$12,$G1080=$G$13,J$13,$G1080=$G$15,J$15,$G1080=$G$16,J$16,$G1080=$G$17,J$17,$G1080=$G$18,J$18,$G1080=$G$19,J$19,$G1080=$G$20,J$20,$G1080=$G$21,J$21,$G1080=$G$22,J$22,$G1080=$G$25,J$25,$G1080=$G$26,J$26,$G1080=$G$27,J$27,$G1080=$G$29,J$29,$G1080=$G$31,J$31,$G1080=$G$32,J$150,$G1080=$G$248,J$248,$G1080=$G$250,J$250)</f>
        <v>185</v>
      </c>
      <c r="K1080" t="str" cm="1">
        <f t="array" ref="K1080">_xlfn.IFS($G1080=$G$5,K$5,$G1080=$G$6,K$6,$G1080=$G$7,K$7,$G1080=$G$8,K$8,$G1080=$G$9,K$9,$G1080=$G$10,K$10,$G1080=$G$11,K$11,$G1080=$G$12,K$12,$G1080=$G$13,K$13,$G1080=$G$15,K$15,$G1080=$G$16,K$16,$G1080=$G$17,K$17,$G1080=$G$18,K$18,$G1080=$G$19,K$19,$G1080=$G$20,K$20,$G1080=$G$21,K$21,$G1080=$G$22,K$22,$G1080=$G$25,K$25,$G1080=$G$26,K$26,$G1080=$G$27,K$27,$G1080=$G$29,K$29,$G1080=$G$31,K$31,$G1080=$G$32,K$150,$G1080=$G$248,K$248,$G1080=$G$250,K$250)</f>
        <v>BG sentinel + BG lure7</v>
      </c>
      <c r="O1080" s="69" t="str">
        <f t="shared" si="86"/>
        <v>A_SP_BCN_12_211111</v>
      </c>
      <c r="P1080" s="64">
        <v>44511</v>
      </c>
      <c r="R1080" s="72"/>
      <c r="S1080" s="64">
        <v>44518</v>
      </c>
      <c r="U1080" s="72"/>
      <c r="V1080" s="54" t="s">
        <v>66</v>
      </c>
      <c r="X1080" s="69">
        <f t="shared" si="88"/>
        <v>7</v>
      </c>
      <c r="Z1080" s="45" t="s">
        <v>70</v>
      </c>
      <c r="AA1080" s="69">
        <f t="shared" ref="AA1080:AA1098" si="89">SUM(AC1080:AD1080)</f>
        <v>1</v>
      </c>
      <c r="AB1080" t="str">
        <f t="shared" ref="AB1080:AB1098" si="90">IF(AA1080=0,"",IF(AA1080="","",IF(AA1080&gt;0,"Adult")))</f>
        <v>Adult</v>
      </c>
      <c r="AC1080" s="69">
        <v>1</v>
      </c>
      <c r="AD1080" s="69">
        <v>0</v>
      </c>
      <c r="AE1080" s="45" t="str">
        <f t="shared" si="74"/>
        <v>Morphological</v>
      </c>
      <c r="AF1080" s="56">
        <v>4</v>
      </c>
    </row>
    <row r="1081" spans="1:32" ht="18" customHeight="1" x14ac:dyDescent="0.25">
      <c r="A1081" s="45">
        <v>1077</v>
      </c>
      <c r="B1081" s="45" t="s">
        <v>60</v>
      </c>
      <c r="C1081" s="45" t="s">
        <v>61</v>
      </c>
      <c r="D1081" s="45" t="s">
        <v>62</v>
      </c>
      <c r="E1081" s="45" t="s">
        <v>62</v>
      </c>
      <c r="F1081" s="59" cm="1">
        <f t="array" ref="F1081">_xlfn.IFS($G1081=$G$5,F$5,$G1081=$G$6,F$6,$G1081=$G$7,F$7,$G1081=$G$8,F$8,$G1081=$G$9,F$9,$G1081=$G$10,F$10,$G1081=$G$11,F$11,$G1081=$G$12,F$12,$G1081=$G$13,F$13,$G1081=$G$15,F$15,$G1081=$G$16,F$16,$G1081=$G$17,F$17,$G1081=$G$18,F$18,$G1081=$G$19,F$19,$G1081=$G$20,F$20,$G1081=$G$21,F$21,$G1081=$G$22,F$22,$G1081=$G$25,F$25,$G1081=$G$26,F$26,$G1081=$G$27,F$27,$G1081=$G$29,F$29,$G1081=$G$31,F$31,$G1081=$G$32,F$32,$G1081=$G$248,F$248,$G1081=$G$250,F$250)</f>
        <v>8038</v>
      </c>
      <c r="G1081" t="s">
        <v>84</v>
      </c>
      <c r="H1081" s="60" cm="1">
        <f t="array" ref="H1081">_xlfn.IFS($G1081=$G$5,H$5,$G1081=$G$6,H$6,$G1081=$G$7,H$7,$G1081=$G$8,H$8,$G1081=$G$9,H$9,$G1081=$G$10,H$10,$G1081=$G$11,H$11,$G1081=$G$12,H$12,$G1081=$G$13,H$13,$G1081=$G$15,H$15,$G1081=$G$16,H$16,$G1081=$G$17,H$17,$G1081=$G$18,H$18,$G1081=$G$19,H$19,$G1081=$G$20,H$20,$G1081=$G$21,H$21,$G1081=$G$22,H$22,$G1081=$G$25,H$25,$G1081=$G$26,H$26,$G1081=$G$27,H$27,$G1081=$G$29,H$29,$G1081=$G$31,H$31,$G1081=$G$32,H$150,$G1081=$G$248,H$248,$G1081=$G$250,H$250)</f>
        <v>41.363377999999997</v>
      </c>
      <c r="I1081" s="60" cm="1">
        <f t="array" ref="I1081">_xlfn.IFS($G1081=$G$5,I$5,$G1081=$G$6,I$6,$G1081=$G$7,I$7,$G1081=$G$8,I$8,$G1081=$G$9,I$9,$G1081=$G$10,I$10,$G1081=$G$11,I$11,$G1081=$G$12,I$12,$G1081=$G$13,I$13,$G1081=$G$15,I$15,$G1081=$G$16,I$16,$G1081=$G$17,I$17,$G1081=$G$18,I$18,$G1081=$G$19,I$19,$G1081=$G$20,I$20,$G1081=$G$21,I$21,$G1081=$G$22,I$22,$G1081=$G$25,I$25,$G1081=$G$26,I$26,$G1081=$G$27,I$27,$G1081=$G$29,I$29,$G1081=$G$31,I$31,$G1081=$G$32,I$150,$G1081=$G$248,I$248,$G1081=$G$250,I$250)</f>
        <v>2.164879</v>
      </c>
      <c r="J1081" s="61" cm="1">
        <f t="array" ref="J1081">_xlfn.IFS($G1081=$G$5,J$5,$G1081=$G$6,J$6,$G1081=$G$7,J$7,$G1081=$G$8,J$8,$G1081=$G$9,J$9,$G1081=$G$10,J$10,$G1081=$G$11,J$11,$G1081=$G$12,J$12,$G1081=$G$13,J$13,$G1081=$G$15,J$15,$G1081=$G$16,J$16,$G1081=$G$17,J$17,$G1081=$G$18,J$18,$G1081=$G$19,J$19,$G1081=$G$20,J$20,$G1081=$G$21,J$21,$G1081=$G$22,J$22,$G1081=$G$25,J$25,$G1081=$G$26,J$26,$G1081=$G$27,J$27,$G1081=$G$29,J$29,$G1081=$G$31,J$31,$G1081=$G$32,J$150,$G1081=$G$248,J$248,$G1081=$G$250,J$250)</f>
        <v>185</v>
      </c>
      <c r="K1081" t="str" cm="1">
        <f t="array" ref="K1081">_xlfn.IFS($G1081=$G$5,K$5,$G1081=$G$6,K$6,$G1081=$G$7,K$7,$G1081=$G$8,K$8,$G1081=$G$9,K$9,$G1081=$G$10,K$10,$G1081=$G$11,K$11,$G1081=$G$12,K$12,$G1081=$G$13,K$13,$G1081=$G$15,K$15,$G1081=$G$16,K$16,$G1081=$G$17,K$17,$G1081=$G$18,K$18,$G1081=$G$19,K$19,$G1081=$G$20,K$20,$G1081=$G$21,K$21,$G1081=$G$22,K$22,$G1081=$G$25,K$25,$G1081=$G$26,K$26,$G1081=$G$27,K$27,$G1081=$G$29,K$29,$G1081=$G$31,K$31,$G1081=$G$32,K$150,$G1081=$G$248,K$248,$G1081=$G$250,K$250)</f>
        <v>BG sentinel + BG lure7</v>
      </c>
      <c r="O1081" s="69" t="str">
        <f t="shared" si="86"/>
        <v>A_SP_BCN_12_211111</v>
      </c>
      <c r="P1081" s="64">
        <v>44511</v>
      </c>
      <c r="R1081" s="72"/>
      <c r="S1081" s="64">
        <v>44518</v>
      </c>
      <c r="U1081" s="72"/>
      <c r="V1081" s="54" t="s">
        <v>66</v>
      </c>
      <c r="X1081" s="69">
        <f t="shared" si="88"/>
        <v>7</v>
      </c>
      <c r="Z1081" s="45" t="s">
        <v>80</v>
      </c>
      <c r="AA1081" s="69">
        <f t="shared" si="89"/>
        <v>3</v>
      </c>
      <c r="AB1081" t="str">
        <f t="shared" si="90"/>
        <v>Adult</v>
      </c>
      <c r="AC1081" s="69">
        <v>1</v>
      </c>
      <c r="AD1081" s="69">
        <v>2</v>
      </c>
      <c r="AE1081" s="45" t="str">
        <f t="shared" si="74"/>
        <v>Morphological</v>
      </c>
      <c r="AF1081" s="56">
        <v>4</v>
      </c>
    </row>
    <row r="1082" spans="1:32" ht="18" customHeight="1" x14ac:dyDescent="0.25">
      <c r="A1082" s="45">
        <v>1078</v>
      </c>
      <c r="B1082" s="45" t="s">
        <v>60</v>
      </c>
      <c r="C1082" s="45" t="s">
        <v>61</v>
      </c>
      <c r="D1082" s="45" t="s">
        <v>62</v>
      </c>
      <c r="E1082" s="45" t="s">
        <v>62</v>
      </c>
      <c r="F1082" s="59" cm="1">
        <f t="array" ref="F1082">_xlfn.IFS($G1082=$G$5,F$5,$G1082=$G$6,F$6,$G1082=$G$7,F$7,$G1082=$G$8,F$8,$G1082=$G$9,F$9,$G1082=$G$10,F$10,$G1082=$G$11,F$11,$G1082=$G$12,F$12,$G1082=$G$13,F$13,$G1082=$G$15,F$15,$G1082=$G$16,F$16,$G1082=$G$17,F$17,$G1082=$G$18,F$18,$G1082=$G$19,F$19,$G1082=$G$20,F$20,$G1082=$G$21,F$21,$G1082=$G$22,F$22,$G1082=$G$25,F$25,$G1082=$G$26,F$26,$G1082=$G$27,F$27,$G1082=$G$29,F$29,$G1082=$G$31,F$31,$G1082=$G$32,F$32,$G1082=$G$248,F$248,$G1082=$G$250,F$250)</f>
        <v>8035</v>
      </c>
      <c r="G1082" t="s">
        <v>85</v>
      </c>
      <c r="H1082" s="60" cm="1">
        <f t="array" ref="H1082">_xlfn.IFS($G1082=$G$5,H$5,$G1082=$G$6,H$6,$G1082=$G$7,H$7,$G1082=$G$8,H$8,$G1082=$G$9,H$9,$G1082=$G$10,H$10,$G1082=$G$11,H$11,$G1082=$G$12,H$12,$G1082=$G$13,H$13,$G1082=$G$15,H$15,$G1082=$G$16,H$16,$G1082=$G$17,H$17,$G1082=$G$18,H$18,$G1082=$G$19,H$19,$G1082=$G$20,H$20,$G1082=$G$21,H$21,$G1082=$G$22,H$22,$G1082=$G$25,H$25,$G1082=$G$26,H$26,$G1082=$G$27,H$27,$G1082=$G$29,H$29,$G1082=$G$31,H$31,$G1082=$G$32,H$150,$G1082=$G$248,H$248,$G1082=$G$250,H$250)</f>
        <v>41.434472</v>
      </c>
      <c r="I1082" s="60" cm="1">
        <f t="array" ref="I1082">_xlfn.IFS($G1082=$G$5,I$5,$G1082=$G$6,I$6,$G1082=$G$7,I$7,$G1082=$G$8,I$8,$G1082=$G$9,I$9,$G1082=$G$10,I$10,$G1082=$G$11,I$11,$G1082=$G$12,I$12,$G1082=$G$13,I$13,$G1082=$G$15,I$15,$G1082=$G$16,I$16,$G1082=$G$17,I$17,$G1082=$G$18,I$18,$G1082=$G$19,I$19,$G1082=$G$20,I$20,$G1082=$G$21,I$21,$G1082=$G$22,I$22,$G1082=$G$25,I$25,$G1082=$G$26,I$26,$G1082=$G$27,I$27,$G1082=$G$29,I$29,$G1082=$G$31,I$31,$G1082=$G$32,I$150,$G1082=$G$248,I$248,$G1082=$G$250,I$250)</f>
        <v>2.1315789999999999</v>
      </c>
      <c r="J1082" s="61" cm="1">
        <f t="array" ref="J1082">_xlfn.IFS($G1082=$G$5,J$5,$G1082=$G$6,J$6,$G1082=$G$7,J$7,$G1082=$G$8,J$8,$G1082=$G$9,J$9,$G1082=$G$10,J$10,$G1082=$G$11,J$11,$G1082=$G$12,J$12,$G1082=$G$13,J$13,$G1082=$G$15,J$15,$G1082=$G$16,J$16,$G1082=$G$17,J$17,$G1082=$G$18,J$18,$G1082=$G$19,J$19,$G1082=$G$20,J$20,$G1082=$G$21,J$21,$G1082=$G$22,J$22,$G1082=$G$25,J$25,$G1082=$G$26,J$26,$G1082=$G$27,J$27,$G1082=$G$29,J$29,$G1082=$G$31,J$31,$G1082=$G$32,J$150,$G1082=$G$248,J$248,$G1082=$G$250,J$250)</f>
        <v>365</v>
      </c>
      <c r="K1082" t="str" cm="1">
        <f t="array" ref="K1082">_xlfn.IFS($G1082=$G$5,K$5,$G1082=$G$6,K$6,$G1082=$G$7,K$7,$G1082=$G$8,K$8,$G1082=$G$9,K$9,$G1082=$G$10,K$10,$G1082=$G$11,K$11,$G1082=$G$12,K$12,$G1082=$G$13,K$13,$G1082=$G$15,K$15,$G1082=$G$16,K$16,$G1082=$G$17,K$17,$G1082=$G$18,K$18,$G1082=$G$19,K$19,$G1082=$G$20,K$20,$G1082=$G$21,K$21,$G1082=$G$22,K$22,$G1082=$G$25,K$25,$G1082=$G$26,K$26,$G1082=$G$27,K$27,$G1082=$G$29,K$29,$G1082=$G$31,K$31,$G1082=$G$32,K$150,$G1082=$G$248,K$248,$G1082=$G$250,K$250)</f>
        <v>BG sentinel + BG lure7</v>
      </c>
      <c r="O1082" s="69" t="str">
        <f t="shared" si="86"/>
        <v>A_SP_BCN_13_211110</v>
      </c>
      <c r="P1082" s="64">
        <v>44510</v>
      </c>
      <c r="R1082" s="72"/>
      <c r="S1082" s="64">
        <v>44517</v>
      </c>
      <c r="U1082" s="72"/>
      <c r="V1082" s="54" t="s">
        <v>66</v>
      </c>
      <c r="X1082" s="69">
        <f t="shared" si="88"/>
        <v>7</v>
      </c>
      <c r="AA1082" s="69">
        <f t="shared" si="89"/>
        <v>0</v>
      </c>
      <c r="AB1082" t="str">
        <f t="shared" si="90"/>
        <v/>
      </c>
      <c r="AE1082" s="45" t="str">
        <f t="shared" si="74"/>
        <v/>
      </c>
      <c r="AF1082" s="56">
        <v>4</v>
      </c>
    </row>
    <row r="1083" spans="1:32" ht="18" customHeight="1" x14ac:dyDescent="0.25">
      <c r="A1083" s="45">
        <v>1079</v>
      </c>
      <c r="B1083" s="45" t="s">
        <v>60</v>
      </c>
      <c r="C1083" s="45" t="s">
        <v>61</v>
      </c>
      <c r="D1083" s="45" t="s">
        <v>62</v>
      </c>
      <c r="E1083" s="45" t="s">
        <v>62</v>
      </c>
      <c r="F1083" s="59" cm="1">
        <f t="array" ref="F1083">_xlfn.IFS($G1083=$G$5,F$5,$G1083=$G$6,F$6,$G1083=$G$7,F$7,$G1083=$G$8,F$8,$G1083=$G$9,F$9,$G1083=$G$10,F$10,$G1083=$G$11,F$11,$G1083=$G$12,F$12,$G1083=$G$13,F$13,$G1083=$G$15,F$15,$G1083=$G$16,F$16,$G1083=$G$17,F$17,$G1083=$G$18,F$18,$G1083=$G$19,F$19,$G1083=$G$20,F$20,$G1083=$G$21,F$21,$G1083=$G$22,F$22,$G1083=$G$25,F$25,$G1083=$G$26,F$26,$G1083=$G$27,F$27,$G1083=$G$29,F$29,$G1083=$G$31,F$31,$G1083=$G$32,F$32,$G1083=$G$248,F$248,$G1083=$G$250,F$250)</f>
        <v>8017</v>
      </c>
      <c r="G1083" t="s">
        <v>86</v>
      </c>
      <c r="H1083" s="60" cm="1">
        <f t="array" ref="H1083">_xlfn.IFS($G1083=$G$5,H$5,$G1083=$G$6,H$6,$G1083=$G$7,H$7,$G1083=$G$8,H$8,$G1083=$G$9,H$9,$G1083=$G$10,H$10,$G1083=$G$11,H$11,$G1083=$G$12,H$12,$G1083=$G$13,H$13,$G1083=$G$15,H$15,$G1083=$G$16,H$16,$G1083=$G$17,H$17,$G1083=$G$18,H$18,$G1083=$G$19,H$19,$G1083=$G$20,H$20,$G1083=$G$21,H$21,$G1083=$G$22,H$22,$G1083=$G$25,H$25,$G1083=$G$26,H$26,$G1083=$G$27,H$27,$G1083=$G$29,H$29,$G1083=$G$31,H$31,$G1083=$G$32,H$150,$G1083=$G$248,H$248,$G1083=$G$250,H$250)</f>
        <v>41.428533999999999</v>
      </c>
      <c r="I1083" s="60" cm="1">
        <f t="array" ref="I1083">_xlfn.IFS($G1083=$G$5,I$5,$G1083=$G$6,I$6,$G1083=$G$7,I$7,$G1083=$G$8,I$8,$G1083=$G$9,I$9,$G1083=$G$10,I$10,$G1083=$G$11,I$11,$G1083=$G$12,I$12,$G1083=$G$13,I$13,$G1083=$G$15,I$15,$G1083=$G$16,I$16,$G1083=$G$17,I$17,$G1083=$G$18,I$18,$G1083=$G$19,I$19,$G1083=$G$20,I$20,$G1083=$G$21,I$21,$G1083=$G$22,I$22,$G1083=$G$25,I$25,$G1083=$G$26,I$26,$G1083=$G$27,I$27,$G1083=$G$29,I$29,$G1083=$G$31,I$31,$G1083=$G$32,I$150,$G1083=$G$248,I$248,$G1083=$G$250,I$250)</f>
        <v>2.090954</v>
      </c>
      <c r="J1083" s="61" cm="1">
        <f t="array" ref="J1083">_xlfn.IFS($G1083=$G$5,J$5,$G1083=$G$6,J$6,$G1083=$G$7,J$7,$G1083=$G$8,J$8,$G1083=$G$9,J$9,$G1083=$G$10,J$10,$G1083=$G$11,J$11,$G1083=$G$12,J$12,$G1083=$G$13,J$13,$G1083=$G$15,J$15,$G1083=$G$16,J$16,$G1083=$G$17,J$17,$G1083=$G$18,J$18,$G1083=$G$19,J$19,$G1083=$G$20,J$20,$G1083=$G$21,J$21,$G1083=$G$22,J$22,$G1083=$G$25,J$25,$G1083=$G$26,J$26,$G1083=$G$27,J$27,$G1083=$G$29,J$29,$G1083=$G$31,J$31,$G1083=$G$32,J$150,$G1083=$G$248,J$248,$G1083=$G$250,J$250)</f>
        <v>215</v>
      </c>
      <c r="K1083" t="str" cm="1">
        <f t="array" ref="K1083">_xlfn.IFS($G1083=$G$5,K$5,$G1083=$G$6,K$6,$G1083=$G$7,K$7,$G1083=$G$8,K$8,$G1083=$G$9,K$9,$G1083=$G$10,K$10,$G1083=$G$11,K$11,$G1083=$G$12,K$12,$G1083=$G$13,K$13,$G1083=$G$15,K$15,$G1083=$G$16,K$16,$G1083=$G$17,K$17,$G1083=$G$18,K$18,$G1083=$G$19,K$19,$G1083=$G$20,K$20,$G1083=$G$21,K$21,$G1083=$G$22,K$22,$G1083=$G$25,K$25,$G1083=$G$26,K$26,$G1083=$G$27,K$27,$G1083=$G$29,K$29,$G1083=$G$31,K$31,$G1083=$G$32,K$150,$G1083=$G$248,K$248,$G1083=$G$250,K$250)</f>
        <v>BG sentinel + BG lure7</v>
      </c>
      <c r="O1083" s="69" t="str">
        <f t="shared" si="86"/>
        <v>A_SP_BCN_14_211110</v>
      </c>
      <c r="P1083" s="64">
        <v>44510</v>
      </c>
      <c r="R1083" s="72"/>
      <c r="S1083" s="64">
        <v>44517</v>
      </c>
      <c r="U1083" s="72"/>
      <c r="V1083" s="54" t="s">
        <v>66</v>
      </c>
      <c r="X1083" s="69">
        <f t="shared" si="88"/>
        <v>7</v>
      </c>
      <c r="AA1083" s="69">
        <f t="shared" si="89"/>
        <v>0</v>
      </c>
      <c r="AB1083" t="str">
        <f t="shared" si="90"/>
        <v/>
      </c>
      <c r="AE1083" s="45" t="str">
        <f t="shared" si="74"/>
        <v/>
      </c>
      <c r="AF1083" s="56">
        <v>4</v>
      </c>
    </row>
    <row r="1084" spans="1:32" ht="18" customHeight="1" x14ac:dyDescent="0.25">
      <c r="A1084" s="45">
        <v>1080</v>
      </c>
      <c r="B1084" s="45" t="s">
        <v>60</v>
      </c>
      <c r="C1084" s="45" t="s">
        <v>61</v>
      </c>
      <c r="D1084" s="45" t="s">
        <v>62</v>
      </c>
      <c r="E1084" s="45" t="s">
        <v>62</v>
      </c>
      <c r="F1084" s="59" cm="1">
        <f t="array" ref="F1084">_xlfn.IFS($G1084=$G$5,F$5,$G1084=$G$6,F$6,$G1084=$G$7,F$7,$G1084=$G$8,F$8,$G1084=$G$9,F$9,$G1084=$G$10,F$10,$G1084=$G$11,F$11,$G1084=$G$12,F$12,$G1084=$G$13,F$13,$G1084=$G$15,F$15,$G1084=$G$16,F$16,$G1084=$G$17,F$17,$G1084=$G$18,F$18,$G1084=$G$19,F$19,$G1084=$G$20,F$20,$G1084=$G$21,F$21,$G1084=$G$22,F$22,$G1084=$G$25,F$25,$G1084=$G$26,F$26,$G1084=$G$27,F$27,$G1084=$G$29,F$29,$G1084=$G$31,F$31,$G1084=$G$32,F$32,$G1084=$G$248,F$248,$G1084=$G$250,F$250)</f>
        <v>8017</v>
      </c>
      <c r="G1084" t="s">
        <v>87</v>
      </c>
      <c r="H1084" s="60" cm="1">
        <f t="array" ref="H1084">_xlfn.IFS($G1084=$G$5,H$5,$G1084=$G$6,H$6,$G1084=$G$7,H$7,$G1084=$G$8,H$8,$G1084=$G$9,H$9,$G1084=$G$10,H$10,$G1084=$G$11,H$11,$G1084=$G$12,H$12,$G1084=$G$13,H$13,$G1084=$G$15,H$15,$G1084=$G$16,H$16,$G1084=$G$17,H$17,$G1084=$G$18,H$18,$G1084=$G$19,H$19,$G1084=$G$20,H$20,$G1084=$G$21,H$21,$G1084=$G$22,H$22,$G1084=$G$25,H$25,$G1084=$G$26,H$26,$G1084=$G$27,H$27,$G1084=$G$29,H$29,$G1084=$G$31,H$31,$G1084=$G$32,H$150,$G1084=$G$248,H$248,$G1084=$G$250,H$250)</f>
        <v>41.419471000000001</v>
      </c>
      <c r="I1084" s="60" cm="1">
        <f t="array" ref="I1084">_xlfn.IFS($G1084=$G$5,I$5,$G1084=$G$6,I$6,$G1084=$G$7,I$7,$G1084=$G$8,I$8,$G1084=$G$9,I$9,$G1084=$G$10,I$10,$G1084=$G$11,I$11,$G1084=$G$12,I$12,$G1084=$G$13,I$13,$G1084=$G$15,I$15,$G1084=$G$16,I$16,$G1084=$G$17,I$17,$G1084=$G$18,I$18,$G1084=$G$19,I$19,$G1084=$G$20,I$20,$G1084=$G$21,I$21,$G1084=$G$22,I$22,$G1084=$G$25,I$25,$G1084=$G$26,I$26,$G1084=$G$27,I$27,$G1084=$G$29,I$29,$G1084=$G$31,I$31,$G1084=$G$32,I$150,$G1084=$G$248,I$248,$G1084=$G$250,I$250)</f>
        <v>2.1010149999999999</v>
      </c>
      <c r="J1084" s="61" cm="1">
        <f t="array" ref="J1084">_xlfn.IFS($G1084=$G$5,J$5,$G1084=$G$6,J$6,$G1084=$G$7,J$7,$G1084=$G$8,J$8,$G1084=$G$9,J$9,$G1084=$G$10,J$10,$G1084=$G$11,J$11,$G1084=$G$12,J$12,$G1084=$G$13,J$13,$G1084=$G$15,J$15,$G1084=$G$16,J$16,$G1084=$G$17,J$17,$G1084=$G$18,J$18,$G1084=$G$19,J$19,$G1084=$G$20,J$20,$G1084=$G$21,J$21,$G1084=$G$22,J$22,$G1084=$G$25,J$25,$G1084=$G$26,J$26,$G1084=$G$27,J$27,$G1084=$G$29,J$29,$G1084=$G$31,J$31,$G1084=$G$32,J$150,$G1084=$G$248,J$248,$G1084=$G$250,J$250)</f>
        <v>284</v>
      </c>
      <c r="K1084" t="str" cm="1">
        <f t="array" ref="K1084">_xlfn.IFS($G1084=$G$5,K$5,$G1084=$G$6,K$6,$G1084=$G$7,K$7,$G1084=$G$8,K$8,$G1084=$G$9,K$9,$G1084=$G$10,K$10,$G1084=$G$11,K$11,$G1084=$G$12,K$12,$G1084=$G$13,K$13,$G1084=$G$15,K$15,$G1084=$G$16,K$16,$G1084=$G$17,K$17,$G1084=$G$18,K$18,$G1084=$G$19,K$19,$G1084=$G$20,K$20,$G1084=$G$21,K$21,$G1084=$G$22,K$22,$G1084=$G$25,K$25,$G1084=$G$26,K$26,$G1084=$G$27,K$27,$G1084=$G$29,K$29,$G1084=$G$31,K$31,$G1084=$G$32,K$150,$G1084=$G$248,K$248,$G1084=$G$250,K$250)</f>
        <v>BG sentinel + BG lure7</v>
      </c>
      <c r="O1084" s="69" t="str">
        <f t="shared" si="86"/>
        <v>A_SP_BCN_15_211110</v>
      </c>
      <c r="P1084" s="64">
        <v>44510</v>
      </c>
      <c r="R1084" s="72"/>
      <c r="S1084" s="64">
        <v>44517</v>
      </c>
      <c r="U1084" s="72"/>
      <c r="V1084" s="54" t="s">
        <v>66</v>
      </c>
      <c r="X1084" s="69">
        <f t="shared" si="88"/>
        <v>7</v>
      </c>
      <c r="AA1084" s="69">
        <f t="shared" si="89"/>
        <v>0</v>
      </c>
      <c r="AB1084" t="str">
        <f t="shared" si="90"/>
        <v/>
      </c>
      <c r="AE1084" s="45" t="str">
        <f t="shared" si="74"/>
        <v/>
      </c>
      <c r="AF1084" s="56">
        <v>4</v>
      </c>
    </row>
    <row r="1085" spans="1:32" ht="18" customHeight="1" x14ac:dyDescent="0.25">
      <c r="A1085" s="45">
        <v>1081</v>
      </c>
      <c r="B1085" s="45" t="s">
        <v>60</v>
      </c>
      <c r="C1085" s="45" t="s">
        <v>61</v>
      </c>
      <c r="D1085" s="45" t="s">
        <v>62</v>
      </c>
      <c r="E1085" s="45" t="s">
        <v>62</v>
      </c>
      <c r="F1085" s="59" cm="1">
        <f t="array" ref="F1085">_xlfn.IFS($G1085=$G$5,F$5,$G1085=$G$6,F$6,$G1085=$G$7,F$7,$G1085=$G$8,F$8,$G1085=$G$9,F$9,$G1085=$G$10,F$10,$G1085=$G$11,F$11,$G1085=$G$12,F$12,$G1085=$G$13,F$13,$G1085=$G$15,F$15,$G1085=$G$16,F$16,$G1085=$G$17,F$17,$G1085=$G$18,F$18,$G1085=$G$19,F$19,$G1085=$G$20,F$20,$G1085=$G$21,F$21,$G1085=$G$22,F$22,$G1085=$G$25,F$25,$G1085=$G$26,F$26,$G1085=$G$27,F$27,$G1085=$G$29,F$29,$G1085=$G$31,F$31,$G1085=$G$32,F$32,$G1085=$G$248,F$248,$G1085=$G$250,F$250)</f>
        <v>8017</v>
      </c>
      <c r="G1085" t="s">
        <v>88</v>
      </c>
      <c r="H1085" s="60" cm="1">
        <f t="array" ref="H1085">_xlfn.IFS($G1085=$G$5,H$5,$G1085=$G$6,H$6,$G1085=$G$7,H$7,$G1085=$G$8,H$8,$G1085=$G$9,H$9,$G1085=$G$10,H$10,$G1085=$G$11,H$11,$G1085=$G$12,H$12,$G1085=$G$13,H$13,$G1085=$G$15,H$15,$G1085=$G$16,H$16,$G1085=$G$17,H$17,$G1085=$G$18,H$18,$G1085=$G$19,H$19,$G1085=$G$20,H$20,$G1085=$G$21,H$21,$G1085=$G$22,H$22,$G1085=$G$25,H$25,$G1085=$G$26,H$26,$G1085=$G$27,H$27,$G1085=$G$29,H$29,$G1085=$G$31,H$31,$G1085=$G$32,H$150,$G1085=$G$248,H$248,$G1085=$G$250,H$250)</f>
        <v>41.398387</v>
      </c>
      <c r="I1085" s="60" cm="1">
        <f t="array" ref="I1085">_xlfn.IFS($G1085=$G$5,I$5,$G1085=$G$6,I$6,$G1085=$G$7,I$7,$G1085=$G$8,I$8,$G1085=$G$9,I$9,$G1085=$G$10,I$10,$G1085=$G$11,I$11,$G1085=$G$12,I$12,$G1085=$G$13,I$13,$G1085=$G$15,I$15,$G1085=$G$16,I$16,$G1085=$G$17,I$17,$G1085=$G$18,I$18,$G1085=$G$19,I$19,$G1085=$G$20,I$20,$G1085=$G$21,I$21,$G1085=$G$22,I$22,$G1085=$G$25,I$25,$G1085=$G$26,I$26,$G1085=$G$27,I$27,$G1085=$G$29,I$29,$G1085=$G$31,I$31,$G1085=$G$32,I$150,$G1085=$G$248,I$248,$G1085=$G$250,I$250)</f>
        <v>2.1244429999999999</v>
      </c>
      <c r="J1085" s="61" cm="1">
        <f t="array" ref="J1085">_xlfn.IFS($G1085=$G$5,J$5,$G1085=$G$6,J$6,$G1085=$G$7,J$7,$G1085=$G$8,J$8,$G1085=$G$9,J$9,$G1085=$G$10,J$10,$G1085=$G$11,J$11,$G1085=$G$12,J$12,$G1085=$G$13,J$13,$G1085=$G$15,J$15,$G1085=$G$16,J$16,$G1085=$G$17,J$17,$G1085=$G$18,J$18,$G1085=$G$19,J$19,$G1085=$G$20,J$20,$G1085=$G$21,J$21,$G1085=$G$22,J$22,$G1085=$G$25,J$25,$G1085=$G$26,J$26,$G1085=$G$27,J$27,$G1085=$G$29,J$29,$G1085=$G$31,J$31,$G1085=$G$32,J$150,$G1085=$G$248,J$248,$G1085=$G$250,J$250)</f>
        <v>106</v>
      </c>
      <c r="K1085" t="str" cm="1">
        <f t="array" ref="K1085">_xlfn.IFS($G1085=$G$5,K$5,$G1085=$G$6,K$6,$G1085=$G$7,K$7,$G1085=$G$8,K$8,$G1085=$G$9,K$9,$G1085=$G$10,K$10,$G1085=$G$11,K$11,$G1085=$G$12,K$12,$G1085=$G$13,K$13,$G1085=$G$15,K$15,$G1085=$G$16,K$16,$G1085=$G$17,K$17,$G1085=$G$18,K$18,$G1085=$G$19,K$19,$G1085=$G$20,K$20,$G1085=$G$21,K$21,$G1085=$G$22,K$22,$G1085=$G$25,K$25,$G1085=$G$26,K$26,$G1085=$G$27,K$27,$G1085=$G$29,K$29,$G1085=$G$31,K$31,$G1085=$G$32,K$150,$G1085=$G$248,K$248,$G1085=$G$250,K$250)</f>
        <v>BG sentinel + BG lure7</v>
      </c>
      <c r="O1085" s="69" t="str">
        <f t="shared" si="86"/>
        <v>A_SP_BCN_16_211110</v>
      </c>
      <c r="P1085" s="64">
        <v>44510</v>
      </c>
      <c r="R1085" s="72"/>
      <c r="S1085" s="64">
        <v>44517</v>
      </c>
      <c r="U1085" s="72"/>
      <c r="V1085" s="54" t="s">
        <v>66</v>
      </c>
      <c r="X1085" s="69">
        <f t="shared" si="88"/>
        <v>7</v>
      </c>
      <c r="Z1085" s="69" t="s">
        <v>69</v>
      </c>
      <c r="AA1085" s="69">
        <f t="shared" si="89"/>
        <v>7</v>
      </c>
      <c r="AB1085" t="str">
        <f t="shared" si="90"/>
        <v>Adult</v>
      </c>
      <c r="AC1085" s="69">
        <v>7</v>
      </c>
      <c r="AD1085" s="69">
        <v>0</v>
      </c>
      <c r="AE1085" s="45" t="str">
        <f t="shared" si="74"/>
        <v>Morphological</v>
      </c>
      <c r="AF1085" s="56">
        <v>4</v>
      </c>
    </row>
    <row r="1086" spans="1:32" ht="18" customHeight="1" x14ac:dyDescent="0.25">
      <c r="A1086" s="45">
        <v>1082</v>
      </c>
      <c r="B1086" s="45" t="s">
        <v>60</v>
      </c>
      <c r="C1086" s="45" t="s">
        <v>61</v>
      </c>
      <c r="D1086" s="45" t="s">
        <v>62</v>
      </c>
      <c r="E1086" s="45" t="s">
        <v>62</v>
      </c>
      <c r="F1086" s="59" cm="1">
        <f t="array" ref="F1086">_xlfn.IFS($G1086=$G$5,F$5,$G1086=$G$6,F$6,$G1086=$G$7,F$7,$G1086=$G$8,F$8,$G1086=$G$9,F$9,$G1086=$G$10,F$10,$G1086=$G$11,F$11,$G1086=$G$12,F$12,$G1086=$G$13,F$13,$G1086=$G$15,F$15,$G1086=$G$16,F$16,$G1086=$G$17,F$17,$G1086=$G$18,F$18,$G1086=$G$19,F$19,$G1086=$G$20,F$20,$G1086=$G$21,F$21,$G1086=$G$22,F$22,$G1086=$G$25,F$25,$G1086=$G$26,F$26,$G1086=$G$27,F$27,$G1086=$G$29,F$29,$G1086=$G$31,F$31,$G1086=$G$32,F$32,$G1086=$G$248,F$248,$G1086=$G$250,F$250)</f>
        <v>8017</v>
      </c>
      <c r="G1086" t="s">
        <v>88</v>
      </c>
      <c r="H1086" s="60" cm="1">
        <f t="array" ref="H1086">_xlfn.IFS($G1086=$G$5,H$5,$G1086=$G$6,H$6,$G1086=$G$7,H$7,$G1086=$G$8,H$8,$G1086=$G$9,H$9,$G1086=$G$10,H$10,$G1086=$G$11,H$11,$G1086=$G$12,H$12,$G1086=$G$13,H$13,$G1086=$G$15,H$15,$G1086=$G$16,H$16,$G1086=$G$17,H$17,$G1086=$G$18,H$18,$G1086=$G$19,H$19,$G1086=$G$20,H$20,$G1086=$G$21,H$21,$G1086=$G$22,H$22,$G1086=$G$25,H$25,$G1086=$G$26,H$26,$G1086=$G$27,H$27,$G1086=$G$29,H$29,$G1086=$G$31,H$31,$G1086=$G$32,H$150,$G1086=$G$248,H$248,$G1086=$G$250,H$250)</f>
        <v>41.398387</v>
      </c>
      <c r="I1086" s="60" cm="1">
        <f t="array" ref="I1086">_xlfn.IFS($G1086=$G$5,I$5,$G1086=$G$6,I$6,$G1086=$G$7,I$7,$G1086=$G$8,I$8,$G1086=$G$9,I$9,$G1086=$G$10,I$10,$G1086=$G$11,I$11,$G1086=$G$12,I$12,$G1086=$G$13,I$13,$G1086=$G$15,I$15,$G1086=$G$16,I$16,$G1086=$G$17,I$17,$G1086=$G$18,I$18,$G1086=$G$19,I$19,$G1086=$G$20,I$20,$G1086=$G$21,I$21,$G1086=$G$22,I$22,$G1086=$G$25,I$25,$G1086=$G$26,I$26,$G1086=$G$27,I$27,$G1086=$G$29,I$29,$G1086=$G$31,I$31,$G1086=$G$32,I$150,$G1086=$G$248,I$248,$G1086=$G$250,I$250)</f>
        <v>2.1244429999999999</v>
      </c>
      <c r="J1086" s="61" cm="1">
        <f t="array" ref="J1086">_xlfn.IFS($G1086=$G$5,J$5,$G1086=$G$6,J$6,$G1086=$G$7,J$7,$G1086=$G$8,J$8,$G1086=$G$9,J$9,$G1086=$G$10,J$10,$G1086=$G$11,J$11,$G1086=$G$12,J$12,$G1086=$G$13,J$13,$G1086=$G$15,J$15,$G1086=$G$16,J$16,$G1086=$G$17,J$17,$G1086=$G$18,J$18,$G1086=$G$19,J$19,$G1086=$G$20,J$20,$G1086=$G$21,J$21,$G1086=$G$22,J$22,$G1086=$G$25,J$25,$G1086=$G$26,J$26,$G1086=$G$27,J$27,$G1086=$G$29,J$29,$G1086=$G$31,J$31,$G1086=$G$32,J$150,$G1086=$G$248,J$248,$G1086=$G$250,J$250)</f>
        <v>106</v>
      </c>
      <c r="K1086" t="str" cm="1">
        <f t="array" ref="K1086">_xlfn.IFS($G1086=$G$5,K$5,$G1086=$G$6,K$6,$G1086=$G$7,K$7,$G1086=$G$8,K$8,$G1086=$G$9,K$9,$G1086=$G$10,K$10,$G1086=$G$11,K$11,$G1086=$G$12,K$12,$G1086=$G$13,K$13,$G1086=$G$15,K$15,$G1086=$G$16,K$16,$G1086=$G$17,K$17,$G1086=$G$18,K$18,$G1086=$G$19,K$19,$G1086=$G$20,K$20,$G1086=$G$21,K$21,$G1086=$G$22,K$22,$G1086=$G$25,K$25,$G1086=$G$26,K$26,$G1086=$G$27,K$27,$G1086=$G$29,K$29,$G1086=$G$31,K$31,$G1086=$G$32,K$150,$G1086=$G$248,K$248,$G1086=$G$250,K$250)</f>
        <v>BG sentinel + BG lure7</v>
      </c>
      <c r="O1086" s="69" t="str">
        <f t="shared" si="86"/>
        <v>A_SP_BCN_16_211110</v>
      </c>
      <c r="P1086" s="64">
        <v>44510</v>
      </c>
      <c r="R1086" s="72"/>
      <c r="S1086" s="64">
        <v>44517</v>
      </c>
      <c r="U1086" s="72"/>
      <c r="V1086" s="54" t="s">
        <v>66</v>
      </c>
      <c r="X1086" s="69">
        <f t="shared" si="88"/>
        <v>7</v>
      </c>
      <c r="Z1086" s="45" t="s">
        <v>70</v>
      </c>
      <c r="AA1086" s="69">
        <f t="shared" si="89"/>
        <v>2</v>
      </c>
      <c r="AB1086" t="str">
        <f t="shared" si="90"/>
        <v>Adult</v>
      </c>
      <c r="AC1086" s="69">
        <v>1</v>
      </c>
      <c r="AD1086" s="69">
        <v>1</v>
      </c>
      <c r="AE1086" s="45" t="str">
        <f t="shared" si="74"/>
        <v>Morphological</v>
      </c>
      <c r="AF1086" s="56">
        <v>4</v>
      </c>
    </row>
    <row r="1087" spans="1:32" ht="18" customHeight="1" x14ac:dyDescent="0.25">
      <c r="A1087" s="45">
        <v>1083</v>
      </c>
      <c r="B1087" s="45" t="s">
        <v>60</v>
      </c>
      <c r="C1087" s="45" t="s">
        <v>61</v>
      </c>
      <c r="D1087" s="45" t="s">
        <v>62</v>
      </c>
      <c r="E1087" s="45" t="s">
        <v>62</v>
      </c>
      <c r="F1087" s="59" cm="1">
        <f t="array" ref="F1087">_xlfn.IFS($G1087=$G$5,F$5,$G1087=$G$6,F$6,$G1087=$G$7,F$7,$G1087=$G$8,F$8,$G1087=$G$9,F$9,$G1087=$G$10,F$10,$G1087=$G$11,F$11,$G1087=$G$12,F$12,$G1087=$G$13,F$13,$G1087=$G$15,F$15,$G1087=$G$16,F$16,$G1087=$G$17,F$17,$G1087=$G$18,F$18,$G1087=$G$19,F$19,$G1087=$G$20,F$20,$G1087=$G$21,F$21,$G1087=$G$22,F$22,$G1087=$G$25,F$25,$G1087=$G$26,F$26,$G1087=$G$27,F$27,$G1087=$G$29,F$29,$G1087=$G$31,F$31,$G1087=$G$32,F$32,$G1087=$G$248,F$248,$G1087=$G$250,F$250)</f>
        <v>8023</v>
      </c>
      <c r="G1087" t="s">
        <v>89</v>
      </c>
      <c r="H1087" s="60" cm="1">
        <f t="array" ref="H1087">_xlfn.IFS($G1087=$G$5,H$5,$G1087=$G$6,H$6,$G1087=$G$7,H$7,$G1087=$G$8,H$8,$G1087=$G$9,H$9,$G1087=$G$10,H$10,$G1087=$G$11,H$11,$G1087=$G$12,H$12,$G1087=$G$13,H$13,$G1087=$G$15,H$15,$G1087=$G$16,H$16,$G1087=$G$17,H$17,$G1087=$G$18,H$18,$G1087=$G$19,H$19,$G1087=$G$20,H$20,$G1087=$G$21,H$21,$G1087=$G$22,H$22,$G1087=$G$25,H$25,$G1087=$G$26,H$26,$G1087=$G$27,H$27,$G1087=$G$29,H$29,$G1087=$G$31,H$31,$G1087=$G$32,H$150,$G1087=$G$248,H$248,$G1087=$G$250,H$250)</f>
        <v>41.417256000000002</v>
      </c>
      <c r="I1087" s="60" cm="1">
        <f t="array" ref="I1087">_xlfn.IFS($G1087=$G$5,I$5,$G1087=$G$6,I$6,$G1087=$G$7,I$7,$G1087=$G$8,I$8,$G1087=$G$9,I$9,$G1087=$G$10,I$10,$G1087=$G$11,I$11,$G1087=$G$12,I$12,$G1087=$G$13,I$13,$G1087=$G$15,I$15,$G1087=$G$16,I$16,$G1087=$G$17,I$17,$G1087=$G$18,I$18,$G1087=$G$19,I$19,$G1087=$G$20,I$20,$G1087=$G$21,I$21,$G1087=$G$22,I$22,$G1087=$G$25,I$25,$G1087=$G$26,I$26,$G1087=$G$27,I$27,$G1087=$G$29,I$29,$G1087=$G$31,I$31,$G1087=$G$32,I$150,$G1087=$G$248,I$248,$G1087=$G$250,I$250)</f>
        <v>2.1455709999999999</v>
      </c>
      <c r="J1087" s="61" cm="1">
        <f t="array" ref="J1087">_xlfn.IFS($G1087=$G$5,J$5,$G1087=$G$6,J$6,$G1087=$G$7,J$7,$G1087=$G$8,J$8,$G1087=$G$9,J$9,$G1087=$G$10,J$10,$G1087=$G$11,J$11,$G1087=$G$12,J$12,$G1087=$G$13,J$13,$G1087=$G$15,J$15,$G1087=$G$16,J$16,$G1087=$G$17,J$17,$G1087=$G$18,J$18,$G1087=$G$19,J$19,$G1087=$G$20,J$20,$G1087=$G$21,J$21,$G1087=$G$22,J$22,$G1087=$G$25,J$25,$G1087=$G$26,J$26,$G1087=$G$27,J$27,$G1087=$G$29,J$29,$G1087=$G$31,J$31,$G1087=$G$32,J$150,$G1087=$G$248,J$248,$G1087=$G$250,J$250)</f>
        <v>186</v>
      </c>
      <c r="K1087" t="str" cm="1">
        <f t="array" ref="K1087">_xlfn.IFS($G1087=$G$5,K$5,$G1087=$G$6,K$6,$G1087=$G$7,K$7,$G1087=$G$8,K$8,$G1087=$G$9,K$9,$G1087=$G$10,K$10,$G1087=$G$11,K$11,$G1087=$G$12,K$12,$G1087=$G$13,K$13,$G1087=$G$15,K$15,$G1087=$G$16,K$16,$G1087=$G$17,K$17,$G1087=$G$18,K$18,$G1087=$G$19,K$19,$G1087=$G$20,K$20,$G1087=$G$21,K$21,$G1087=$G$22,K$22,$G1087=$G$25,K$25,$G1087=$G$26,K$26,$G1087=$G$27,K$27,$G1087=$G$29,K$29,$G1087=$G$31,K$31,$G1087=$G$32,K$150,$G1087=$G$248,K$248,$G1087=$G$250,K$250)</f>
        <v>BG sentinel + BG lure7</v>
      </c>
      <c r="O1087" s="69" t="str">
        <f t="shared" si="86"/>
        <v>A_SP_BCN_17_211110</v>
      </c>
      <c r="P1087" s="64">
        <v>44510</v>
      </c>
      <c r="R1087" s="72"/>
      <c r="S1087" s="64">
        <v>44517</v>
      </c>
      <c r="U1087" s="72"/>
      <c r="V1087" s="54" t="s">
        <v>66</v>
      </c>
      <c r="X1087" s="69">
        <f t="shared" si="88"/>
        <v>7</v>
      </c>
      <c r="Z1087" s="45" t="s">
        <v>70</v>
      </c>
      <c r="AA1087" s="69">
        <f t="shared" si="89"/>
        <v>3</v>
      </c>
      <c r="AB1087" t="str">
        <f t="shared" si="90"/>
        <v>Adult</v>
      </c>
      <c r="AC1087" s="69">
        <v>1</v>
      </c>
      <c r="AD1087" s="69">
        <v>2</v>
      </c>
      <c r="AE1087" s="45" t="str">
        <f t="shared" si="74"/>
        <v>Morphological</v>
      </c>
      <c r="AF1087" s="56">
        <v>4</v>
      </c>
    </row>
    <row r="1088" spans="1:32" ht="18" customHeight="1" x14ac:dyDescent="0.25">
      <c r="A1088" s="45">
        <v>1084</v>
      </c>
      <c r="B1088" s="45" t="s">
        <v>60</v>
      </c>
      <c r="C1088" s="45" t="s">
        <v>61</v>
      </c>
      <c r="D1088" s="45" t="s">
        <v>62</v>
      </c>
      <c r="E1088" s="45" t="s">
        <v>62</v>
      </c>
      <c r="F1088" s="59" cm="1">
        <f t="array" ref="F1088">_xlfn.IFS($G1088=$G$5,F$5,$G1088=$G$6,F$6,$G1088=$G$7,F$7,$G1088=$G$8,F$8,$G1088=$G$9,F$9,$G1088=$G$10,F$10,$G1088=$G$11,F$11,$G1088=$G$12,F$12,$G1088=$G$13,F$13,$G1088=$G$15,F$15,$G1088=$G$16,F$16,$G1088=$G$17,F$17,$G1088=$G$18,F$18,$G1088=$G$19,F$19,$G1088=$G$20,F$20,$G1088=$G$21,F$21,$G1088=$G$22,F$22,$G1088=$G$25,F$25,$G1088=$G$26,F$26,$G1088=$G$27,F$27,$G1088=$G$29,F$29,$G1088=$G$31,F$31,$G1088=$G$32,F$32,$G1088=$G$248,F$248,$G1088=$G$250,F$250)</f>
        <v>8023</v>
      </c>
      <c r="G1088" t="s">
        <v>89</v>
      </c>
      <c r="H1088" s="60" cm="1">
        <f t="array" ref="H1088">_xlfn.IFS($G1088=$G$5,H$5,$G1088=$G$6,H$6,$G1088=$G$7,H$7,$G1088=$G$8,H$8,$G1088=$G$9,H$9,$G1088=$G$10,H$10,$G1088=$G$11,H$11,$G1088=$G$12,H$12,$G1088=$G$13,H$13,$G1088=$G$15,H$15,$G1088=$G$16,H$16,$G1088=$G$17,H$17,$G1088=$G$18,H$18,$G1088=$G$19,H$19,$G1088=$G$20,H$20,$G1088=$G$21,H$21,$G1088=$G$22,H$22,$G1088=$G$25,H$25,$G1088=$G$26,H$26,$G1088=$G$27,H$27,$G1088=$G$29,H$29,$G1088=$G$31,H$31,$G1088=$G$32,H$150,$G1088=$G$248,H$248,$G1088=$G$250,H$250)</f>
        <v>41.417256000000002</v>
      </c>
      <c r="I1088" s="60" cm="1">
        <f t="array" ref="I1088">_xlfn.IFS($G1088=$G$5,I$5,$G1088=$G$6,I$6,$G1088=$G$7,I$7,$G1088=$G$8,I$8,$G1088=$G$9,I$9,$G1088=$G$10,I$10,$G1088=$G$11,I$11,$G1088=$G$12,I$12,$G1088=$G$13,I$13,$G1088=$G$15,I$15,$G1088=$G$16,I$16,$G1088=$G$17,I$17,$G1088=$G$18,I$18,$G1088=$G$19,I$19,$G1088=$G$20,I$20,$G1088=$G$21,I$21,$G1088=$G$22,I$22,$G1088=$G$25,I$25,$G1088=$G$26,I$26,$G1088=$G$27,I$27,$G1088=$G$29,I$29,$G1088=$G$31,I$31,$G1088=$G$32,I$150,$G1088=$G$248,I$248,$G1088=$G$250,I$250)</f>
        <v>2.1455709999999999</v>
      </c>
      <c r="J1088" s="61" cm="1">
        <f t="array" ref="J1088">_xlfn.IFS($G1088=$G$5,J$5,$G1088=$G$6,J$6,$G1088=$G$7,J$7,$G1088=$G$8,J$8,$G1088=$G$9,J$9,$G1088=$G$10,J$10,$G1088=$G$11,J$11,$G1088=$G$12,J$12,$G1088=$G$13,J$13,$G1088=$G$15,J$15,$G1088=$G$16,J$16,$G1088=$G$17,J$17,$G1088=$G$18,J$18,$G1088=$G$19,J$19,$G1088=$G$20,J$20,$G1088=$G$21,J$21,$G1088=$G$22,J$22,$G1088=$G$25,J$25,$G1088=$G$26,J$26,$G1088=$G$27,J$27,$G1088=$G$29,J$29,$G1088=$G$31,J$31,$G1088=$G$32,J$150,$G1088=$G$248,J$248,$G1088=$G$250,J$250)</f>
        <v>186</v>
      </c>
      <c r="K1088" t="str" cm="1">
        <f t="array" ref="K1088">_xlfn.IFS($G1088=$G$5,K$5,$G1088=$G$6,K$6,$G1088=$G$7,K$7,$G1088=$G$8,K$8,$G1088=$G$9,K$9,$G1088=$G$10,K$10,$G1088=$G$11,K$11,$G1088=$G$12,K$12,$G1088=$G$13,K$13,$G1088=$G$15,K$15,$G1088=$G$16,K$16,$G1088=$G$17,K$17,$G1088=$G$18,K$18,$G1088=$G$19,K$19,$G1088=$G$20,K$20,$G1088=$G$21,K$21,$G1088=$G$22,K$22,$G1088=$G$25,K$25,$G1088=$G$26,K$26,$G1088=$G$27,K$27,$G1088=$G$29,K$29,$G1088=$G$31,K$31,$G1088=$G$32,K$150,$G1088=$G$248,K$248,$G1088=$G$250,K$250)</f>
        <v>BG sentinel + BG lure7</v>
      </c>
      <c r="O1088" s="69" t="str">
        <f t="shared" si="86"/>
        <v>A_SP_BCN_17_211110</v>
      </c>
      <c r="P1088" s="64">
        <v>44510</v>
      </c>
      <c r="R1088" s="72"/>
      <c r="S1088" s="64">
        <v>44517</v>
      </c>
      <c r="U1088" s="72"/>
      <c r="V1088" s="54" t="s">
        <v>66</v>
      </c>
      <c r="X1088" s="69">
        <f t="shared" si="88"/>
        <v>7</v>
      </c>
      <c r="Z1088" s="45" t="s">
        <v>80</v>
      </c>
      <c r="AA1088" s="69">
        <f t="shared" si="89"/>
        <v>1</v>
      </c>
      <c r="AB1088" t="str">
        <f t="shared" si="90"/>
        <v>Adult</v>
      </c>
      <c r="AC1088" s="69">
        <v>1</v>
      </c>
      <c r="AD1088" s="69">
        <v>0</v>
      </c>
      <c r="AE1088" s="45" t="str">
        <f t="shared" si="74"/>
        <v>Morphological</v>
      </c>
      <c r="AF1088" s="56">
        <v>4</v>
      </c>
    </row>
    <row r="1089" spans="1:32" ht="18" customHeight="1" x14ac:dyDescent="0.25">
      <c r="A1089" s="45">
        <v>1085</v>
      </c>
      <c r="B1089" s="45" t="s">
        <v>60</v>
      </c>
      <c r="C1089" s="45" t="s">
        <v>61</v>
      </c>
      <c r="D1089" s="45" t="s">
        <v>62</v>
      </c>
      <c r="E1089" s="45" t="s">
        <v>62</v>
      </c>
      <c r="F1089" s="59" cm="1">
        <f t="array" ref="F1089">_xlfn.IFS($G1089=$G$5,F$5,$G1089=$G$6,F$6,$G1089=$G$7,F$7,$G1089=$G$8,F$8,$G1089=$G$9,F$9,$G1089=$G$10,F$10,$G1089=$G$11,F$11,$G1089=$G$12,F$12,$G1089=$G$13,F$13,$G1089=$G$15,F$15,$G1089=$G$16,F$16,$G1089=$G$17,F$17,$G1089=$G$18,F$18,$G1089=$G$19,F$19,$G1089=$G$20,F$20,$G1089=$G$21,F$21,$G1089=$G$22,F$22,$G1089=$G$25,F$25,$G1089=$G$26,F$26,$G1089=$G$27,F$27,$G1089=$G$29,F$29,$G1089=$G$31,F$31,$G1089=$G$32,F$32,$G1089=$G$248,F$248,$G1089=$G$250,F$250)</f>
        <v>8031</v>
      </c>
      <c r="G1089" t="s">
        <v>92</v>
      </c>
      <c r="H1089" s="60" cm="1">
        <f t="array" ref="H1089">_xlfn.IFS($G1089=$G$5,H$5,$G1089=$G$6,H$6,$G1089=$G$7,H$7,$G1089=$G$8,H$8,$G1089=$G$9,H$9,$G1089=$G$10,H$10,$G1089=$G$11,H$11,$G1089=$G$12,H$12,$G1089=$G$13,H$13,$G1089=$G$15,H$15,$G1089=$G$16,H$16,$G1089=$G$17,H$17,$G1089=$G$18,H$18,$G1089=$G$19,H$19,$G1089=$G$20,H$20,$G1089=$G$21,H$21,$G1089=$G$22,H$22,$G1089=$G$25,H$25,$G1089=$G$26,H$26,$G1089=$G$27,H$27,$G1089=$G$29,H$29,$G1089=$G$31,H$31,$G1089=$G$32,H$150,$G1089=$G$248,H$248,$G1089=$G$250,H$250)</f>
        <v>41.433618000000003</v>
      </c>
      <c r="I1089" s="60" cm="1">
        <f t="array" ref="I1089">_xlfn.IFS($G1089=$G$5,I$5,$G1089=$G$6,I$6,$G1089=$G$7,I$7,$G1089=$G$8,I$8,$G1089=$G$9,I$9,$G1089=$G$10,I$10,$G1089=$G$11,I$11,$G1089=$G$12,I$12,$G1089=$G$13,I$13,$G1089=$G$15,I$15,$G1089=$G$16,I$16,$G1089=$G$17,I$17,$G1089=$G$18,I$18,$G1089=$G$19,I$19,$G1089=$G$20,I$20,$G1089=$G$21,I$21,$G1089=$G$22,I$22,$G1089=$G$25,I$25,$G1089=$G$26,I$26,$G1089=$G$27,I$27,$G1089=$G$29,I$29,$G1089=$G$31,I$31,$G1089=$G$32,I$150,$G1089=$G$248,I$248,$G1089=$G$250,I$250)</f>
        <v>2.1677469999999999</v>
      </c>
      <c r="J1089" s="61" cm="1">
        <f t="array" ref="J1089">_xlfn.IFS($G1089=$G$5,J$5,$G1089=$G$6,J$6,$G1089=$G$7,J$7,$G1089=$G$8,J$8,$G1089=$G$9,J$9,$G1089=$G$10,J$10,$G1089=$G$11,J$11,$G1089=$G$12,J$12,$G1089=$G$13,J$13,$G1089=$G$15,J$15,$G1089=$G$16,J$16,$G1089=$G$17,J$17,$G1089=$G$18,J$18,$G1089=$G$19,J$19,$G1089=$G$20,J$20,$G1089=$G$21,J$21,$G1089=$G$22,J$22,$G1089=$G$25,J$25,$G1089=$G$26,J$26,$G1089=$G$27,J$27,$G1089=$G$29,J$29,$G1089=$G$31,J$31,$G1089=$G$32,J$150,$G1089=$G$248,J$248,$G1089=$G$250,J$250)</f>
        <v>96.85</v>
      </c>
      <c r="K1089" t="str" cm="1">
        <f t="array" ref="K1089">_xlfn.IFS($G1089=$G$5,K$5,$G1089=$G$6,K$6,$G1089=$G$7,K$7,$G1089=$G$8,K$8,$G1089=$G$9,K$9,$G1089=$G$10,K$10,$G1089=$G$11,K$11,$G1089=$G$12,K$12,$G1089=$G$13,K$13,$G1089=$G$15,K$15,$G1089=$G$16,K$16,$G1089=$G$17,K$17,$G1089=$G$18,K$18,$G1089=$G$19,K$19,$G1089=$G$20,K$20,$G1089=$G$21,K$21,$G1089=$G$22,K$22,$G1089=$G$25,K$25,$G1089=$G$26,K$26,$G1089=$G$27,K$27,$G1089=$G$29,K$29,$G1089=$G$31,K$31,$G1089=$G$32,K$150,$G1089=$G$248,K$248,$G1089=$G$250,K$250)</f>
        <v>BG sentinel + BG lure7</v>
      </c>
      <c r="O1089" s="69" t="str">
        <f t="shared" si="86"/>
        <v>A_SP_BCN_18_211110</v>
      </c>
      <c r="P1089" s="64">
        <v>44510</v>
      </c>
      <c r="R1089" s="72"/>
      <c r="S1089" s="64">
        <v>44517</v>
      </c>
      <c r="U1089" s="72"/>
      <c r="V1089" s="54" t="s">
        <v>66</v>
      </c>
      <c r="X1089" s="69">
        <f t="shared" si="88"/>
        <v>7</v>
      </c>
      <c r="Z1089" s="69" t="s">
        <v>69</v>
      </c>
      <c r="AA1089" s="69">
        <f t="shared" si="89"/>
        <v>1</v>
      </c>
      <c r="AB1089" t="str">
        <f t="shared" si="90"/>
        <v>Adult</v>
      </c>
      <c r="AC1089" s="69">
        <v>1</v>
      </c>
      <c r="AD1089" s="69">
        <v>0</v>
      </c>
      <c r="AE1089" s="45" t="str">
        <f t="shared" si="74"/>
        <v>Morphological</v>
      </c>
      <c r="AF1089" s="56">
        <v>4</v>
      </c>
    </row>
    <row r="1090" spans="1:32" ht="18" customHeight="1" x14ac:dyDescent="0.25">
      <c r="A1090" s="45">
        <v>1086</v>
      </c>
      <c r="B1090" s="45" t="s">
        <v>60</v>
      </c>
      <c r="C1090" s="45" t="s">
        <v>61</v>
      </c>
      <c r="D1090" s="45" t="s">
        <v>62</v>
      </c>
      <c r="E1090" s="45" t="s">
        <v>62</v>
      </c>
      <c r="F1090" s="59" cm="1">
        <f t="array" ref="F1090">_xlfn.IFS($G1090=$G$5,F$5,$G1090=$G$6,F$6,$G1090=$G$7,F$7,$G1090=$G$8,F$8,$G1090=$G$9,F$9,$G1090=$G$10,F$10,$G1090=$G$11,F$11,$G1090=$G$12,F$12,$G1090=$G$13,F$13,$G1090=$G$15,F$15,$G1090=$G$16,F$16,$G1090=$G$17,F$17,$G1090=$G$18,F$18,$G1090=$G$19,F$19,$G1090=$G$20,F$20,$G1090=$G$21,F$21,$G1090=$G$22,F$22,$G1090=$G$25,F$25,$G1090=$G$26,F$26,$G1090=$G$27,F$27,$G1090=$G$29,F$29,$G1090=$G$31,F$31,$G1090=$G$32,F$32,$G1090=$G$248,F$248,$G1090=$G$250,F$250)</f>
        <v>8038</v>
      </c>
      <c r="G1090" t="s">
        <v>93</v>
      </c>
      <c r="H1090" s="60" cm="1">
        <f t="array" ref="H1090">_xlfn.IFS($G1090=$G$5,H$5,$G1090=$G$6,H$6,$G1090=$G$7,H$7,$G1090=$G$8,H$8,$G1090=$G$9,H$9,$G1090=$G$10,H$10,$G1090=$G$11,H$11,$G1090=$G$12,H$12,$G1090=$G$13,H$13,$G1090=$G$15,H$15,$G1090=$G$16,H$16,$G1090=$G$17,H$17,$G1090=$G$18,H$18,$G1090=$G$19,H$19,$G1090=$G$20,H$20,$G1090=$G$21,H$21,$G1090=$G$22,H$22,$G1090=$G$25,H$25,$G1090=$G$26,H$26,$G1090=$G$27,H$27,$G1090=$G$29,H$29,$G1090=$G$31,H$31,$G1090=$G$32,H$150,$G1090=$G$248,H$248,$G1090=$G$250,H$250)</f>
        <v>41.359864999999999</v>
      </c>
      <c r="I1090" s="60" cm="1">
        <f t="array" ref="I1090">_xlfn.IFS($G1090=$G$5,I$5,$G1090=$G$6,I$6,$G1090=$G$7,I$7,$G1090=$G$8,I$8,$G1090=$G$9,I$9,$G1090=$G$10,I$10,$G1090=$G$11,I$11,$G1090=$G$12,I$12,$G1090=$G$13,I$13,$G1090=$G$15,I$15,$G1090=$G$16,I$16,$G1090=$G$17,I$17,$G1090=$G$18,I$18,$G1090=$G$19,I$19,$G1090=$G$20,I$20,$G1090=$G$21,I$21,$G1090=$G$22,I$22,$G1090=$G$25,I$25,$G1090=$G$26,I$26,$G1090=$G$27,I$27,$G1090=$G$29,I$29,$G1090=$G$31,I$31,$G1090=$G$32,I$150,$G1090=$G$248,I$248,$G1090=$G$250,I$250)</f>
        <v>2.1445430000000001</v>
      </c>
      <c r="J1090" s="61" cm="1">
        <f t="array" ref="J1090">_xlfn.IFS($G1090=$G$5,J$5,$G1090=$G$6,J$6,$G1090=$G$7,J$7,$G1090=$G$8,J$8,$G1090=$G$9,J$9,$G1090=$G$10,J$10,$G1090=$G$11,J$11,$G1090=$G$12,J$12,$G1090=$G$13,J$13,$G1090=$G$15,J$15,$G1090=$G$16,J$16,$G1090=$G$17,J$17,$G1090=$G$18,J$18,$G1090=$G$19,J$19,$G1090=$G$20,J$20,$G1090=$G$21,J$21,$G1090=$G$22,J$22,$G1090=$G$25,J$25,$G1090=$G$26,J$26,$G1090=$G$27,J$27,$G1090=$G$29,J$29,$G1090=$G$31,J$31,$G1090=$G$32,J$150,$G1090=$G$248,J$248,$G1090=$G$250,J$250)</f>
        <v>11.4</v>
      </c>
      <c r="K1090" t="str" cm="1">
        <f t="array" ref="K1090">_xlfn.IFS($G1090=$G$5,K$5,$G1090=$G$6,K$6,$G1090=$G$7,K$7,$G1090=$G$8,K$8,$G1090=$G$9,K$9,$G1090=$G$10,K$10,$G1090=$G$11,K$11,$G1090=$G$12,K$12,$G1090=$G$13,K$13,$G1090=$G$15,K$15,$G1090=$G$16,K$16,$G1090=$G$17,K$17,$G1090=$G$18,K$18,$G1090=$G$19,K$19,$G1090=$G$20,K$20,$G1090=$G$21,K$21,$G1090=$G$22,K$22,$G1090=$G$25,K$25,$G1090=$G$26,K$26,$G1090=$G$27,K$27,$G1090=$G$29,K$29,$G1090=$G$31,K$31,$G1090=$G$32,K$150,$G1090=$G$248,K$248,$G1090=$G$250,K$250)</f>
        <v>BG sentinel + BG lure7</v>
      </c>
      <c r="O1090" s="69" t="str">
        <f t="shared" si="86"/>
        <v>A_SP_BCN_19_211111</v>
      </c>
      <c r="P1090" s="64">
        <v>44511</v>
      </c>
      <c r="R1090" s="72"/>
      <c r="S1090" s="64">
        <v>44518</v>
      </c>
      <c r="U1090" s="72"/>
      <c r="V1090" s="54" t="s">
        <v>66</v>
      </c>
      <c r="X1090" s="69">
        <f t="shared" si="88"/>
        <v>7</v>
      </c>
      <c r="AA1090" s="69">
        <f t="shared" si="89"/>
        <v>0</v>
      </c>
      <c r="AB1090" t="str">
        <f t="shared" si="90"/>
        <v/>
      </c>
      <c r="AE1090" s="45" t="str">
        <f t="shared" si="74"/>
        <v/>
      </c>
      <c r="AF1090" s="56">
        <v>4</v>
      </c>
    </row>
    <row r="1091" spans="1:32" ht="18" customHeight="1" x14ac:dyDescent="0.25">
      <c r="A1091" s="45">
        <v>1087</v>
      </c>
      <c r="B1091" s="45" t="s">
        <v>60</v>
      </c>
      <c r="C1091" s="45" t="s">
        <v>61</v>
      </c>
      <c r="D1091" s="45" t="s">
        <v>62</v>
      </c>
      <c r="E1091" s="45" t="s">
        <v>62</v>
      </c>
      <c r="F1091" s="59" cm="1">
        <f t="array" ref="F1091">_xlfn.IFS($G1091=$G$5,F$5,$G1091=$G$6,F$6,$G1091=$G$7,F$7,$G1091=$G$8,F$8,$G1091=$G$9,F$9,$G1091=$G$10,F$10,$G1091=$G$11,F$11,$G1091=$G$12,F$12,$G1091=$G$13,F$13,$G1091=$G$15,F$15,$G1091=$G$16,F$16,$G1091=$G$17,F$17,$G1091=$G$18,F$18,$G1091=$G$19,F$19,$G1091=$G$20,F$20,$G1091=$G$21,F$21,$G1091=$G$22,F$22,$G1091=$G$25,F$25,$G1091=$G$26,F$26,$G1091=$G$27,F$27,$G1091=$G$29,F$29,$G1091=$G$31,F$31,$G1091=$G$32,F$32,$G1091=$G$248,F$248,$G1091=$G$250,F$250)</f>
        <v>8002</v>
      </c>
      <c r="G1091" t="s">
        <v>94</v>
      </c>
      <c r="H1091" s="60" cm="1">
        <f t="array" ref="H1091">_xlfn.IFS($G1091=$G$5,H$5,$G1091=$G$6,H$6,$G1091=$G$7,H$7,$G1091=$G$8,H$8,$G1091=$G$9,H$9,$G1091=$G$10,H$10,$G1091=$G$11,H$11,$G1091=$G$12,H$12,$G1091=$G$13,H$13,$G1091=$G$15,H$15,$G1091=$G$16,H$16,$G1091=$G$17,H$17,$G1091=$G$18,H$18,$G1091=$G$19,H$19,$G1091=$G$20,H$20,$G1091=$G$21,H$21,$G1091=$G$22,H$22,$G1091=$G$25,H$25,$G1091=$G$26,H$26,$G1091=$G$27,H$27,$G1091=$G$29,H$29,$G1091=$G$31,H$31,$G1091=$G$32,H$150,$G1091=$G$248,H$248,$G1091=$G$250,H$250)</f>
        <v>41.385213</v>
      </c>
      <c r="I1091" s="60" cm="1">
        <f t="array" ref="I1091">_xlfn.IFS($G1091=$G$5,I$5,$G1091=$G$6,I$6,$G1091=$G$7,I$7,$G1091=$G$8,I$8,$G1091=$G$9,I$9,$G1091=$G$10,I$10,$G1091=$G$11,I$11,$G1091=$G$12,I$12,$G1091=$G$13,I$13,$G1091=$G$15,I$15,$G1091=$G$16,I$16,$G1091=$G$17,I$17,$G1091=$G$18,I$18,$G1091=$G$19,I$19,$G1091=$G$20,I$20,$G1091=$G$21,I$21,$G1091=$G$22,I$22,$G1091=$G$25,I$25,$G1091=$G$26,I$26,$G1091=$G$27,I$27,$G1091=$G$29,I$29,$G1091=$G$31,I$31,$G1091=$G$32,I$150,$G1091=$G$248,I$248,$G1091=$G$250,I$250)</f>
        <v>2.174852</v>
      </c>
      <c r="J1091" s="61" cm="1">
        <f t="array" ref="J1091">_xlfn.IFS($G1091=$G$5,J$5,$G1091=$G$6,J$6,$G1091=$G$7,J$7,$G1091=$G$8,J$8,$G1091=$G$9,J$9,$G1091=$G$10,J$10,$G1091=$G$11,J$11,$G1091=$G$12,J$12,$G1091=$G$13,J$13,$G1091=$G$15,J$15,$G1091=$G$16,J$16,$G1091=$G$17,J$17,$G1091=$G$18,J$18,$G1091=$G$19,J$19,$G1091=$G$20,J$20,$G1091=$G$21,J$21,$G1091=$G$22,J$22,$G1091=$G$25,J$25,$G1091=$G$26,J$26,$G1091=$G$27,J$27,$G1091=$G$29,J$29,$G1091=$G$31,J$31,$G1091=$G$32,J$150,$G1091=$G$248,J$248,$G1091=$G$250,J$250)</f>
        <v>14</v>
      </c>
      <c r="K1091" t="str" cm="1">
        <f t="array" ref="K1091">_xlfn.IFS($G1091=$G$5,K$5,$G1091=$G$6,K$6,$G1091=$G$7,K$7,$G1091=$G$8,K$8,$G1091=$G$9,K$9,$G1091=$G$10,K$10,$G1091=$G$11,K$11,$G1091=$G$12,K$12,$G1091=$G$13,K$13,$G1091=$G$15,K$15,$G1091=$G$16,K$16,$G1091=$G$17,K$17,$G1091=$G$18,K$18,$G1091=$G$19,K$19,$G1091=$G$20,K$20,$G1091=$G$21,K$21,$G1091=$G$22,K$22,$G1091=$G$25,K$25,$G1091=$G$26,K$26,$G1091=$G$27,K$27,$G1091=$G$29,K$29,$G1091=$G$31,K$31,$G1091=$G$32,K$150,$G1091=$G$248,K$248,$G1091=$G$250,K$250)</f>
        <v>BG sentinel + BG lure7</v>
      </c>
      <c r="O1091" s="69" t="str">
        <f t="shared" si="86"/>
        <v>A_SP_BCN_20_211111</v>
      </c>
      <c r="P1091" s="64">
        <v>44511</v>
      </c>
      <c r="R1091" s="72"/>
      <c r="S1091" s="64">
        <v>44518</v>
      </c>
      <c r="U1091" s="72"/>
      <c r="V1091" s="54" t="s">
        <v>66</v>
      </c>
      <c r="X1091" s="69">
        <f t="shared" si="88"/>
        <v>7</v>
      </c>
      <c r="Z1091" s="69" t="s">
        <v>69</v>
      </c>
      <c r="AA1091" s="69">
        <f t="shared" si="89"/>
        <v>1</v>
      </c>
      <c r="AB1091" t="str">
        <f t="shared" si="90"/>
        <v>Adult</v>
      </c>
      <c r="AC1091" s="69">
        <v>1</v>
      </c>
      <c r="AD1091" s="69">
        <v>0</v>
      </c>
      <c r="AE1091" s="45" t="str">
        <f t="shared" si="74"/>
        <v>Morphological</v>
      </c>
      <c r="AF1091" s="56">
        <v>4</v>
      </c>
    </row>
    <row r="1092" spans="1:32" ht="18" customHeight="1" x14ac:dyDescent="0.25">
      <c r="A1092" s="45">
        <v>1088</v>
      </c>
      <c r="B1092" s="45" t="s">
        <v>60</v>
      </c>
      <c r="C1092" s="45" t="s">
        <v>61</v>
      </c>
      <c r="D1092" s="45" t="s">
        <v>62</v>
      </c>
      <c r="E1092" s="45" t="s">
        <v>62</v>
      </c>
      <c r="F1092" s="59" cm="1">
        <f t="array" ref="F1092">_xlfn.IFS($G1092=$G$5,F$5,$G1092=$G$6,F$6,$G1092=$G$7,F$7,$G1092=$G$8,F$8,$G1092=$G$9,F$9,$G1092=$G$10,F$10,$G1092=$G$11,F$11,$G1092=$G$12,F$12,$G1092=$G$13,F$13,$G1092=$G$15,F$15,$G1092=$G$16,F$16,$G1092=$G$17,F$17,$G1092=$G$18,F$18,$G1092=$G$19,F$19,$G1092=$G$20,F$20,$G1092=$G$21,F$21,$G1092=$G$22,F$22,$G1092=$G$25,F$25,$G1092=$G$26,F$26,$G1092=$G$27,F$27,$G1092=$G$29,F$29,$G1092=$G$31,F$31,$G1092=$G$32,F$32,$G1092=$G$248,F$248,$G1092=$G$250,F$250)</f>
        <v>8002</v>
      </c>
      <c r="G1092" t="s">
        <v>94</v>
      </c>
      <c r="H1092" s="60" cm="1">
        <f t="array" ref="H1092">_xlfn.IFS($G1092=$G$5,H$5,$G1092=$G$6,H$6,$G1092=$G$7,H$7,$G1092=$G$8,H$8,$G1092=$G$9,H$9,$G1092=$G$10,H$10,$G1092=$G$11,H$11,$G1092=$G$12,H$12,$G1092=$G$13,H$13,$G1092=$G$15,H$15,$G1092=$G$16,H$16,$G1092=$G$17,H$17,$G1092=$G$18,H$18,$G1092=$G$19,H$19,$G1092=$G$20,H$20,$G1092=$G$21,H$21,$G1092=$G$22,H$22,$G1092=$G$25,H$25,$G1092=$G$26,H$26,$G1092=$G$27,H$27,$G1092=$G$29,H$29,$G1092=$G$31,H$31,$G1092=$G$32,H$150,$G1092=$G$248,H$248,$G1092=$G$250,H$250)</f>
        <v>41.385213</v>
      </c>
      <c r="I1092" s="60" cm="1">
        <f t="array" ref="I1092">_xlfn.IFS($G1092=$G$5,I$5,$G1092=$G$6,I$6,$G1092=$G$7,I$7,$G1092=$G$8,I$8,$G1092=$G$9,I$9,$G1092=$G$10,I$10,$G1092=$G$11,I$11,$G1092=$G$12,I$12,$G1092=$G$13,I$13,$G1092=$G$15,I$15,$G1092=$G$16,I$16,$G1092=$G$17,I$17,$G1092=$G$18,I$18,$G1092=$G$19,I$19,$G1092=$G$20,I$20,$G1092=$G$21,I$21,$G1092=$G$22,I$22,$G1092=$G$25,I$25,$G1092=$G$26,I$26,$G1092=$G$27,I$27,$G1092=$G$29,I$29,$G1092=$G$31,I$31,$G1092=$G$32,I$150,$G1092=$G$248,I$248,$G1092=$G$250,I$250)</f>
        <v>2.174852</v>
      </c>
      <c r="J1092" s="61" cm="1">
        <f t="array" ref="J1092">_xlfn.IFS($G1092=$G$5,J$5,$G1092=$G$6,J$6,$G1092=$G$7,J$7,$G1092=$G$8,J$8,$G1092=$G$9,J$9,$G1092=$G$10,J$10,$G1092=$G$11,J$11,$G1092=$G$12,J$12,$G1092=$G$13,J$13,$G1092=$G$15,J$15,$G1092=$G$16,J$16,$G1092=$G$17,J$17,$G1092=$G$18,J$18,$G1092=$G$19,J$19,$G1092=$G$20,J$20,$G1092=$G$21,J$21,$G1092=$G$22,J$22,$G1092=$G$25,J$25,$G1092=$G$26,J$26,$G1092=$G$27,J$27,$G1092=$G$29,J$29,$G1092=$G$31,J$31,$G1092=$G$32,J$150,$G1092=$G$248,J$248,$G1092=$G$250,J$250)</f>
        <v>14</v>
      </c>
      <c r="K1092" t="str" cm="1">
        <f t="array" ref="K1092">_xlfn.IFS($G1092=$G$5,K$5,$G1092=$G$6,K$6,$G1092=$G$7,K$7,$G1092=$G$8,K$8,$G1092=$G$9,K$9,$G1092=$G$10,K$10,$G1092=$G$11,K$11,$G1092=$G$12,K$12,$G1092=$G$13,K$13,$G1092=$G$15,K$15,$G1092=$G$16,K$16,$G1092=$G$17,K$17,$G1092=$G$18,K$18,$G1092=$G$19,K$19,$G1092=$G$20,K$20,$G1092=$G$21,K$21,$G1092=$G$22,K$22,$G1092=$G$25,K$25,$G1092=$G$26,K$26,$G1092=$G$27,K$27,$G1092=$G$29,K$29,$G1092=$G$31,K$31,$G1092=$G$32,K$150,$G1092=$G$248,K$248,$G1092=$G$250,K$250)</f>
        <v>BG sentinel + BG lure7</v>
      </c>
      <c r="O1092" s="69" t="str">
        <f t="shared" si="86"/>
        <v>A_SP_BCN_20_211111</v>
      </c>
      <c r="P1092" s="64">
        <v>44511</v>
      </c>
      <c r="R1092" s="72"/>
      <c r="S1092" s="64">
        <v>44518</v>
      </c>
      <c r="U1092" s="72"/>
      <c r="V1092" s="54" t="s">
        <v>66</v>
      </c>
      <c r="X1092" s="69">
        <f t="shared" si="88"/>
        <v>7</v>
      </c>
      <c r="Z1092" s="45" t="s">
        <v>70</v>
      </c>
      <c r="AA1092" s="69">
        <f t="shared" si="89"/>
        <v>22</v>
      </c>
      <c r="AB1092" t="str">
        <f t="shared" si="90"/>
        <v>Adult</v>
      </c>
      <c r="AC1092" s="69">
        <v>22</v>
      </c>
      <c r="AD1092" s="69">
        <v>0</v>
      </c>
      <c r="AE1092" s="45" t="str">
        <f t="shared" si="74"/>
        <v>Morphological</v>
      </c>
      <c r="AF1092" s="56">
        <v>4</v>
      </c>
    </row>
    <row r="1093" spans="1:32" ht="18" customHeight="1" x14ac:dyDescent="0.25">
      <c r="A1093" s="45">
        <v>1089</v>
      </c>
      <c r="B1093" s="45" t="s">
        <v>60</v>
      </c>
      <c r="C1093" s="45" t="s">
        <v>61</v>
      </c>
      <c r="D1093" s="45" t="s">
        <v>62</v>
      </c>
      <c r="E1093" s="45" t="s">
        <v>62</v>
      </c>
      <c r="F1093" s="59" cm="1">
        <f t="array" ref="F1093">_xlfn.IFS($G1093=$G$5,F$5,$G1093=$G$6,F$6,$G1093=$G$7,F$7,$G1093=$G$8,F$8,$G1093=$G$9,F$9,$G1093=$G$10,F$10,$G1093=$G$11,F$11,$G1093=$G$12,F$12,$G1093=$G$13,F$13,$G1093=$G$15,F$15,$G1093=$G$16,F$16,$G1093=$G$17,F$17,$G1093=$G$18,F$18,$G1093=$G$19,F$19,$G1093=$G$20,F$20,$G1093=$G$21,F$21,$G1093=$G$22,F$22,$G1093=$G$25,F$25,$G1093=$G$26,F$26,$G1093=$G$27,F$27,$G1093=$G$29,F$29,$G1093=$G$31,F$31,$G1093=$G$32,F$32,$G1093=$G$248,F$248,$G1093=$G$250,F$250)</f>
        <v>8002</v>
      </c>
      <c r="G1093" t="s">
        <v>94</v>
      </c>
      <c r="H1093" s="60" cm="1">
        <f t="array" ref="H1093">_xlfn.IFS($G1093=$G$5,H$5,$G1093=$G$6,H$6,$G1093=$G$7,H$7,$G1093=$G$8,H$8,$G1093=$G$9,H$9,$G1093=$G$10,H$10,$G1093=$G$11,H$11,$G1093=$G$12,H$12,$G1093=$G$13,H$13,$G1093=$G$15,H$15,$G1093=$G$16,H$16,$G1093=$G$17,H$17,$G1093=$G$18,H$18,$G1093=$G$19,H$19,$G1093=$G$20,H$20,$G1093=$G$21,H$21,$G1093=$G$22,H$22,$G1093=$G$25,H$25,$G1093=$G$26,H$26,$G1093=$G$27,H$27,$G1093=$G$29,H$29,$G1093=$G$31,H$31,$G1093=$G$32,H$150,$G1093=$G$248,H$248,$G1093=$G$250,H$250)</f>
        <v>41.385213</v>
      </c>
      <c r="I1093" s="60" cm="1">
        <f t="array" ref="I1093">_xlfn.IFS($G1093=$G$5,I$5,$G1093=$G$6,I$6,$G1093=$G$7,I$7,$G1093=$G$8,I$8,$G1093=$G$9,I$9,$G1093=$G$10,I$10,$G1093=$G$11,I$11,$G1093=$G$12,I$12,$G1093=$G$13,I$13,$G1093=$G$15,I$15,$G1093=$G$16,I$16,$G1093=$G$17,I$17,$G1093=$G$18,I$18,$G1093=$G$19,I$19,$G1093=$G$20,I$20,$G1093=$G$21,I$21,$G1093=$G$22,I$22,$G1093=$G$25,I$25,$G1093=$G$26,I$26,$G1093=$G$27,I$27,$G1093=$G$29,I$29,$G1093=$G$31,I$31,$G1093=$G$32,I$150,$G1093=$G$248,I$248,$G1093=$G$250,I$250)</f>
        <v>2.174852</v>
      </c>
      <c r="J1093" s="61" cm="1">
        <f t="array" ref="J1093">_xlfn.IFS($G1093=$G$5,J$5,$G1093=$G$6,J$6,$G1093=$G$7,J$7,$G1093=$G$8,J$8,$G1093=$G$9,J$9,$G1093=$G$10,J$10,$G1093=$G$11,J$11,$G1093=$G$12,J$12,$G1093=$G$13,J$13,$G1093=$G$15,J$15,$G1093=$G$16,J$16,$G1093=$G$17,J$17,$G1093=$G$18,J$18,$G1093=$G$19,J$19,$G1093=$G$20,J$20,$G1093=$G$21,J$21,$G1093=$G$22,J$22,$G1093=$G$25,J$25,$G1093=$G$26,J$26,$G1093=$G$27,J$27,$G1093=$G$29,J$29,$G1093=$G$31,J$31,$G1093=$G$32,J$150,$G1093=$G$248,J$248,$G1093=$G$250,J$250)</f>
        <v>14</v>
      </c>
      <c r="K1093" t="str" cm="1">
        <f t="array" ref="K1093">_xlfn.IFS($G1093=$G$5,K$5,$G1093=$G$6,K$6,$G1093=$G$7,K$7,$G1093=$G$8,K$8,$G1093=$G$9,K$9,$G1093=$G$10,K$10,$G1093=$G$11,K$11,$G1093=$G$12,K$12,$G1093=$G$13,K$13,$G1093=$G$15,K$15,$G1093=$G$16,K$16,$G1093=$G$17,K$17,$G1093=$G$18,K$18,$G1093=$G$19,K$19,$G1093=$G$20,K$20,$G1093=$G$21,K$21,$G1093=$G$22,K$22,$G1093=$G$25,K$25,$G1093=$G$26,K$26,$G1093=$G$27,K$27,$G1093=$G$29,K$29,$G1093=$G$31,K$31,$G1093=$G$32,K$150,$G1093=$G$248,K$248,$G1093=$G$250,K$250)</f>
        <v>BG sentinel + BG lure7</v>
      </c>
      <c r="O1093" s="69" t="str">
        <f t="shared" si="86"/>
        <v>A_SP_BCN_20_211111</v>
      </c>
      <c r="P1093" s="64">
        <v>44511</v>
      </c>
      <c r="R1093" s="72"/>
      <c r="S1093" s="64">
        <v>44518</v>
      </c>
      <c r="U1093" s="72"/>
      <c r="V1093" s="54" t="s">
        <v>66</v>
      </c>
      <c r="X1093" s="69">
        <f t="shared" si="88"/>
        <v>7</v>
      </c>
      <c r="Z1093" s="45" t="s">
        <v>80</v>
      </c>
      <c r="AA1093" s="69">
        <f t="shared" si="89"/>
        <v>1</v>
      </c>
      <c r="AB1093" t="str">
        <f t="shared" si="90"/>
        <v>Adult</v>
      </c>
      <c r="AC1093" s="69">
        <v>1</v>
      </c>
      <c r="AD1093" s="69">
        <v>0</v>
      </c>
      <c r="AE1093" s="45" t="str">
        <f t="shared" si="74"/>
        <v>Morphological</v>
      </c>
      <c r="AF1093" s="56">
        <v>4</v>
      </c>
    </row>
    <row r="1094" spans="1:32" ht="18" customHeight="1" x14ac:dyDescent="0.25">
      <c r="A1094" s="45">
        <v>1090</v>
      </c>
      <c r="B1094" s="45" t="s">
        <v>60</v>
      </c>
      <c r="C1094" s="45" t="s">
        <v>61</v>
      </c>
      <c r="D1094" s="45" t="s">
        <v>62</v>
      </c>
      <c r="E1094" s="45" t="s">
        <v>62</v>
      </c>
      <c r="F1094" s="59" cm="1">
        <f t="array" ref="F1094">_xlfn.IFS($G1094=$G$5,F$5,$G1094=$G$6,F$6,$G1094=$G$7,F$7,$G1094=$G$8,F$8,$G1094=$G$9,F$9,$G1094=$G$10,F$10,$G1094=$G$11,F$11,$G1094=$G$12,F$12,$G1094=$G$13,F$13,$G1094=$G$15,F$15,$G1094=$G$16,F$16,$G1094=$G$17,F$17,$G1094=$G$18,F$18,$G1094=$G$19,F$19,$G1094=$G$20,F$20,$G1094=$G$21,F$21,$G1094=$G$22,F$22,$G1094=$G$25,F$25,$G1094=$G$26,F$26,$G1094=$G$27,F$27,$G1094=$G$29,F$29,$G1094=$G$31,F$31,$G1094=$G$32,F$32,$G1094=$G$248,F$248,$G1094=$G$250,F$250)</f>
        <v>8017</v>
      </c>
      <c r="G1094" t="s">
        <v>98</v>
      </c>
      <c r="H1094" s="60" cm="1">
        <f t="array" ref="H1094">_xlfn.IFS($G1094=$G$5,H$5,$G1094=$G$6,H$6,$G1094=$G$7,H$7,$G1094=$G$8,H$8,$G1094=$G$9,H$9,$G1094=$G$10,H$10,$G1094=$G$11,H$11,$G1094=$G$12,H$12,$G1094=$G$13,H$13,$G1094=$G$15,H$15,$G1094=$G$16,H$16,$G1094=$G$17,H$17,$G1094=$G$18,H$18,$G1094=$G$19,H$19,$G1094=$G$20,H$20,$G1094=$G$21,H$21,$G1094=$G$22,H$22,$G1094=$G$25,H$25,$G1094=$G$26,H$26,$G1094=$G$27,H$27,$G1094=$G$29,H$29,$G1094=$G$31,H$31,$G1094=$G$32,H$150,$G1094=$G$248,H$248,$G1094=$G$250,H$250)</f>
        <v>41.430315999999998</v>
      </c>
      <c r="I1094" s="60" cm="1">
        <f t="array" ref="I1094">_xlfn.IFS($G1094=$G$5,I$5,$G1094=$G$6,I$6,$G1094=$G$7,I$7,$G1094=$G$8,I$8,$G1094=$G$9,I$9,$G1094=$G$10,I$10,$G1094=$G$11,I$11,$G1094=$G$12,I$12,$G1094=$G$13,I$13,$G1094=$G$15,I$15,$G1094=$G$16,I$16,$G1094=$G$17,I$17,$G1094=$G$18,I$18,$G1094=$G$19,I$19,$G1094=$G$20,I$20,$G1094=$G$21,I$21,$G1094=$G$22,I$22,$G1094=$G$25,I$25,$G1094=$G$26,I$26,$G1094=$G$27,I$27,$G1094=$G$29,I$29,$G1094=$G$31,I$31,$G1094=$G$32,I$150,$G1094=$G$248,I$248,$G1094=$G$250,I$250)</f>
        <v>2.077556</v>
      </c>
      <c r="J1094" s="61" cm="1">
        <f t="array" ref="J1094">_xlfn.IFS($G1094=$G$5,J$5,$G1094=$G$6,J$6,$G1094=$G$7,J$7,$G1094=$G$8,J$8,$G1094=$G$9,J$9,$G1094=$G$10,J$10,$G1094=$G$11,J$11,$G1094=$G$12,J$12,$G1094=$G$13,J$13,$G1094=$G$15,J$15,$G1094=$G$16,J$16,$G1094=$G$17,J$17,$G1094=$G$18,J$18,$G1094=$G$19,J$19,$G1094=$G$20,J$20,$G1094=$G$21,J$21,$G1094=$G$22,J$22,$G1094=$G$25,J$25,$G1094=$G$26,J$26,$G1094=$G$27,J$27,$G1094=$G$29,J$29,$G1094=$G$31,J$31,$G1094=$G$32,J$150,$G1094=$G$248,J$248,$G1094=$G$250,J$250)</f>
        <v>243.3</v>
      </c>
      <c r="K1094" t="str" cm="1">
        <f t="array" ref="K1094">_xlfn.IFS($G1094=$G$5,K$5,$G1094=$G$6,K$6,$G1094=$G$7,K$7,$G1094=$G$8,K$8,$G1094=$G$9,K$9,$G1094=$G$10,K$10,$G1094=$G$11,K$11,$G1094=$G$12,K$12,$G1094=$G$13,K$13,$G1094=$G$15,K$15,$G1094=$G$16,K$16,$G1094=$G$17,K$17,$G1094=$G$18,K$18,$G1094=$G$19,K$19,$G1094=$G$20,K$20,$G1094=$G$21,K$21,$G1094=$G$22,K$22,$G1094=$G$25,K$25,$G1094=$G$26,K$26,$G1094=$G$27,K$27,$G1094=$G$29,K$29,$G1094=$G$31,K$31,$G1094=$G$32,K$150,$G1094=$G$248,K$248,$G1094=$G$250,K$250)</f>
        <v>BG sentinel + BG lure7</v>
      </c>
      <c r="O1094" s="69" t="str">
        <f t="shared" si="86"/>
        <v>A_SP_BCN_22_211110</v>
      </c>
      <c r="P1094" s="64">
        <v>44510</v>
      </c>
      <c r="R1094" s="72"/>
      <c r="S1094" s="64">
        <v>44517</v>
      </c>
      <c r="U1094" s="72"/>
      <c r="V1094" s="54" t="s">
        <v>66</v>
      </c>
      <c r="X1094" s="69">
        <f t="shared" si="88"/>
        <v>7</v>
      </c>
      <c r="AA1094" s="69">
        <f t="shared" si="89"/>
        <v>0</v>
      </c>
      <c r="AB1094" t="str">
        <f t="shared" si="90"/>
        <v/>
      </c>
      <c r="AE1094" s="45" t="str">
        <f t="shared" si="74"/>
        <v/>
      </c>
      <c r="AF1094" s="56">
        <v>4</v>
      </c>
    </row>
    <row r="1095" spans="1:32" ht="18" customHeight="1" x14ac:dyDescent="0.25">
      <c r="A1095" s="45">
        <v>1091</v>
      </c>
      <c r="B1095" s="45" t="s">
        <v>60</v>
      </c>
      <c r="C1095" s="45" t="s">
        <v>61</v>
      </c>
      <c r="D1095" s="45" t="s">
        <v>62</v>
      </c>
      <c r="E1095" s="45" t="s">
        <v>62</v>
      </c>
      <c r="F1095" s="59" cm="1">
        <f t="array" ref="F1095">_xlfn.IFS($G1095=$G$5,F$5,$G1095=$G$6,F$6,$G1095=$G$7,F$7,$G1095=$G$8,F$8,$G1095=$G$9,F$9,$G1095=$G$10,F$10,$G1095=$G$11,F$11,$G1095=$G$12,F$12,$G1095=$G$13,F$13,$G1095=$G$15,F$15,$G1095=$G$16,F$16,$G1095=$G$17,F$17,$G1095=$G$18,F$18,$G1095=$G$19,F$19,$G1095=$G$20,F$20,$G1095=$G$21,F$21,$G1095=$G$22,F$22,$G1095=$G$25,F$25,$G1095=$G$26,F$26,$G1095=$G$27,F$27,$G1095=$G$29,F$29,$G1095=$G$31,F$31,$G1095=$G$32,F$32,$G1095=$G$248,F$248,$G1095=$G$250,F$250)</f>
        <v>8038</v>
      </c>
      <c r="G1095" t="s">
        <v>103</v>
      </c>
      <c r="H1095" s="60" cm="1">
        <f t="array" ref="H1095">_xlfn.IFS($G1095=$G$5,H$5,$G1095=$G$6,H$6,$G1095=$G$7,H$7,$G1095=$G$8,H$8,$G1095=$G$9,H$9,$G1095=$G$10,H$10,$G1095=$G$11,H$11,$G1095=$G$12,H$12,$G1095=$G$13,H$13,$G1095=$G$15,H$15,$G1095=$G$16,H$16,$G1095=$G$17,H$17,$G1095=$G$18,H$18,$G1095=$G$19,H$19,$G1095=$G$20,H$20,$G1095=$G$21,H$21,$G1095=$G$22,H$22,$G1095=$G$25,H$25,$G1095=$G$26,H$26,$G1095=$G$27,H$27,$G1095=$G$29,H$29,$G1095=$G$31,H$31,$G1095=$G$32,H$150,$G1095=$G$248,H$248,$G1095=$G$250,H$250)</f>
        <v>41.367100000000001</v>
      </c>
      <c r="I1095" s="60" cm="1">
        <f t="array" ref="I1095">_xlfn.IFS($G1095=$G$5,I$5,$G1095=$G$6,I$6,$G1095=$G$7,I$7,$G1095=$G$8,I$8,$G1095=$G$9,I$9,$G1095=$G$10,I$10,$G1095=$G$11,I$11,$G1095=$G$12,I$12,$G1095=$G$13,I$13,$G1095=$G$15,I$15,$G1095=$G$16,I$16,$G1095=$G$17,I$17,$G1095=$G$18,I$18,$G1095=$G$19,I$19,$G1095=$G$20,I$20,$G1095=$G$21,I$21,$G1095=$G$22,I$22,$G1095=$G$25,I$25,$G1095=$G$26,I$26,$G1095=$G$27,I$27,$G1095=$G$29,I$29,$G1095=$G$31,I$31,$G1095=$G$32,I$150,$G1095=$G$248,I$248,$G1095=$G$250,I$250)</f>
        <v>2.1539079999999999</v>
      </c>
      <c r="J1095" s="61" cm="1">
        <f t="array" ref="J1095">_xlfn.IFS($G1095=$G$5,J$5,$G1095=$G$6,J$6,$G1095=$G$7,J$7,$G1095=$G$8,J$8,$G1095=$G$9,J$9,$G1095=$G$10,J$10,$G1095=$G$11,J$11,$G1095=$G$12,J$12,$G1095=$G$13,J$13,$G1095=$G$15,J$15,$G1095=$G$16,J$16,$G1095=$G$17,J$17,$G1095=$G$18,J$18,$G1095=$G$19,J$19,$G1095=$G$20,J$20,$G1095=$G$21,J$21,$G1095=$G$22,J$22,$G1095=$G$25,J$25,$G1095=$G$26,J$26,$G1095=$G$27,J$27,$G1095=$G$29,J$29,$G1095=$G$31,J$31,$G1095=$G$32,J$150,$G1095=$G$248,J$248,$G1095=$G$250,J$250)</f>
        <v>68</v>
      </c>
      <c r="K1095" t="str" cm="1">
        <f t="array" ref="K1095">_xlfn.IFS($G1095=$G$5,K$5,$G1095=$G$6,K$6,$G1095=$G$7,K$7,$G1095=$G$8,K$8,$G1095=$G$9,K$9,$G1095=$G$10,K$10,$G1095=$G$11,K$11,$G1095=$G$12,K$12,$G1095=$G$13,K$13,$G1095=$G$15,K$15,$G1095=$G$16,K$16,$G1095=$G$17,K$17,$G1095=$G$18,K$18,$G1095=$G$19,K$19,$G1095=$G$20,K$20,$G1095=$G$21,K$21,$G1095=$G$22,K$22,$G1095=$G$25,K$25,$G1095=$G$26,K$26,$G1095=$G$27,K$27,$G1095=$G$29,K$29,$G1095=$G$31,K$31,$G1095=$G$32,K$150,$G1095=$G$248,K$248,$G1095=$G$250,K$250)</f>
        <v>BG sentinel + BG lure7</v>
      </c>
      <c r="O1095" s="69" t="str">
        <f t="shared" si="86"/>
        <v>A_SP_BCN_23_211111</v>
      </c>
      <c r="P1095" s="64">
        <v>44511</v>
      </c>
      <c r="R1095" s="72"/>
      <c r="S1095" s="64">
        <v>44518</v>
      </c>
      <c r="U1095" s="72"/>
      <c r="V1095" s="54" t="s">
        <v>66</v>
      </c>
      <c r="X1095" s="69">
        <f t="shared" si="88"/>
        <v>7</v>
      </c>
      <c r="AA1095" s="69">
        <f t="shared" si="89"/>
        <v>0</v>
      </c>
      <c r="AB1095" t="str">
        <f t="shared" si="90"/>
        <v/>
      </c>
      <c r="AE1095" s="45" t="str">
        <f t="shared" si="74"/>
        <v/>
      </c>
      <c r="AF1095" s="56">
        <v>4</v>
      </c>
    </row>
    <row r="1096" spans="1:32" ht="18" customHeight="1" x14ac:dyDescent="0.25">
      <c r="A1096" s="45">
        <v>1092</v>
      </c>
      <c r="B1096" s="45" t="s">
        <v>60</v>
      </c>
      <c r="C1096" s="45" t="s">
        <v>61</v>
      </c>
      <c r="D1096" s="45" t="s">
        <v>62</v>
      </c>
      <c r="E1096" s="45" t="s">
        <v>62</v>
      </c>
      <c r="F1096" s="59" cm="1">
        <f t="array" ref="F1096">_xlfn.IFS($G1096=$G$5,F$5,$G1096=$G$6,F$6,$G1096=$G$7,F$7,$G1096=$G$8,F$8,$G1096=$G$9,F$9,$G1096=$G$10,F$10,$G1096=$G$11,F$11,$G1096=$G$12,F$12,$G1096=$G$13,F$13,$G1096=$G$15,F$15,$G1096=$G$16,F$16,$G1096=$G$17,F$17,$G1096=$G$18,F$18,$G1096=$G$19,F$19,$G1096=$G$20,F$20,$G1096=$G$21,F$21,$G1096=$G$22,F$22,$G1096=$G$25,F$25,$G1096=$G$26,F$26,$G1096=$G$27,F$27,$G1096=$G$29,F$29,$G1096=$G$31,F$31,$G1096=$G$32,F$32,$G1096=$G$248,F$248,$G1096=$G$250,F$250)</f>
        <v>8015</v>
      </c>
      <c r="G1096" t="s">
        <v>109</v>
      </c>
      <c r="H1096" s="60" cm="1">
        <f t="array" ref="H1096">_xlfn.IFS($G1096=$G$5,H$5,$G1096=$G$6,H$6,$G1096=$G$7,H$7,$G1096=$G$8,H$8,$G1096=$G$9,H$9,$G1096=$G$10,H$10,$G1096=$G$11,H$11,$G1096=$G$12,H$12,$G1096=$G$13,H$13,$G1096=$G$15,H$15,$G1096=$G$16,H$16,$G1096=$G$17,H$17,$G1096=$G$18,H$18,$G1096=$G$19,H$19,$G1096=$G$20,H$20,$G1096=$G$21,H$21,$G1096=$G$22,H$22,$G1096=$G$25,H$25,$G1096=$G$26,H$26,$G1096=$G$27,H$27,$G1096=$G$29,H$29,$G1096=$G$31,H$31,$G1096=$G$32,H$150,$G1096=$G$248,H$248,$G1096=$G$250,H$250)</f>
        <v>41.381725000000003</v>
      </c>
      <c r="I1096" s="60" cm="1">
        <f t="array" ref="I1096">_xlfn.IFS($G1096=$G$5,I$5,$G1096=$G$6,I$6,$G1096=$G$7,I$7,$G1096=$G$8,I$8,$G1096=$G$9,I$9,$G1096=$G$10,I$10,$G1096=$G$11,I$11,$G1096=$G$12,I$12,$G1096=$G$13,I$13,$G1096=$G$15,I$15,$G1096=$G$16,I$16,$G1096=$G$17,I$17,$G1096=$G$18,I$18,$G1096=$G$19,I$19,$G1096=$G$20,I$20,$G1096=$G$21,I$21,$G1096=$G$22,I$22,$G1096=$G$25,I$25,$G1096=$G$26,I$26,$G1096=$G$27,I$27,$G1096=$G$29,I$29,$G1096=$G$31,I$31,$G1096=$G$32,I$150,$G1096=$G$248,I$248,$G1096=$G$250,I$250)</f>
        <v>2.1543679999999998</v>
      </c>
      <c r="J1096" s="61" cm="1">
        <f t="array" ref="J1096">_xlfn.IFS($G1096=$G$5,J$5,$G1096=$G$6,J$6,$G1096=$G$7,J$7,$G1096=$G$8,J$8,$G1096=$G$9,J$9,$G1096=$G$10,J$10,$G1096=$G$11,J$11,$G1096=$G$12,J$12,$G1096=$G$13,J$13,$G1096=$G$15,J$15,$G1096=$G$16,J$16,$G1096=$G$17,J$17,$G1096=$G$18,J$18,$G1096=$G$19,J$19,$G1096=$G$20,J$20,$G1096=$G$21,J$21,$G1096=$G$22,J$22,$G1096=$G$25,J$25,$G1096=$G$26,J$26,$G1096=$G$27,J$27,$G1096=$G$29,J$29,$G1096=$G$31,J$31,$G1096=$G$32,J$150,$G1096=$G$248,J$248,$G1096=$G$250,J$250)</f>
        <v>20.7</v>
      </c>
      <c r="K1096" t="str" cm="1">
        <f t="array" ref="K1096">_xlfn.IFS($G1096=$G$5,K$5,$G1096=$G$6,K$6,$G1096=$G$7,K$7,$G1096=$G$8,K$8,$G1096=$G$9,K$9,$G1096=$G$10,K$10,$G1096=$G$11,K$11,$G1096=$G$12,K$12,$G1096=$G$13,K$13,$G1096=$G$15,K$15,$G1096=$G$16,K$16,$G1096=$G$17,K$17,$G1096=$G$18,K$18,$G1096=$G$19,K$19,$G1096=$G$20,K$20,$G1096=$G$21,K$21,$G1096=$G$22,K$22,$G1096=$G$25,K$25,$G1096=$G$26,K$26,$G1096=$G$27,K$27,$G1096=$G$29,K$29,$G1096=$G$31,K$31,$G1096=$G$32,K$150,$G1096=$G$248,K$248,$G1096=$G$250,K$250)</f>
        <v>BG sentinel + BG lure7</v>
      </c>
      <c r="O1096" s="69" t="str">
        <f t="shared" si="86"/>
        <v>A_SP_BCN_24_211111</v>
      </c>
      <c r="P1096" s="64">
        <v>44511</v>
      </c>
      <c r="R1096" s="72"/>
      <c r="S1096" s="64">
        <v>44518</v>
      </c>
      <c r="U1096" s="72"/>
      <c r="V1096" s="54" t="s">
        <v>66</v>
      </c>
      <c r="X1096" s="69">
        <f t="shared" si="88"/>
        <v>7</v>
      </c>
      <c r="AA1096" s="69">
        <f t="shared" si="89"/>
        <v>0</v>
      </c>
      <c r="AB1096" t="str">
        <f t="shared" si="90"/>
        <v/>
      </c>
      <c r="AE1096" s="45" t="str">
        <f t="shared" si="74"/>
        <v/>
      </c>
      <c r="AF1096" s="56">
        <v>4</v>
      </c>
    </row>
    <row r="1097" spans="1:32" ht="18" customHeight="1" x14ac:dyDescent="0.25">
      <c r="A1097" s="45">
        <v>1093</v>
      </c>
      <c r="B1097" s="45" t="s">
        <v>60</v>
      </c>
      <c r="C1097" s="45" t="s">
        <v>61</v>
      </c>
      <c r="D1097" s="45" t="s">
        <v>62</v>
      </c>
      <c r="E1097" s="45" t="s">
        <v>62</v>
      </c>
      <c r="F1097" s="59" cm="1">
        <f t="array" ref="F1097">_xlfn.IFS($G1097=$G$5,F$5,$G1097=$G$6,F$6,$G1097=$G$7,F$7,$G1097=$G$8,F$8,$G1097=$G$9,F$9,$G1097=$G$10,F$10,$G1097=$G$11,F$11,$G1097=$G$12,F$12,$G1097=$G$13,F$13,$G1097=$G$15,F$15,$G1097=$G$16,F$16,$G1097=$G$17,F$17,$G1097=$G$18,F$18,$G1097=$G$19,F$19,$G1097=$G$20,F$20,$G1097=$G$21,F$21,$G1097=$G$22,F$22,$G1097=$G$25,F$25,$G1097=$G$26,F$26,$G1097=$G$27,F$27,$G1097=$G$29,F$29,$G1097=$G$31,F$31,$G1097=$G$32,F$32,$G1097=$G$248,F$248,$G1097=$G$250,F$250)</f>
        <v>8024</v>
      </c>
      <c r="G1097" t="s">
        <v>63</v>
      </c>
      <c r="H1097" s="60" cm="1">
        <f t="array" ref="H1097">_xlfn.IFS($G1097=$G$5,H$5,$G1097=$G$6,H$6,$G1097=$G$7,H$7,$G1097=$G$8,H$8,$G1097=$G$9,H$9,$G1097=$G$10,H$10,$G1097=$G$11,H$11,$G1097=$G$12,H$12,$G1097=$G$13,H$13,$G1097=$G$15,H$15,$G1097=$G$16,H$16,$G1097=$G$17,H$17,$G1097=$G$18,H$18,$G1097=$G$19,H$19,$G1097=$G$20,H$20,$G1097=$G$21,H$21,$G1097=$G$22,H$22,$G1097=$G$25,H$25,$G1097=$G$26,H$26,$G1097=$G$27,H$27,$G1097=$G$29,H$29,$G1097=$G$31,H$31,$G1097=$G$32,H$150,$G1097=$G$248,H$248,$G1097=$G$250,H$250)</f>
        <v>41.413573999999997</v>
      </c>
      <c r="I1097" s="60" cm="1">
        <f t="array" ref="I1097">_xlfn.IFS($G1097=$G$5,I$5,$G1097=$G$6,I$6,$G1097=$G$7,I$7,$G1097=$G$8,I$8,$G1097=$G$9,I$9,$G1097=$G$10,I$10,$G1097=$G$11,I$11,$G1097=$G$12,I$12,$G1097=$G$13,I$13,$G1097=$G$15,I$15,$G1097=$G$16,I$16,$G1097=$G$17,I$17,$G1097=$G$18,I$18,$G1097=$G$19,I$19,$G1097=$G$20,I$20,$G1097=$G$21,I$21,$G1097=$G$22,I$22,$G1097=$G$25,I$25,$G1097=$G$26,I$26,$G1097=$G$27,I$27,$G1097=$G$29,I$29,$G1097=$G$31,I$31,$G1097=$G$32,I$150,$G1097=$G$248,I$248,$G1097=$G$250,I$250)</f>
        <v>2.1520730000000001</v>
      </c>
      <c r="J1097" s="61" cm="1">
        <f t="array" ref="J1097">_xlfn.IFS($G1097=$G$5,J$5,$G1097=$G$6,J$6,$G1097=$G$7,J$7,$G1097=$G$8,J$8,$G1097=$G$9,J$9,$G1097=$G$10,J$10,$G1097=$G$11,J$11,$G1097=$G$12,J$12,$G1097=$G$13,J$13,$G1097=$G$15,J$15,$G1097=$G$16,J$16,$G1097=$G$17,J$17,$G1097=$G$18,J$18,$G1097=$G$19,J$19,$G1097=$G$20,J$20,$G1097=$G$21,J$21,$G1097=$G$22,J$22,$G1097=$G$25,J$25,$G1097=$G$26,J$26,$G1097=$G$27,J$27,$G1097=$G$29,J$29,$G1097=$G$31,J$31,$G1097=$G$32,J$150,$G1097=$G$248,J$248,$G1097=$G$250,J$250)</f>
        <v>141</v>
      </c>
      <c r="K1097" t="str" cm="1">
        <f t="array" ref="K1097">_xlfn.IFS($G1097=$G$5,K$5,$G1097=$G$6,K$6,$G1097=$G$7,K$7,$G1097=$G$8,K$8,$G1097=$G$9,K$9,$G1097=$G$10,K$10,$G1097=$G$11,K$11,$G1097=$G$12,K$12,$G1097=$G$13,K$13,$G1097=$G$15,K$15,$G1097=$G$16,K$16,$G1097=$G$17,K$17,$G1097=$G$18,K$18,$G1097=$G$19,K$19,$G1097=$G$20,K$20,$G1097=$G$21,K$21,$G1097=$G$22,K$22,$G1097=$G$25,K$25,$G1097=$G$26,K$26,$G1097=$G$27,K$27,$G1097=$G$29,K$29,$G1097=$G$31,K$31,$G1097=$G$32,K$150,$G1097=$G$248,K$248,$G1097=$G$250,K$250)</f>
        <v>BG sentinel + BG lure7</v>
      </c>
      <c r="O1097" s="69" t="str">
        <f t="shared" si="86"/>
        <v>A_SP_BCN_1_211117</v>
      </c>
      <c r="P1097" s="64">
        <v>44517</v>
      </c>
      <c r="R1097" s="72"/>
      <c r="S1097" s="64">
        <v>44524</v>
      </c>
      <c r="U1097" s="72"/>
      <c r="V1097" s="54" t="s">
        <v>66</v>
      </c>
      <c r="X1097" s="69">
        <f t="shared" si="88"/>
        <v>7</v>
      </c>
      <c r="AA1097" s="69">
        <f t="shared" si="89"/>
        <v>0</v>
      </c>
      <c r="AB1097" t="str">
        <f t="shared" si="90"/>
        <v/>
      </c>
      <c r="AE1097" s="45" t="str">
        <f t="shared" si="74"/>
        <v/>
      </c>
      <c r="AF1097" s="56">
        <v>4</v>
      </c>
    </row>
    <row r="1098" spans="1:32" ht="18" customHeight="1" x14ac:dyDescent="0.25">
      <c r="A1098" s="45">
        <v>1094</v>
      </c>
      <c r="B1098" s="45" t="s">
        <v>60</v>
      </c>
      <c r="C1098" s="45" t="s">
        <v>61</v>
      </c>
      <c r="D1098" s="45" t="s">
        <v>62</v>
      </c>
      <c r="E1098" s="45" t="s">
        <v>62</v>
      </c>
      <c r="F1098" s="59" cm="1">
        <f t="array" ref="F1098">_xlfn.IFS($G1098=$G$5,F$5,$G1098=$G$6,F$6,$G1098=$G$7,F$7,$G1098=$G$8,F$8,$G1098=$G$9,F$9,$G1098=$G$10,F$10,$G1098=$G$11,F$11,$G1098=$G$12,F$12,$G1098=$G$13,F$13,$G1098=$G$15,F$15,$G1098=$G$16,F$16,$G1098=$G$17,F$17,$G1098=$G$18,F$18,$G1098=$G$19,F$19,$G1098=$G$20,F$20,$G1098=$G$21,F$21,$G1098=$G$22,F$22,$G1098=$G$25,F$25,$G1098=$G$26,F$26,$G1098=$G$27,F$27,$G1098=$G$29,F$29,$G1098=$G$31,F$31,$G1098=$G$32,F$32,$G1098=$G$248,F$248,$G1098=$G$250,F$250)</f>
        <v>8035</v>
      </c>
      <c r="G1098" t="s">
        <v>67</v>
      </c>
      <c r="H1098" s="60" cm="1">
        <f t="array" ref="H1098">_xlfn.IFS($G1098=$G$5,H$5,$G1098=$G$6,H$6,$G1098=$G$7,H$7,$G1098=$G$8,H$8,$G1098=$G$9,H$9,$G1098=$G$10,H$10,$G1098=$G$11,H$11,$G1098=$G$12,H$12,$G1098=$G$13,H$13,$G1098=$G$15,H$15,$G1098=$G$16,H$16,$G1098=$G$17,H$17,$G1098=$G$18,H$18,$G1098=$G$19,H$19,$G1098=$G$20,H$20,$G1098=$G$21,H$21,$G1098=$G$22,H$22,$G1098=$G$25,H$25,$G1098=$G$26,H$26,$G1098=$G$27,H$27,$G1098=$G$29,H$29,$G1098=$G$31,H$31,$G1098=$G$32,H$150,$G1098=$G$248,H$248,$G1098=$G$250,H$250)</f>
        <v>41.424387000000003</v>
      </c>
      <c r="I1098" s="60" cm="1">
        <f t="array" ref="I1098">_xlfn.IFS($G1098=$G$5,I$5,$G1098=$G$6,I$6,$G1098=$G$7,I$7,$G1098=$G$8,I$8,$G1098=$G$9,I$9,$G1098=$G$10,I$10,$G1098=$G$11,I$11,$G1098=$G$12,I$12,$G1098=$G$13,I$13,$G1098=$G$15,I$15,$G1098=$G$16,I$16,$G1098=$G$17,I$17,$G1098=$G$18,I$18,$G1098=$G$19,I$19,$G1098=$G$20,I$20,$G1098=$G$21,I$21,$G1098=$G$22,I$22,$G1098=$G$25,I$25,$G1098=$G$26,I$26,$G1098=$G$27,I$27,$G1098=$G$29,I$29,$G1098=$G$31,I$31,$G1098=$G$32,I$150,$G1098=$G$248,I$248,$G1098=$G$250,I$250)</f>
        <v>2.1431439999999999</v>
      </c>
      <c r="J1098" s="61" cm="1">
        <f t="array" ref="J1098">_xlfn.IFS($G1098=$G$5,J$5,$G1098=$G$6,J$6,$G1098=$G$7,J$7,$G1098=$G$8,J$8,$G1098=$G$9,J$9,$G1098=$G$10,J$10,$G1098=$G$11,J$11,$G1098=$G$12,J$12,$G1098=$G$13,J$13,$G1098=$G$15,J$15,$G1098=$G$16,J$16,$G1098=$G$17,J$17,$G1098=$G$18,J$18,$G1098=$G$19,J$19,$G1098=$G$20,J$20,$G1098=$G$21,J$21,$G1098=$G$22,J$22,$G1098=$G$25,J$25,$G1098=$G$26,J$26,$G1098=$G$27,J$27,$G1098=$G$29,J$29,$G1098=$G$31,J$31,$G1098=$G$32,J$150,$G1098=$G$248,J$248,$G1098=$G$250,J$250)</f>
        <v>160</v>
      </c>
      <c r="K1098" t="str" cm="1">
        <f t="array" ref="K1098">_xlfn.IFS($G1098=$G$5,K$5,$G1098=$G$6,K$6,$G1098=$G$7,K$7,$G1098=$G$8,K$8,$G1098=$G$9,K$9,$G1098=$G$10,K$10,$G1098=$G$11,K$11,$G1098=$G$12,K$12,$G1098=$G$13,K$13,$G1098=$G$15,K$15,$G1098=$G$16,K$16,$G1098=$G$17,K$17,$G1098=$G$18,K$18,$G1098=$G$19,K$19,$G1098=$G$20,K$20,$G1098=$G$21,K$21,$G1098=$G$22,K$22,$G1098=$G$25,K$25,$G1098=$G$26,K$26,$G1098=$G$27,K$27,$G1098=$G$29,K$29,$G1098=$G$31,K$31,$G1098=$G$32,K$150,$G1098=$G$248,K$248,$G1098=$G$250,K$250)</f>
        <v>BG sentinel + BG lure7</v>
      </c>
      <c r="O1098" s="69" t="str">
        <f t="shared" si="86"/>
        <v>A_SP_BCN_2_211117</v>
      </c>
      <c r="P1098" s="64">
        <v>44517</v>
      </c>
      <c r="R1098" s="72"/>
      <c r="S1098" s="64">
        <v>44524</v>
      </c>
      <c r="U1098" s="72"/>
      <c r="V1098" s="54" t="s">
        <v>66</v>
      </c>
      <c r="X1098" s="69">
        <f t="shared" si="88"/>
        <v>7</v>
      </c>
      <c r="AA1098" s="69">
        <f t="shared" si="89"/>
        <v>0</v>
      </c>
      <c r="AB1098" t="str">
        <f t="shared" si="90"/>
        <v/>
      </c>
      <c r="AE1098" s="45" t="str">
        <f t="shared" si="74"/>
        <v/>
      </c>
      <c r="AF1098" s="56">
        <v>4</v>
      </c>
    </row>
    <row r="1099" spans="1:32" ht="18" customHeight="1" x14ac:dyDescent="0.25">
      <c r="A1099" s="45">
        <v>1095</v>
      </c>
      <c r="B1099" s="69" t="s">
        <v>60</v>
      </c>
      <c r="C1099" s="69" t="s">
        <v>61</v>
      </c>
      <c r="D1099" s="69" t="s">
        <v>62</v>
      </c>
      <c r="E1099" s="69" t="s">
        <v>62</v>
      </c>
      <c r="F1099" s="59" cm="1">
        <f t="array" ref="F1099">_xlfn.IFS($G1099=$G$5,F$5,$G1099=$G$6,F$6,$G1099=$G$7,F$7,$G1099=$G$8,F$8,$G1099=$G$9,F$9,$G1099=$G$10,F$10,$G1099=$G$11,F$11,$G1099=$G$12,F$12,$G1099=$G$13,F$13,$G1099=$G$15,F$15,$G1099=$G$16,F$16,$G1099=$G$17,F$17,$G1099=$G$18,F$18,$G1099=$G$19,F$19,$G1099=$G$20,F$20,$G1099=$G$21,F$21,$G1099=$G$22,F$22,$G1099=$G$25,F$25,$G1099=$G$26,F$26,$G1099=$G$27,F$27,$G1099=$G$29,F$29,$G1099=$G$31,F$31,$G1099=$G$32,F$32,$G1099=$G$248,F$248,$G1099=$G$250,F$250)</f>
        <v>8016</v>
      </c>
      <c r="G1099" t="s">
        <v>68</v>
      </c>
      <c r="H1099" s="60" cm="1">
        <f t="array" ref="H1099">_xlfn.IFS($G1099=$G$5,H$5,$G1099=$G$6,H$6,$G1099=$G$7,H$7,$G1099=$G$8,H$8,$G1099=$G$9,H$9,$G1099=$G$10,H$10,$G1099=$G$11,H$11,$G1099=$G$12,H$12,$G1099=$G$13,H$13,$G1099=$G$15,H$15,$G1099=$G$16,H$16,$G1099=$G$17,H$17,$G1099=$G$18,H$18,$G1099=$G$19,H$19,$G1099=$G$20,H$20,$G1099=$G$21,H$21,$G1099=$G$22,H$22,$G1099=$G$25,H$25,$G1099=$G$26,H$26,$G1099=$G$27,H$27,$G1099=$G$29,H$29,$G1099=$G$31,H$31,$G1099=$G$32,H$150,$G1099=$G$248,H$248,$G1099=$G$250,H$250)</f>
        <v>41.437435000000001</v>
      </c>
      <c r="I1099" s="60" cm="1">
        <f t="array" ref="I1099">_xlfn.IFS($G1099=$G$5,I$5,$G1099=$G$6,I$6,$G1099=$G$7,I$7,$G1099=$G$8,I$8,$G1099=$G$9,I$9,$G1099=$G$10,I$10,$G1099=$G$11,I$11,$G1099=$G$12,I$12,$G1099=$G$13,I$13,$G1099=$G$15,I$15,$G1099=$G$16,I$16,$G1099=$G$17,I$17,$G1099=$G$18,I$18,$G1099=$G$19,I$19,$G1099=$G$20,I$20,$G1099=$G$21,I$21,$G1099=$G$22,I$22,$G1099=$G$25,I$25,$G1099=$G$26,I$26,$G1099=$G$27,I$27,$G1099=$G$29,I$29,$G1099=$G$31,I$31,$G1099=$G$32,I$150,$G1099=$G$248,I$248,$G1099=$G$250,I$250)</f>
        <v>2.1812779999999998</v>
      </c>
      <c r="J1099" s="61" cm="1">
        <f t="array" ref="J1099">_xlfn.IFS($G1099=$G$5,J$5,$G1099=$G$6,J$6,$G1099=$G$7,J$7,$G1099=$G$8,J$8,$G1099=$G$9,J$9,$G1099=$G$10,J$10,$G1099=$G$11,J$11,$G1099=$G$12,J$12,$G1099=$G$13,J$13,$G1099=$G$15,J$15,$G1099=$G$16,J$16,$G1099=$G$17,J$17,$G1099=$G$18,J$18,$G1099=$G$19,J$19,$G1099=$G$20,J$20,$G1099=$G$21,J$21,$G1099=$G$22,J$22,$G1099=$G$25,J$25,$G1099=$G$26,J$26,$G1099=$G$27,J$27,$G1099=$G$29,J$29,$G1099=$G$31,J$31,$G1099=$G$32,J$150,$G1099=$G$248,J$248,$G1099=$G$250,J$250)</f>
        <v>47</v>
      </c>
      <c r="K1099" t="str" cm="1">
        <f t="array" ref="K1099">_xlfn.IFS($G1099=$G$5,K$5,$G1099=$G$6,K$6,$G1099=$G$7,K$7,$G1099=$G$8,K$8,$G1099=$G$9,K$9,$G1099=$G$10,K$10,$G1099=$G$11,K$11,$G1099=$G$12,K$12,$G1099=$G$13,K$13,$G1099=$G$15,K$15,$G1099=$G$16,K$16,$G1099=$G$17,K$17,$G1099=$G$18,K$18,$G1099=$G$19,K$19,$G1099=$G$20,K$20,$G1099=$G$21,K$21,$G1099=$G$22,K$22,$G1099=$G$25,K$25,$G1099=$G$26,K$26,$G1099=$G$27,K$27,$G1099=$G$29,K$29,$G1099=$G$31,K$31,$G1099=$G$32,K$150,$G1099=$G$248,K$248,$G1099=$G$250,K$250)</f>
        <v>BG sentinel + BG lure7</v>
      </c>
      <c r="O1099" s="69" t="str">
        <f t="shared" si="86"/>
        <v>A_SP_BCN_3_211117</v>
      </c>
      <c r="P1099" s="64">
        <v>44517</v>
      </c>
      <c r="R1099" s="72"/>
      <c r="S1099" s="64">
        <v>44525</v>
      </c>
      <c r="U1099" s="72"/>
      <c r="V1099" t="s">
        <v>176</v>
      </c>
      <c r="X1099" s="69">
        <f t="shared" si="88"/>
        <v>8</v>
      </c>
      <c r="AB1099"/>
      <c r="AE1099" s="45" t="str">
        <f t="shared" si="74"/>
        <v/>
      </c>
      <c r="AF1099" s="56">
        <v>1</v>
      </c>
    </row>
    <row r="1100" spans="1:32" ht="18" customHeight="1" x14ac:dyDescent="0.25">
      <c r="A1100" s="45">
        <v>1096</v>
      </c>
      <c r="B1100" s="45" t="s">
        <v>60</v>
      </c>
      <c r="C1100" s="45" t="s">
        <v>61</v>
      </c>
      <c r="D1100" s="45" t="s">
        <v>62</v>
      </c>
      <c r="E1100" s="45" t="s">
        <v>62</v>
      </c>
      <c r="F1100" s="59" cm="1">
        <f t="array" ref="F1100">_xlfn.IFS($G1100=$G$5,F$5,$G1100=$G$6,F$6,$G1100=$G$7,F$7,$G1100=$G$8,F$8,$G1100=$G$9,F$9,$G1100=$G$10,F$10,$G1100=$G$11,F$11,$G1100=$G$12,F$12,$G1100=$G$13,F$13,$G1100=$G$15,F$15,$G1100=$G$16,F$16,$G1100=$G$17,F$17,$G1100=$G$18,F$18,$G1100=$G$19,F$19,$G1100=$G$20,F$20,$G1100=$G$21,F$21,$G1100=$G$22,F$22,$G1100=$G$25,F$25,$G1100=$G$26,F$26,$G1100=$G$27,F$27,$G1100=$G$29,F$29,$G1100=$G$31,F$31,$G1100=$G$32,F$32,$G1100=$G$248,F$248,$G1100=$G$250,F$250)</f>
        <v>8018</v>
      </c>
      <c r="G1100" t="s">
        <v>71</v>
      </c>
      <c r="H1100" s="60" cm="1">
        <f t="array" ref="H1100">_xlfn.IFS($G1100=$G$5,H$5,$G1100=$G$6,H$6,$G1100=$G$7,H$7,$G1100=$G$8,H$8,$G1100=$G$9,H$9,$G1100=$G$10,H$10,$G1100=$G$11,H$11,$G1100=$G$12,H$12,$G1100=$G$13,H$13,$G1100=$G$15,H$15,$G1100=$G$16,H$16,$G1100=$G$17,H$17,$G1100=$G$18,H$18,$G1100=$G$19,H$19,$G1100=$G$20,H$20,$G1100=$G$21,H$21,$G1100=$G$22,H$22,$G1100=$G$25,H$25,$G1100=$G$26,H$26,$G1100=$G$27,H$27,$G1100=$G$29,H$29,$G1100=$G$31,H$31,$G1100=$G$32,H$150,$G1100=$G$248,H$248,$G1100=$G$250,H$250)</f>
        <v>41.410684000000003</v>
      </c>
      <c r="I1100" s="60" cm="1">
        <f t="array" ref="I1100">_xlfn.IFS($G1100=$G$5,I$5,$G1100=$G$6,I$6,$G1100=$G$7,I$7,$G1100=$G$8,I$8,$G1100=$G$9,I$9,$G1100=$G$10,I$10,$G1100=$G$11,I$11,$G1100=$G$12,I$12,$G1100=$G$13,I$13,$G1100=$G$15,I$15,$G1100=$G$16,I$16,$G1100=$G$17,I$17,$G1100=$G$18,I$18,$G1100=$G$19,I$19,$G1100=$G$20,I$20,$G1100=$G$21,I$21,$G1100=$G$22,I$22,$G1100=$G$25,I$25,$G1100=$G$26,I$26,$G1100=$G$27,I$27,$G1100=$G$29,I$29,$G1100=$G$31,I$31,$G1100=$G$32,I$150,$G1100=$G$248,I$248,$G1100=$G$250,I$250)</f>
        <v>2.2208019999999999</v>
      </c>
      <c r="J1100" s="61" cm="1">
        <f t="array" ref="J1100">_xlfn.IFS($G1100=$G$5,J$5,$G1100=$G$6,J$6,$G1100=$G$7,J$7,$G1100=$G$8,J$8,$G1100=$G$9,J$9,$G1100=$G$10,J$10,$G1100=$G$11,J$11,$G1100=$G$12,J$12,$G1100=$G$13,J$13,$G1100=$G$15,J$15,$G1100=$G$16,J$16,$G1100=$G$17,J$17,$G1100=$G$18,J$18,$G1100=$G$19,J$19,$G1100=$G$20,J$20,$G1100=$G$21,J$21,$G1100=$G$22,J$22,$G1100=$G$25,J$25,$G1100=$G$26,J$26,$G1100=$G$27,J$27,$G1100=$G$29,J$29,$G1100=$G$31,J$31,$G1100=$G$32,J$150,$G1100=$G$248,J$248,$G1100=$G$250,J$250)</f>
        <v>4</v>
      </c>
      <c r="K1100" t="str" cm="1">
        <f t="array" ref="K1100">_xlfn.IFS($G1100=$G$5,K$5,$G1100=$G$6,K$6,$G1100=$G$7,K$7,$G1100=$G$8,K$8,$G1100=$G$9,K$9,$G1100=$G$10,K$10,$G1100=$G$11,K$11,$G1100=$G$12,K$12,$G1100=$G$13,K$13,$G1100=$G$15,K$15,$G1100=$G$16,K$16,$G1100=$G$17,K$17,$G1100=$G$18,K$18,$G1100=$G$19,K$19,$G1100=$G$20,K$20,$G1100=$G$21,K$21,$G1100=$G$22,K$22,$G1100=$G$25,K$25,$G1100=$G$26,K$26,$G1100=$G$27,K$27,$G1100=$G$29,K$29,$G1100=$G$31,K$31,$G1100=$G$32,K$150,$G1100=$G$248,K$248,$G1100=$G$250,K$250)</f>
        <v>BG sentinel + BG lure7</v>
      </c>
      <c r="O1100" s="69" t="str">
        <f t="shared" si="86"/>
        <v>A_SP_BCN_4_211118</v>
      </c>
      <c r="P1100" s="64">
        <v>44518</v>
      </c>
      <c r="R1100" s="72"/>
      <c r="S1100" s="64">
        <v>44525</v>
      </c>
      <c r="U1100" s="72"/>
      <c r="V1100" s="54" t="s">
        <v>66</v>
      </c>
      <c r="X1100" s="69">
        <f t="shared" si="88"/>
        <v>7</v>
      </c>
      <c r="AA1100" s="69">
        <f t="shared" ref="AA1100:AA1102" si="91">SUM(AC1100:AD1100)</f>
        <v>0</v>
      </c>
      <c r="AB1100" t="str">
        <f t="shared" ref="AB1100:AB1352" si="92">IF(AA1100=0,"",IF(AA1100="","",IF(AA1100&gt;0,"Adult")))</f>
        <v/>
      </c>
      <c r="AE1100" s="45" t="str">
        <f t="shared" si="74"/>
        <v/>
      </c>
      <c r="AF1100" s="56">
        <v>4</v>
      </c>
    </row>
    <row r="1101" spans="1:32" ht="18" customHeight="1" x14ac:dyDescent="0.25">
      <c r="A1101" s="45">
        <v>1097</v>
      </c>
      <c r="B1101" s="45" t="s">
        <v>60</v>
      </c>
      <c r="C1101" s="45" t="s">
        <v>61</v>
      </c>
      <c r="D1101" s="45" t="s">
        <v>62</v>
      </c>
      <c r="E1101" s="45" t="s">
        <v>62</v>
      </c>
      <c r="F1101" s="59" cm="1">
        <f t="array" ref="F1101">_xlfn.IFS($G1101=$G$5,F$5,$G1101=$G$6,F$6,$G1101=$G$7,F$7,$G1101=$G$8,F$8,$G1101=$G$9,F$9,$G1101=$G$10,F$10,$G1101=$G$11,F$11,$G1101=$G$12,F$12,$G1101=$G$13,F$13,$G1101=$G$15,F$15,$G1101=$G$16,F$16,$G1101=$G$17,F$17,$G1101=$G$18,F$18,$G1101=$G$19,F$19,$G1101=$G$20,F$20,$G1101=$G$21,F$21,$G1101=$G$22,F$22,$G1101=$G$25,F$25,$G1101=$G$26,F$26,$G1101=$G$27,F$27,$G1101=$G$29,F$29,$G1101=$G$31,F$31,$G1101=$G$32,F$32,$G1101=$G$248,F$248,$G1101=$G$250,F$250)</f>
        <v>8019</v>
      </c>
      <c r="G1101" t="s">
        <v>72</v>
      </c>
      <c r="H1101" s="60" cm="1">
        <f t="array" ref="H1101">_xlfn.IFS($G1101=$G$5,H$5,$G1101=$G$6,H$6,$G1101=$G$7,H$7,$G1101=$G$8,H$8,$G1101=$G$9,H$9,$G1101=$G$10,H$10,$G1101=$G$11,H$11,$G1101=$G$12,H$12,$G1101=$G$13,H$13,$G1101=$G$15,H$15,$G1101=$G$16,H$16,$G1101=$G$17,H$17,$G1101=$G$18,H$18,$G1101=$G$19,H$19,$G1101=$G$20,H$20,$G1101=$G$21,H$21,$G1101=$G$22,H$22,$G1101=$G$25,H$25,$G1101=$G$26,H$26,$G1101=$G$27,H$27,$G1101=$G$29,H$29,$G1101=$G$31,H$31,$G1101=$G$32,H$150,$G1101=$G$248,H$248,$G1101=$G$250,H$250)</f>
        <v>41.382339999999999</v>
      </c>
      <c r="I1101" s="60" cm="1">
        <f t="array" ref="I1101">_xlfn.IFS($G1101=$G$5,I$5,$G1101=$G$6,I$6,$G1101=$G$7,I$7,$G1101=$G$8,I$8,$G1101=$G$9,I$9,$G1101=$G$10,I$10,$G1101=$G$11,I$11,$G1101=$G$12,I$12,$G1101=$G$13,I$13,$G1101=$G$15,I$15,$G1101=$G$16,I$16,$G1101=$G$17,I$17,$G1101=$G$18,I$18,$G1101=$G$19,I$19,$G1101=$G$20,I$20,$G1101=$G$21,I$21,$G1101=$G$22,I$22,$G1101=$G$25,I$25,$G1101=$G$26,I$26,$G1101=$G$27,I$27,$G1101=$G$29,I$29,$G1101=$G$31,I$31,$G1101=$G$32,I$150,$G1101=$G$248,I$248,$G1101=$G$250,I$250)</f>
        <v>2.1714790000000002</v>
      </c>
      <c r="J1101" s="61" cm="1">
        <f t="array" ref="J1101">_xlfn.IFS($G1101=$G$5,J$5,$G1101=$G$6,J$6,$G1101=$G$7,J$7,$G1101=$G$8,J$8,$G1101=$G$9,J$9,$G1101=$G$10,J$10,$G1101=$G$11,J$11,$G1101=$G$12,J$12,$G1101=$G$13,J$13,$G1101=$G$15,J$15,$G1101=$G$16,J$16,$G1101=$G$17,J$17,$G1101=$G$18,J$18,$G1101=$G$19,J$19,$G1101=$G$20,J$20,$G1101=$G$21,J$21,$G1101=$G$22,J$22,$G1101=$G$25,J$25,$G1101=$G$26,J$26,$G1101=$G$27,J$27,$G1101=$G$29,J$29,$G1101=$G$31,J$31,$G1101=$G$32,J$150,$G1101=$G$248,J$248,$G1101=$G$250,J$250)</f>
        <v>18</v>
      </c>
      <c r="K1101" t="str" cm="1">
        <f t="array" ref="K1101">_xlfn.IFS($G1101=$G$5,K$5,$G1101=$G$6,K$6,$G1101=$G$7,K$7,$G1101=$G$8,K$8,$G1101=$G$9,K$9,$G1101=$G$10,K$10,$G1101=$G$11,K$11,$G1101=$G$12,K$12,$G1101=$G$13,K$13,$G1101=$G$15,K$15,$G1101=$G$16,K$16,$G1101=$G$17,K$17,$G1101=$G$18,K$18,$G1101=$G$19,K$19,$G1101=$G$20,K$20,$G1101=$G$21,K$21,$G1101=$G$22,K$22,$G1101=$G$25,K$25,$G1101=$G$26,K$26,$G1101=$G$27,K$27,$G1101=$G$29,K$29,$G1101=$G$31,K$31,$G1101=$G$32,K$150,$G1101=$G$248,K$248,$G1101=$G$250,K$250)</f>
        <v>BG sentinel + BG lure7</v>
      </c>
      <c r="O1101" s="69" t="str">
        <f t="shared" si="86"/>
        <v>A_SP_BCN_5_211118</v>
      </c>
      <c r="P1101" s="64">
        <v>44518</v>
      </c>
      <c r="R1101" s="72"/>
      <c r="S1101" s="64">
        <v>44525</v>
      </c>
      <c r="U1101" s="72"/>
      <c r="V1101" s="54" t="s">
        <v>66</v>
      </c>
      <c r="X1101" s="69">
        <f t="shared" si="88"/>
        <v>7</v>
      </c>
      <c r="AA1101" s="69">
        <f t="shared" si="91"/>
        <v>0</v>
      </c>
      <c r="AB1101" t="str">
        <f t="shared" si="92"/>
        <v/>
      </c>
      <c r="AE1101" s="45" t="str">
        <f t="shared" si="74"/>
        <v/>
      </c>
      <c r="AF1101" s="56">
        <v>4</v>
      </c>
    </row>
    <row r="1102" spans="1:32" ht="18" customHeight="1" x14ac:dyDescent="0.25">
      <c r="A1102" s="45">
        <v>1098</v>
      </c>
      <c r="B1102" s="45" t="s">
        <v>60</v>
      </c>
      <c r="C1102" s="45" t="s">
        <v>61</v>
      </c>
      <c r="D1102" s="45" t="s">
        <v>62</v>
      </c>
      <c r="E1102" s="45" t="s">
        <v>62</v>
      </c>
      <c r="F1102" s="59" cm="1">
        <f t="array" ref="F1102">_xlfn.IFS($G1102=$G$5,F$5,$G1102=$G$6,F$6,$G1102=$G$7,F$7,$G1102=$G$8,F$8,$G1102=$G$9,F$9,$G1102=$G$10,F$10,$G1102=$G$11,F$11,$G1102=$G$12,F$12,$G1102=$G$13,F$13,$G1102=$G$15,F$15,$G1102=$G$16,F$16,$G1102=$G$17,F$17,$G1102=$G$18,F$18,$G1102=$G$19,F$19,$G1102=$G$20,F$20,$G1102=$G$21,F$21,$G1102=$G$22,F$22,$G1102=$G$25,F$25,$G1102=$G$26,F$26,$G1102=$G$27,F$27,$G1102=$G$29,F$29,$G1102=$G$31,F$31,$G1102=$G$32,F$32,$G1102=$G$248,F$248,$G1102=$G$250,F$250)</f>
        <v>8002</v>
      </c>
      <c r="G1102" t="s">
        <v>73</v>
      </c>
      <c r="H1102" s="60" cm="1">
        <f t="array" ref="H1102">_xlfn.IFS($G1102=$G$5,H$5,$G1102=$G$6,H$6,$G1102=$G$7,H$7,$G1102=$G$8,H$8,$G1102=$G$9,H$9,$G1102=$G$10,H$10,$G1102=$G$11,H$11,$G1102=$G$12,H$12,$G1102=$G$13,H$13,$G1102=$G$15,H$15,$G1102=$G$16,H$16,$G1102=$G$17,H$17,$G1102=$G$18,H$18,$G1102=$G$19,H$19,$G1102=$G$20,H$20,$G1102=$G$21,H$21,$G1102=$G$22,H$22,$G1102=$G$25,H$25,$G1102=$G$26,H$26,$G1102=$G$27,H$27,$G1102=$G$29,H$29,$G1102=$G$31,H$31,$G1102=$G$32,H$150,$G1102=$G$248,H$248,$G1102=$G$250,H$250)</f>
        <v>41.371864000000002</v>
      </c>
      <c r="I1102" s="60" cm="1">
        <f t="array" ref="I1102">_xlfn.IFS($G1102=$G$5,I$5,$G1102=$G$6,I$6,$G1102=$G$7,I$7,$G1102=$G$8,I$8,$G1102=$G$9,I$9,$G1102=$G$10,I$10,$G1102=$G$11,I$11,$G1102=$G$12,I$12,$G1102=$G$13,I$13,$G1102=$G$15,I$15,$G1102=$G$16,I$16,$G1102=$G$17,I$17,$G1102=$G$18,I$18,$G1102=$G$19,I$19,$G1102=$G$20,I$20,$G1102=$G$21,I$21,$G1102=$G$22,I$22,$G1102=$G$25,I$25,$G1102=$G$26,I$26,$G1102=$G$27,I$27,$G1102=$G$29,I$29,$G1102=$G$31,I$31,$G1102=$G$32,I$150,$G1102=$G$248,I$248,$G1102=$G$250,I$250)</f>
        <v>2.173899</v>
      </c>
      <c r="J1102" s="61" cm="1">
        <f t="array" ref="J1102">_xlfn.IFS($G1102=$G$5,J$5,$G1102=$G$6,J$6,$G1102=$G$7,J$7,$G1102=$G$8,J$8,$G1102=$G$9,J$9,$G1102=$G$10,J$10,$G1102=$G$11,J$11,$G1102=$G$12,J$12,$G1102=$G$13,J$13,$G1102=$G$15,J$15,$G1102=$G$16,J$16,$G1102=$G$17,J$17,$G1102=$G$18,J$18,$G1102=$G$19,J$19,$G1102=$G$20,J$20,$G1102=$G$21,J$21,$G1102=$G$22,J$22,$G1102=$G$25,J$25,$G1102=$G$26,J$26,$G1102=$G$27,J$27,$G1102=$G$29,J$29,$G1102=$G$31,J$31,$G1102=$G$32,J$150,$G1102=$G$248,J$248,$G1102=$G$250,J$250)</f>
        <v>19</v>
      </c>
      <c r="K1102" t="str" cm="1">
        <f t="array" ref="K1102">_xlfn.IFS($G1102=$G$5,K$5,$G1102=$G$6,K$6,$G1102=$G$7,K$7,$G1102=$G$8,K$8,$G1102=$G$9,K$9,$G1102=$G$10,K$10,$G1102=$G$11,K$11,$G1102=$G$12,K$12,$G1102=$G$13,K$13,$G1102=$G$15,K$15,$G1102=$G$16,K$16,$G1102=$G$17,K$17,$G1102=$G$18,K$18,$G1102=$G$19,K$19,$G1102=$G$20,K$20,$G1102=$G$21,K$21,$G1102=$G$22,K$22,$G1102=$G$25,K$25,$G1102=$G$26,K$26,$G1102=$G$27,K$27,$G1102=$G$29,K$29,$G1102=$G$31,K$31,$G1102=$G$32,K$150,$G1102=$G$248,K$248,$G1102=$G$250,K$250)</f>
        <v>BG sentinel + BG lure7</v>
      </c>
      <c r="O1102" s="69" t="str">
        <f t="shared" si="86"/>
        <v>A_SP_BCN_6_211118</v>
      </c>
      <c r="P1102" s="64">
        <v>44518</v>
      </c>
      <c r="R1102" s="72"/>
      <c r="S1102" s="64">
        <v>44525</v>
      </c>
      <c r="U1102" s="72"/>
      <c r="V1102" s="54" t="s">
        <v>66</v>
      </c>
      <c r="X1102" s="69">
        <f t="shared" si="88"/>
        <v>7</v>
      </c>
      <c r="AA1102" s="69">
        <f t="shared" si="91"/>
        <v>0</v>
      </c>
      <c r="AB1102" t="str">
        <f t="shared" si="92"/>
        <v/>
      </c>
      <c r="AE1102" s="45" t="str">
        <f t="shared" si="74"/>
        <v/>
      </c>
      <c r="AF1102" s="56">
        <v>4</v>
      </c>
    </row>
    <row r="1103" spans="1:32" ht="18" customHeight="1" x14ac:dyDescent="0.25">
      <c r="A1103" s="45">
        <v>1099</v>
      </c>
      <c r="B1103" s="45" t="s">
        <v>60</v>
      </c>
      <c r="C1103" s="45" t="s">
        <v>61</v>
      </c>
      <c r="D1103" s="45" t="s">
        <v>62</v>
      </c>
      <c r="E1103" s="45" t="s">
        <v>62</v>
      </c>
      <c r="F1103" s="59" cm="1">
        <f t="array" ref="F1103">_xlfn.IFS($G1103=$G$5,F$5,$G1103=$G$6,F$6,$G1103=$G$7,F$7,$G1103=$G$8,F$8,$G1103=$G$9,F$9,$G1103=$G$10,F$10,$G1103=$G$11,F$11,$G1103=$G$12,F$12,$G1103=$G$13,F$13,$G1103=$G$15,F$15,$G1103=$G$16,F$16,$G1103=$G$17,F$17,$G1103=$G$18,F$18,$G1103=$G$19,F$19,$G1103=$G$20,F$20,$G1103=$G$21,F$21,$G1103=$G$22,F$22,$G1103=$G$25,F$25,$G1103=$G$26,F$26,$G1103=$G$27,F$27,$G1103=$G$29,F$29,$G1103=$G$31,F$31,$G1103=$G$32,F$32,$G1103=$G$248,F$248,$G1103=$G$250,F$250)</f>
        <v>8038</v>
      </c>
      <c r="G1103" t="s">
        <v>74</v>
      </c>
      <c r="H1103" s="60" cm="1">
        <f t="array" ref="H1103">_xlfn.IFS($G1103=$G$5,H$5,$G1103=$G$6,H$6,$G1103=$G$7,H$7,$G1103=$G$8,H$8,$G1103=$G$9,H$9,$G1103=$G$10,H$10,$G1103=$G$11,H$11,$G1103=$G$12,H$12,$G1103=$G$13,H$13,$G1103=$G$15,H$15,$G1103=$G$16,H$16,$G1103=$G$17,H$17,$G1103=$G$18,H$18,$G1103=$G$19,H$19,$G1103=$G$20,H$20,$G1103=$G$21,H$21,$G1103=$G$22,H$22,$G1103=$G$25,H$25,$G1103=$G$26,H$26,$G1103=$G$27,H$27,$G1103=$G$29,H$29,$G1103=$G$31,H$31,$G1103=$G$32,H$150,$G1103=$G$248,H$248,$G1103=$G$250,H$250)</f>
        <v>41.371864000000002</v>
      </c>
      <c r="I1103" s="60" cm="1">
        <f t="array" ref="I1103">_xlfn.IFS($G1103=$G$5,I$5,$G1103=$G$6,I$6,$G1103=$G$7,I$7,$G1103=$G$8,I$8,$G1103=$G$9,I$9,$G1103=$G$10,I$10,$G1103=$G$11,I$11,$G1103=$G$12,I$12,$G1103=$G$13,I$13,$G1103=$G$15,I$15,$G1103=$G$16,I$16,$G1103=$G$17,I$17,$G1103=$G$18,I$18,$G1103=$G$19,I$19,$G1103=$G$20,I$20,$G1103=$G$21,I$21,$G1103=$G$22,I$22,$G1103=$G$25,I$25,$G1103=$G$26,I$26,$G1103=$G$27,I$27,$G1103=$G$29,I$29,$G1103=$G$31,I$31,$G1103=$G$32,I$150,$G1103=$G$248,I$248,$G1103=$G$250,I$250)</f>
        <v>2.173899</v>
      </c>
      <c r="J1103" s="61" cm="1">
        <f t="array" ref="J1103">_xlfn.IFS($G1103=$G$5,J$5,$G1103=$G$6,J$6,$G1103=$G$7,J$7,$G1103=$G$8,J$8,$G1103=$G$9,J$9,$G1103=$G$10,J$10,$G1103=$G$11,J$11,$G1103=$G$12,J$12,$G1103=$G$13,J$13,$G1103=$G$15,J$15,$G1103=$G$16,J$16,$G1103=$G$17,J$17,$G1103=$G$18,J$18,$G1103=$G$19,J$19,$G1103=$G$20,J$20,$G1103=$G$21,J$21,$G1103=$G$22,J$22,$G1103=$G$25,J$25,$G1103=$G$26,J$26,$G1103=$G$27,J$27,$G1103=$G$29,J$29,$G1103=$G$31,J$31,$G1103=$G$32,J$150,$G1103=$G$248,J$248,$G1103=$G$250,J$250)</f>
        <v>5</v>
      </c>
      <c r="K1103" t="str" cm="1">
        <f t="array" ref="K1103">_xlfn.IFS($G1103=$G$5,K$5,$G1103=$G$6,K$6,$G1103=$G$7,K$7,$G1103=$G$8,K$8,$G1103=$G$9,K$9,$G1103=$G$10,K$10,$G1103=$G$11,K$11,$G1103=$G$12,K$12,$G1103=$G$13,K$13,$G1103=$G$15,K$15,$G1103=$G$16,K$16,$G1103=$G$17,K$17,$G1103=$G$18,K$18,$G1103=$G$19,K$19,$G1103=$G$20,K$20,$G1103=$G$21,K$21,$G1103=$G$22,K$22,$G1103=$G$25,K$25,$G1103=$G$26,K$26,$G1103=$G$27,K$27,$G1103=$G$29,K$29,$G1103=$G$31,K$31,$G1103=$G$32,K$150,$G1103=$G$248,K$248,$G1103=$G$250,K$250)</f>
        <v>BG sentinel + BG lure7</v>
      </c>
      <c r="O1103" s="69" t="str">
        <f t="shared" si="86"/>
        <v>A_SP_BCN_7_211118</v>
      </c>
      <c r="P1103" s="64">
        <v>44518</v>
      </c>
      <c r="R1103" s="72"/>
      <c r="S1103" s="64">
        <v>44525</v>
      </c>
      <c r="U1103" s="72"/>
      <c r="V1103" s="54" t="s">
        <v>132</v>
      </c>
      <c r="X1103" s="69">
        <f t="shared" si="88"/>
        <v>7</v>
      </c>
      <c r="AB1103" t="str">
        <f t="shared" si="92"/>
        <v/>
      </c>
      <c r="AE1103" s="45" t="str">
        <f t="shared" si="74"/>
        <v/>
      </c>
      <c r="AF1103" s="56">
        <v>1</v>
      </c>
    </row>
    <row r="1104" spans="1:32" ht="18" customHeight="1" x14ac:dyDescent="0.25">
      <c r="A1104" s="45">
        <v>1100</v>
      </c>
      <c r="B1104" s="45" t="s">
        <v>60</v>
      </c>
      <c r="C1104" s="45" t="s">
        <v>61</v>
      </c>
      <c r="D1104" s="45" t="s">
        <v>62</v>
      </c>
      <c r="E1104" s="45" t="s">
        <v>62</v>
      </c>
      <c r="F1104" s="59" cm="1">
        <f t="array" ref="F1104">_xlfn.IFS($G1104=$G$5,F$5,$G1104=$G$6,F$6,$G1104=$G$7,F$7,$G1104=$G$8,F$8,$G1104=$G$9,F$9,$G1104=$G$10,F$10,$G1104=$G$11,F$11,$G1104=$G$12,F$12,$G1104=$G$13,F$13,$G1104=$G$15,F$15,$G1104=$G$16,F$16,$G1104=$G$17,F$17,$G1104=$G$18,F$18,$G1104=$G$19,F$19,$G1104=$G$20,F$20,$G1104=$G$21,F$21,$G1104=$G$22,F$22,$G1104=$G$25,F$25,$G1104=$G$26,F$26,$G1104=$G$27,F$27,$G1104=$G$29,F$29,$G1104=$G$31,F$31,$G1104=$G$32,F$32,$G1104=$G$248,F$248,$G1104=$G$250,F$250)</f>
        <v>8038</v>
      </c>
      <c r="G1104" t="s">
        <v>75</v>
      </c>
      <c r="H1104" s="60" cm="1">
        <f t="array" ref="H1104">_xlfn.IFS($G1104=$G$5,H$5,$G1104=$G$6,H$6,$G1104=$G$7,H$7,$G1104=$G$8,H$8,$G1104=$G$9,H$9,$G1104=$G$10,H$10,$G1104=$G$11,H$11,$G1104=$G$12,H$12,$G1104=$G$13,H$13,$G1104=$G$15,H$15,$G1104=$G$16,H$16,$G1104=$G$17,H$17,$G1104=$G$18,H$18,$G1104=$G$19,H$19,$G1104=$G$20,H$20,$G1104=$G$21,H$21,$G1104=$G$22,H$22,$G1104=$G$25,H$25,$G1104=$G$26,H$26,$G1104=$G$27,H$27,$G1104=$G$29,H$29,$G1104=$G$31,H$31,$G1104=$G$32,H$150,$G1104=$G$248,H$248,$G1104=$G$250,H$250)</f>
        <v>41.368589</v>
      </c>
      <c r="I1104" s="60" cm="1">
        <f t="array" ref="I1104">_xlfn.IFS($G1104=$G$5,I$5,$G1104=$G$6,I$6,$G1104=$G$7,I$7,$G1104=$G$8,I$8,$G1104=$G$9,I$9,$G1104=$G$10,I$10,$G1104=$G$11,I$11,$G1104=$G$12,I$12,$G1104=$G$13,I$13,$G1104=$G$15,I$15,$G1104=$G$16,I$16,$G1104=$G$17,I$17,$G1104=$G$18,I$18,$G1104=$G$19,I$19,$G1104=$G$20,I$20,$G1104=$G$21,I$21,$G1104=$G$22,I$22,$G1104=$G$25,I$25,$G1104=$G$26,I$26,$G1104=$G$27,I$27,$G1104=$G$29,I$29,$G1104=$G$31,I$31,$G1104=$G$32,I$150,$G1104=$G$248,I$248,$G1104=$G$250,I$250)</f>
        <v>2.1620900000000001</v>
      </c>
      <c r="J1104" s="61" cm="1">
        <f t="array" ref="J1104">_xlfn.IFS($G1104=$G$5,J$5,$G1104=$G$6,J$6,$G1104=$G$7,J$7,$G1104=$G$8,J$8,$G1104=$G$9,J$9,$G1104=$G$10,J$10,$G1104=$G$11,J$11,$G1104=$G$12,J$12,$G1104=$G$13,J$13,$G1104=$G$15,J$15,$G1104=$G$16,J$16,$G1104=$G$17,J$17,$G1104=$G$18,J$18,$G1104=$G$19,J$19,$G1104=$G$20,J$20,$G1104=$G$21,J$21,$G1104=$G$22,J$22,$G1104=$G$25,J$25,$G1104=$G$26,J$26,$G1104=$G$27,J$27,$G1104=$G$29,J$29,$G1104=$G$31,J$31,$G1104=$G$32,J$150,$G1104=$G$248,J$248,$G1104=$G$250,J$250)</f>
        <v>95</v>
      </c>
      <c r="K1104" t="str" cm="1">
        <f t="array" ref="K1104">_xlfn.IFS($G1104=$G$5,K$5,$G1104=$G$6,K$6,$G1104=$G$7,K$7,$G1104=$G$8,K$8,$G1104=$G$9,K$9,$G1104=$G$10,K$10,$G1104=$G$11,K$11,$G1104=$G$12,K$12,$G1104=$G$13,K$13,$G1104=$G$15,K$15,$G1104=$G$16,K$16,$G1104=$G$17,K$17,$G1104=$G$18,K$18,$G1104=$G$19,K$19,$G1104=$G$20,K$20,$G1104=$G$21,K$21,$G1104=$G$22,K$22,$G1104=$G$25,K$25,$G1104=$G$26,K$26,$G1104=$G$27,K$27,$G1104=$G$29,K$29,$G1104=$G$31,K$31,$G1104=$G$32,K$150,$G1104=$G$248,K$248,$G1104=$G$250,K$250)</f>
        <v>BG sentinel + BG lure7</v>
      </c>
      <c r="O1104" s="69" t="str">
        <f t="shared" si="86"/>
        <v>A_SP_BCN_8_211118</v>
      </c>
      <c r="P1104" s="64">
        <v>44518</v>
      </c>
      <c r="R1104" s="72"/>
      <c r="S1104" s="64">
        <v>44525</v>
      </c>
      <c r="U1104" s="72"/>
      <c r="V1104" s="54" t="s">
        <v>66</v>
      </c>
      <c r="X1104" s="69">
        <f t="shared" si="88"/>
        <v>7</v>
      </c>
      <c r="AA1104" s="69">
        <f t="shared" ref="AA1104" si="93">SUM(AC1104:AD1104)</f>
        <v>0</v>
      </c>
      <c r="AB1104" t="str">
        <f t="shared" si="92"/>
        <v/>
      </c>
      <c r="AE1104" s="45" t="str">
        <f t="shared" si="74"/>
        <v/>
      </c>
      <c r="AF1104" s="56">
        <v>4</v>
      </c>
    </row>
    <row r="1105" spans="1:32" ht="18" customHeight="1" x14ac:dyDescent="0.25">
      <c r="A1105" s="45">
        <v>1101</v>
      </c>
      <c r="B1105" s="45" t="s">
        <v>60</v>
      </c>
      <c r="C1105" s="45" t="s">
        <v>61</v>
      </c>
      <c r="D1105" s="45" t="s">
        <v>62</v>
      </c>
      <c r="E1105" s="45" t="s">
        <v>62</v>
      </c>
      <c r="F1105" s="59" cm="1">
        <f t="array" ref="F1105">_xlfn.IFS($G1105=$G$5,F$5,$G1105=$G$6,F$6,$G1105=$G$7,F$7,$G1105=$G$8,F$8,$G1105=$G$9,F$9,$G1105=$G$10,F$10,$G1105=$G$11,F$11,$G1105=$G$12,F$12,$G1105=$G$13,F$13,$G1105=$G$15,F$15,$G1105=$G$16,F$16,$G1105=$G$17,F$17,$G1105=$G$18,F$18,$G1105=$G$19,F$19,$G1105=$G$20,F$20,$G1105=$G$21,F$21,$G1105=$G$22,F$22,$G1105=$G$25,F$25,$G1105=$G$26,F$26,$G1105=$G$27,F$27,$G1105=$G$29,F$29,$G1105=$G$31,F$31,$G1105=$G$32,F$32,$G1105=$G$248,F$248,$G1105=$G$250,F$250)</f>
        <v>8034</v>
      </c>
      <c r="G1105" t="s">
        <v>78</v>
      </c>
      <c r="H1105" s="60" cm="1">
        <f t="array" ref="H1105">_xlfn.IFS($G1105=$G$5,H$5,$G1105=$G$6,H$6,$G1105=$G$7,H$7,$G1105=$G$8,H$8,$G1105=$G$9,H$9,$G1105=$G$10,H$10,$G1105=$G$11,H$11,$G1105=$G$12,H$12,$G1105=$G$13,H$13,$G1105=$G$15,H$15,$G1105=$G$16,H$16,$G1105=$G$17,H$17,$G1105=$G$18,H$18,$G1105=$G$19,H$19,$G1105=$G$20,H$20,$G1105=$G$21,H$21,$G1105=$G$22,H$22,$G1105=$G$25,H$25,$G1105=$G$26,H$26,$G1105=$G$27,H$27,$G1105=$G$29,H$29,$G1105=$G$31,H$31,$G1105=$G$32,H$150,$G1105=$G$248,H$248,$G1105=$G$250,H$250)</f>
        <v>41.393644999999999</v>
      </c>
      <c r="I1105" s="60" cm="1">
        <f t="array" ref="I1105">_xlfn.IFS($G1105=$G$5,I$5,$G1105=$G$6,I$6,$G1105=$G$7,I$7,$G1105=$G$8,I$8,$G1105=$G$9,I$9,$G1105=$G$10,I$10,$G1105=$G$11,I$11,$G1105=$G$12,I$12,$G1105=$G$13,I$13,$G1105=$G$15,I$15,$G1105=$G$16,I$16,$G1105=$G$17,I$17,$G1105=$G$18,I$18,$G1105=$G$19,I$19,$G1105=$G$20,I$20,$G1105=$G$21,I$21,$G1105=$G$22,I$22,$G1105=$G$25,I$25,$G1105=$G$26,I$26,$G1105=$G$27,I$27,$G1105=$G$29,I$29,$G1105=$G$31,I$31,$G1105=$G$32,I$150,$G1105=$G$248,I$248,$G1105=$G$250,I$250)</f>
        <v>2.1216780000000002</v>
      </c>
      <c r="J1105" s="61" cm="1">
        <f t="array" ref="J1105">_xlfn.IFS($G1105=$G$5,J$5,$G1105=$G$6,J$6,$G1105=$G$7,J$7,$G1105=$G$8,J$8,$G1105=$G$9,J$9,$G1105=$G$10,J$10,$G1105=$G$11,J$11,$G1105=$G$12,J$12,$G1105=$G$13,J$13,$G1105=$G$15,J$15,$G1105=$G$16,J$16,$G1105=$G$17,J$17,$G1105=$G$18,J$18,$G1105=$G$19,J$19,$G1105=$G$20,J$20,$G1105=$G$21,J$21,$G1105=$G$22,J$22,$G1105=$G$25,J$25,$G1105=$G$26,J$26,$G1105=$G$27,J$27,$G1105=$G$29,J$29,$G1105=$G$31,J$31,$G1105=$G$32,J$150,$G1105=$G$248,J$248,$G1105=$G$250,J$250)</f>
        <v>98</v>
      </c>
      <c r="K1105" t="str" cm="1">
        <f t="array" ref="K1105">_xlfn.IFS($G1105=$G$5,K$5,$G1105=$G$6,K$6,$G1105=$G$7,K$7,$G1105=$G$8,K$8,$G1105=$G$9,K$9,$G1105=$G$10,K$10,$G1105=$G$11,K$11,$G1105=$G$12,K$12,$G1105=$G$13,K$13,$G1105=$G$15,K$15,$G1105=$G$16,K$16,$G1105=$G$17,K$17,$G1105=$G$18,K$18,$G1105=$G$19,K$19,$G1105=$G$20,K$20,$G1105=$G$21,K$21,$G1105=$G$22,K$22,$G1105=$G$25,K$25,$G1105=$G$26,K$26,$G1105=$G$27,K$27,$G1105=$G$29,K$29,$G1105=$G$31,K$31,$G1105=$G$32,K$150,$G1105=$G$248,K$248,$G1105=$G$250,K$250)</f>
        <v>BG sentinel + BG lure7</v>
      </c>
      <c r="O1105" s="69" t="str">
        <f t="shared" si="86"/>
        <v>A_SP_BCN_9_211117</v>
      </c>
      <c r="P1105" s="64">
        <v>44517</v>
      </c>
      <c r="R1105" s="72"/>
      <c r="S1105" s="64">
        <v>44524</v>
      </c>
      <c r="U1105" s="72"/>
      <c r="V1105" s="54" t="s">
        <v>66</v>
      </c>
      <c r="X1105" s="69">
        <f t="shared" si="88"/>
        <v>7</v>
      </c>
      <c r="Z1105" s="69" t="s">
        <v>69</v>
      </c>
      <c r="AB1105" t="str">
        <f t="shared" si="92"/>
        <v/>
      </c>
      <c r="AC1105" s="69">
        <v>1</v>
      </c>
      <c r="AD1105" s="69">
        <v>0</v>
      </c>
      <c r="AE1105" s="45" t="str">
        <f t="shared" si="74"/>
        <v/>
      </c>
      <c r="AF1105" s="56">
        <v>4</v>
      </c>
    </row>
    <row r="1106" spans="1:32" ht="18" customHeight="1" x14ac:dyDescent="0.25">
      <c r="A1106" s="45">
        <v>1102</v>
      </c>
      <c r="B1106" s="45" t="s">
        <v>60</v>
      </c>
      <c r="C1106" s="45" t="s">
        <v>61</v>
      </c>
      <c r="D1106" s="45" t="s">
        <v>62</v>
      </c>
      <c r="E1106" s="45" t="s">
        <v>62</v>
      </c>
      <c r="F1106" s="59" cm="1">
        <f t="array" ref="F1106">_xlfn.IFS($G1106=$G$5,F$5,$G1106=$G$6,F$6,$G1106=$G$7,F$7,$G1106=$G$8,F$8,$G1106=$G$9,F$9,$G1106=$G$10,F$10,$G1106=$G$11,F$11,$G1106=$G$12,F$12,$G1106=$G$13,F$13,$G1106=$G$15,F$15,$G1106=$G$16,F$16,$G1106=$G$17,F$17,$G1106=$G$18,F$18,$G1106=$G$19,F$19,$G1106=$G$20,F$20,$G1106=$G$21,F$21,$G1106=$G$22,F$22,$G1106=$G$25,F$25,$G1106=$G$26,F$26,$G1106=$G$27,F$27,$G1106=$G$29,F$29,$G1106=$G$31,F$31,$G1106=$G$32,F$32,$G1106=$G$248,F$248,$G1106=$G$250,F$250)</f>
        <v>8040</v>
      </c>
      <c r="G1106" t="s">
        <v>81</v>
      </c>
      <c r="H1106" s="60" cm="1">
        <f t="array" ref="H1106">_xlfn.IFS($G1106=$G$5,H$5,$G1106=$G$6,H$6,$G1106=$G$7,H$7,$G1106=$G$8,H$8,$G1106=$G$9,H$9,$G1106=$G$10,H$10,$G1106=$G$11,H$11,$G1106=$G$12,H$12,$G1106=$G$13,H$13,$G1106=$G$15,H$15,$G1106=$G$16,H$16,$G1106=$G$17,H$17,$G1106=$G$18,H$18,$G1106=$G$19,H$19,$G1106=$G$20,H$20,$G1106=$G$21,H$21,$G1106=$G$22,H$22,$G1106=$G$25,H$25,$G1106=$G$26,H$26,$G1106=$G$27,H$27,$G1106=$G$29,H$29,$G1106=$G$31,H$31,$G1106=$G$32,H$150,$G1106=$G$248,H$248,$G1106=$G$250,H$250)</f>
        <v>41.343685000000001</v>
      </c>
      <c r="I1106" s="60" cm="1">
        <f t="array" ref="I1106">_xlfn.IFS($G1106=$G$5,I$5,$G1106=$G$6,I$6,$G1106=$G$7,I$7,$G1106=$G$8,I$8,$G1106=$G$9,I$9,$G1106=$G$10,I$10,$G1106=$G$11,I$11,$G1106=$G$12,I$12,$G1106=$G$13,I$13,$G1106=$G$15,I$15,$G1106=$G$16,I$16,$G1106=$G$17,I$17,$G1106=$G$18,I$18,$G1106=$G$19,I$19,$G1106=$G$20,I$20,$G1106=$G$21,I$21,$G1106=$G$22,I$22,$G1106=$G$25,I$25,$G1106=$G$26,I$26,$G1106=$G$27,I$27,$G1106=$G$29,I$29,$G1106=$G$31,I$31,$G1106=$G$32,I$150,$G1106=$G$248,I$248,$G1106=$G$250,I$250)</f>
        <v>2.1441490000000001</v>
      </c>
      <c r="J1106" s="61" cm="1">
        <f t="array" ref="J1106">_xlfn.IFS($G1106=$G$5,J$5,$G1106=$G$6,J$6,$G1106=$G$7,J$7,$G1106=$G$8,J$8,$G1106=$G$9,J$9,$G1106=$G$10,J$10,$G1106=$G$11,J$11,$G1106=$G$12,J$12,$G1106=$G$13,J$13,$G1106=$G$15,J$15,$G1106=$G$16,J$16,$G1106=$G$17,J$17,$G1106=$G$18,J$18,$G1106=$G$19,J$19,$G1106=$G$20,J$20,$G1106=$G$21,J$21,$G1106=$G$22,J$22,$G1106=$G$25,J$25,$G1106=$G$26,J$26,$G1106=$G$27,J$27,$G1106=$G$29,J$29,$G1106=$G$31,J$31,$G1106=$G$32,J$150,$G1106=$G$248,J$248,$G1106=$G$250,J$250)</f>
        <v>4</v>
      </c>
      <c r="K1106" t="str" cm="1">
        <f t="array" ref="K1106">_xlfn.IFS($G1106=$G$5,K$5,$G1106=$G$6,K$6,$G1106=$G$7,K$7,$G1106=$G$8,K$8,$G1106=$G$9,K$9,$G1106=$G$10,K$10,$G1106=$G$11,K$11,$G1106=$G$12,K$12,$G1106=$G$13,K$13,$G1106=$G$15,K$15,$G1106=$G$16,K$16,$G1106=$G$17,K$17,$G1106=$G$18,K$18,$G1106=$G$19,K$19,$G1106=$G$20,K$20,$G1106=$G$21,K$21,$G1106=$G$22,K$22,$G1106=$G$25,K$25,$G1106=$G$26,K$26,$G1106=$G$27,K$27,$G1106=$G$29,K$29,$G1106=$G$31,K$31,$G1106=$G$32,K$150,$G1106=$G$248,K$248,$G1106=$G$250,K$250)</f>
        <v>BG sentinel + BG lure7</v>
      </c>
      <c r="O1106" s="69" t="str">
        <f t="shared" si="86"/>
        <v>A_SP_BCN_10_211118</v>
      </c>
      <c r="P1106" s="64">
        <v>44518</v>
      </c>
      <c r="R1106" s="72"/>
      <c r="S1106" s="64">
        <v>44525</v>
      </c>
      <c r="U1106" s="72"/>
      <c r="V1106" s="54" t="s">
        <v>66</v>
      </c>
      <c r="X1106" s="69">
        <f t="shared" si="88"/>
        <v>7</v>
      </c>
      <c r="Z1106" s="45" t="s">
        <v>70</v>
      </c>
      <c r="AA1106" s="69">
        <f t="shared" ref="AA1106:AA1117" si="94">SUM(AC1106:AD1106)</f>
        <v>2</v>
      </c>
      <c r="AB1106" t="str">
        <f t="shared" si="92"/>
        <v>Adult</v>
      </c>
      <c r="AC1106" s="69">
        <v>2</v>
      </c>
      <c r="AD1106" s="69">
        <v>0</v>
      </c>
      <c r="AE1106" s="45" t="str">
        <f t="shared" si="74"/>
        <v>Morphological</v>
      </c>
      <c r="AF1106" s="56">
        <v>4</v>
      </c>
    </row>
    <row r="1107" spans="1:32" ht="18" customHeight="1" x14ac:dyDescent="0.25">
      <c r="A1107" s="45">
        <v>1103</v>
      </c>
      <c r="B1107" s="45" t="s">
        <v>60</v>
      </c>
      <c r="C1107" s="45" t="s">
        <v>61</v>
      </c>
      <c r="D1107" s="45" t="s">
        <v>62</v>
      </c>
      <c r="E1107" s="45" t="s">
        <v>62</v>
      </c>
      <c r="F1107" s="59" cm="1">
        <f t="array" ref="F1107">_xlfn.IFS($G1107=$G$5,F$5,$G1107=$G$6,F$6,$G1107=$G$7,F$7,$G1107=$G$8,F$8,$G1107=$G$9,F$9,$G1107=$G$10,F$10,$G1107=$G$11,F$11,$G1107=$G$12,F$12,$G1107=$G$13,F$13,$G1107=$G$15,F$15,$G1107=$G$16,F$16,$G1107=$G$17,F$17,$G1107=$G$18,F$18,$G1107=$G$19,F$19,$G1107=$G$20,F$20,$G1107=$G$21,F$21,$G1107=$G$22,F$22,$G1107=$G$25,F$25,$G1107=$G$26,F$26,$G1107=$G$27,F$27,$G1107=$G$29,F$29,$G1107=$G$31,F$31,$G1107=$G$32,F$32,$G1107=$G$248,F$248,$G1107=$G$250,F$250)</f>
        <v>8040</v>
      </c>
      <c r="G1107" t="s">
        <v>81</v>
      </c>
      <c r="H1107" s="60" cm="1">
        <f t="array" ref="H1107">_xlfn.IFS($G1107=$G$5,H$5,$G1107=$G$6,H$6,$G1107=$G$7,H$7,$G1107=$G$8,H$8,$G1107=$G$9,H$9,$G1107=$G$10,H$10,$G1107=$G$11,H$11,$G1107=$G$12,H$12,$G1107=$G$13,H$13,$G1107=$G$15,H$15,$G1107=$G$16,H$16,$G1107=$G$17,H$17,$G1107=$G$18,H$18,$G1107=$G$19,H$19,$G1107=$G$20,H$20,$G1107=$G$21,H$21,$G1107=$G$22,H$22,$G1107=$G$25,H$25,$G1107=$G$26,H$26,$G1107=$G$27,H$27,$G1107=$G$29,H$29,$G1107=$G$31,H$31,$G1107=$G$32,H$150,$G1107=$G$248,H$248,$G1107=$G$250,H$250)</f>
        <v>41.343685000000001</v>
      </c>
      <c r="I1107" s="60" cm="1">
        <f t="array" ref="I1107">_xlfn.IFS($G1107=$G$5,I$5,$G1107=$G$6,I$6,$G1107=$G$7,I$7,$G1107=$G$8,I$8,$G1107=$G$9,I$9,$G1107=$G$10,I$10,$G1107=$G$11,I$11,$G1107=$G$12,I$12,$G1107=$G$13,I$13,$G1107=$G$15,I$15,$G1107=$G$16,I$16,$G1107=$G$17,I$17,$G1107=$G$18,I$18,$G1107=$G$19,I$19,$G1107=$G$20,I$20,$G1107=$G$21,I$21,$G1107=$G$22,I$22,$G1107=$G$25,I$25,$G1107=$G$26,I$26,$G1107=$G$27,I$27,$G1107=$G$29,I$29,$G1107=$G$31,I$31,$G1107=$G$32,I$150,$G1107=$G$248,I$248,$G1107=$G$250,I$250)</f>
        <v>2.1441490000000001</v>
      </c>
      <c r="J1107" s="61" cm="1">
        <f t="array" ref="J1107">_xlfn.IFS($G1107=$G$5,J$5,$G1107=$G$6,J$6,$G1107=$G$7,J$7,$G1107=$G$8,J$8,$G1107=$G$9,J$9,$G1107=$G$10,J$10,$G1107=$G$11,J$11,$G1107=$G$12,J$12,$G1107=$G$13,J$13,$G1107=$G$15,J$15,$G1107=$G$16,J$16,$G1107=$G$17,J$17,$G1107=$G$18,J$18,$G1107=$G$19,J$19,$G1107=$G$20,J$20,$G1107=$G$21,J$21,$G1107=$G$22,J$22,$G1107=$G$25,J$25,$G1107=$G$26,J$26,$G1107=$G$27,J$27,$G1107=$G$29,J$29,$G1107=$G$31,J$31,$G1107=$G$32,J$150,$G1107=$G$248,J$248,$G1107=$G$250,J$250)</f>
        <v>4</v>
      </c>
      <c r="K1107" t="str" cm="1">
        <f t="array" ref="K1107">_xlfn.IFS($G1107=$G$5,K$5,$G1107=$G$6,K$6,$G1107=$G$7,K$7,$G1107=$G$8,K$8,$G1107=$G$9,K$9,$G1107=$G$10,K$10,$G1107=$G$11,K$11,$G1107=$G$12,K$12,$G1107=$G$13,K$13,$G1107=$G$15,K$15,$G1107=$G$16,K$16,$G1107=$G$17,K$17,$G1107=$G$18,K$18,$G1107=$G$19,K$19,$G1107=$G$20,K$20,$G1107=$G$21,K$21,$G1107=$G$22,K$22,$G1107=$G$25,K$25,$G1107=$G$26,K$26,$G1107=$G$27,K$27,$G1107=$G$29,K$29,$G1107=$G$31,K$31,$G1107=$G$32,K$150,$G1107=$G$248,K$248,$G1107=$G$250,K$250)</f>
        <v>BG sentinel + BG lure7</v>
      </c>
      <c r="O1107" s="69" t="str">
        <f t="shared" si="86"/>
        <v>A_SP_BCN_10_211118</v>
      </c>
      <c r="P1107" s="64">
        <v>44518</v>
      </c>
      <c r="R1107" s="72"/>
      <c r="S1107" s="64">
        <v>44525</v>
      </c>
      <c r="U1107" s="72"/>
      <c r="V1107" s="54" t="s">
        <v>66</v>
      </c>
      <c r="X1107" s="69">
        <f t="shared" si="88"/>
        <v>7</v>
      </c>
      <c r="Z1107" s="45" t="s">
        <v>80</v>
      </c>
      <c r="AA1107" s="69">
        <f t="shared" si="94"/>
        <v>1</v>
      </c>
      <c r="AB1107" t="str">
        <f t="shared" si="92"/>
        <v>Adult</v>
      </c>
      <c r="AC1107" s="69">
        <v>0</v>
      </c>
      <c r="AD1107" s="69">
        <v>1</v>
      </c>
      <c r="AE1107" s="45" t="str">
        <f t="shared" ref="AE1107:AE1166" si="95">IF(AA1107=0,"",IF(AA1107="","",IF(AA1107&gt;0,"Morphological")))</f>
        <v>Morphological</v>
      </c>
      <c r="AF1107" s="56">
        <v>4</v>
      </c>
    </row>
    <row r="1108" spans="1:32" ht="18" customHeight="1" x14ac:dyDescent="0.25">
      <c r="A1108" s="45">
        <v>1104</v>
      </c>
      <c r="B1108" s="45" t="s">
        <v>60</v>
      </c>
      <c r="C1108" s="45" t="s">
        <v>61</v>
      </c>
      <c r="D1108" s="45" t="s">
        <v>62</v>
      </c>
      <c r="E1108" s="45" t="s">
        <v>62</v>
      </c>
      <c r="F1108" s="59" cm="1">
        <f t="array" ref="F1108">_xlfn.IFS($G1108=$G$5,F$5,$G1108=$G$6,F$6,$G1108=$G$7,F$7,$G1108=$G$8,F$8,$G1108=$G$9,F$9,$G1108=$G$10,F$10,$G1108=$G$11,F$11,$G1108=$G$12,F$12,$G1108=$G$13,F$13,$G1108=$G$15,F$15,$G1108=$G$16,F$16,$G1108=$G$17,F$17,$G1108=$G$18,F$18,$G1108=$G$19,F$19,$G1108=$G$20,F$20,$G1108=$G$21,F$21,$G1108=$G$22,F$22,$G1108=$G$25,F$25,$G1108=$G$26,F$26,$G1108=$G$27,F$27,$G1108=$G$29,F$29,$G1108=$G$31,F$31,$G1108=$G$32,F$32,$G1108=$G$248,F$248,$G1108=$G$250,F$250)</f>
        <v>8038</v>
      </c>
      <c r="G1108" t="s">
        <v>82</v>
      </c>
      <c r="H1108" s="60" cm="1">
        <f t="array" ref="H1108">_xlfn.IFS($G1108=$G$5,H$5,$G1108=$G$6,H$6,$G1108=$G$7,H$7,$G1108=$G$8,H$8,$G1108=$G$9,H$9,$G1108=$G$10,H$10,$G1108=$G$11,H$11,$G1108=$G$12,H$12,$G1108=$G$13,H$13,$G1108=$G$15,H$15,$G1108=$G$16,H$16,$G1108=$G$17,H$17,$G1108=$G$18,H$18,$G1108=$G$19,H$19,$G1108=$G$20,H$20,$G1108=$G$21,H$21,$G1108=$G$22,H$22,$G1108=$G$25,H$25,$G1108=$G$26,H$26,$G1108=$G$27,H$27,$G1108=$G$29,H$29,$G1108=$G$31,H$31,$G1108=$G$32,H$150,$G1108=$G$248,H$248,$G1108=$G$250,H$250)</f>
        <v>41.367429999999999</v>
      </c>
      <c r="I1108" s="60" cm="1">
        <f t="array" ref="I1108">_xlfn.IFS($G1108=$G$5,I$5,$G1108=$G$6,I$6,$G1108=$G$7,I$7,$G1108=$G$8,I$8,$G1108=$G$9,I$9,$G1108=$G$10,I$10,$G1108=$G$11,I$11,$G1108=$G$12,I$12,$G1108=$G$13,I$13,$G1108=$G$15,I$15,$G1108=$G$16,I$16,$G1108=$G$17,I$17,$G1108=$G$18,I$18,$G1108=$G$19,I$19,$G1108=$G$20,I$20,$G1108=$G$21,I$21,$G1108=$G$22,I$22,$G1108=$G$25,I$25,$G1108=$G$26,I$26,$G1108=$G$27,I$27,$G1108=$G$29,I$29,$G1108=$G$31,I$31,$G1108=$G$32,I$150,$G1108=$G$248,I$248,$G1108=$G$250,I$250)</f>
        <v>2.1569609999999999</v>
      </c>
      <c r="J1108" s="61" cm="1">
        <f t="array" ref="J1108">_xlfn.IFS($G1108=$G$5,J$5,$G1108=$G$6,J$6,$G1108=$G$7,J$7,$G1108=$G$8,J$8,$G1108=$G$9,J$9,$G1108=$G$10,J$10,$G1108=$G$11,J$11,$G1108=$G$12,J$12,$G1108=$G$13,J$13,$G1108=$G$15,J$15,$G1108=$G$16,J$16,$G1108=$G$17,J$17,$G1108=$G$18,J$18,$G1108=$G$19,J$19,$G1108=$G$20,J$20,$G1108=$G$21,J$21,$G1108=$G$22,J$22,$G1108=$G$25,J$25,$G1108=$G$26,J$26,$G1108=$G$27,J$27,$G1108=$G$29,J$29,$G1108=$G$31,J$31,$G1108=$G$32,J$150,$G1108=$G$248,J$248,$G1108=$G$250,J$250)</f>
        <v>91</v>
      </c>
      <c r="K1108" t="str" cm="1">
        <f t="array" ref="K1108">_xlfn.IFS($G1108=$G$5,K$5,$G1108=$G$6,K$6,$G1108=$G$7,K$7,$G1108=$G$8,K$8,$G1108=$G$9,K$9,$G1108=$G$10,K$10,$G1108=$G$11,K$11,$G1108=$G$12,K$12,$G1108=$G$13,K$13,$G1108=$G$15,K$15,$G1108=$G$16,K$16,$G1108=$G$17,K$17,$G1108=$G$18,K$18,$G1108=$G$19,K$19,$G1108=$G$20,K$20,$G1108=$G$21,K$21,$G1108=$G$22,K$22,$G1108=$G$25,K$25,$G1108=$G$26,K$26,$G1108=$G$27,K$27,$G1108=$G$29,K$29,$G1108=$G$31,K$31,$G1108=$G$32,K$150,$G1108=$G$248,K$248,$G1108=$G$250,K$250)</f>
        <v>BG sentinel + BG lure7</v>
      </c>
      <c r="O1108" s="69" t="str">
        <f t="shared" si="86"/>
        <v>A_SP_BCN_11_211118</v>
      </c>
      <c r="P1108" s="64">
        <v>44518</v>
      </c>
      <c r="R1108" s="72"/>
      <c r="S1108" s="64">
        <v>44525</v>
      </c>
      <c r="U1108" s="72"/>
      <c r="V1108" s="54" t="s">
        <v>66</v>
      </c>
      <c r="X1108" s="69">
        <f t="shared" si="88"/>
        <v>7</v>
      </c>
      <c r="Z1108" s="45" t="s">
        <v>70</v>
      </c>
      <c r="AA1108" s="69">
        <f t="shared" si="94"/>
        <v>3</v>
      </c>
      <c r="AB1108" t="str">
        <f t="shared" si="92"/>
        <v>Adult</v>
      </c>
      <c r="AC1108" s="69">
        <v>2</v>
      </c>
      <c r="AD1108" s="69">
        <v>1</v>
      </c>
      <c r="AE1108" s="45" t="str">
        <f t="shared" si="95"/>
        <v>Morphological</v>
      </c>
      <c r="AF1108" s="56">
        <v>4</v>
      </c>
    </row>
    <row r="1109" spans="1:32" ht="18" customHeight="1" x14ac:dyDescent="0.25">
      <c r="A1109" s="45">
        <v>1105</v>
      </c>
      <c r="B1109" s="45" t="s">
        <v>60</v>
      </c>
      <c r="C1109" s="45" t="s">
        <v>61</v>
      </c>
      <c r="D1109" s="45" t="s">
        <v>62</v>
      </c>
      <c r="E1109" s="45" t="s">
        <v>62</v>
      </c>
      <c r="F1109" s="59" cm="1">
        <f t="array" ref="F1109">_xlfn.IFS($G1109=$G$5,F$5,$G1109=$G$6,F$6,$G1109=$G$7,F$7,$G1109=$G$8,F$8,$G1109=$G$9,F$9,$G1109=$G$10,F$10,$G1109=$G$11,F$11,$G1109=$G$12,F$12,$G1109=$G$13,F$13,$G1109=$G$15,F$15,$G1109=$G$16,F$16,$G1109=$G$17,F$17,$G1109=$G$18,F$18,$G1109=$G$19,F$19,$G1109=$G$20,F$20,$G1109=$G$21,F$21,$G1109=$G$22,F$22,$G1109=$G$25,F$25,$G1109=$G$26,F$26,$G1109=$G$27,F$27,$G1109=$G$29,F$29,$G1109=$G$31,F$31,$G1109=$G$32,F$32,$G1109=$G$248,F$248,$G1109=$G$250,F$250)</f>
        <v>8038</v>
      </c>
      <c r="G1109" t="s">
        <v>84</v>
      </c>
      <c r="H1109" s="60" cm="1">
        <f t="array" ref="H1109">_xlfn.IFS($G1109=$G$5,H$5,$G1109=$G$6,H$6,$G1109=$G$7,H$7,$G1109=$G$8,H$8,$G1109=$G$9,H$9,$G1109=$G$10,H$10,$G1109=$G$11,H$11,$G1109=$G$12,H$12,$G1109=$G$13,H$13,$G1109=$G$15,H$15,$G1109=$G$16,H$16,$G1109=$G$17,H$17,$G1109=$G$18,H$18,$G1109=$G$19,H$19,$G1109=$G$20,H$20,$G1109=$G$21,H$21,$G1109=$G$22,H$22,$G1109=$G$25,H$25,$G1109=$G$26,H$26,$G1109=$G$27,H$27,$G1109=$G$29,H$29,$G1109=$G$31,H$31,$G1109=$G$32,H$150,$G1109=$G$248,H$248,$G1109=$G$250,H$250)</f>
        <v>41.363377999999997</v>
      </c>
      <c r="I1109" s="60" cm="1">
        <f t="array" ref="I1109">_xlfn.IFS($G1109=$G$5,I$5,$G1109=$G$6,I$6,$G1109=$G$7,I$7,$G1109=$G$8,I$8,$G1109=$G$9,I$9,$G1109=$G$10,I$10,$G1109=$G$11,I$11,$G1109=$G$12,I$12,$G1109=$G$13,I$13,$G1109=$G$15,I$15,$G1109=$G$16,I$16,$G1109=$G$17,I$17,$G1109=$G$18,I$18,$G1109=$G$19,I$19,$G1109=$G$20,I$20,$G1109=$G$21,I$21,$G1109=$G$22,I$22,$G1109=$G$25,I$25,$G1109=$G$26,I$26,$G1109=$G$27,I$27,$G1109=$G$29,I$29,$G1109=$G$31,I$31,$G1109=$G$32,I$150,$G1109=$G$248,I$248,$G1109=$G$250,I$250)</f>
        <v>2.164879</v>
      </c>
      <c r="J1109" s="61" cm="1">
        <f t="array" ref="J1109">_xlfn.IFS($G1109=$G$5,J$5,$G1109=$G$6,J$6,$G1109=$G$7,J$7,$G1109=$G$8,J$8,$G1109=$G$9,J$9,$G1109=$G$10,J$10,$G1109=$G$11,J$11,$G1109=$G$12,J$12,$G1109=$G$13,J$13,$G1109=$G$15,J$15,$G1109=$G$16,J$16,$G1109=$G$17,J$17,$G1109=$G$18,J$18,$G1109=$G$19,J$19,$G1109=$G$20,J$20,$G1109=$G$21,J$21,$G1109=$G$22,J$22,$G1109=$G$25,J$25,$G1109=$G$26,J$26,$G1109=$G$27,J$27,$G1109=$G$29,J$29,$G1109=$G$31,J$31,$G1109=$G$32,J$150,$G1109=$G$248,J$248,$G1109=$G$250,J$250)</f>
        <v>185</v>
      </c>
      <c r="K1109" t="str" cm="1">
        <f t="array" ref="K1109">_xlfn.IFS($G1109=$G$5,K$5,$G1109=$G$6,K$6,$G1109=$G$7,K$7,$G1109=$G$8,K$8,$G1109=$G$9,K$9,$G1109=$G$10,K$10,$G1109=$G$11,K$11,$G1109=$G$12,K$12,$G1109=$G$13,K$13,$G1109=$G$15,K$15,$G1109=$G$16,K$16,$G1109=$G$17,K$17,$G1109=$G$18,K$18,$G1109=$G$19,K$19,$G1109=$G$20,K$20,$G1109=$G$21,K$21,$G1109=$G$22,K$22,$G1109=$G$25,K$25,$G1109=$G$26,K$26,$G1109=$G$27,K$27,$G1109=$G$29,K$29,$G1109=$G$31,K$31,$G1109=$G$32,K$150,$G1109=$G$248,K$248,$G1109=$G$250,K$250)</f>
        <v>BG sentinel + BG lure7</v>
      </c>
      <c r="O1109" s="69" t="str">
        <f t="shared" si="86"/>
        <v>A_SP_BCN_12_211118</v>
      </c>
      <c r="P1109" s="64">
        <v>44518</v>
      </c>
      <c r="R1109" s="72"/>
      <c r="S1109" s="64">
        <v>44525</v>
      </c>
      <c r="U1109" s="72"/>
      <c r="V1109" s="54" t="s">
        <v>66</v>
      </c>
      <c r="X1109" s="69">
        <f t="shared" si="88"/>
        <v>7</v>
      </c>
      <c r="Z1109" s="45" t="s">
        <v>70</v>
      </c>
      <c r="AA1109" s="69">
        <f t="shared" si="94"/>
        <v>2</v>
      </c>
      <c r="AB1109" t="str">
        <f t="shared" si="92"/>
        <v>Adult</v>
      </c>
      <c r="AC1109" s="69">
        <v>1</v>
      </c>
      <c r="AD1109" s="69">
        <v>1</v>
      </c>
      <c r="AE1109" s="45" t="str">
        <f t="shared" si="95"/>
        <v>Morphological</v>
      </c>
      <c r="AF1109" s="56">
        <v>4</v>
      </c>
    </row>
    <row r="1110" spans="1:32" ht="18" customHeight="1" x14ac:dyDescent="0.25">
      <c r="A1110" s="45">
        <v>1106</v>
      </c>
      <c r="B1110" s="45" t="s">
        <v>60</v>
      </c>
      <c r="C1110" s="45" t="s">
        <v>61</v>
      </c>
      <c r="D1110" s="45" t="s">
        <v>62</v>
      </c>
      <c r="E1110" s="45" t="s">
        <v>62</v>
      </c>
      <c r="F1110" s="59" cm="1">
        <f t="array" ref="F1110">_xlfn.IFS($G1110=$G$5,F$5,$G1110=$G$6,F$6,$G1110=$G$7,F$7,$G1110=$G$8,F$8,$G1110=$G$9,F$9,$G1110=$G$10,F$10,$G1110=$G$11,F$11,$G1110=$G$12,F$12,$G1110=$G$13,F$13,$G1110=$G$15,F$15,$G1110=$G$16,F$16,$G1110=$G$17,F$17,$G1110=$G$18,F$18,$G1110=$G$19,F$19,$G1110=$G$20,F$20,$G1110=$G$21,F$21,$G1110=$G$22,F$22,$G1110=$G$25,F$25,$G1110=$G$26,F$26,$G1110=$G$27,F$27,$G1110=$G$29,F$29,$G1110=$G$31,F$31,$G1110=$G$32,F$32,$G1110=$G$248,F$248,$G1110=$G$250,F$250)</f>
        <v>8038</v>
      </c>
      <c r="G1110" t="s">
        <v>84</v>
      </c>
      <c r="H1110" s="60" cm="1">
        <f t="array" ref="H1110">_xlfn.IFS($G1110=$G$5,H$5,$G1110=$G$6,H$6,$G1110=$G$7,H$7,$G1110=$G$8,H$8,$G1110=$G$9,H$9,$G1110=$G$10,H$10,$G1110=$G$11,H$11,$G1110=$G$12,H$12,$G1110=$G$13,H$13,$G1110=$G$15,H$15,$G1110=$G$16,H$16,$G1110=$G$17,H$17,$G1110=$G$18,H$18,$G1110=$G$19,H$19,$G1110=$G$20,H$20,$G1110=$G$21,H$21,$G1110=$G$22,H$22,$G1110=$G$25,H$25,$G1110=$G$26,H$26,$G1110=$G$27,H$27,$G1110=$G$29,H$29,$G1110=$G$31,H$31,$G1110=$G$32,H$150,$G1110=$G$248,H$248,$G1110=$G$250,H$250)</f>
        <v>41.363377999999997</v>
      </c>
      <c r="I1110" s="60" cm="1">
        <f t="array" ref="I1110">_xlfn.IFS($G1110=$G$5,I$5,$G1110=$G$6,I$6,$G1110=$G$7,I$7,$G1110=$G$8,I$8,$G1110=$G$9,I$9,$G1110=$G$10,I$10,$G1110=$G$11,I$11,$G1110=$G$12,I$12,$G1110=$G$13,I$13,$G1110=$G$15,I$15,$G1110=$G$16,I$16,$G1110=$G$17,I$17,$G1110=$G$18,I$18,$G1110=$G$19,I$19,$G1110=$G$20,I$20,$G1110=$G$21,I$21,$G1110=$G$22,I$22,$G1110=$G$25,I$25,$G1110=$G$26,I$26,$G1110=$G$27,I$27,$G1110=$G$29,I$29,$G1110=$G$31,I$31,$G1110=$G$32,I$150,$G1110=$G$248,I$248,$G1110=$G$250,I$250)</f>
        <v>2.164879</v>
      </c>
      <c r="J1110" s="61" cm="1">
        <f t="array" ref="J1110">_xlfn.IFS($G1110=$G$5,J$5,$G1110=$G$6,J$6,$G1110=$G$7,J$7,$G1110=$G$8,J$8,$G1110=$G$9,J$9,$G1110=$G$10,J$10,$G1110=$G$11,J$11,$G1110=$G$12,J$12,$G1110=$G$13,J$13,$G1110=$G$15,J$15,$G1110=$G$16,J$16,$G1110=$G$17,J$17,$G1110=$G$18,J$18,$G1110=$G$19,J$19,$G1110=$G$20,J$20,$G1110=$G$21,J$21,$G1110=$G$22,J$22,$G1110=$G$25,J$25,$G1110=$G$26,J$26,$G1110=$G$27,J$27,$G1110=$G$29,J$29,$G1110=$G$31,J$31,$G1110=$G$32,J$150,$G1110=$G$248,J$248,$G1110=$G$250,J$250)</f>
        <v>185</v>
      </c>
      <c r="K1110" t="str" cm="1">
        <f t="array" ref="K1110">_xlfn.IFS($G1110=$G$5,K$5,$G1110=$G$6,K$6,$G1110=$G$7,K$7,$G1110=$G$8,K$8,$G1110=$G$9,K$9,$G1110=$G$10,K$10,$G1110=$G$11,K$11,$G1110=$G$12,K$12,$G1110=$G$13,K$13,$G1110=$G$15,K$15,$G1110=$G$16,K$16,$G1110=$G$17,K$17,$G1110=$G$18,K$18,$G1110=$G$19,K$19,$G1110=$G$20,K$20,$G1110=$G$21,K$21,$G1110=$G$22,K$22,$G1110=$G$25,K$25,$G1110=$G$26,K$26,$G1110=$G$27,K$27,$G1110=$G$29,K$29,$G1110=$G$31,K$31,$G1110=$G$32,K$150,$G1110=$G$248,K$248,$G1110=$G$250,K$250)</f>
        <v>BG sentinel + BG lure7</v>
      </c>
      <c r="O1110" s="69" t="str">
        <f t="shared" si="86"/>
        <v>A_SP_BCN_12_211118</v>
      </c>
      <c r="P1110" s="64">
        <v>44518</v>
      </c>
      <c r="R1110" s="72"/>
      <c r="S1110" s="64">
        <v>44525</v>
      </c>
      <c r="U1110" s="72"/>
      <c r="V1110" s="54" t="s">
        <v>66</v>
      </c>
      <c r="X1110" s="69">
        <f t="shared" si="88"/>
        <v>7</v>
      </c>
      <c r="Z1110" s="45" t="s">
        <v>80</v>
      </c>
      <c r="AA1110" s="69">
        <f t="shared" si="94"/>
        <v>2</v>
      </c>
      <c r="AB1110" t="str">
        <f t="shared" si="92"/>
        <v>Adult</v>
      </c>
      <c r="AC1110" s="69">
        <v>2</v>
      </c>
      <c r="AD1110" s="69">
        <v>0</v>
      </c>
      <c r="AE1110" s="45" t="str">
        <f t="shared" si="95"/>
        <v>Morphological</v>
      </c>
      <c r="AF1110" s="56">
        <v>4</v>
      </c>
    </row>
    <row r="1111" spans="1:32" ht="18" customHeight="1" x14ac:dyDescent="0.25">
      <c r="A1111" s="45">
        <v>1107</v>
      </c>
      <c r="B1111" s="45" t="s">
        <v>60</v>
      </c>
      <c r="C1111" s="45" t="s">
        <v>61</v>
      </c>
      <c r="D1111" s="45" t="s">
        <v>62</v>
      </c>
      <c r="E1111" s="45" t="s">
        <v>62</v>
      </c>
      <c r="F1111" s="59" cm="1">
        <f t="array" ref="F1111">_xlfn.IFS($G1111=$G$5,F$5,$G1111=$G$6,F$6,$G1111=$G$7,F$7,$G1111=$G$8,F$8,$G1111=$G$9,F$9,$G1111=$G$10,F$10,$G1111=$G$11,F$11,$G1111=$G$12,F$12,$G1111=$G$13,F$13,$G1111=$G$15,F$15,$G1111=$G$16,F$16,$G1111=$G$17,F$17,$G1111=$G$18,F$18,$G1111=$G$19,F$19,$G1111=$G$20,F$20,$G1111=$G$21,F$21,$G1111=$G$22,F$22,$G1111=$G$25,F$25,$G1111=$G$26,F$26,$G1111=$G$27,F$27,$G1111=$G$29,F$29,$G1111=$G$31,F$31,$G1111=$G$32,F$32,$G1111=$G$248,F$248,$G1111=$G$250,F$250)</f>
        <v>8035</v>
      </c>
      <c r="G1111" t="s">
        <v>85</v>
      </c>
      <c r="H1111" s="60" cm="1">
        <f t="array" ref="H1111">_xlfn.IFS($G1111=$G$5,H$5,$G1111=$G$6,H$6,$G1111=$G$7,H$7,$G1111=$G$8,H$8,$G1111=$G$9,H$9,$G1111=$G$10,H$10,$G1111=$G$11,H$11,$G1111=$G$12,H$12,$G1111=$G$13,H$13,$G1111=$G$15,H$15,$G1111=$G$16,H$16,$G1111=$G$17,H$17,$G1111=$G$18,H$18,$G1111=$G$19,H$19,$G1111=$G$20,H$20,$G1111=$G$21,H$21,$G1111=$G$22,H$22,$G1111=$G$25,H$25,$G1111=$G$26,H$26,$G1111=$G$27,H$27,$G1111=$G$29,H$29,$G1111=$G$31,H$31,$G1111=$G$32,H$150,$G1111=$G$248,H$248,$G1111=$G$250,H$250)</f>
        <v>41.434472</v>
      </c>
      <c r="I1111" s="60" cm="1">
        <f t="array" ref="I1111">_xlfn.IFS($G1111=$G$5,I$5,$G1111=$G$6,I$6,$G1111=$G$7,I$7,$G1111=$G$8,I$8,$G1111=$G$9,I$9,$G1111=$G$10,I$10,$G1111=$G$11,I$11,$G1111=$G$12,I$12,$G1111=$G$13,I$13,$G1111=$G$15,I$15,$G1111=$G$16,I$16,$G1111=$G$17,I$17,$G1111=$G$18,I$18,$G1111=$G$19,I$19,$G1111=$G$20,I$20,$G1111=$G$21,I$21,$G1111=$G$22,I$22,$G1111=$G$25,I$25,$G1111=$G$26,I$26,$G1111=$G$27,I$27,$G1111=$G$29,I$29,$G1111=$G$31,I$31,$G1111=$G$32,I$150,$G1111=$G$248,I$248,$G1111=$G$250,I$250)</f>
        <v>2.1315789999999999</v>
      </c>
      <c r="J1111" s="61" cm="1">
        <f t="array" ref="J1111">_xlfn.IFS($G1111=$G$5,J$5,$G1111=$G$6,J$6,$G1111=$G$7,J$7,$G1111=$G$8,J$8,$G1111=$G$9,J$9,$G1111=$G$10,J$10,$G1111=$G$11,J$11,$G1111=$G$12,J$12,$G1111=$G$13,J$13,$G1111=$G$15,J$15,$G1111=$G$16,J$16,$G1111=$G$17,J$17,$G1111=$G$18,J$18,$G1111=$G$19,J$19,$G1111=$G$20,J$20,$G1111=$G$21,J$21,$G1111=$G$22,J$22,$G1111=$G$25,J$25,$G1111=$G$26,J$26,$G1111=$G$27,J$27,$G1111=$G$29,J$29,$G1111=$G$31,J$31,$G1111=$G$32,J$150,$G1111=$G$248,J$248,$G1111=$G$250,J$250)</f>
        <v>365</v>
      </c>
      <c r="K1111" t="str" cm="1">
        <f t="array" ref="K1111">_xlfn.IFS($G1111=$G$5,K$5,$G1111=$G$6,K$6,$G1111=$G$7,K$7,$G1111=$G$8,K$8,$G1111=$G$9,K$9,$G1111=$G$10,K$10,$G1111=$G$11,K$11,$G1111=$G$12,K$12,$G1111=$G$13,K$13,$G1111=$G$15,K$15,$G1111=$G$16,K$16,$G1111=$G$17,K$17,$G1111=$G$18,K$18,$G1111=$G$19,K$19,$G1111=$G$20,K$20,$G1111=$G$21,K$21,$G1111=$G$22,K$22,$G1111=$G$25,K$25,$G1111=$G$26,K$26,$G1111=$G$27,K$27,$G1111=$G$29,K$29,$G1111=$G$31,K$31,$G1111=$G$32,K$150,$G1111=$G$248,K$248,$G1111=$G$250,K$250)</f>
        <v>BG sentinel + BG lure7</v>
      </c>
      <c r="O1111" s="69" t="str">
        <f t="shared" si="86"/>
        <v>A_SP_BCN_13_211117</v>
      </c>
      <c r="P1111" s="64">
        <v>44517</v>
      </c>
      <c r="R1111" s="72"/>
      <c r="S1111" s="64">
        <v>44524</v>
      </c>
      <c r="U1111" s="72"/>
      <c r="V1111" s="54" t="s">
        <v>66</v>
      </c>
      <c r="X1111" s="69">
        <f t="shared" si="88"/>
        <v>7</v>
      </c>
      <c r="AA1111" s="69">
        <f t="shared" si="94"/>
        <v>0</v>
      </c>
      <c r="AB1111" t="str">
        <f t="shared" si="92"/>
        <v/>
      </c>
      <c r="AE1111" s="45" t="str">
        <f t="shared" si="95"/>
        <v/>
      </c>
      <c r="AF1111" s="56">
        <v>4</v>
      </c>
    </row>
    <row r="1112" spans="1:32" ht="18" customHeight="1" x14ac:dyDescent="0.25">
      <c r="A1112" s="45">
        <v>1108</v>
      </c>
      <c r="B1112" s="45" t="s">
        <v>60</v>
      </c>
      <c r="C1112" s="45" t="s">
        <v>61</v>
      </c>
      <c r="D1112" s="45" t="s">
        <v>62</v>
      </c>
      <c r="E1112" s="45" t="s">
        <v>62</v>
      </c>
      <c r="F1112" s="59" cm="1">
        <f t="array" ref="F1112">_xlfn.IFS($G1112=$G$5,F$5,$G1112=$G$6,F$6,$G1112=$G$7,F$7,$G1112=$G$8,F$8,$G1112=$G$9,F$9,$G1112=$G$10,F$10,$G1112=$G$11,F$11,$G1112=$G$12,F$12,$G1112=$G$13,F$13,$G1112=$G$15,F$15,$G1112=$G$16,F$16,$G1112=$G$17,F$17,$G1112=$G$18,F$18,$G1112=$G$19,F$19,$G1112=$G$20,F$20,$G1112=$G$21,F$21,$G1112=$G$22,F$22,$G1112=$G$25,F$25,$G1112=$G$26,F$26,$G1112=$G$27,F$27,$G1112=$G$29,F$29,$G1112=$G$31,F$31,$G1112=$G$32,F$32,$G1112=$G$248,F$248,$G1112=$G$250,F$250)</f>
        <v>8017</v>
      </c>
      <c r="G1112" t="s">
        <v>86</v>
      </c>
      <c r="H1112" s="60" cm="1">
        <f t="array" ref="H1112">_xlfn.IFS($G1112=$G$5,H$5,$G1112=$G$6,H$6,$G1112=$G$7,H$7,$G1112=$G$8,H$8,$G1112=$G$9,H$9,$G1112=$G$10,H$10,$G1112=$G$11,H$11,$G1112=$G$12,H$12,$G1112=$G$13,H$13,$G1112=$G$15,H$15,$G1112=$G$16,H$16,$G1112=$G$17,H$17,$G1112=$G$18,H$18,$G1112=$G$19,H$19,$G1112=$G$20,H$20,$G1112=$G$21,H$21,$G1112=$G$22,H$22,$G1112=$G$25,H$25,$G1112=$G$26,H$26,$G1112=$G$27,H$27,$G1112=$G$29,H$29,$G1112=$G$31,H$31,$G1112=$G$32,H$150,$G1112=$G$248,H$248,$G1112=$G$250,H$250)</f>
        <v>41.428533999999999</v>
      </c>
      <c r="I1112" s="60" cm="1">
        <f t="array" ref="I1112">_xlfn.IFS($G1112=$G$5,I$5,$G1112=$G$6,I$6,$G1112=$G$7,I$7,$G1112=$G$8,I$8,$G1112=$G$9,I$9,$G1112=$G$10,I$10,$G1112=$G$11,I$11,$G1112=$G$12,I$12,$G1112=$G$13,I$13,$G1112=$G$15,I$15,$G1112=$G$16,I$16,$G1112=$G$17,I$17,$G1112=$G$18,I$18,$G1112=$G$19,I$19,$G1112=$G$20,I$20,$G1112=$G$21,I$21,$G1112=$G$22,I$22,$G1112=$G$25,I$25,$G1112=$G$26,I$26,$G1112=$G$27,I$27,$G1112=$G$29,I$29,$G1112=$G$31,I$31,$G1112=$G$32,I$150,$G1112=$G$248,I$248,$G1112=$G$250,I$250)</f>
        <v>2.090954</v>
      </c>
      <c r="J1112" s="61" cm="1">
        <f t="array" ref="J1112">_xlfn.IFS($G1112=$G$5,J$5,$G1112=$G$6,J$6,$G1112=$G$7,J$7,$G1112=$G$8,J$8,$G1112=$G$9,J$9,$G1112=$G$10,J$10,$G1112=$G$11,J$11,$G1112=$G$12,J$12,$G1112=$G$13,J$13,$G1112=$G$15,J$15,$G1112=$G$16,J$16,$G1112=$G$17,J$17,$G1112=$G$18,J$18,$G1112=$G$19,J$19,$G1112=$G$20,J$20,$G1112=$G$21,J$21,$G1112=$G$22,J$22,$G1112=$G$25,J$25,$G1112=$G$26,J$26,$G1112=$G$27,J$27,$G1112=$G$29,J$29,$G1112=$G$31,J$31,$G1112=$G$32,J$150,$G1112=$G$248,J$248,$G1112=$G$250,J$250)</f>
        <v>215</v>
      </c>
      <c r="K1112" t="str" cm="1">
        <f t="array" ref="K1112">_xlfn.IFS($G1112=$G$5,K$5,$G1112=$G$6,K$6,$G1112=$G$7,K$7,$G1112=$G$8,K$8,$G1112=$G$9,K$9,$G1112=$G$10,K$10,$G1112=$G$11,K$11,$G1112=$G$12,K$12,$G1112=$G$13,K$13,$G1112=$G$15,K$15,$G1112=$G$16,K$16,$G1112=$G$17,K$17,$G1112=$G$18,K$18,$G1112=$G$19,K$19,$G1112=$G$20,K$20,$G1112=$G$21,K$21,$G1112=$G$22,K$22,$G1112=$G$25,K$25,$G1112=$G$26,K$26,$G1112=$G$27,K$27,$G1112=$G$29,K$29,$G1112=$G$31,K$31,$G1112=$G$32,K$150,$G1112=$G$248,K$248,$G1112=$G$250,K$250)</f>
        <v>BG sentinel + BG lure7</v>
      </c>
      <c r="O1112" s="69" t="str">
        <f t="shared" ref="O1112:O1175" si="96">G1112&amp;"_"&amp;TEXT(P1112, "AAMMDD")</f>
        <v>A_SP_BCN_14_211117</v>
      </c>
      <c r="P1112" s="64">
        <v>44517</v>
      </c>
      <c r="R1112" s="72"/>
      <c r="S1112" s="64">
        <v>44524</v>
      </c>
      <c r="U1112" s="72"/>
      <c r="V1112" s="54" t="s">
        <v>66</v>
      </c>
      <c r="X1112" s="69">
        <f t="shared" si="88"/>
        <v>7</v>
      </c>
      <c r="AA1112" s="69">
        <f t="shared" si="94"/>
        <v>0</v>
      </c>
      <c r="AB1112" t="str">
        <f t="shared" si="92"/>
        <v/>
      </c>
      <c r="AE1112" s="45" t="str">
        <f t="shared" si="95"/>
        <v/>
      </c>
      <c r="AF1112" s="56">
        <v>4</v>
      </c>
    </row>
    <row r="1113" spans="1:32" ht="18" customHeight="1" x14ac:dyDescent="0.25">
      <c r="A1113" s="45">
        <v>1109</v>
      </c>
      <c r="B1113" s="45" t="s">
        <v>60</v>
      </c>
      <c r="C1113" s="45" t="s">
        <v>61</v>
      </c>
      <c r="D1113" s="45" t="s">
        <v>62</v>
      </c>
      <c r="E1113" s="45" t="s">
        <v>62</v>
      </c>
      <c r="F1113" s="59" cm="1">
        <f t="array" ref="F1113">_xlfn.IFS($G1113=$G$5,F$5,$G1113=$G$6,F$6,$G1113=$G$7,F$7,$G1113=$G$8,F$8,$G1113=$G$9,F$9,$G1113=$G$10,F$10,$G1113=$G$11,F$11,$G1113=$G$12,F$12,$G1113=$G$13,F$13,$G1113=$G$15,F$15,$G1113=$G$16,F$16,$G1113=$G$17,F$17,$G1113=$G$18,F$18,$G1113=$G$19,F$19,$G1113=$G$20,F$20,$G1113=$G$21,F$21,$G1113=$G$22,F$22,$G1113=$G$25,F$25,$G1113=$G$26,F$26,$G1113=$G$27,F$27,$G1113=$G$29,F$29,$G1113=$G$31,F$31,$G1113=$G$32,F$32,$G1113=$G$248,F$248,$G1113=$G$250,F$250)</f>
        <v>8017</v>
      </c>
      <c r="G1113" t="s">
        <v>87</v>
      </c>
      <c r="H1113" s="60" cm="1">
        <f t="array" ref="H1113">_xlfn.IFS($G1113=$G$5,H$5,$G1113=$G$6,H$6,$G1113=$G$7,H$7,$G1113=$G$8,H$8,$G1113=$G$9,H$9,$G1113=$G$10,H$10,$G1113=$G$11,H$11,$G1113=$G$12,H$12,$G1113=$G$13,H$13,$G1113=$G$15,H$15,$G1113=$G$16,H$16,$G1113=$G$17,H$17,$G1113=$G$18,H$18,$G1113=$G$19,H$19,$G1113=$G$20,H$20,$G1113=$G$21,H$21,$G1113=$G$22,H$22,$G1113=$G$25,H$25,$G1113=$G$26,H$26,$G1113=$G$27,H$27,$G1113=$G$29,H$29,$G1113=$G$31,H$31,$G1113=$G$32,H$150,$G1113=$G$248,H$248,$G1113=$G$250,H$250)</f>
        <v>41.419471000000001</v>
      </c>
      <c r="I1113" s="60" cm="1">
        <f t="array" ref="I1113">_xlfn.IFS($G1113=$G$5,I$5,$G1113=$G$6,I$6,$G1113=$G$7,I$7,$G1113=$G$8,I$8,$G1113=$G$9,I$9,$G1113=$G$10,I$10,$G1113=$G$11,I$11,$G1113=$G$12,I$12,$G1113=$G$13,I$13,$G1113=$G$15,I$15,$G1113=$G$16,I$16,$G1113=$G$17,I$17,$G1113=$G$18,I$18,$G1113=$G$19,I$19,$G1113=$G$20,I$20,$G1113=$G$21,I$21,$G1113=$G$22,I$22,$G1113=$G$25,I$25,$G1113=$G$26,I$26,$G1113=$G$27,I$27,$G1113=$G$29,I$29,$G1113=$G$31,I$31,$G1113=$G$32,I$150,$G1113=$G$248,I$248,$G1113=$G$250,I$250)</f>
        <v>2.1010149999999999</v>
      </c>
      <c r="J1113" s="61" cm="1">
        <f t="array" ref="J1113">_xlfn.IFS($G1113=$G$5,J$5,$G1113=$G$6,J$6,$G1113=$G$7,J$7,$G1113=$G$8,J$8,$G1113=$G$9,J$9,$G1113=$G$10,J$10,$G1113=$G$11,J$11,$G1113=$G$12,J$12,$G1113=$G$13,J$13,$G1113=$G$15,J$15,$G1113=$G$16,J$16,$G1113=$G$17,J$17,$G1113=$G$18,J$18,$G1113=$G$19,J$19,$G1113=$G$20,J$20,$G1113=$G$21,J$21,$G1113=$G$22,J$22,$G1113=$G$25,J$25,$G1113=$G$26,J$26,$G1113=$G$27,J$27,$G1113=$G$29,J$29,$G1113=$G$31,J$31,$G1113=$G$32,J$150,$G1113=$G$248,J$248,$G1113=$G$250,J$250)</f>
        <v>284</v>
      </c>
      <c r="K1113" t="str" cm="1">
        <f t="array" ref="K1113">_xlfn.IFS($G1113=$G$5,K$5,$G1113=$G$6,K$6,$G1113=$G$7,K$7,$G1113=$G$8,K$8,$G1113=$G$9,K$9,$G1113=$G$10,K$10,$G1113=$G$11,K$11,$G1113=$G$12,K$12,$G1113=$G$13,K$13,$G1113=$G$15,K$15,$G1113=$G$16,K$16,$G1113=$G$17,K$17,$G1113=$G$18,K$18,$G1113=$G$19,K$19,$G1113=$G$20,K$20,$G1113=$G$21,K$21,$G1113=$G$22,K$22,$G1113=$G$25,K$25,$G1113=$G$26,K$26,$G1113=$G$27,K$27,$G1113=$G$29,K$29,$G1113=$G$31,K$31,$G1113=$G$32,K$150,$G1113=$G$248,K$248,$G1113=$G$250,K$250)</f>
        <v>BG sentinel + BG lure7</v>
      </c>
      <c r="O1113" s="69" t="str">
        <f t="shared" si="96"/>
        <v>A_SP_BCN_15_211117</v>
      </c>
      <c r="P1113" s="64">
        <v>44517</v>
      </c>
      <c r="R1113" s="72"/>
      <c r="S1113" s="64">
        <v>44524</v>
      </c>
      <c r="U1113" s="72"/>
      <c r="V1113" s="54" t="s">
        <v>66</v>
      </c>
      <c r="X1113" s="69">
        <f t="shared" si="88"/>
        <v>7</v>
      </c>
      <c r="AA1113" s="69">
        <f t="shared" si="94"/>
        <v>0</v>
      </c>
      <c r="AB1113" t="str">
        <f t="shared" si="92"/>
        <v/>
      </c>
      <c r="AE1113" s="45" t="str">
        <f t="shared" si="95"/>
        <v/>
      </c>
      <c r="AF1113" s="56">
        <v>4</v>
      </c>
    </row>
    <row r="1114" spans="1:32" ht="18" customHeight="1" x14ac:dyDescent="0.25">
      <c r="A1114" s="45">
        <v>1110</v>
      </c>
      <c r="B1114" s="45" t="s">
        <v>60</v>
      </c>
      <c r="C1114" s="45" t="s">
        <v>61</v>
      </c>
      <c r="D1114" s="45" t="s">
        <v>62</v>
      </c>
      <c r="E1114" s="45" t="s">
        <v>62</v>
      </c>
      <c r="F1114" s="59" cm="1">
        <f t="array" ref="F1114">_xlfn.IFS($G1114=$G$5,F$5,$G1114=$G$6,F$6,$G1114=$G$7,F$7,$G1114=$G$8,F$8,$G1114=$G$9,F$9,$G1114=$G$10,F$10,$G1114=$G$11,F$11,$G1114=$G$12,F$12,$G1114=$G$13,F$13,$G1114=$G$15,F$15,$G1114=$G$16,F$16,$G1114=$G$17,F$17,$G1114=$G$18,F$18,$G1114=$G$19,F$19,$G1114=$G$20,F$20,$G1114=$G$21,F$21,$G1114=$G$22,F$22,$G1114=$G$25,F$25,$G1114=$G$26,F$26,$G1114=$G$27,F$27,$G1114=$G$29,F$29,$G1114=$G$31,F$31,$G1114=$G$32,F$32,$G1114=$G$248,F$248,$G1114=$G$250,F$250)</f>
        <v>8017</v>
      </c>
      <c r="G1114" t="s">
        <v>88</v>
      </c>
      <c r="H1114" s="60" cm="1">
        <f t="array" ref="H1114">_xlfn.IFS($G1114=$G$5,H$5,$G1114=$G$6,H$6,$G1114=$G$7,H$7,$G1114=$G$8,H$8,$G1114=$G$9,H$9,$G1114=$G$10,H$10,$G1114=$G$11,H$11,$G1114=$G$12,H$12,$G1114=$G$13,H$13,$G1114=$G$15,H$15,$G1114=$G$16,H$16,$G1114=$G$17,H$17,$G1114=$G$18,H$18,$G1114=$G$19,H$19,$G1114=$G$20,H$20,$G1114=$G$21,H$21,$G1114=$G$22,H$22,$G1114=$G$25,H$25,$G1114=$G$26,H$26,$G1114=$G$27,H$27,$G1114=$G$29,H$29,$G1114=$G$31,H$31,$G1114=$G$32,H$150,$G1114=$G$248,H$248,$G1114=$G$250,H$250)</f>
        <v>41.398387</v>
      </c>
      <c r="I1114" s="60" cm="1">
        <f t="array" ref="I1114">_xlfn.IFS($G1114=$G$5,I$5,$G1114=$G$6,I$6,$G1114=$G$7,I$7,$G1114=$G$8,I$8,$G1114=$G$9,I$9,$G1114=$G$10,I$10,$G1114=$G$11,I$11,$G1114=$G$12,I$12,$G1114=$G$13,I$13,$G1114=$G$15,I$15,$G1114=$G$16,I$16,$G1114=$G$17,I$17,$G1114=$G$18,I$18,$G1114=$G$19,I$19,$G1114=$G$20,I$20,$G1114=$G$21,I$21,$G1114=$G$22,I$22,$G1114=$G$25,I$25,$G1114=$G$26,I$26,$G1114=$G$27,I$27,$G1114=$G$29,I$29,$G1114=$G$31,I$31,$G1114=$G$32,I$150,$G1114=$G$248,I$248,$G1114=$G$250,I$250)</f>
        <v>2.1244429999999999</v>
      </c>
      <c r="J1114" s="61" cm="1">
        <f t="array" ref="J1114">_xlfn.IFS($G1114=$G$5,J$5,$G1114=$G$6,J$6,$G1114=$G$7,J$7,$G1114=$G$8,J$8,$G1114=$G$9,J$9,$G1114=$G$10,J$10,$G1114=$G$11,J$11,$G1114=$G$12,J$12,$G1114=$G$13,J$13,$G1114=$G$15,J$15,$G1114=$G$16,J$16,$G1114=$G$17,J$17,$G1114=$G$18,J$18,$G1114=$G$19,J$19,$G1114=$G$20,J$20,$G1114=$G$21,J$21,$G1114=$G$22,J$22,$G1114=$G$25,J$25,$G1114=$G$26,J$26,$G1114=$G$27,J$27,$G1114=$G$29,J$29,$G1114=$G$31,J$31,$G1114=$G$32,J$150,$G1114=$G$248,J$248,$G1114=$G$250,J$250)</f>
        <v>106</v>
      </c>
      <c r="K1114" t="str" cm="1">
        <f t="array" ref="K1114">_xlfn.IFS($G1114=$G$5,K$5,$G1114=$G$6,K$6,$G1114=$G$7,K$7,$G1114=$G$8,K$8,$G1114=$G$9,K$9,$G1114=$G$10,K$10,$G1114=$G$11,K$11,$G1114=$G$12,K$12,$G1114=$G$13,K$13,$G1114=$G$15,K$15,$G1114=$G$16,K$16,$G1114=$G$17,K$17,$G1114=$G$18,K$18,$G1114=$G$19,K$19,$G1114=$G$20,K$20,$G1114=$G$21,K$21,$G1114=$G$22,K$22,$G1114=$G$25,K$25,$G1114=$G$26,K$26,$G1114=$G$27,K$27,$G1114=$G$29,K$29,$G1114=$G$31,K$31,$G1114=$G$32,K$150,$G1114=$G$248,K$248,$G1114=$G$250,K$250)</f>
        <v>BG sentinel + BG lure7</v>
      </c>
      <c r="O1114" s="69" t="str">
        <f t="shared" si="96"/>
        <v>A_SP_BCN_16_211117</v>
      </c>
      <c r="P1114" s="64">
        <v>44517</v>
      </c>
      <c r="R1114" s="72"/>
      <c r="S1114" s="64">
        <v>44525</v>
      </c>
      <c r="U1114" s="72"/>
      <c r="V1114" s="54" t="s">
        <v>66</v>
      </c>
      <c r="X1114" s="69">
        <f t="shared" si="88"/>
        <v>8</v>
      </c>
      <c r="Z1114" s="45" t="s">
        <v>70</v>
      </c>
      <c r="AA1114" s="69">
        <f t="shared" si="94"/>
        <v>2</v>
      </c>
      <c r="AB1114" t="str">
        <f t="shared" si="92"/>
        <v>Adult</v>
      </c>
      <c r="AC1114" s="69">
        <v>1</v>
      </c>
      <c r="AD1114" s="69">
        <v>1</v>
      </c>
      <c r="AE1114" s="45" t="str">
        <f t="shared" si="95"/>
        <v>Morphological</v>
      </c>
      <c r="AF1114" s="56">
        <v>4</v>
      </c>
    </row>
    <row r="1115" spans="1:32" ht="18" customHeight="1" x14ac:dyDescent="0.25">
      <c r="A1115" s="45">
        <v>1111</v>
      </c>
      <c r="B1115" s="45" t="s">
        <v>60</v>
      </c>
      <c r="C1115" s="45" t="s">
        <v>61</v>
      </c>
      <c r="D1115" s="45" t="s">
        <v>62</v>
      </c>
      <c r="E1115" s="45" t="s">
        <v>62</v>
      </c>
      <c r="F1115" s="59" cm="1">
        <f t="array" ref="F1115">_xlfn.IFS($G1115=$G$5,F$5,$G1115=$G$6,F$6,$G1115=$G$7,F$7,$G1115=$G$8,F$8,$G1115=$G$9,F$9,$G1115=$G$10,F$10,$G1115=$G$11,F$11,$G1115=$G$12,F$12,$G1115=$G$13,F$13,$G1115=$G$15,F$15,$G1115=$G$16,F$16,$G1115=$G$17,F$17,$G1115=$G$18,F$18,$G1115=$G$19,F$19,$G1115=$G$20,F$20,$G1115=$G$21,F$21,$G1115=$G$22,F$22,$G1115=$G$25,F$25,$G1115=$G$26,F$26,$G1115=$G$27,F$27,$G1115=$G$29,F$29,$G1115=$G$31,F$31,$G1115=$G$32,F$32,$G1115=$G$248,F$248,$G1115=$G$250,F$250)</f>
        <v>8017</v>
      </c>
      <c r="G1115" t="s">
        <v>88</v>
      </c>
      <c r="H1115" s="60" cm="1">
        <f t="array" ref="H1115">_xlfn.IFS($G1115=$G$5,H$5,$G1115=$G$6,H$6,$G1115=$G$7,H$7,$G1115=$G$8,H$8,$G1115=$G$9,H$9,$G1115=$G$10,H$10,$G1115=$G$11,H$11,$G1115=$G$12,H$12,$G1115=$G$13,H$13,$G1115=$G$15,H$15,$G1115=$G$16,H$16,$G1115=$G$17,H$17,$G1115=$G$18,H$18,$G1115=$G$19,H$19,$G1115=$G$20,H$20,$G1115=$G$21,H$21,$G1115=$G$22,H$22,$G1115=$G$25,H$25,$G1115=$G$26,H$26,$G1115=$G$27,H$27,$G1115=$G$29,H$29,$G1115=$G$31,H$31,$G1115=$G$32,H$150,$G1115=$G$248,H$248,$G1115=$G$250,H$250)</f>
        <v>41.398387</v>
      </c>
      <c r="I1115" s="60" cm="1">
        <f t="array" ref="I1115">_xlfn.IFS($G1115=$G$5,I$5,$G1115=$G$6,I$6,$G1115=$G$7,I$7,$G1115=$G$8,I$8,$G1115=$G$9,I$9,$G1115=$G$10,I$10,$G1115=$G$11,I$11,$G1115=$G$12,I$12,$G1115=$G$13,I$13,$G1115=$G$15,I$15,$G1115=$G$16,I$16,$G1115=$G$17,I$17,$G1115=$G$18,I$18,$G1115=$G$19,I$19,$G1115=$G$20,I$20,$G1115=$G$21,I$21,$G1115=$G$22,I$22,$G1115=$G$25,I$25,$G1115=$G$26,I$26,$G1115=$G$27,I$27,$G1115=$G$29,I$29,$G1115=$G$31,I$31,$G1115=$G$32,I$150,$G1115=$G$248,I$248,$G1115=$G$250,I$250)</f>
        <v>2.1244429999999999</v>
      </c>
      <c r="J1115" s="61" cm="1">
        <f t="array" ref="J1115">_xlfn.IFS($G1115=$G$5,J$5,$G1115=$G$6,J$6,$G1115=$G$7,J$7,$G1115=$G$8,J$8,$G1115=$G$9,J$9,$G1115=$G$10,J$10,$G1115=$G$11,J$11,$G1115=$G$12,J$12,$G1115=$G$13,J$13,$G1115=$G$15,J$15,$G1115=$G$16,J$16,$G1115=$G$17,J$17,$G1115=$G$18,J$18,$G1115=$G$19,J$19,$G1115=$G$20,J$20,$G1115=$G$21,J$21,$G1115=$G$22,J$22,$G1115=$G$25,J$25,$G1115=$G$26,J$26,$G1115=$G$27,J$27,$G1115=$G$29,J$29,$G1115=$G$31,J$31,$G1115=$G$32,J$150,$G1115=$G$248,J$248,$G1115=$G$250,J$250)</f>
        <v>106</v>
      </c>
      <c r="K1115" t="str" cm="1">
        <f t="array" ref="K1115">_xlfn.IFS($G1115=$G$5,K$5,$G1115=$G$6,K$6,$G1115=$G$7,K$7,$G1115=$G$8,K$8,$G1115=$G$9,K$9,$G1115=$G$10,K$10,$G1115=$G$11,K$11,$G1115=$G$12,K$12,$G1115=$G$13,K$13,$G1115=$G$15,K$15,$G1115=$G$16,K$16,$G1115=$G$17,K$17,$G1115=$G$18,K$18,$G1115=$G$19,K$19,$G1115=$G$20,K$20,$G1115=$G$21,K$21,$G1115=$G$22,K$22,$G1115=$G$25,K$25,$G1115=$G$26,K$26,$G1115=$G$27,K$27,$G1115=$G$29,K$29,$G1115=$G$31,K$31,$G1115=$G$32,K$150,$G1115=$G$248,K$248,$G1115=$G$250,K$250)</f>
        <v>BG sentinel + BG lure7</v>
      </c>
      <c r="O1115" s="69" t="str">
        <f t="shared" si="96"/>
        <v>A_SP_BCN_16_211117</v>
      </c>
      <c r="P1115" s="64">
        <v>44517</v>
      </c>
      <c r="R1115" s="72"/>
      <c r="S1115" s="64">
        <v>44525</v>
      </c>
      <c r="U1115" s="72"/>
      <c r="V1115" s="54" t="s">
        <v>66</v>
      </c>
      <c r="X1115" s="69">
        <f t="shared" si="88"/>
        <v>8</v>
      </c>
      <c r="Z1115" s="45" t="s">
        <v>80</v>
      </c>
      <c r="AA1115" s="69">
        <f t="shared" si="94"/>
        <v>2</v>
      </c>
      <c r="AB1115" t="str">
        <f t="shared" si="92"/>
        <v>Adult</v>
      </c>
      <c r="AC1115" s="69">
        <v>1</v>
      </c>
      <c r="AD1115" s="69">
        <v>1</v>
      </c>
      <c r="AE1115" s="45" t="str">
        <f t="shared" si="95"/>
        <v>Morphological</v>
      </c>
      <c r="AF1115" s="56">
        <v>4</v>
      </c>
    </row>
    <row r="1116" spans="1:32" ht="18" customHeight="1" x14ac:dyDescent="0.25">
      <c r="A1116" s="45">
        <v>1112</v>
      </c>
      <c r="B1116" s="45" t="s">
        <v>60</v>
      </c>
      <c r="C1116" s="45" t="s">
        <v>61</v>
      </c>
      <c r="D1116" s="45" t="s">
        <v>62</v>
      </c>
      <c r="E1116" s="45" t="s">
        <v>62</v>
      </c>
      <c r="F1116" s="59" cm="1">
        <f t="array" ref="F1116">_xlfn.IFS($G1116=$G$5,F$5,$G1116=$G$6,F$6,$G1116=$G$7,F$7,$G1116=$G$8,F$8,$G1116=$G$9,F$9,$G1116=$G$10,F$10,$G1116=$G$11,F$11,$G1116=$G$12,F$12,$G1116=$G$13,F$13,$G1116=$G$15,F$15,$G1116=$G$16,F$16,$G1116=$G$17,F$17,$G1116=$G$18,F$18,$G1116=$G$19,F$19,$G1116=$G$20,F$20,$G1116=$G$21,F$21,$G1116=$G$22,F$22,$G1116=$G$25,F$25,$G1116=$G$26,F$26,$G1116=$G$27,F$27,$G1116=$G$29,F$29,$G1116=$G$31,F$31,$G1116=$G$32,F$32,$G1116=$G$248,F$248,$G1116=$G$250,F$250)</f>
        <v>8023</v>
      </c>
      <c r="G1116" t="s">
        <v>89</v>
      </c>
      <c r="H1116" s="60" cm="1">
        <f t="array" ref="H1116">_xlfn.IFS($G1116=$G$5,H$5,$G1116=$G$6,H$6,$G1116=$G$7,H$7,$G1116=$G$8,H$8,$G1116=$G$9,H$9,$G1116=$G$10,H$10,$G1116=$G$11,H$11,$G1116=$G$12,H$12,$G1116=$G$13,H$13,$G1116=$G$15,H$15,$G1116=$G$16,H$16,$G1116=$G$17,H$17,$G1116=$G$18,H$18,$G1116=$G$19,H$19,$G1116=$G$20,H$20,$G1116=$G$21,H$21,$G1116=$G$22,H$22,$G1116=$G$25,H$25,$G1116=$G$26,H$26,$G1116=$G$27,H$27,$G1116=$G$29,H$29,$G1116=$G$31,H$31,$G1116=$G$32,H$150,$G1116=$G$248,H$248,$G1116=$G$250,H$250)</f>
        <v>41.417256000000002</v>
      </c>
      <c r="I1116" s="60" cm="1">
        <f t="array" ref="I1116">_xlfn.IFS($G1116=$G$5,I$5,$G1116=$G$6,I$6,$G1116=$G$7,I$7,$G1116=$G$8,I$8,$G1116=$G$9,I$9,$G1116=$G$10,I$10,$G1116=$G$11,I$11,$G1116=$G$12,I$12,$G1116=$G$13,I$13,$G1116=$G$15,I$15,$G1116=$G$16,I$16,$G1116=$G$17,I$17,$G1116=$G$18,I$18,$G1116=$G$19,I$19,$G1116=$G$20,I$20,$G1116=$G$21,I$21,$G1116=$G$22,I$22,$G1116=$G$25,I$25,$G1116=$G$26,I$26,$G1116=$G$27,I$27,$G1116=$G$29,I$29,$G1116=$G$31,I$31,$G1116=$G$32,I$150,$G1116=$G$248,I$248,$G1116=$G$250,I$250)</f>
        <v>2.1455709999999999</v>
      </c>
      <c r="J1116" s="61" cm="1">
        <f t="array" ref="J1116">_xlfn.IFS($G1116=$G$5,J$5,$G1116=$G$6,J$6,$G1116=$G$7,J$7,$G1116=$G$8,J$8,$G1116=$G$9,J$9,$G1116=$G$10,J$10,$G1116=$G$11,J$11,$G1116=$G$12,J$12,$G1116=$G$13,J$13,$G1116=$G$15,J$15,$G1116=$G$16,J$16,$G1116=$G$17,J$17,$G1116=$G$18,J$18,$G1116=$G$19,J$19,$G1116=$G$20,J$20,$G1116=$G$21,J$21,$G1116=$G$22,J$22,$G1116=$G$25,J$25,$G1116=$G$26,J$26,$G1116=$G$27,J$27,$G1116=$G$29,J$29,$G1116=$G$31,J$31,$G1116=$G$32,J$150,$G1116=$G$248,J$248,$G1116=$G$250,J$250)</f>
        <v>186</v>
      </c>
      <c r="K1116" t="str" cm="1">
        <f t="array" ref="K1116">_xlfn.IFS($G1116=$G$5,K$5,$G1116=$G$6,K$6,$G1116=$G$7,K$7,$G1116=$G$8,K$8,$G1116=$G$9,K$9,$G1116=$G$10,K$10,$G1116=$G$11,K$11,$G1116=$G$12,K$12,$G1116=$G$13,K$13,$G1116=$G$15,K$15,$G1116=$G$16,K$16,$G1116=$G$17,K$17,$G1116=$G$18,K$18,$G1116=$G$19,K$19,$G1116=$G$20,K$20,$G1116=$G$21,K$21,$G1116=$G$22,K$22,$G1116=$G$25,K$25,$G1116=$G$26,K$26,$G1116=$G$27,K$27,$G1116=$G$29,K$29,$G1116=$G$31,K$31,$G1116=$G$32,K$150,$G1116=$G$248,K$248,$G1116=$G$250,K$250)</f>
        <v>BG sentinel + BG lure7</v>
      </c>
      <c r="O1116" s="69" t="str">
        <f t="shared" si="96"/>
        <v>A_SP_BCN_17_211117</v>
      </c>
      <c r="P1116" s="64">
        <v>44517</v>
      </c>
      <c r="R1116" s="72"/>
      <c r="S1116" s="64">
        <v>44524</v>
      </c>
      <c r="U1116" s="72"/>
      <c r="V1116" s="54" t="s">
        <v>66</v>
      </c>
      <c r="X1116" s="69">
        <f t="shared" si="88"/>
        <v>7</v>
      </c>
      <c r="AA1116" s="69">
        <f t="shared" si="94"/>
        <v>0</v>
      </c>
      <c r="AB1116" t="str">
        <f t="shared" si="92"/>
        <v/>
      </c>
      <c r="AE1116" s="45" t="str">
        <f t="shared" si="95"/>
        <v/>
      </c>
      <c r="AF1116" s="56">
        <v>4</v>
      </c>
    </row>
    <row r="1117" spans="1:32" ht="18" customHeight="1" x14ac:dyDescent="0.25">
      <c r="A1117" s="45">
        <v>1113</v>
      </c>
      <c r="B1117" s="45" t="s">
        <v>60</v>
      </c>
      <c r="C1117" s="45" t="s">
        <v>61</v>
      </c>
      <c r="D1117" s="45" t="s">
        <v>62</v>
      </c>
      <c r="E1117" s="45" t="s">
        <v>62</v>
      </c>
      <c r="F1117" s="59" cm="1">
        <f t="array" ref="F1117">_xlfn.IFS($G1117=$G$5,F$5,$G1117=$G$6,F$6,$G1117=$G$7,F$7,$G1117=$G$8,F$8,$G1117=$G$9,F$9,$G1117=$G$10,F$10,$G1117=$G$11,F$11,$G1117=$G$12,F$12,$G1117=$G$13,F$13,$G1117=$G$15,F$15,$G1117=$G$16,F$16,$G1117=$G$17,F$17,$G1117=$G$18,F$18,$G1117=$G$19,F$19,$G1117=$G$20,F$20,$G1117=$G$21,F$21,$G1117=$G$22,F$22,$G1117=$G$25,F$25,$G1117=$G$26,F$26,$G1117=$G$27,F$27,$G1117=$G$29,F$29,$G1117=$G$31,F$31,$G1117=$G$32,F$32,$G1117=$G$248,F$248,$G1117=$G$250,F$250)</f>
        <v>8031</v>
      </c>
      <c r="G1117" t="s">
        <v>92</v>
      </c>
      <c r="H1117" s="60" cm="1">
        <f t="array" ref="H1117">_xlfn.IFS($G1117=$G$5,H$5,$G1117=$G$6,H$6,$G1117=$G$7,H$7,$G1117=$G$8,H$8,$G1117=$G$9,H$9,$G1117=$G$10,H$10,$G1117=$G$11,H$11,$G1117=$G$12,H$12,$G1117=$G$13,H$13,$G1117=$G$15,H$15,$G1117=$G$16,H$16,$G1117=$G$17,H$17,$G1117=$G$18,H$18,$G1117=$G$19,H$19,$G1117=$G$20,H$20,$G1117=$G$21,H$21,$G1117=$G$22,H$22,$G1117=$G$25,H$25,$G1117=$G$26,H$26,$G1117=$G$27,H$27,$G1117=$G$29,H$29,$G1117=$G$31,H$31,$G1117=$G$32,H$150,$G1117=$G$248,H$248,$G1117=$G$250,H$250)</f>
        <v>41.433618000000003</v>
      </c>
      <c r="I1117" s="60" cm="1">
        <f t="array" ref="I1117">_xlfn.IFS($G1117=$G$5,I$5,$G1117=$G$6,I$6,$G1117=$G$7,I$7,$G1117=$G$8,I$8,$G1117=$G$9,I$9,$G1117=$G$10,I$10,$G1117=$G$11,I$11,$G1117=$G$12,I$12,$G1117=$G$13,I$13,$G1117=$G$15,I$15,$G1117=$G$16,I$16,$G1117=$G$17,I$17,$G1117=$G$18,I$18,$G1117=$G$19,I$19,$G1117=$G$20,I$20,$G1117=$G$21,I$21,$G1117=$G$22,I$22,$G1117=$G$25,I$25,$G1117=$G$26,I$26,$G1117=$G$27,I$27,$G1117=$G$29,I$29,$G1117=$G$31,I$31,$G1117=$G$32,I$150,$G1117=$G$248,I$248,$G1117=$G$250,I$250)</f>
        <v>2.1677469999999999</v>
      </c>
      <c r="J1117" s="61" cm="1">
        <f t="array" ref="J1117">_xlfn.IFS($G1117=$G$5,J$5,$G1117=$G$6,J$6,$G1117=$G$7,J$7,$G1117=$G$8,J$8,$G1117=$G$9,J$9,$G1117=$G$10,J$10,$G1117=$G$11,J$11,$G1117=$G$12,J$12,$G1117=$G$13,J$13,$G1117=$G$15,J$15,$G1117=$G$16,J$16,$G1117=$G$17,J$17,$G1117=$G$18,J$18,$G1117=$G$19,J$19,$G1117=$G$20,J$20,$G1117=$G$21,J$21,$G1117=$G$22,J$22,$G1117=$G$25,J$25,$G1117=$G$26,J$26,$G1117=$G$27,J$27,$G1117=$G$29,J$29,$G1117=$G$31,J$31,$G1117=$G$32,J$150,$G1117=$G$248,J$248,$G1117=$G$250,J$250)</f>
        <v>96.85</v>
      </c>
      <c r="K1117" t="str" cm="1">
        <f t="array" ref="K1117">_xlfn.IFS($G1117=$G$5,K$5,$G1117=$G$6,K$6,$G1117=$G$7,K$7,$G1117=$G$8,K$8,$G1117=$G$9,K$9,$G1117=$G$10,K$10,$G1117=$G$11,K$11,$G1117=$G$12,K$12,$G1117=$G$13,K$13,$G1117=$G$15,K$15,$G1117=$G$16,K$16,$G1117=$G$17,K$17,$G1117=$G$18,K$18,$G1117=$G$19,K$19,$G1117=$G$20,K$20,$G1117=$G$21,K$21,$G1117=$G$22,K$22,$G1117=$G$25,K$25,$G1117=$G$26,K$26,$G1117=$G$27,K$27,$G1117=$G$29,K$29,$G1117=$G$31,K$31,$G1117=$G$32,K$150,$G1117=$G$248,K$248,$G1117=$G$250,K$250)</f>
        <v>BG sentinel + BG lure7</v>
      </c>
      <c r="O1117" s="69" t="str">
        <f t="shared" si="96"/>
        <v>A_SP_BCN_18_211117</v>
      </c>
      <c r="P1117" s="64">
        <v>44517</v>
      </c>
      <c r="R1117" s="72"/>
      <c r="S1117" s="64">
        <v>44525</v>
      </c>
      <c r="U1117" s="72"/>
      <c r="V1117" s="54" t="s">
        <v>66</v>
      </c>
      <c r="X1117" s="69">
        <f t="shared" si="88"/>
        <v>8</v>
      </c>
      <c r="AA1117" s="69">
        <f t="shared" si="94"/>
        <v>0</v>
      </c>
      <c r="AB1117" t="str">
        <f t="shared" si="92"/>
        <v/>
      </c>
      <c r="AE1117" s="45" t="str">
        <f t="shared" si="95"/>
        <v/>
      </c>
      <c r="AF1117" s="56">
        <v>4</v>
      </c>
    </row>
    <row r="1118" spans="1:32" ht="18" customHeight="1" x14ac:dyDescent="0.25">
      <c r="A1118" s="45">
        <v>1114</v>
      </c>
      <c r="B1118" s="69" t="s">
        <v>60</v>
      </c>
      <c r="C1118" s="69" t="s">
        <v>61</v>
      </c>
      <c r="D1118" s="69" t="s">
        <v>62</v>
      </c>
      <c r="E1118" s="69" t="s">
        <v>62</v>
      </c>
      <c r="F1118" s="59" cm="1">
        <f t="array" ref="F1118">_xlfn.IFS($G1118=$G$5,F$5,$G1118=$G$6,F$6,$G1118=$G$7,F$7,$G1118=$G$8,F$8,$G1118=$G$9,F$9,$G1118=$G$10,F$10,$G1118=$G$11,F$11,$G1118=$G$12,F$12,$G1118=$G$13,F$13,$G1118=$G$15,F$15,$G1118=$G$16,F$16,$G1118=$G$17,F$17,$G1118=$G$18,F$18,$G1118=$G$19,F$19,$G1118=$G$20,F$20,$G1118=$G$21,F$21,$G1118=$G$22,F$22,$G1118=$G$25,F$25,$G1118=$G$26,F$26,$G1118=$G$27,F$27,$G1118=$G$29,F$29,$G1118=$G$31,F$31,$G1118=$G$32,F$32,$G1118=$G$248,F$248,$G1118=$G$250,F$250)</f>
        <v>8038</v>
      </c>
      <c r="G1118" t="s">
        <v>93</v>
      </c>
      <c r="H1118" s="60" cm="1">
        <f t="array" ref="H1118">_xlfn.IFS($G1118=$G$5,H$5,$G1118=$G$6,H$6,$G1118=$G$7,H$7,$G1118=$G$8,H$8,$G1118=$G$9,H$9,$G1118=$G$10,H$10,$G1118=$G$11,H$11,$G1118=$G$12,H$12,$G1118=$G$13,H$13,$G1118=$G$15,H$15,$G1118=$G$16,H$16,$G1118=$G$17,H$17,$G1118=$G$18,H$18,$G1118=$G$19,H$19,$G1118=$G$20,H$20,$G1118=$G$21,H$21,$G1118=$G$22,H$22,$G1118=$G$25,H$25,$G1118=$G$26,H$26,$G1118=$G$27,H$27,$G1118=$G$29,H$29,$G1118=$G$31,H$31,$G1118=$G$32,H$150,$G1118=$G$248,H$248,$G1118=$G$250,H$250)</f>
        <v>41.359864999999999</v>
      </c>
      <c r="I1118" s="60" cm="1">
        <f t="array" ref="I1118">_xlfn.IFS($G1118=$G$5,I$5,$G1118=$G$6,I$6,$G1118=$G$7,I$7,$G1118=$G$8,I$8,$G1118=$G$9,I$9,$G1118=$G$10,I$10,$G1118=$G$11,I$11,$G1118=$G$12,I$12,$G1118=$G$13,I$13,$G1118=$G$15,I$15,$G1118=$G$16,I$16,$G1118=$G$17,I$17,$G1118=$G$18,I$18,$G1118=$G$19,I$19,$G1118=$G$20,I$20,$G1118=$G$21,I$21,$G1118=$G$22,I$22,$G1118=$G$25,I$25,$G1118=$G$26,I$26,$G1118=$G$27,I$27,$G1118=$G$29,I$29,$G1118=$G$31,I$31,$G1118=$G$32,I$150,$G1118=$G$248,I$248,$G1118=$G$250,I$250)</f>
        <v>2.1445430000000001</v>
      </c>
      <c r="J1118" s="61" cm="1">
        <f t="array" ref="J1118">_xlfn.IFS($G1118=$G$5,J$5,$G1118=$G$6,J$6,$G1118=$G$7,J$7,$G1118=$G$8,J$8,$G1118=$G$9,J$9,$G1118=$G$10,J$10,$G1118=$G$11,J$11,$G1118=$G$12,J$12,$G1118=$G$13,J$13,$G1118=$G$15,J$15,$G1118=$G$16,J$16,$G1118=$G$17,J$17,$G1118=$G$18,J$18,$G1118=$G$19,J$19,$G1118=$G$20,J$20,$G1118=$G$21,J$21,$G1118=$G$22,J$22,$G1118=$G$25,J$25,$G1118=$G$26,J$26,$G1118=$G$27,J$27,$G1118=$G$29,J$29,$G1118=$G$31,J$31,$G1118=$G$32,J$150,$G1118=$G$248,J$248,$G1118=$G$250,J$250)</f>
        <v>11.4</v>
      </c>
      <c r="K1118" t="str" cm="1">
        <f t="array" ref="K1118">_xlfn.IFS($G1118=$G$5,K$5,$G1118=$G$6,K$6,$G1118=$G$7,K$7,$G1118=$G$8,K$8,$G1118=$G$9,K$9,$G1118=$G$10,K$10,$G1118=$G$11,K$11,$G1118=$G$12,K$12,$G1118=$G$13,K$13,$G1118=$G$15,K$15,$G1118=$G$16,K$16,$G1118=$G$17,K$17,$G1118=$G$18,K$18,$G1118=$G$19,K$19,$G1118=$G$20,K$20,$G1118=$G$21,K$21,$G1118=$G$22,K$22,$G1118=$G$25,K$25,$G1118=$G$26,K$26,$G1118=$G$27,K$27,$G1118=$G$29,K$29,$G1118=$G$31,K$31,$G1118=$G$32,K$150,$G1118=$G$248,K$248,$G1118=$G$250,K$250)</f>
        <v>BG sentinel + BG lure7</v>
      </c>
      <c r="O1118" s="69" t="str">
        <f t="shared" si="96"/>
        <v>A_SP_BCN_19_211118</v>
      </c>
      <c r="P1118" s="64">
        <v>44518</v>
      </c>
      <c r="R1118" s="72"/>
      <c r="S1118" s="64">
        <v>44525</v>
      </c>
      <c r="U1118" s="72"/>
      <c r="V1118" t="s">
        <v>132</v>
      </c>
      <c r="X1118" s="69">
        <f t="shared" si="88"/>
        <v>7</v>
      </c>
      <c r="AB1118" t="str">
        <f t="shared" si="92"/>
        <v/>
      </c>
      <c r="AE1118" s="45" t="str">
        <f t="shared" si="95"/>
        <v/>
      </c>
      <c r="AF1118" s="56">
        <v>1</v>
      </c>
    </row>
    <row r="1119" spans="1:32" ht="18" customHeight="1" x14ac:dyDescent="0.25">
      <c r="A1119" s="45">
        <v>1115</v>
      </c>
      <c r="B1119" s="45" t="s">
        <v>60</v>
      </c>
      <c r="C1119" s="45" t="s">
        <v>61</v>
      </c>
      <c r="D1119" s="45" t="s">
        <v>62</v>
      </c>
      <c r="E1119" s="45" t="s">
        <v>62</v>
      </c>
      <c r="F1119" s="59" cm="1">
        <f t="array" ref="F1119">_xlfn.IFS($G1119=$G$5,F$5,$G1119=$G$6,F$6,$G1119=$G$7,F$7,$G1119=$G$8,F$8,$G1119=$G$9,F$9,$G1119=$G$10,F$10,$G1119=$G$11,F$11,$G1119=$G$12,F$12,$G1119=$G$13,F$13,$G1119=$G$15,F$15,$G1119=$G$16,F$16,$G1119=$G$17,F$17,$G1119=$G$18,F$18,$G1119=$G$19,F$19,$G1119=$G$20,F$20,$G1119=$G$21,F$21,$G1119=$G$22,F$22,$G1119=$G$25,F$25,$G1119=$G$26,F$26,$G1119=$G$27,F$27,$G1119=$G$29,F$29,$G1119=$G$31,F$31,$G1119=$G$32,F$32,$G1119=$G$248,F$248,$G1119=$G$250,F$250)</f>
        <v>8002</v>
      </c>
      <c r="G1119" t="s">
        <v>94</v>
      </c>
      <c r="H1119" s="60" cm="1">
        <f t="array" ref="H1119">_xlfn.IFS($G1119=$G$5,H$5,$G1119=$G$6,H$6,$G1119=$G$7,H$7,$G1119=$G$8,H$8,$G1119=$G$9,H$9,$G1119=$G$10,H$10,$G1119=$G$11,H$11,$G1119=$G$12,H$12,$G1119=$G$13,H$13,$G1119=$G$15,H$15,$G1119=$G$16,H$16,$G1119=$G$17,H$17,$G1119=$G$18,H$18,$G1119=$G$19,H$19,$G1119=$G$20,H$20,$G1119=$G$21,H$21,$G1119=$G$22,H$22,$G1119=$G$25,H$25,$G1119=$G$26,H$26,$G1119=$G$27,H$27,$G1119=$G$29,H$29,$G1119=$G$31,H$31,$G1119=$G$32,H$150,$G1119=$G$248,H$248,$G1119=$G$250,H$250)</f>
        <v>41.385213</v>
      </c>
      <c r="I1119" s="60" cm="1">
        <f t="array" ref="I1119">_xlfn.IFS($G1119=$G$5,I$5,$G1119=$G$6,I$6,$G1119=$G$7,I$7,$G1119=$G$8,I$8,$G1119=$G$9,I$9,$G1119=$G$10,I$10,$G1119=$G$11,I$11,$G1119=$G$12,I$12,$G1119=$G$13,I$13,$G1119=$G$15,I$15,$G1119=$G$16,I$16,$G1119=$G$17,I$17,$G1119=$G$18,I$18,$G1119=$G$19,I$19,$G1119=$G$20,I$20,$G1119=$G$21,I$21,$G1119=$G$22,I$22,$G1119=$G$25,I$25,$G1119=$G$26,I$26,$G1119=$G$27,I$27,$G1119=$G$29,I$29,$G1119=$G$31,I$31,$G1119=$G$32,I$150,$G1119=$G$248,I$248,$G1119=$G$250,I$250)</f>
        <v>2.174852</v>
      </c>
      <c r="J1119" s="61" cm="1">
        <f t="array" ref="J1119">_xlfn.IFS($G1119=$G$5,J$5,$G1119=$G$6,J$6,$G1119=$G$7,J$7,$G1119=$G$8,J$8,$G1119=$G$9,J$9,$G1119=$G$10,J$10,$G1119=$G$11,J$11,$G1119=$G$12,J$12,$G1119=$G$13,J$13,$G1119=$G$15,J$15,$G1119=$G$16,J$16,$G1119=$G$17,J$17,$G1119=$G$18,J$18,$G1119=$G$19,J$19,$G1119=$G$20,J$20,$G1119=$G$21,J$21,$G1119=$G$22,J$22,$G1119=$G$25,J$25,$G1119=$G$26,J$26,$G1119=$G$27,J$27,$G1119=$G$29,J$29,$G1119=$G$31,J$31,$G1119=$G$32,J$150,$G1119=$G$248,J$248,$G1119=$G$250,J$250)</f>
        <v>14</v>
      </c>
      <c r="K1119" t="str" cm="1">
        <f t="array" ref="K1119">_xlfn.IFS($G1119=$G$5,K$5,$G1119=$G$6,K$6,$G1119=$G$7,K$7,$G1119=$G$8,K$8,$G1119=$G$9,K$9,$G1119=$G$10,K$10,$G1119=$G$11,K$11,$G1119=$G$12,K$12,$G1119=$G$13,K$13,$G1119=$G$15,K$15,$G1119=$G$16,K$16,$G1119=$G$17,K$17,$G1119=$G$18,K$18,$G1119=$G$19,K$19,$G1119=$G$20,K$20,$G1119=$G$21,K$21,$G1119=$G$22,K$22,$G1119=$G$25,K$25,$G1119=$G$26,K$26,$G1119=$G$27,K$27,$G1119=$G$29,K$29,$G1119=$G$31,K$31,$G1119=$G$32,K$150,$G1119=$G$248,K$248,$G1119=$G$250,K$250)</f>
        <v>BG sentinel + BG lure7</v>
      </c>
      <c r="O1119" s="69" t="str">
        <f t="shared" si="96"/>
        <v>A_SP_BCN_20_211118</v>
      </c>
      <c r="P1119" s="64">
        <v>44518</v>
      </c>
      <c r="R1119" s="72"/>
      <c r="S1119" s="64">
        <v>44525</v>
      </c>
      <c r="U1119" s="72"/>
      <c r="V1119" s="54" t="s">
        <v>66</v>
      </c>
      <c r="X1119" s="69">
        <f t="shared" si="88"/>
        <v>7</v>
      </c>
      <c r="Z1119" s="45" t="s">
        <v>70</v>
      </c>
      <c r="AA1119" s="69">
        <f t="shared" ref="AA1119" si="97">SUM(AC1119:AD1119)</f>
        <v>1</v>
      </c>
      <c r="AB1119" t="str">
        <f t="shared" si="92"/>
        <v>Adult</v>
      </c>
      <c r="AC1119" s="69">
        <v>0</v>
      </c>
      <c r="AD1119" s="69">
        <v>1</v>
      </c>
      <c r="AE1119" s="45" t="str">
        <f t="shared" si="95"/>
        <v>Morphological</v>
      </c>
      <c r="AF1119" s="56">
        <v>4</v>
      </c>
    </row>
    <row r="1120" spans="1:32" ht="18" customHeight="1" x14ac:dyDescent="0.25">
      <c r="A1120" s="45">
        <v>1116</v>
      </c>
      <c r="B1120" s="45" t="s">
        <v>60</v>
      </c>
      <c r="C1120" s="45" t="s">
        <v>61</v>
      </c>
      <c r="D1120" s="45" t="s">
        <v>62</v>
      </c>
      <c r="E1120" s="45" t="s">
        <v>62</v>
      </c>
      <c r="F1120" s="59" cm="1">
        <f t="array" ref="F1120">_xlfn.IFS($G1120=$G$5,F$5,$G1120=$G$6,F$6,$G1120=$G$7,F$7,$G1120=$G$8,F$8,$G1120=$G$9,F$9,$G1120=$G$10,F$10,$G1120=$G$11,F$11,$G1120=$G$12,F$12,$G1120=$G$13,F$13,$G1120=$G$15,F$15,$G1120=$G$16,F$16,$G1120=$G$17,F$17,$G1120=$G$18,F$18,$G1120=$G$19,F$19,$G1120=$G$20,F$20,$G1120=$G$21,F$21,$G1120=$G$22,F$22,$G1120=$G$25,F$25,$G1120=$G$26,F$26,$G1120=$G$27,F$27,$G1120=$G$29,F$29,$G1120=$G$31,F$31,$G1120=$G$32,F$32,$G1120=$G$248,F$248,$G1120=$G$250,F$250)</f>
        <v>8017</v>
      </c>
      <c r="G1120" t="s">
        <v>98</v>
      </c>
      <c r="H1120" s="60" cm="1">
        <f t="array" ref="H1120">_xlfn.IFS($G1120=$G$5,H$5,$G1120=$G$6,H$6,$G1120=$G$7,H$7,$G1120=$G$8,H$8,$G1120=$G$9,H$9,$G1120=$G$10,H$10,$G1120=$G$11,H$11,$G1120=$G$12,H$12,$G1120=$G$13,H$13,$G1120=$G$15,H$15,$G1120=$G$16,H$16,$G1120=$G$17,H$17,$G1120=$G$18,H$18,$G1120=$G$19,H$19,$G1120=$G$20,H$20,$G1120=$G$21,H$21,$G1120=$G$22,H$22,$G1120=$G$25,H$25,$G1120=$G$26,H$26,$G1120=$G$27,H$27,$G1120=$G$29,H$29,$G1120=$G$31,H$31,$G1120=$G$32,H$150,$G1120=$G$248,H$248,$G1120=$G$250,H$250)</f>
        <v>41.430315999999998</v>
      </c>
      <c r="I1120" s="60" cm="1">
        <f t="array" ref="I1120">_xlfn.IFS($G1120=$G$5,I$5,$G1120=$G$6,I$6,$G1120=$G$7,I$7,$G1120=$G$8,I$8,$G1120=$G$9,I$9,$G1120=$G$10,I$10,$G1120=$G$11,I$11,$G1120=$G$12,I$12,$G1120=$G$13,I$13,$G1120=$G$15,I$15,$G1120=$G$16,I$16,$G1120=$G$17,I$17,$G1120=$G$18,I$18,$G1120=$G$19,I$19,$G1120=$G$20,I$20,$G1120=$G$21,I$21,$G1120=$G$22,I$22,$G1120=$G$25,I$25,$G1120=$G$26,I$26,$G1120=$G$27,I$27,$G1120=$G$29,I$29,$G1120=$G$31,I$31,$G1120=$G$32,I$150,$G1120=$G$248,I$248,$G1120=$G$250,I$250)</f>
        <v>2.077556</v>
      </c>
      <c r="J1120" s="61" cm="1">
        <f t="array" ref="J1120">_xlfn.IFS($G1120=$G$5,J$5,$G1120=$G$6,J$6,$G1120=$G$7,J$7,$G1120=$G$8,J$8,$G1120=$G$9,J$9,$G1120=$G$10,J$10,$G1120=$G$11,J$11,$G1120=$G$12,J$12,$G1120=$G$13,J$13,$G1120=$G$15,J$15,$G1120=$G$16,J$16,$G1120=$G$17,J$17,$G1120=$G$18,J$18,$G1120=$G$19,J$19,$G1120=$G$20,J$20,$G1120=$G$21,J$21,$G1120=$G$22,J$22,$G1120=$G$25,J$25,$G1120=$G$26,J$26,$G1120=$G$27,J$27,$G1120=$G$29,J$29,$G1120=$G$31,J$31,$G1120=$G$32,J$150,$G1120=$G$248,J$248,$G1120=$G$250,J$250)</f>
        <v>243.3</v>
      </c>
      <c r="K1120" t="str" cm="1">
        <f t="array" ref="K1120">_xlfn.IFS($G1120=$G$5,K$5,$G1120=$G$6,K$6,$G1120=$G$7,K$7,$G1120=$G$8,K$8,$G1120=$G$9,K$9,$G1120=$G$10,K$10,$G1120=$G$11,K$11,$G1120=$G$12,K$12,$G1120=$G$13,K$13,$G1120=$G$15,K$15,$G1120=$G$16,K$16,$G1120=$G$17,K$17,$G1120=$G$18,K$18,$G1120=$G$19,K$19,$G1120=$G$20,K$20,$G1120=$G$21,K$21,$G1120=$G$22,K$22,$G1120=$G$25,K$25,$G1120=$G$26,K$26,$G1120=$G$27,K$27,$G1120=$G$29,K$29,$G1120=$G$31,K$31,$G1120=$G$32,K$150,$G1120=$G$248,K$248,$G1120=$G$250,K$250)</f>
        <v>BG sentinel + BG lure7</v>
      </c>
      <c r="O1120" s="69" t="str">
        <f t="shared" si="96"/>
        <v>A_SP_BCN_22_211117</v>
      </c>
      <c r="P1120" s="64">
        <v>44517</v>
      </c>
      <c r="R1120" s="72"/>
      <c r="S1120" s="64">
        <v>44524</v>
      </c>
      <c r="U1120" s="72"/>
      <c r="V1120" s="54" t="s">
        <v>66</v>
      </c>
      <c r="X1120" s="69">
        <f t="shared" si="88"/>
        <v>7</v>
      </c>
      <c r="AA1120" s="69">
        <f>SUM(AC1120:AD1120)</f>
        <v>0</v>
      </c>
      <c r="AB1120" t="str">
        <f>IF(AA1120=0,"",IF(AA1120="","",IF(AA1120&gt;0,"Adult")))</f>
        <v/>
      </c>
      <c r="AE1120" s="45" t="str">
        <f t="shared" si="95"/>
        <v/>
      </c>
      <c r="AF1120" s="56">
        <v>4</v>
      </c>
    </row>
    <row r="1121" spans="1:32" ht="18" customHeight="1" x14ac:dyDescent="0.25">
      <c r="A1121" s="45">
        <v>1117</v>
      </c>
      <c r="B1121" s="45" t="s">
        <v>60</v>
      </c>
      <c r="C1121" s="45" t="s">
        <v>61</v>
      </c>
      <c r="D1121" s="45" t="s">
        <v>62</v>
      </c>
      <c r="E1121" s="45" t="s">
        <v>62</v>
      </c>
      <c r="F1121" s="59" cm="1">
        <f t="array" ref="F1121">_xlfn.IFS($G1121=$G$5,F$5,$G1121=$G$6,F$6,$G1121=$G$7,F$7,$G1121=$G$8,F$8,$G1121=$G$9,F$9,$G1121=$G$10,F$10,$G1121=$G$11,F$11,$G1121=$G$12,F$12,$G1121=$G$13,F$13,$G1121=$G$15,F$15,$G1121=$G$16,F$16,$G1121=$G$17,F$17,$G1121=$G$18,F$18,$G1121=$G$19,F$19,$G1121=$G$20,F$20,$G1121=$G$21,F$21,$G1121=$G$22,F$22,$G1121=$G$25,F$25,$G1121=$G$26,F$26,$G1121=$G$27,F$27,$G1121=$G$29,F$29,$G1121=$G$31,F$31,$G1121=$G$32,F$32,$G1121=$G$248,F$248,$G1121=$G$250,F$250)</f>
        <v>8038</v>
      </c>
      <c r="G1121" t="s">
        <v>103</v>
      </c>
      <c r="H1121" s="60" cm="1">
        <f t="array" ref="H1121">_xlfn.IFS($G1121=$G$5,H$5,$G1121=$G$6,H$6,$G1121=$G$7,H$7,$G1121=$G$8,H$8,$G1121=$G$9,H$9,$G1121=$G$10,H$10,$G1121=$G$11,H$11,$G1121=$G$12,H$12,$G1121=$G$13,H$13,$G1121=$G$15,H$15,$G1121=$G$16,H$16,$G1121=$G$17,H$17,$G1121=$G$18,H$18,$G1121=$G$19,H$19,$G1121=$G$20,H$20,$G1121=$G$21,H$21,$G1121=$G$22,H$22,$G1121=$G$25,H$25,$G1121=$G$26,H$26,$G1121=$G$27,H$27,$G1121=$G$29,H$29,$G1121=$G$31,H$31,$G1121=$G$32,H$150,$G1121=$G$248,H$248,$G1121=$G$250,H$250)</f>
        <v>41.367100000000001</v>
      </c>
      <c r="I1121" s="60" cm="1">
        <f t="array" ref="I1121">_xlfn.IFS($G1121=$G$5,I$5,$G1121=$G$6,I$6,$G1121=$G$7,I$7,$G1121=$G$8,I$8,$G1121=$G$9,I$9,$G1121=$G$10,I$10,$G1121=$G$11,I$11,$G1121=$G$12,I$12,$G1121=$G$13,I$13,$G1121=$G$15,I$15,$G1121=$G$16,I$16,$G1121=$G$17,I$17,$G1121=$G$18,I$18,$G1121=$G$19,I$19,$G1121=$G$20,I$20,$G1121=$G$21,I$21,$G1121=$G$22,I$22,$G1121=$G$25,I$25,$G1121=$G$26,I$26,$G1121=$G$27,I$27,$G1121=$G$29,I$29,$G1121=$G$31,I$31,$G1121=$G$32,I$150,$G1121=$G$248,I$248,$G1121=$G$250,I$250)</f>
        <v>2.1539079999999999</v>
      </c>
      <c r="J1121" s="61" cm="1">
        <f t="array" ref="J1121">_xlfn.IFS($G1121=$G$5,J$5,$G1121=$G$6,J$6,$G1121=$G$7,J$7,$G1121=$G$8,J$8,$G1121=$G$9,J$9,$G1121=$G$10,J$10,$G1121=$G$11,J$11,$G1121=$G$12,J$12,$G1121=$G$13,J$13,$G1121=$G$15,J$15,$G1121=$G$16,J$16,$G1121=$G$17,J$17,$G1121=$G$18,J$18,$G1121=$G$19,J$19,$G1121=$G$20,J$20,$G1121=$G$21,J$21,$G1121=$G$22,J$22,$G1121=$G$25,J$25,$G1121=$G$26,J$26,$G1121=$G$27,J$27,$G1121=$G$29,J$29,$G1121=$G$31,J$31,$G1121=$G$32,J$150,$G1121=$G$248,J$248,$G1121=$G$250,J$250)</f>
        <v>68</v>
      </c>
      <c r="K1121" t="str" cm="1">
        <f t="array" ref="K1121">_xlfn.IFS($G1121=$G$5,K$5,$G1121=$G$6,K$6,$G1121=$G$7,K$7,$G1121=$G$8,K$8,$G1121=$G$9,K$9,$G1121=$G$10,K$10,$G1121=$G$11,K$11,$G1121=$G$12,K$12,$G1121=$G$13,K$13,$G1121=$G$15,K$15,$G1121=$G$16,K$16,$G1121=$G$17,K$17,$G1121=$G$18,K$18,$G1121=$G$19,K$19,$G1121=$G$20,K$20,$G1121=$G$21,K$21,$G1121=$G$22,K$22,$G1121=$G$25,K$25,$G1121=$G$26,K$26,$G1121=$G$27,K$27,$G1121=$G$29,K$29,$G1121=$G$31,K$31,$G1121=$G$32,K$150,$G1121=$G$248,K$248,$G1121=$G$250,K$250)</f>
        <v>BG sentinel + BG lure7</v>
      </c>
      <c r="O1121" s="69" t="str">
        <f t="shared" si="96"/>
        <v>A_SP_BCN_23_211118</v>
      </c>
      <c r="P1121" s="64">
        <v>44518</v>
      </c>
      <c r="R1121" s="72"/>
      <c r="S1121" s="64">
        <v>44525</v>
      </c>
      <c r="U1121" s="72"/>
      <c r="V1121" s="54" t="s">
        <v>66</v>
      </c>
      <c r="X1121" s="69">
        <f t="shared" si="88"/>
        <v>7</v>
      </c>
      <c r="AA1121" s="69">
        <f>SUM(AC1121:AD1121)</f>
        <v>0</v>
      </c>
      <c r="AB1121" t="str">
        <f>IF(AA1121=0,"",IF(AA1121="","",IF(AA1121&gt;0,"Adult")))</f>
        <v/>
      </c>
      <c r="AE1121" s="45" t="str">
        <f t="shared" si="95"/>
        <v/>
      </c>
      <c r="AF1121" s="56">
        <v>4</v>
      </c>
    </row>
    <row r="1122" spans="1:32" ht="18" customHeight="1" x14ac:dyDescent="0.25">
      <c r="A1122" s="45">
        <v>1118</v>
      </c>
      <c r="B1122" s="45" t="s">
        <v>60</v>
      </c>
      <c r="C1122" s="45" t="s">
        <v>61</v>
      </c>
      <c r="D1122" s="45" t="s">
        <v>62</v>
      </c>
      <c r="E1122" s="45" t="s">
        <v>62</v>
      </c>
      <c r="F1122" s="59" cm="1">
        <f t="array" ref="F1122">_xlfn.IFS($G1122=$G$5,F$5,$G1122=$G$6,F$6,$G1122=$G$7,F$7,$G1122=$G$8,F$8,$G1122=$G$9,F$9,$G1122=$G$10,F$10,$G1122=$G$11,F$11,$G1122=$G$12,F$12,$G1122=$G$13,F$13,$G1122=$G$15,F$15,$G1122=$G$16,F$16,$G1122=$G$17,F$17,$G1122=$G$18,F$18,$G1122=$G$19,F$19,$G1122=$G$20,F$20,$G1122=$G$21,F$21,$G1122=$G$22,F$22,$G1122=$G$25,F$25,$G1122=$G$26,F$26,$G1122=$G$27,F$27,$G1122=$G$29,F$29,$G1122=$G$31,F$31,$G1122=$G$32,F$32,$G1122=$G$248,F$248,$G1122=$G$250,F$250)</f>
        <v>8015</v>
      </c>
      <c r="G1122" t="s">
        <v>109</v>
      </c>
      <c r="H1122" s="60" cm="1">
        <f t="array" ref="H1122">_xlfn.IFS($G1122=$G$5,H$5,$G1122=$G$6,H$6,$G1122=$G$7,H$7,$G1122=$G$8,H$8,$G1122=$G$9,H$9,$G1122=$G$10,H$10,$G1122=$G$11,H$11,$G1122=$G$12,H$12,$G1122=$G$13,H$13,$G1122=$G$15,H$15,$G1122=$G$16,H$16,$G1122=$G$17,H$17,$G1122=$G$18,H$18,$G1122=$G$19,H$19,$G1122=$G$20,H$20,$G1122=$G$21,H$21,$G1122=$G$22,H$22,$G1122=$G$25,H$25,$G1122=$G$26,H$26,$G1122=$G$27,H$27,$G1122=$G$29,H$29,$G1122=$G$31,H$31,$G1122=$G$32,H$150,$G1122=$G$248,H$248,$G1122=$G$250,H$250)</f>
        <v>41.381725000000003</v>
      </c>
      <c r="I1122" s="60" cm="1">
        <f t="array" ref="I1122">_xlfn.IFS($G1122=$G$5,I$5,$G1122=$G$6,I$6,$G1122=$G$7,I$7,$G1122=$G$8,I$8,$G1122=$G$9,I$9,$G1122=$G$10,I$10,$G1122=$G$11,I$11,$G1122=$G$12,I$12,$G1122=$G$13,I$13,$G1122=$G$15,I$15,$G1122=$G$16,I$16,$G1122=$G$17,I$17,$G1122=$G$18,I$18,$G1122=$G$19,I$19,$G1122=$G$20,I$20,$G1122=$G$21,I$21,$G1122=$G$22,I$22,$G1122=$G$25,I$25,$G1122=$G$26,I$26,$G1122=$G$27,I$27,$G1122=$G$29,I$29,$G1122=$G$31,I$31,$G1122=$G$32,I$150,$G1122=$G$248,I$248,$G1122=$G$250,I$250)</f>
        <v>2.1543679999999998</v>
      </c>
      <c r="J1122" s="61" cm="1">
        <f t="array" ref="J1122">_xlfn.IFS($G1122=$G$5,J$5,$G1122=$G$6,J$6,$G1122=$G$7,J$7,$G1122=$G$8,J$8,$G1122=$G$9,J$9,$G1122=$G$10,J$10,$G1122=$G$11,J$11,$G1122=$G$12,J$12,$G1122=$G$13,J$13,$G1122=$G$15,J$15,$G1122=$G$16,J$16,$G1122=$G$17,J$17,$G1122=$G$18,J$18,$G1122=$G$19,J$19,$G1122=$G$20,J$20,$G1122=$G$21,J$21,$G1122=$G$22,J$22,$G1122=$G$25,J$25,$G1122=$G$26,J$26,$G1122=$G$27,J$27,$G1122=$G$29,J$29,$G1122=$G$31,J$31,$G1122=$G$32,J$150,$G1122=$G$248,J$248,$G1122=$G$250,J$250)</f>
        <v>20.7</v>
      </c>
      <c r="K1122" t="str" cm="1">
        <f t="array" ref="K1122">_xlfn.IFS($G1122=$G$5,K$5,$G1122=$G$6,K$6,$G1122=$G$7,K$7,$G1122=$G$8,K$8,$G1122=$G$9,K$9,$G1122=$G$10,K$10,$G1122=$G$11,K$11,$G1122=$G$12,K$12,$G1122=$G$13,K$13,$G1122=$G$15,K$15,$G1122=$G$16,K$16,$G1122=$G$17,K$17,$G1122=$G$18,K$18,$G1122=$G$19,K$19,$G1122=$G$20,K$20,$G1122=$G$21,K$21,$G1122=$G$22,K$22,$G1122=$G$25,K$25,$G1122=$G$26,K$26,$G1122=$G$27,K$27,$G1122=$G$29,K$29,$G1122=$G$31,K$31,$G1122=$G$32,K$150,$G1122=$G$248,K$248,$G1122=$G$250,K$250)</f>
        <v>BG sentinel + BG lure7</v>
      </c>
      <c r="O1122" s="69" t="str">
        <f t="shared" si="96"/>
        <v>A_SP_BCN_24_211118</v>
      </c>
      <c r="P1122" s="64">
        <v>44518</v>
      </c>
      <c r="R1122" s="72"/>
      <c r="S1122" s="64">
        <v>44525</v>
      </c>
      <c r="U1122" s="72"/>
      <c r="V1122" s="54" t="s">
        <v>66</v>
      </c>
      <c r="W1122" s="79" t="s">
        <v>178</v>
      </c>
      <c r="X1122" s="69">
        <f t="shared" si="88"/>
        <v>7</v>
      </c>
      <c r="AA1122" s="69">
        <f t="shared" ref="AA1122:AA1145" si="98">SUM(AC1122:AD1122)</f>
        <v>0</v>
      </c>
      <c r="AB1122" t="str">
        <f t="shared" ref="AB1122:AB1131" si="99">IF(AA1122=0,"",IF(AA1122="","",IF(AA1122&gt;0,"Adult")))</f>
        <v/>
      </c>
      <c r="AE1122" s="45" t="str">
        <f t="shared" si="95"/>
        <v/>
      </c>
      <c r="AF1122" s="56">
        <v>4</v>
      </c>
    </row>
    <row r="1123" spans="1:32" ht="18" customHeight="1" x14ac:dyDescent="0.25">
      <c r="A1123" s="45">
        <v>1119</v>
      </c>
      <c r="B1123" s="45" t="s">
        <v>60</v>
      </c>
      <c r="C1123" s="45" t="s">
        <v>61</v>
      </c>
      <c r="D1123" s="45" t="s">
        <v>62</v>
      </c>
      <c r="E1123" s="45" t="s">
        <v>62</v>
      </c>
      <c r="F1123" s="59" cm="1">
        <f t="array" ref="F1123">_xlfn.IFS($G1123=$G$5,F$5,$G1123=$G$6,F$6,$G1123=$G$7,F$7,$G1123=$G$8,F$8,$G1123=$G$9,F$9,$G1123=$G$10,F$10,$G1123=$G$11,F$11,$G1123=$G$12,F$12,$G1123=$G$13,F$13,$G1123=$G$15,F$15,$G1123=$G$16,F$16,$G1123=$G$17,F$17,$G1123=$G$18,F$18,$G1123=$G$19,F$19,$G1123=$G$20,F$20,$G1123=$G$21,F$21,$G1123=$G$22,F$22,$G1123=$G$25,F$25,$G1123=$G$26,F$26,$G1123=$G$27,F$27,$G1123=$G$29,F$29,$G1123=$G$31,F$31,$G1123=$G$32,F$32,$G1123=$G$248,F$248,$G1123=$G$250,F$250)</f>
        <v>8024</v>
      </c>
      <c r="G1123" t="s">
        <v>63</v>
      </c>
      <c r="H1123" s="60" cm="1">
        <f t="array" ref="H1123">_xlfn.IFS($G1123=$G$5,H$5,$G1123=$G$6,H$6,$G1123=$G$7,H$7,$G1123=$G$8,H$8,$G1123=$G$9,H$9,$G1123=$G$10,H$10,$G1123=$G$11,H$11,$G1123=$G$12,H$12,$G1123=$G$13,H$13,$G1123=$G$15,H$15,$G1123=$G$16,H$16,$G1123=$G$17,H$17,$G1123=$G$18,H$18,$G1123=$G$19,H$19,$G1123=$G$20,H$20,$G1123=$G$21,H$21,$G1123=$G$22,H$22,$G1123=$G$25,H$25,$G1123=$G$26,H$26,$G1123=$G$27,H$27,$G1123=$G$29,H$29,$G1123=$G$31,H$31,$G1123=$G$32,H$150,$G1123=$G$248,H$248,$G1123=$G$250,H$250)</f>
        <v>41.413573999999997</v>
      </c>
      <c r="I1123" s="60" cm="1">
        <f t="array" ref="I1123">_xlfn.IFS($G1123=$G$5,I$5,$G1123=$G$6,I$6,$G1123=$G$7,I$7,$G1123=$G$8,I$8,$G1123=$G$9,I$9,$G1123=$G$10,I$10,$G1123=$G$11,I$11,$G1123=$G$12,I$12,$G1123=$G$13,I$13,$G1123=$G$15,I$15,$G1123=$G$16,I$16,$G1123=$G$17,I$17,$G1123=$G$18,I$18,$G1123=$G$19,I$19,$G1123=$G$20,I$20,$G1123=$G$21,I$21,$G1123=$G$22,I$22,$G1123=$G$25,I$25,$G1123=$G$26,I$26,$G1123=$G$27,I$27,$G1123=$G$29,I$29,$G1123=$G$31,I$31,$G1123=$G$32,I$150,$G1123=$G$248,I$248,$G1123=$G$250,I$250)</f>
        <v>2.1520730000000001</v>
      </c>
      <c r="J1123" s="61" cm="1">
        <f t="array" ref="J1123">_xlfn.IFS($G1123=$G$5,J$5,$G1123=$G$6,J$6,$G1123=$G$7,J$7,$G1123=$G$8,J$8,$G1123=$G$9,J$9,$G1123=$G$10,J$10,$G1123=$G$11,J$11,$G1123=$G$12,J$12,$G1123=$G$13,J$13,$G1123=$G$15,J$15,$G1123=$G$16,J$16,$G1123=$G$17,J$17,$G1123=$G$18,J$18,$G1123=$G$19,J$19,$G1123=$G$20,J$20,$G1123=$G$21,J$21,$G1123=$G$22,J$22,$G1123=$G$25,J$25,$G1123=$G$26,J$26,$G1123=$G$27,J$27,$G1123=$G$29,J$29,$G1123=$G$31,J$31,$G1123=$G$32,J$150,$G1123=$G$248,J$248,$G1123=$G$250,J$250)</f>
        <v>141</v>
      </c>
      <c r="K1123" t="str" cm="1">
        <f t="array" ref="K1123">_xlfn.IFS($G1123=$G$5,K$5,$G1123=$G$6,K$6,$G1123=$G$7,K$7,$G1123=$G$8,K$8,$G1123=$G$9,K$9,$G1123=$G$10,K$10,$G1123=$G$11,K$11,$G1123=$G$12,K$12,$G1123=$G$13,K$13,$G1123=$G$15,K$15,$G1123=$G$16,K$16,$G1123=$G$17,K$17,$G1123=$G$18,K$18,$G1123=$G$19,K$19,$G1123=$G$20,K$20,$G1123=$G$21,K$21,$G1123=$G$22,K$22,$G1123=$G$25,K$25,$G1123=$G$26,K$26,$G1123=$G$27,K$27,$G1123=$G$29,K$29,$G1123=$G$31,K$31,$G1123=$G$32,K$150,$G1123=$G$248,K$248,$G1123=$G$250,K$250)</f>
        <v>BG sentinel + BG lure7</v>
      </c>
      <c r="O1123" s="69" t="str">
        <f t="shared" si="96"/>
        <v>A_SP_BCN_1_211124</v>
      </c>
      <c r="P1123" s="64">
        <v>44524</v>
      </c>
      <c r="R1123" s="72"/>
      <c r="S1123" s="64">
        <v>44531</v>
      </c>
      <c r="U1123" s="72"/>
      <c r="V1123" s="54" t="s">
        <v>66</v>
      </c>
      <c r="X1123" s="69">
        <f t="shared" si="88"/>
        <v>7</v>
      </c>
      <c r="AA1123" s="69">
        <f t="shared" si="98"/>
        <v>0</v>
      </c>
      <c r="AE1123" s="45" t="str">
        <f t="shared" si="95"/>
        <v/>
      </c>
      <c r="AF1123" s="56">
        <v>4</v>
      </c>
    </row>
    <row r="1124" spans="1:32" ht="18" customHeight="1" x14ac:dyDescent="0.25">
      <c r="A1124" s="45">
        <v>1120</v>
      </c>
      <c r="B1124" s="45" t="s">
        <v>60</v>
      </c>
      <c r="C1124" s="45" t="s">
        <v>61</v>
      </c>
      <c r="D1124" s="45" t="s">
        <v>62</v>
      </c>
      <c r="E1124" s="45" t="s">
        <v>62</v>
      </c>
      <c r="F1124" s="59" cm="1">
        <f t="array" ref="F1124">_xlfn.IFS($G1124=$G$5,F$5,$G1124=$G$6,F$6,$G1124=$G$7,F$7,$G1124=$G$8,F$8,$G1124=$G$9,F$9,$G1124=$G$10,F$10,$G1124=$G$11,F$11,$G1124=$G$12,F$12,$G1124=$G$13,F$13,$G1124=$G$15,F$15,$G1124=$G$16,F$16,$G1124=$G$17,F$17,$G1124=$G$18,F$18,$G1124=$G$19,F$19,$G1124=$G$20,F$20,$G1124=$G$21,F$21,$G1124=$G$22,F$22,$G1124=$G$25,F$25,$G1124=$G$26,F$26,$G1124=$G$27,F$27,$G1124=$G$29,F$29,$G1124=$G$31,F$31,$G1124=$G$32,F$32,$G1124=$G$248,F$248,$G1124=$G$250,F$250)</f>
        <v>8035</v>
      </c>
      <c r="G1124" t="s">
        <v>67</v>
      </c>
      <c r="H1124" s="60" cm="1">
        <f t="array" ref="H1124">_xlfn.IFS($G1124=$G$5,H$5,$G1124=$G$6,H$6,$G1124=$G$7,H$7,$G1124=$G$8,H$8,$G1124=$G$9,H$9,$G1124=$G$10,H$10,$G1124=$G$11,H$11,$G1124=$G$12,H$12,$G1124=$G$13,H$13,$G1124=$G$15,H$15,$G1124=$G$16,H$16,$G1124=$G$17,H$17,$G1124=$G$18,H$18,$G1124=$G$19,H$19,$G1124=$G$20,H$20,$G1124=$G$21,H$21,$G1124=$G$22,H$22,$G1124=$G$25,H$25,$G1124=$G$26,H$26,$G1124=$G$27,H$27,$G1124=$G$29,H$29,$G1124=$G$31,H$31,$G1124=$G$32,H$150,$G1124=$G$248,H$248,$G1124=$G$250,H$250)</f>
        <v>41.424387000000003</v>
      </c>
      <c r="I1124" s="60" cm="1">
        <f t="array" ref="I1124">_xlfn.IFS($G1124=$G$5,I$5,$G1124=$G$6,I$6,$G1124=$G$7,I$7,$G1124=$G$8,I$8,$G1124=$G$9,I$9,$G1124=$G$10,I$10,$G1124=$G$11,I$11,$G1124=$G$12,I$12,$G1124=$G$13,I$13,$G1124=$G$15,I$15,$G1124=$G$16,I$16,$G1124=$G$17,I$17,$G1124=$G$18,I$18,$G1124=$G$19,I$19,$G1124=$G$20,I$20,$G1124=$G$21,I$21,$G1124=$G$22,I$22,$G1124=$G$25,I$25,$G1124=$G$26,I$26,$G1124=$G$27,I$27,$G1124=$G$29,I$29,$G1124=$G$31,I$31,$G1124=$G$32,I$150,$G1124=$G$248,I$248,$G1124=$G$250,I$250)</f>
        <v>2.1431439999999999</v>
      </c>
      <c r="J1124" s="61" cm="1">
        <f t="array" ref="J1124">_xlfn.IFS($G1124=$G$5,J$5,$G1124=$G$6,J$6,$G1124=$G$7,J$7,$G1124=$G$8,J$8,$G1124=$G$9,J$9,$G1124=$G$10,J$10,$G1124=$G$11,J$11,$G1124=$G$12,J$12,$G1124=$G$13,J$13,$G1124=$G$15,J$15,$G1124=$G$16,J$16,$G1124=$G$17,J$17,$G1124=$G$18,J$18,$G1124=$G$19,J$19,$G1124=$G$20,J$20,$G1124=$G$21,J$21,$G1124=$G$22,J$22,$G1124=$G$25,J$25,$G1124=$G$26,J$26,$G1124=$G$27,J$27,$G1124=$G$29,J$29,$G1124=$G$31,J$31,$G1124=$G$32,J$150,$G1124=$G$248,J$248,$G1124=$G$250,J$250)</f>
        <v>160</v>
      </c>
      <c r="K1124" t="str" cm="1">
        <f t="array" ref="K1124">_xlfn.IFS($G1124=$G$5,K$5,$G1124=$G$6,K$6,$G1124=$G$7,K$7,$G1124=$G$8,K$8,$G1124=$G$9,K$9,$G1124=$G$10,K$10,$G1124=$G$11,K$11,$G1124=$G$12,K$12,$G1124=$G$13,K$13,$G1124=$G$15,K$15,$G1124=$G$16,K$16,$G1124=$G$17,K$17,$G1124=$G$18,K$18,$G1124=$G$19,K$19,$G1124=$G$20,K$20,$G1124=$G$21,K$21,$G1124=$G$22,K$22,$G1124=$G$25,K$25,$G1124=$G$26,K$26,$G1124=$G$27,K$27,$G1124=$G$29,K$29,$G1124=$G$31,K$31,$G1124=$G$32,K$150,$G1124=$G$248,K$248,$G1124=$G$250,K$250)</f>
        <v>BG sentinel + BG lure7</v>
      </c>
      <c r="O1124" s="69" t="str">
        <f t="shared" si="96"/>
        <v>A_SP_BCN_2_211124</v>
      </c>
      <c r="P1124" s="64">
        <v>44524</v>
      </c>
      <c r="R1124" s="72"/>
      <c r="S1124" s="64">
        <v>44531</v>
      </c>
      <c r="U1124" s="72"/>
      <c r="V1124" s="54" t="s">
        <v>66</v>
      </c>
      <c r="X1124" s="69">
        <f t="shared" si="88"/>
        <v>7</v>
      </c>
      <c r="AA1124" s="69">
        <f t="shared" si="98"/>
        <v>0</v>
      </c>
      <c r="AE1124" s="45" t="str">
        <f t="shared" si="95"/>
        <v/>
      </c>
      <c r="AF1124" s="56">
        <v>4</v>
      </c>
    </row>
    <row r="1125" spans="1:32" ht="18" customHeight="1" x14ac:dyDescent="0.25">
      <c r="A1125" s="45">
        <v>1121</v>
      </c>
      <c r="B1125" s="45" t="s">
        <v>60</v>
      </c>
      <c r="C1125" s="45" t="s">
        <v>61</v>
      </c>
      <c r="D1125" s="45" t="s">
        <v>62</v>
      </c>
      <c r="E1125" s="45" t="s">
        <v>62</v>
      </c>
      <c r="F1125" s="59" cm="1">
        <f t="array" ref="F1125">_xlfn.IFS($G1125=$G$5,F$5,$G1125=$G$6,F$6,$G1125=$G$7,F$7,$G1125=$G$8,F$8,$G1125=$G$9,F$9,$G1125=$G$10,F$10,$G1125=$G$11,F$11,$G1125=$G$12,F$12,$G1125=$G$13,F$13,$G1125=$G$15,F$15,$G1125=$G$16,F$16,$G1125=$G$17,F$17,$G1125=$G$18,F$18,$G1125=$G$19,F$19,$G1125=$G$20,F$20,$G1125=$G$21,F$21,$G1125=$G$22,F$22,$G1125=$G$25,F$25,$G1125=$G$26,F$26,$G1125=$G$27,F$27,$G1125=$G$29,F$29,$G1125=$G$31,F$31,$G1125=$G$32,F$32,$G1125=$G$248,F$248,$G1125=$G$250,F$250)</f>
        <v>8016</v>
      </c>
      <c r="G1125" t="s">
        <v>68</v>
      </c>
      <c r="H1125" s="60" cm="1">
        <f t="array" ref="H1125">_xlfn.IFS($G1125=$G$5,H$5,$G1125=$G$6,H$6,$G1125=$G$7,H$7,$G1125=$G$8,H$8,$G1125=$G$9,H$9,$G1125=$G$10,H$10,$G1125=$G$11,H$11,$G1125=$G$12,H$12,$G1125=$G$13,H$13,$G1125=$G$15,H$15,$G1125=$G$16,H$16,$G1125=$G$17,H$17,$G1125=$G$18,H$18,$G1125=$G$19,H$19,$G1125=$G$20,H$20,$G1125=$G$21,H$21,$G1125=$G$22,H$22,$G1125=$G$25,H$25,$G1125=$G$26,H$26,$G1125=$G$27,H$27,$G1125=$G$29,H$29,$G1125=$G$31,H$31,$G1125=$G$32,H$150,$G1125=$G$248,H$248,$G1125=$G$250,H$250)</f>
        <v>41.437435000000001</v>
      </c>
      <c r="I1125" s="60" cm="1">
        <f t="array" ref="I1125">_xlfn.IFS($G1125=$G$5,I$5,$G1125=$G$6,I$6,$G1125=$G$7,I$7,$G1125=$G$8,I$8,$G1125=$G$9,I$9,$G1125=$G$10,I$10,$G1125=$G$11,I$11,$G1125=$G$12,I$12,$G1125=$G$13,I$13,$G1125=$G$15,I$15,$G1125=$G$16,I$16,$G1125=$G$17,I$17,$G1125=$G$18,I$18,$G1125=$G$19,I$19,$G1125=$G$20,I$20,$G1125=$G$21,I$21,$G1125=$G$22,I$22,$G1125=$G$25,I$25,$G1125=$G$26,I$26,$G1125=$G$27,I$27,$G1125=$G$29,I$29,$G1125=$G$31,I$31,$G1125=$G$32,I$150,$G1125=$G$248,I$248,$G1125=$G$250,I$250)</f>
        <v>2.1812779999999998</v>
      </c>
      <c r="J1125" s="61" cm="1">
        <f t="array" ref="J1125">_xlfn.IFS($G1125=$G$5,J$5,$G1125=$G$6,J$6,$G1125=$G$7,J$7,$G1125=$G$8,J$8,$G1125=$G$9,J$9,$G1125=$G$10,J$10,$G1125=$G$11,J$11,$G1125=$G$12,J$12,$G1125=$G$13,J$13,$G1125=$G$15,J$15,$G1125=$G$16,J$16,$G1125=$G$17,J$17,$G1125=$G$18,J$18,$G1125=$G$19,J$19,$G1125=$G$20,J$20,$G1125=$G$21,J$21,$G1125=$G$22,J$22,$G1125=$G$25,J$25,$G1125=$G$26,J$26,$G1125=$G$27,J$27,$G1125=$G$29,J$29,$G1125=$G$31,J$31,$G1125=$G$32,J$150,$G1125=$G$248,J$248,$G1125=$G$250,J$250)</f>
        <v>47</v>
      </c>
      <c r="K1125" t="str" cm="1">
        <f t="array" ref="K1125">_xlfn.IFS($G1125=$G$5,K$5,$G1125=$G$6,K$6,$G1125=$G$7,K$7,$G1125=$G$8,K$8,$G1125=$G$9,K$9,$G1125=$G$10,K$10,$G1125=$G$11,K$11,$G1125=$G$12,K$12,$G1125=$G$13,K$13,$G1125=$G$15,K$15,$G1125=$G$16,K$16,$G1125=$G$17,K$17,$G1125=$G$18,K$18,$G1125=$G$19,K$19,$G1125=$G$20,K$20,$G1125=$G$21,K$21,$G1125=$G$22,K$22,$G1125=$G$25,K$25,$G1125=$G$26,K$26,$G1125=$G$27,K$27,$G1125=$G$29,K$29,$G1125=$G$31,K$31,$G1125=$G$32,K$150,$G1125=$G$248,K$248,$G1125=$G$250,K$250)</f>
        <v>BG sentinel + BG lure7</v>
      </c>
      <c r="O1125" s="69" t="str">
        <f t="shared" si="96"/>
        <v>A_SP_BCN_3_211125</v>
      </c>
      <c r="P1125" s="64">
        <v>44525</v>
      </c>
      <c r="R1125" s="72"/>
      <c r="S1125" s="64">
        <v>44532</v>
      </c>
      <c r="U1125" s="72"/>
      <c r="V1125" s="54" t="s">
        <v>66</v>
      </c>
      <c r="X1125" s="69">
        <f t="shared" si="88"/>
        <v>7</v>
      </c>
      <c r="AA1125" s="69">
        <f t="shared" si="98"/>
        <v>0</v>
      </c>
      <c r="AE1125" s="45" t="str">
        <f t="shared" si="95"/>
        <v/>
      </c>
      <c r="AF1125" s="56">
        <v>4</v>
      </c>
    </row>
    <row r="1126" spans="1:32" ht="18" customHeight="1" x14ac:dyDescent="0.25">
      <c r="A1126" s="45">
        <v>1122</v>
      </c>
      <c r="B1126" s="45" t="s">
        <v>60</v>
      </c>
      <c r="C1126" s="45" t="s">
        <v>61</v>
      </c>
      <c r="D1126" s="45" t="s">
        <v>62</v>
      </c>
      <c r="E1126" s="45" t="s">
        <v>62</v>
      </c>
      <c r="F1126" s="59" cm="1">
        <f t="array" ref="F1126">_xlfn.IFS($G1126=$G$5,F$5,$G1126=$G$6,F$6,$G1126=$G$7,F$7,$G1126=$G$8,F$8,$G1126=$G$9,F$9,$G1126=$G$10,F$10,$G1126=$G$11,F$11,$G1126=$G$12,F$12,$G1126=$G$13,F$13,$G1126=$G$15,F$15,$G1126=$G$16,F$16,$G1126=$G$17,F$17,$G1126=$G$18,F$18,$G1126=$G$19,F$19,$G1126=$G$20,F$20,$G1126=$G$21,F$21,$G1126=$G$22,F$22,$G1126=$G$25,F$25,$G1126=$G$26,F$26,$G1126=$G$27,F$27,$G1126=$G$29,F$29,$G1126=$G$31,F$31,$G1126=$G$32,F$32,$G1126=$G$248,F$248,$G1126=$G$250,F$250)</f>
        <v>8018</v>
      </c>
      <c r="G1126" t="s">
        <v>71</v>
      </c>
      <c r="H1126" s="60" cm="1">
        <f t="array" ref="H1126">_xlfn.IFS($G1126=$G$5,H$5,$G1126=$G$6,H$6,$G1126=$G$7,H$7,$G1126=$G$8,H$8,$G1126=$G$9,H$9,$G1126=$G$10,H$10,$G1126=$G$11,H$11,$G1126=$G$12,H$12,$G1126=$G$13,H$13,$G1126=$G$15,H$15,$G1126=$G$16,H$16,$G1126=$G$17,H$17,$G1126=$G$18,H$18,$G1126=$G$19,H$19,$G1126=$G$20,H$20,$G1126=$G$21,H$21,$G1126=$G$22,H$22,$G1126=$G$25,H$25,$G1126=$G$26,H$26,$G1126=$G$27,H$27,$G1126=$G$29,H$29,$G1126=$G$31,H$31,$G1126=$G$32,H$150,$G1126=$G$248,H$248,$G1126=$G$250,H$250)</f>
        <v>41.410684000000003</v>
      </c>
      <c r="I1126" s="60" cm="1">
        <f t="array" ref="I1126">_xlfn.IFS($G1126=$G$5,I$5,$G1126=$G$6,I$6,$G1126=$G$7,I$7,$G1126=$G$8,I$8,$G1126=$G$9,I$9,$G1126=$G$10,I$10,$G1126=$G$11,I$11,$G1126=$G$12,I$12,$G1126=$G$13,I$13,$G1126=$G$15,I$15,$G1126=$G$16,I$16,$G1126=$G$17,I$17,$G1126=$G$18,I$18,$G1126=$G$19,I$19,$G1126=$G$20,I$20,$G1126=$G$21,I$21,$G1126=$G$22,I$22,$G1126=$G$25,I$25,$G1126=$G$26,I$26,$G1126=$G$27,I$27,$G1126=$G$29,I$29,$G1126=$G$31,I$31,$G1126=$G$32,I$150,$G1126=$G$248,I$248,$G1126=$G$250,I$250)</f>
        <v>2.2208019999999999</v>
      </c>
      <c r="J1126" s="61" cm="1">
        <f t="array" ref="J1126">_xlfn.IFS($G1126=$G$5,J$5,$G1126=$G$6,J$6,$G1126=$G$7,J$7,$G1126=$G$8,J$8,$G1126=$G$9,J$9,$G1126=$G$10,J$10,$G1126=$G$11,J$11,$G1126=$G$12,J$12,$G1126=$G$13,J$13,$G1126=$G$15,J$15,$G1126=$G$16,J$16,$G1126=$G$17,J$17,$G1126=$G$18,J$18,$G1126=$G$19,J$19,$G1126=$G$20,J$20,$G1126=$G$21,J$21,$G1126=$G$22,J$22,$G1126=$G$25,J$25,$G1126=$G$26,J$26,$G1126=$G$27,J$27,$G1126=$G$29,J$29,$G1126=$G$31,J$31,$G1126=$G$32,J$150,$G1126=$G$248,J$248,$G1126=$G$250,J$250)</f>
        <v>4</v>
      </c>
      <c r="K1126" t="str" cm="1">
        <f t="array" ref="K1126">_xlfn.IFS($G1126=$G$5,K$5,$G1126=$G$6,K$6,$G1126=$G$7,K$7,$G1126=$G$8,K$8,$G1126=$G$9,K$9,$G1126=$G$10,K$10,$G1126=$G$11,K$11,$G1126=$G$12,K$12,$G1126=$G$13,K$13,$G1126=$G$15,K$15,$G1126=$G$16,K$16,$G1126=$G$17,K$17,$G1126=$G$18,K$18,$G1126=$G$19,K$19,$G1126=$G$20,K$20,$G1126=$G$21,K$21,$G1126=$G$22,K$22,$G1126=$G$25,K$25,$G1126=$G$26,K$26,$G1126=$G$27,K$27,$G1126=$G$29,K$29,$G1126=$G$31,K$31,$G1126=$G$32,K$150,$G1126=$G$248,K$248,$G1126=$G$250,K$250)</f>
        <v>BG sentinel + BG lure7</v>
      </c>
      <c r="O1126" s="69" t="str">
        <f t="shared" si="96"/>
        <v>A_SP_BCN_4_211125</v>
      </c>
      <c r="P1126" s="64">
        <v>44525</v>
      </c>
      <c r="R1126" s="72"/>
      <c r="S1126" s="64">
        <v>44532</v>
      </c>
      <c r="U1126" s="72"/>
      <c r="V1126" s="54" t="s">
        <v>66</v>
      </c>
      <c r="X1126" s="69">
        <f t="shared" si="88"/>
        <v>7</v>
      </c>
      <c r="Z1126" s="45" t="s">
        <v>80</v>
      </c>
      <c r="AA1126" s="69">
        <f t="shared" si="98"/>
        <v>1</v>
      </c>
      <c r="AB1126" s="69" t="str">
        <f t="shared" ref="AB1126:AB1145" si="100">IF(AA1126=0,"",IF(AA1126="","",IF(AA1126&gt;0,"Adult")))</f>
        <v>Adult</v>
      </c>
      <c r="AC1126" s="69">
        <v>1</v>
      </c>
      <c r="AD1126" s="69">
        <v>0</v>
      </c>
      <c r="AE1126" s="45" t="str">
        <f t="shared" si="95"/>
        <v>Morphological</v>
      </c>
      <c r="AF1126" s="56">
        <v>4</v>
      </c>
    </row>
    <row r="1127" spans="1:32" ht="18" customHeight="1" x14ac:dyDescent="0.25">
      <c r="A1127" s="45">
        <v>1123</v>
      </c>
      <c r="B1127" s="45" t="s">
        <v>60</v>
      </c>
      <c r="C1127" s="45" t="s">
        <v>61</v>
      </c>
      <c r="D1127" s="45" t="s">
        <v>62</v>
      </c>
      <c r="E1127" s="45" t="s">
        <v>62</v>
      </c>
      <c r="F1127" s="59" cm="1">
        <f t="array" ref="F1127">_xlfn.IFS($G1127=$G$5,F$5,$G1127=$G$6,F$6,$G1127=$G$7,F$7,$G1127=$G$8,F$8,$G1127=$G$9,F$9,$G1127=$G$10,F$10,$G1127=$G$11,F$11,$G1127=$G$12,F$12,$G1127=$G$13,F$13,$G1127=$G$15,F$15,$G1127=$G$16,F$16,$G1127=$G$17,F$17,$G1127=$G$18,F$18,$G1127=$G$19,F$19,$G1127=$G$20,F$20,$G1127=$G$21,F$21,$G1127=$G$22,F$22,$G1127=$G$25,F$25,$G1127=$G$26,F$26,$G1127=$G$27,F$27,$G1127=$G$29,F$29,$G1127=$G$31,F$31,$G1127=$G$32,F$32,$G1127=$G$248,F$248,$G1127=$G$250,F$250)</f>
        <v>8019</v>
      </c>
      <c r="G1127" t="s">
        <v>72</v>
      </c>
      <c r="H1127" s="60" cm="1">
        <f t="array" ref="H1127">_xlfn.IFS($G1127=$G$5,H$5,$G1127=$G$6,H$6,$G1127=$G$7,H$7,$G1127=$G$8,H$8,$G1127=$G$9,H$9,$G1127=$G$10,H$10,$G1127=$G$11,H$11,$G1127=$G$12,H$12,$G1127=$G$13,H$13,$G1127=$G$15,H$15,$G1127=$G$16,H$16,$G1127=$G$17,H$17,$G1127=$G$18,H$18,$G1127=$G$19,H$19,$G1127=$G$20,H$20,$G1127=$G$21,H$21,$G1127=$G$22,H$22,$G1127=$G$25,H$25,$G1127=$G$26,H$26,$G1127=$G$27,H$27,$G1127=$G$29,H$29,$G1127=$G$31,H$31,$G1127=$G$32,H$150,$G1127=$G$248,H$248,$G1127=$G$250,H$250)</f>
        <v>41.382339999999999</v>
      </c>
      <c r="I1127" s="60" cm="1">
        <f t="array" ref="I1127">_xlfn.IFS($G1127=$G$5,I$5,$G1127=$G$6,I$6,$G1127=$G$7,I$7,$G1127=$G$8,I$8,$G1127=$G$9,I$9,$G1127=$G$10,I$10,$G1127=$G$11,I$11,$G1127=$G$12,I$12,$G1127=$G$13,I$13,$G1127=$G$15,I$15,$G1127=$G$16,I$16,$G1127=$G$17,I$17,$G1127=$G$18,I$18,$G1127=$G$19,I$19,$G1127=$G$20,I$20,$G1127=$G$21,I$21,$G1127=$G$22,I$22,$G1127=$G$25,I$25,$G1127=$G$26,I$26,$G1127=$G$27,I$27,$G1127=$G$29,I$29,$G1127=$G$31,I$31,$G1127=$G$32,I$150,$G1127=$G$248,I$248,$G1127=$G$250,I$250)</f>
        <v>2.1714790000000002</v>
      </c>
      <c r="J1127" s="61" cm="1">
        <f t="array" ref="J1127">_xlfn.IFS($G1127=$G$5,J$5,$G1127=$G$6,J$6,$G1127=$G$7,J$7,$G1127=$G$8,J$8,$G1127=$G$9,J$9,$G1127=$G$10,J$10,$G1127=$G$11,J$11,$G1127=$G$12,J$12,$G1127=$G$13,J$13,$G1127=$G$15,J$15,$G1127=$G$16,J$16,$G1127=$G$17,J$17,$G1127=$G$18,J$18,$G1127=$G$19,J$19,$G1127=$G$20,J$20,$G1127=$G$21,J$21,$G1127=$G$22,J$22,$G1127=$G$25,J$25,$G1127=$G$26,J$26,$G1127=$G$27,J$27,$G1127=$G$29,J$29,$G1127=$G$31,J$31,$G1127=$G$32,J$150,$G1127=$G$248,J$248,$G1127=$G$250,J$250)</f>
        <v>18</v>
      </c>
      <c r="K1127" t="str" cm="1">
        <f t="array" ref="K1127">_xlfn.IFS($G1127=$G$5,K$5,$G1127=$G$6,K$6,$G1127=$G$7,K$7,$G1127=$G$8,K$8,$G1127=$G$9,K$9,$G1127=$G$10,K$10,$G1127=$G$11,K$11,$G1127=$G$12,K$12,$G1127=$G$13,K$13,$G1127=$G$15,K$15,$G1127=$G$16,K$16,$G1127=$G$17,K$17,$G1127=$G$18,K$18,$G1127=$G$19,K$19,$G1127=$G$20,K$20,$G1127=$G$21,K$21,$G1127=$G$22,K$22,$G1127=$G$25,K$25,$G1127=$G$26,K$26,$G1127=$G$27,K$27,$G1127=$G$29,K$29,$G1127=$G$31,K$31,$G1127=$G$32,K$150,$G1127=$G$248,K$248,$G1127=$G$250,K$250)</f>
        <v>BG sentinel + BG lure7</v>
      </c>
      <c r="O1127" s="69" t="str">
        <f t="shared" si="96"/>
        <v>A_SP_BCN_5_211125</v>
      </c>
      <c r="P1127" s="64">
        <v>44525</v>
      </c>
      <c r="R1127" s="72"/>
      <c r="S1127" s="64">
        <v>44532</v>
      </c>
      <c r="U1127" s="72"/>
      <c r="V1127" s="54" t="s">
        <v>66</v>
      </c>
      <c r="X1127" s="69">
        <f t="shared" si="88"/>
        <v>7</v>
      </c>
      <c r="AA1127" s="69">
        <f t="shared" si="98"/>
        <v>0</v>
      </c>
      <c r="AB1127" s="69" t="str">
        <f t="shared" si="100"/>
        <v/>
      </c>
      <c r="AE1127" s="45" t="str">
        <f t="shared" si="95"/>
        <v/>
      </c>
      <c r="AF1127" s="56">
        <v>4</v>
      </c>
    </row>
    <row r="1128" spans="1:32" ht="18" customHeight="1" x14ac:dyDescent="0.25">
      <c r="A1128" s="45">
        <v>1124</v>
      </c>
      <c r="B1128" s="45" t="s">
        <v>60</v>
      </c>
      <c r="C1128" s="45" t="s">
        <v>61</v>
      </c>
      <c r="D1128" s="45" t="s">
        <v>62</v>
      </c>
      <c r="E1128" s="45" t="s">
        <v>62</v>
      </c>
      <c r="F1128" s="59" cm="1">
        <f t="array" ref="F1128">_xlfn.IFS($G1128=$G$5,F$5,$G1128=$G$6,F$6,$G1128=$G$7,F$7,$G1128=$G$8,F$8,$G1128=$G$9,F$9,$G1128=$G$10,F$10,$G1128=$G$11,F$11,$G1128=$G$12,F$12,$G1128=$G$13,F$13,$G1128=$G$15,F$15,$G1128=$G$16,F$16,$G1128=$G$17,F$17,$G1128=$G$18,F$18,$G1128=$G$19,F$19,$G1128=$G$20,F$20,$G1128=$G$21,F$21,$G1128=$G$22,F$22,$G1128=$G$25,F$25,$G1128=$G$26,F$26,$G1128=$G$27,F$27,$G1128=$G$29,F$29,$G1128=$G$31,F$31,$G1128=$G$32,F$32,$G1128=$G$248,F$248,$G1128=$G$250,F$250)</f>
        <v>8002</v>
      </c>
      <c r="G1128" t="s">
        <v>73</v>
      </c>
      <c r="H1128" s="60" cm="1">
        <f t="array" ref="H1128">_xlfn.IFS($G1128=$G$5,H$5,$G1128=$G$6,H$6,$G1128=$G$7,H$7,$G1128=$G$8,H$8,$G1128=$G$9,H$9,$G1128=$G$10,H$10,$G1128=$G$11,H$11,$G1128=$G$12,H$12,$G1128=$G$13,H$13,$G1128=$G$15,H$15,$G1128=$G$16,H$16,$G1128=$G$17,H$17,$G1128=$G$18,H$18,$G1128=$G$19,H$19,$G1128=$G$20,H$20,$G1128=$G$21,H$21,$G1128=$G$22,H$22,$G1128=$G$25,H$25,$G1128=$G$26,H$26,$G1128=$G$27,H$27,$G1128=$G$29,H$29,$G1128=$G$31,H$31,$G1128=$G$32,H$150,$G1128=$G$248,H$248,$G1128=$G$250,H$250)</f>
        <v>41.371864000000002</v>
      </c>
      <c r="I1128" s="60" cm="1">
        <f t="array" ref="I1128">_xlfn.IFS($G1128=$G$5,I$5,$G1128=$G$6,I$6,$G1128=$G$7,I$7,$G1128=$G$8,I$8,$G1128=$G$9,I$9,$G1128=$G$10,I$10,$G1128=$G$11,I$11,$G1128=$G$12,I$12,$G1128=$G$13,I$13,$G1128=$G$15,I$15,$G1128=$G$16,I$16,$G1128=$G$17,I$17,$G1128=$G$18,I$18,$G1128=$G$19,I$19,$G1128=$G$20,I$20,$G1128=$G$21,I$21,$G1128=$G$22,I$22,$G1128=$G$25,I$25,$G1128=$G$26,I$26,$G1128=$G$27,I$27,$G1128=$G$29,I$29,$G1128=$G$31,I$31,$G1128=$G$32,I$150,$G1128=$G$248,I$248,$G1128=$G$250,I$250)</f>
        <v>2.173899</v>
      </c>
      <c r="J1128" s="61" cm="1">
        <f t="array" ref="J1128">_xlfn.IFS($G1128=$G$5,J$5,$G1128=$G$6,J$6,$G1128=$G$7,J$7,$G1128=$G$8,J$8,$G1128=$G$9,J$9,$G1128=$G$10,J$10,$G1128=$G$11,J$11,$G1128=$G$12,J$12,$G1128=$G$13,J$13,$G1128=$G$15,J$15,$G1128=$G$16,J$16,$G1128=$G$17,J$17,$G1128=$G$18,J$18,$G1128=$G$19,J$19,$G1128=$G$20,J$20,$G1128=$G$21,J$21,$G1128=$G$22,J$22,$G1128=$G$25,J$25,$G1128=$G$26,J$26,$G1128=$G$27,J$27,$G1128=$G$29,J$29,$G1128=$G$31,J$31,$G1128=$G$32,J$150,$G1128=$G$248,J$248,$G1128=$G$250,J$250)</f>
        <v>19</v>
      </c>
      <c r="K1128" t="str" cm="1">
        <f t="array" ref="K1128">_xlfn.IFS($G1128=$G$5,K$5,$G1128=$G$6,K$6,$G1128=$G$7,K$7,$G1128=$G$8,K$8,$G1128=$G$9,K$9,$G1128=$G$10,K$10,$G1128=$G$11,K$11,$G1128=$G$12,K$12,$G1128=$G$13,K$13,$G1128=$G$15,K$15,$G1128=$G$16,K$16,$G1128=$G$17,K$17,$G1128=$G$18,K$18,$G1128=$G$19,K$19,$G1128=$G$20,K$20,$G1128=$G$21,K$21,$G1128=$G$22,K$22,$G1128=$G$25,K$25,$G1128=$G$26,K$26,$G1128=$G$27,K$27,$G1128=$G$29,K$29,$G1128=$G$31,K$31,$G1128=$G$32,K$150,$G1128=$G$248,K$248,$G1128=$G$250,K$250)</f>
        <v>BG sentinel + BG lure7</v>
      </c>
      <c r="O1128" s="69" t="str">
        <f t="shared" si="96"/>
        <v>A_SP_BCN_6_211125</v>
      </c>
      <c r="P1128" s="64">
        <v>44525</v>
      </c>
      <c r="R1128" s="72"/>
      <c r="S1128" s="64">
        <v>44532</v>
      </c>
      <c r="U1128" s="72"/>
      <c r="V1128" s="54" t="s">
        <v>66</v>
      </c>
      <c r="X1128" s="69">
        <f t="shared" si="88"/>
        <v>7</v>
      </c>
      <c r="AA1128" s="69">
        <f t="shared" si="98"/>
        <v>0</v>
      </c>
      <c r="AB1128" s="69" t="str">
        <f t="shared" si="100"/>
        <v/>
      </c>
      <c r="AE1128" s="45" t="str">
        <f t="shared" si="95"/>
        <v/>
      </c>
      <c r="AF1128" s="56">
        <v>4</v>
      </c>
    </row>
    <row r="1129" spans="1:32" ht="18" customHeight="1" x14ac:dyDescent="0.25">
      <c r="A1129" s="45">
        <v>1125</v>
      </c>
      <c r="B1129" s="45" t="s">
        <v>60</v>
      </c>
      <c r="C1129" s="45" t="s">
        <v>61</v>
      </c>
      <c r="D1129" s="45" t="s">
        <v>62</v>
      </c>
      <c r="E1129" s="45" t="s">
        <v>62</v>
      </c>
      <c r="F1129" s="59" cm="1">
        <f t="array" ref="F1129">_xlfn.IFS($G1129=$G$5,F$5,$G1129=$G$6,F$6,$G1129=$G$7,F$7,$G1129=$G$8,F$8,$G1129=$G$9,F$9,$G1129=$G$10,F$10,$G1129=$G$11,F$11,$G1129=$G$12,F$12,$G1129=$G$13,F$13,$G1129=$G$15,F$15,$G1129=$G$16,F$16,$G1129=$G$17,F$17,$G1129=$G$18,F$18,$G1129=$G$19,F$19,$G1129=$G$20,F$20,$G1129=$G$21,F$21,$G1129=$G$22,F$22,$G1129=$G$25,F$25,$G1129=$G$26,F$26,$G1129=$G$27,F$27,$G1129=$G$29,F$29,$G1129=$G$31,F$31,$G1129=$G$32,F$32,$G1129=$G$248,F$248,$G1129=$G$250,F$250)</f>
        <v>8038</v>
      </c>
      <c r="G1129" t="s">
        <v>74</v>
      </c>
      <c r="H1129" s="60" cm="1">
        <f t="array" ref="H1129">_xlfn.IFS($G1129=$G$5,H$5,$G1129=$G$6,H$6,$G1129=$G$7,H$7,$G1129=$G$8,H$8,$G1129=$G$9,H$9,$G1129=$G$10,H$10,$G1129=$G$11,H$11,$G1129=$G$12,H$12,$G1129=$G$13,H$13,$G1129=$G$15,H$15,$G1129=$G$16,H$16,$G1129=$G$17,H$17,$G1129=$G$18,H$18,$G1129=$G$19,H$19,$G1129=$G$20,H$20,$G1129=$G$21,H$21,$G1129=$G$22,H$22,$G1129=$G$25,H$25,$G1129=$G$26,H$26,$G1129=$G$27,H$27,$G1129=$G$29,H$29,$G1129=$G$31,H$31,$G1129=$G$32,H$150,$G1129=$G$248,H$248,$G1129=$G$250,H$250)</f>
        <v>41.371864000000002</v>
      </c>
      <c r="I1129" s="60" cm="1">
        <f t="array" ref="I1129">_xlfn.IFS($G1129=$G$5,I$5,$G1129=$G$6,I$6,$G1129=$G$7,I$7,$G1129=$G$8,I$8,$G1129=$G$9,I$9,$G1129=$G$10,I$10,$G1129=$G$11,I$11,$G1129=$G$12,I$12,$G1129=$G$13,I$13,$G1129=$G$15,I$15,$G1129=$G$16,I$16,$G1129=$G$17,I$17,$G1129=$G$18,I$18,$G1129=$G$19,I$19,$G1129=$G$20,I$20,$G1129=$G$21,I$21,$G1129=$G$22,I$22,$G1129=$G$25,I$25,$G1129=$G$26,I$26,$G1129=$G$27,I$27,$G1129=$G$29,I$29,$G1129=$G$31,I$31,$G1129=$G$32,I$150,$G1129=$G$248,I$248,$G1129=$G$250,I$250)</f>
        <v>2.173899</v>
      </c>
      <c r="J1129" s="61" cm="1">
        <f t="array" ref="J1129">_xlfn.IFS($G1129=$G$5,J$5,$G1129=$G$6,J$6,$G1129=$G$7,J$7,$G1129=$G$8,J$8,$G1129=$G$9,J$9,$G1129=$G$10,J$10,$G1129=$G$11,J$11,$G1129=$G$12,J$12,$G1129=$G$13,J$13,$G1129=$G$15,J$15,$G1129=$G$16,J$16,$G1129=$G$17,J$17,$G1129=$G$18,J$18,$G1129=$G$19,J$19,$G1129=$G$20,J$20,$G1129=$G$21,J$21,$G1129=$G$22,J$22,$G1129=$G$25,J$25,$G1129=$G$26,J$26,$G1129=$G$27,J$27,$G1129=$G$29,J$29,$G1129=$G$31,J$31,$G1129=$G$32,J$150,$G1129=$G$248,J$248,$G1129=$G$250,J$250)</f>
        <v>5</v>
      </c>
      <c r="K1129" t="str" cm="1">
        <f t="array" ref="K1129">_xlfn.IFS($G1129=$G$5,K$5,$G1129=$G$6,K$6,$G1129=$G$7,K$7,$G1129=$G$8,K$8,$G1129=$G$9,K$9,$G1129=$G$10,K$10,$G1129=$G$11,K$11,$G1129=$G$12,K$12,$G1129=$G$13,K$13,$G1129=$G$15,K$15,$G1129=$G$16,K$16,$G1129=$G$17,K$17,$G1129=$G$18,K$18,$G1129=$G$19,K$19,$G1129=$G$20,K$20,$G1129=$G$21,K$21,$G1129=$G$22,K$22,$G1129=$G$25,K$25,$G1129=$G$26,K$26,$G1129=$G$27,K$27,$G1129=$G$29,K$29,$G1129=$G$31,K$31,$G1129=$G$32,K$150,$G1129=$G$248,K$248,$G1129=$G$250,K$250)</f>
        <v>BG sentinel + BG lure7</v>
      </c>
      <c r="O1129" s="69" t="str">
        <f t="shared" si="96"/>
        <v>A_SP_BCN_7_211125</v>
      </c>
      <c r="P1129" s="64">
        <v>44525</v>
      </c>
      <c r="R1129" s="72"/>
      <c r="S1129" s="64">
        <v>44532</v>
      </c>
      <c r="U1129" s="72"/>
      <c r="V1129" s="54" t="s">
        <v>66</v>
      </c>
      <c r="X1129" s="69">
        <f t="shared" si="88"/>
        <v>7</v>
      </c>
      <c r="AA1129" s="69">
        <f t="shared" si="98"/>
        <v>0</v>
      </c>
      <c r="AB1129" s="69" t="str">
        <f t="shared" si="100"/>
        <v/>
      </c>
      <c r="AE1129" s="45" t="str">
        <f t="shared" si="95"/>
        <v/>
      </c>
      <c r="AF1129" s="56">
        <v>4</v>
      </c>
    </row>
    <row r="1130" spans="1:32" ht="18" customHeight="1" x14ac:dyDescent="0.25">
      <c r="A1130" s="45">
        <v>1126</v>
      </c>
      <c r="B1130" s="45" t="s">
        <v>60</v>
      </c>
      <c r="C1130" s="45" t="s">
        <v>61</v>
      </c>
      <c r="D1130" s="45" t="s">
        <v>62</v>
      </c>
      <c r="E1130" s="45" t="s">
        <v>62</v>
      </c>
      <c r="F1130" s="59" cm="1">
        <f t="array" ref="F1130">_xlfn.IFS($G1130=$G$5,F$5,$G1130=$G$6,F$6,$G1130=$G$7,F$7,$G1130=$G$8,F$8,$G1130=$G$9,F$9,$G1130=$G$10,F$10,$G1130=$G$11,F$11,$G1130=$G$12,F$12,$G1130=$G$13,F$13,$G1130=$G$15,F$15,$G1130=$G$16,F$16,$G1130=$G$17,F$17,$G1130=$G$18,F$18,$G1130=$G$19,F$19,$G1130=$G$20,F$20,$G1130=$G$21,F$21,$G1130=$G$22,F$22,$G1130=$G$25,F$25,$G1130=$G$26,F$26,$G1130=$G$27,F$27,$G1130=$G$29,F$29,$G1130=$G$31,F$31,$G1130=$G$32,F$32,$G1130=$G$248,F$248,$G1130=$G$250,F$250)</f>
        <v>8038</v>
      </c>
      <c r="G1130" t="s">
        <v>75</v>
      </c>
      <c r="H1130" s="60" cm="1">
        <f t="array" ref="H1130">_xlfn.IFS($G1130=$G$5,H$5,$G1130=$G$6,H$6,$G1130=$G$7,H$7,$G1130=$G$8,H$8,$G1130=$G$9,H$9,$G1130=$G$10,H$10,$G1130=$G$11,H$11,$G1130=$G$12,H$12,$G1130=$G$13,H$13,$G1130=$G$15,H$15,$G1130=$G$16,H$16,$G1130=$G$17,H$17,$G1130=$G$18,H$18,$G1130=$G$19,H$19,$G1130=$G$20,H$20,$G1130=$G$21,H$21,$G1130=$G$22,H$22,$G1130=$G$25,H$25,$G1130=$G$26,H$26,$G1130=$G$27,H$27,$G1130=$G$29,H$29,$G1130=$G$31,H$31,$G1130=$G$32,H$150,$G1130=$G$248,H$248,$G1130=$G$250,H$250)</f>
        <v>41.368589</v>
      </c>
      <c r="I1130" s="60" cm="1">
        <f t="array" ref="I1130">_xlfn.IFS($G1130=$G$5,I$5,$G1130=$G$6,I$6,$G1130=$G$7,I$7,$G1130=$G$8,I$8,$G1130=$G$9,I$9,$G1130=$G$10,I$10,$G1130=$G$11,I$11,$G1130=$G$12,I$12,$G1130=$G$13,I$13,$G1130=$G$15,I$15,$G1130=$G$16,I$16,$G1130=$G$17,I$17,$G1130=$G$18,I$18,$G1130=$G$19,I$19,$G1130=$G$20,I$20,$G1130=$G$21,I$21,$G1130=$G$22,I$22,$G1130=$G$25,I$25,$G1130=$G$26,I$26,$G1130=$G$27,I$27,$G1130=$G$29,I$29,$G1130=$G$31,I$31,$G1130=$G$32,I$150,$G1130=$G$248,I$248,$G1130=$G$250,I$250)</f>
        <v>2.1620900000000001</v>
      </c>
      <c r="J1130" s="61" cm="1">
        <f t="array" ref="J1130">_xlfn.IFS($G1130=$G$5,J$5,$G1130=$G$6,J$6,$G1130=$G$7,J$7,$G1130=$G$8,J$8,$G1130=$G$9,J$9,$G1130=$G$10,J$10,$G1130=$G$11,J$11,$G1130=$G$12,J$12,$G1130=$G$13,J$13,$G1130=$G$15,J$15,$G1130=$G$16,J$16,$G1130=$G$17,J$17,$G1130=$G$18,J$18,$G1130=$G$19,J$19,$G1130=$G$20,J$20,$G1130=$G$21,J$21,$G1130=$G$22,J$22,$G1130=$G$25,J$25,$G1130=$G$26,J$26,$G1130=$G$27,J$27,$G1130=$G$29,J$29,$G1130=$G$31,J$31,$G1130=$G$32,J$150,$G1130=$G$248,J$248,$G1130=$G$250,J$250)</f>
        <v>95</v>
      </c>
      <c r="K1130" t="str" cm="1">
        <f t="array" ref="K1130">_xlfn.IFS($G1130=$G$5,K$5,$G1130=$G$6,K$6,$G1130=$G$7,K$7,$G1130=$G$8,K$8,$G1130=$G$9,K$9,$G1130=$G$10,K$10,$G1130=$G$11,K$11,$G1130=$G$12,K$12,$G1130=$G$13,K$13,$G1130=$G$15,K$15,$G1130=$G$16,K$16,$G1130=$G$17,K$17,$G1130=$G$18,K$18,$G1130=$G$19,K$19,$G1130=$G$20,K$20,$G1130=$G$21,K$21,$G1130=$G$22,K$22,$G1130=$G$25,K$25,$G1130=$G$26,K$26,$G1130=$G$27,K$27,$G1130=$G$29,K$29,$G1130=$G$31,K$31,$G1130=$G$32,K$150,$G1130=$G$248,K$248,$G1130=$G$250,K$250)</f>
        <v>BG sentinel + BG lure7</v>
      </c>
      <c r="O1130" s="69" t="str">
        <f t="shared" si="96"/>
        <v>A_SP_BCN_8_211125</v>
      </c>
      <c r="P1130" s="64">
        <v>44525</v>
      </c>
      <c r="R1130" s="72"/>
      <c r="S1130" s="64">
        <v>44532</v>
      </c>
      <c r="U1130" s="72"/>
      <c r="V1130" s="54" t="s">
        <v>66</v>
      </c>
      <c r="X1130" s="69">
        <f t="shared" si="88"/>
        <v>7</v>
      </c>
      <c r="AA1130" s="69">
        <f t="shared" si="98"/>
        <v>0</v>
      </c>
      <c r="AB1130" s="69" t="str">
        <f t="shared" si="100"/>
        <v/>
      </c>
      <c r="AE1130" s="45" t="str">
        <f t="shared" si="95"/>
        <v/>
      </c>
      <c r="AF1130" s="56">
        <v>4</v>
      </c>
    </row>
    <row r="1131" spans="1:32" ht="18" customHeight="1" x14ac:dyDescent="0.25">
      <c r="A1131" s="45">
        <v>1127</v>
      </c>
      <c r="B1131" s="45" t="s">
        <v>60</v>
      </c>
      <c r="C1131" s="45" t="s">
        <v>61</v>
      </c>
      <c r="D1131" s="45" t="s">
        <v>62</v>
      </c>
      <c r="E1131" s="45" t="s">
        <v>62</v>
      </c>
      <c r="F1131" s="59" cm="1">
        <f t="array" ref="F1131">_xlfn.IFS($G1131=$G$5,F$5,$G1131=$G$6,F$6,$G1131=$G$7,F$7,$G1131=$G$8,F$8,$G1131=$G$9,F$9,$G1131=$G$10,F$10,$G1131=$G$11,F$11,$G1131=$G$12,F$12,$G1131=$G$13,F$13,$G1131=$G$15,F$15,$G1131=$G$16,F$16,$G1131=$G$17,F$17,$G1131=$G$18,F$18,$G1131=$G$19,F$19,$G1131=$G$20,F$20,$G1131=$G$21,F$21,$G1131=$G$22,F$22,$G1131=$G$25,F$25,$G1131=$G$26,F$26,$G1131=$G$27,F$27,$G1131=$G$29,F$29,$G1131=$G$31,F$31,$G1131=$G$32,F$32,$G1131=$G$248,F$248,$G1131=$G$250,F$250)</f>
        <v>8034</v>
      </c>
      <c r="G1131" t="s">
        <v>78</v>
      </c>
      <c r="H1131" s="60" cm="1">
        <f t="array" ref="H1131">_xlfn.IFS($G1131=$G$5,H$5,$G1131=$G$6,H$6,$G1131=$G$7,H$7,$G1131=$G$8,H$8,$G1131=$G$9,H$9,$G1131=$G$10,H$10,$G1131=$G$11,H$11,$G1131=$G$12,H$12,$G1131=$G$13,H$13,$G1131=$G$15,H$15,$G1131=$G$16,H$16,$G1131=$G$17,H$17,$G1131=$G$18,H$18,$G1131=$G$19,H$19,$G1131=$G$20,H$20,$G1131=$G$21,H$21,$G1131=$G$22,H$22,$G1131=$G$25,H$25,$G1131=$G$26,H$26,$G1131=$G$27,H$27,$G1131=$G$29,H$29,$G1131=$G$31,H$31,$G1131=$G$32,H$150,$G1131=$G$248,H$248,$G1131=$G$250,H$250)</f>
        <v>41.393644999999999</v>
      </c>
      <c r="I1131" s="60" cm="1">
        <f t="array" ref="I1131">_xlfn.IFS($G1131=$G$5,I$5,$G1131=$G$6,I$6,$G1131=$G$7,I$7,$G1131=$G$8,I$8,$G1131=$G$9,I$9,$G1131=$G$10,I$10,$G1131=$G$11,I$11,$G1131=$G$12,I$12,$G1131=$G$13,I$13,$G1131=$G$15,I$15,$G1131=$G$16,I$16,$G1131=$G$17,I$17,$G1131=$G$18,I$18,$G1131=$G$19,I$19,$G1131=$G$20,I$20,$G1131=$G$21,I$21,$G1131=$G$22,I$22,$G1131=$G$25,I$25,$G1131=$G$26,I$26,$G1131=$G$27,I$27,$G1131=$G$29,I$29,$G1131=$G$31,I$31,$G1131=$G$32,I$150,$G1131=$G$248,I$248,$G1131=$G$250,I$250)</f>
        <v>2.1216780000000002</v>
      </c>
      <c r="J1131" s="61" cm="1">
        <f t="array" ref="J1131">_xlfn.IFS($G1131=$G$5,J$5,$G1131=$G$6,J$6,$G1131=$G$7,J$7,$G1131=$G$8,J$8,$G1131=$G$9,J$9,$G1131=$G$10,J$10,$G1131=$G$11,J$11,$G1131=$G$12,J$12,$G1131=$G$13,J$13,$G1131=$G$15,J$15,$G1131=$G$16,J$16,$G1131=$G$17,J$17,$G1131=$G$18,J$18,$G1131=$G$19,J$19,$G1131=$G$20,J$20,$G1131=$G$21,J$21,$G1131=$G$22,J$22,$G1131=$G$25,J$25,$G1131=$G$26,J$26,$G1131=$G$27,J$27,$G1131=$G$29,J$29,$G1131=$G$31,J$31,$G1131=$G$32,J$150,$G1131=$G$248,J$248,$G1131=$G$250,J$250)</f>
        <v>98</v>
      </c>
      <c r="K1131" t="str" cm="1">
        <f t="array" ref="K1131">_xlfn.IFS($G1131=$G$5,K$5,$G1131=$G$6,K$6,$G1131=$G$7,K$7,$G1131=$G$8,K$8,$G1131=$G$9,K$9,$G1131=$G$10,K$10,$G1131=$G$11,K$11,$G1131=$G$12,K$12,$G1131=$G$13,K$13,$G1131=$G$15,K$15,$G1131=$G$16,K$16,$G1131=$G$17,K$17,$G1131=$G$18,K$18,$G1131=$G$19,K$19,$G1131=$G$20,K$20,$G1131=$G$21,K$21,$G1131=$G$22,K$22,$G1131=$G$25,K$25,$G1131=$G$26,K$26,$G1131=$G$27,K$27,$G1131=$G$29,K$29,$G1131=$G$31,K$31,$G1131=$G$32,K$150,$G1131=$G$248,K$248,$G1131=$G$250,K$250)</f>
        <v>BG sentinel + BG lure7</v>
      </c>
      <c r="O1131" s="69" t="str">
        <f t="shared" si="96"/>
        <v>A_SP_BCN_9_211124</v>
      </c>
      <c r="P1131" s="64">
        <v>44524</v>
      </c>
      <c r="R1131" s="72"/>
      <c r="S1131" s="64">
        <v>44531</v>
      </c>
      <c r="U1131" s="72"/>
      <c r="V1131" s="54" t="s">
        <v>66</v>
      </c>
      <c r="X1131" s="69">
        <f t="shared" si="88"/>
        <v>7</v>
      </c>
      <c r="Z1131" s="45" t="s">
        <v>80</v>
      </c>
      <c r="AA1131" s="69">
        <f t="shared" si="98"/>
        <v>1</v>
      </c>
      <c r="AB1131" s="69" t="str">
        <f t="shared" si="100"/>
        <v>Adult</v>
      </c>
      <c r="AC1131" s="69">
        <v>1</v>
      </c>
      <c r="AD1131" s="69">
        <v>0</v>
      </c>
      <c r="AE1131" s="45" t="str">
        <f t="shared" si="95"/>
        <v>Morphological</v>
      </c>
      <c r="AF1131" s="56">
        <v>4</v>
      </c>
    </row>
    <row r="1132" spans="1:32" ht="18" customHeight="1" x14ac:dyDescent="0.25">
      <c r="A1132" s="45">
        <v>1128</v>
      </c>
      <c r="B1132" s="45" t="s">
        <v>60</v>
      </c>
      <c r="C1132" s="45" t="s">
        <v>61</v>
      </c>
      <c r="D1132" s="45" t="s">
        <v>62</v>
      </c>
      <c r="E1132" s="45" t="s">
        <v>62</v>
      </c>
      <c r="F1132" s="59" cm="1">
        <f t="array" ref="F1132">_xlfn.IFS($G1132=$G$5,F$5,$G1132=$G$6,F$6,$G1132=$G$7,F$7,$G1132=$G$8,F$8,$G1132=$G$9,F$9,$G1132=$G$10,F$10,$G1132=$G$11,F$11,$G1132=$G$12,F$12,$G1132=$G$13,F$13,$G1132=$G$15,F$15,$G1132=$G$16,F$16,$G1132=$G$17,F$17,$G1132=$G$18,F$18,$G1132=$G$19,F$19,$G1132=$G$20,F$20,$G1132=$G$21,F$21,$G1132=$G$22,F$22,$G1132=$G$25,F$25,$G1132=$G$26,F$26,$G1132=$G$27,F$27,$G1132=$G$29,F$29,$G1132=$G$31,F$31,$G1132=$G$32,F$32,$G1132=$G$248,F$248,$G1132=$G$250,F$250)</f>
        <v>8040</v>
      </c>
      <c r="G1132" t="s">
        <v>81</v>
      </c>
      <c r="H1132" s="60" cm="1">
        <f t="array" ref="H1132">_xlfn.IFS($G1132=$G$5,H$5,$G1132=$G$6,H$6,$G1132=$G$7,H$7,$G1132=$G$8,H$8,$G1132=$G$9,H$9,$G1132=$G$10,H$10,$G1132=$G$11,H$11,$G1132=$G$12,H$12,$G1132=$G$13,H$13,$G1132=$G$15,H$15,$G1132=$G$16,H$16,$G1132=$G$17,H$17,$G1132=$G$18,H$18,$G1132=$G$19,H$19,$G1132=$G$20,H$20,$G1132=$G$21,H$21,$G1132=$G$22,H$22,$G1132=$G$25,H$25,$G1132=$G$26,H$26,$G1132=$G$27,H$27,$G1132=$G$29,H$29,$G1132=$G$31,H$31,$G1132=$G$32,H$150,$G1132=$G$248,H$248,$G1132=$G$250,H$250)</f>
        <v>41.343685000000001</v>
      </c>
      <c r="I1132" s="60" cm="1">
        <f t="array" ref="I1132">_xlfn.IFS($G1132=$G$5,I$5,$G1132=$G$6,I$6,$G1132=$G$7,I$7,$G1132=$G$8,I$8,$G1132=$G$9,I$9,$G1132=$G$10,I$10,$G1132=$G$11,I$11,$G1132=$G$12,I$12,$G1132=$G$13,I$13,$G1132=$G$15,I$15,$G1132=$G$16,I$16,$G1132=$G$17,I$17,$G1132=$G$18,I$18,$G1132=$G$19,I$19,$G1132=$G$20,I$20,$G1132=$G$21,I$21,$G1132=$G$22,I$22,$G1132=$G$25,I$25,$G1132=$G$26,I$26,$G1132=$G$27,I$27,$G1132=$G$29,I$29,$G1132=$G$31,I$31,$G1132=$G$32,I$150,$G1132=$G$248,I$248,$G1132=$G$250,I$250)</f>
        <v>2.1441490000000001</v>
      </c>
      <c r="J1132" s="61" cm="1">
        <f t="array" ref="J1132">_xlfn.IFS($G1132=$G$5,J$5,$G1132=$G$6,J$6,$G1132=$G$7,J$7,$G1132=$G$8,J$8,$G1132=$G$9,J$9,$G1132=$G$10,J$10,$G1132=$G$11,J$11,$G1132=$G$12,J$12,$G1132=$G$13,J$13,$G1132=$G$15,J$15,$G1132=$G$16,J$16,$G1132=$G$17,J$17,$G1132=$G$18,J$18,$G1132=$G$19,J$19,$G1132=$G$20,J$20,$G1132=$G$21,J$21,$G1132=$G$22,J$22,$G1132=$G$25,J$25,$G1132=$G$26,J$26,$G1132=$G$27,J$27,$G1132=$G$29,J$29,$G1132=$G$31,J$31,$G1132=$G$32,J$150,$G1132=$G$248,J$248,$G1132=$G$250,J$250)</f>
        <v>4</v>
      </c>
      <c r="K1132" t="str" cm="1">
        <f t="array" ref="K1132">_xlfn.IFS($G1132=$G$5,K$5,$G1132=$G$6,K$6,$G1132=$G$7,K$7,$G1132=$G$8,K$8,$G1132=$G$9,K$9,$G1132=$G$10,K$10,$G1132=$G$11,K$11,$G1132=$G$12,K$12,$G1132=$G$13,K$13,$G1132=$G$15,K$15,$G1132=$G$16,K$16,$G1132=$G$17,K$17,$G1132=$G$18,K$18,$G1132=$G$19,K$19,$G1132=$G$20,K$20,$G1132=$G$21,K$21,$G1132=$G$22,K$22,$G1132=$G$25,K$25,$G1132=$G$26,K$26,$G1132=$G$27,K$27,$G1132=$G$29,K$29,$G1132=$G$31,K$31,$G1132=$G$32,K$150,$G1132=$G$248,K$248,$G1132=$G$250,K$250)</f>
        <v>BG sentinel + BG lure7</v>
      </c>
      <c r="O1132" s="69" t="str">
        <f t="shared" si="96"/>
        <v>A_SP_BCN_10_211125</v>
      </c>
      <c r="P1132" s="64">
        <v>44525</v>
      </c>
      <c r="R1132" s="72"/>
      <c r="S1132" s="64">
        <v>44532</v>
      </c>
      <c r="U1132" s="72"/>
      <c r="V1132" s="54" t="s">
        <v>66</v>
      </c>
      <c r="X1132" s="69">
        <f t="shared" ref="X1132:X1156" si="101">S1132-P1132</f>
        <v>7</v>
      </c>
      <c r="AA1132" s="69">
        <f t="shared" si="98"/>
        <v>0</v>
      </c>
      <c r="AB1132" s="69" t="str">
        <f t="shared" si="100"/>
        <v/>
      </c>
      <c r="AE1132" s="45" t="str">
        <f t="shared" si="95"/>
        <v/>
      </c>
      <c r="AF1132" s="56">
        <v>4</v>
      </c>
    </row>
    <row r="1133" spans="1:32" ht="18" customHeight="1" x14ac:dyDescent="0.25">
      <c r="A1133" s="45">
        <v>1129</v>
      </c>
      <c r="B1133" s="45" t="s">
        <v>60</v>
      </c>
      <c r="C1133" s="45" t="s">
        <v>61</v>
      </c>
      <c r="D1133" s="45" t="s">
        <v>62</v>
      </c>
      <c r="E1133" s="45" t="s">
        <v>62</v>
      </c>
      <c r="F1133" s="59" cm="1">
        <f t="array" ref="F1133">_xlfn.IFS($G1133=$G$5,F$5,$G1133=$G$6,F$6,$G1133=$G$7,F$7,$G1133=$G$8,F$8,$G1133=$G$9,F$9,$G1133=$G$10,F$10,$G1133=$G$11,F$11,$G1133=$G$12,F$12,$G1133=$G$13,F$13,$G1133=$G$15,F$15,$G1133=$G$16,F$16,$G1133=$G$17,F$17,$G1133=$G$18,F$18,$G1133=$G$19,F$19,$G1133=$G$20,F$20,$G1133=$G$21,F$21,$G1133=$G$22,F$22,$G1133=$G$25,F$25,$G1133=$G$26,F$26,$G1133=$G$27,F$27,$G1133=$G$29,F$29,$G1133=$G$31,F$31,$G1133=$G$32,F$32,$G1133=$G$248,F$248,$G1133=$G$250,F$250)</f>
        <v>8038</v>
      </c>
      <c r="G1133" t="s">
        <v>82</v>
      </c>
      <c r="H1133" s="60" cm="1">
        <f t="array" ref="H1133">_xlfn.IFS($G1133=$G$5,H$5,$G1133=$G$6,H$6,$G1133=$G$7,H$7,$G1133=$G$8,H$8,$G1133=$G$9,H$9,$G1133=$G$10,H$10,$G1133=$G$11,H$11,$G1133=$G$12,H$12,$G1133=$G$13,H$13,$G1133=$G$15,H$15,$G1133=$G$16,H$16,$G1133=$G$17,H$17,$G1133=$G$18,H$18,$G1133=$G$19,H$19,$G1133=$G$20,H$20,$G1133=$G$21,H$21,$G1133=$G$22,H$22,$G1133=$G$25,H$25,$G1133=$G$26,H$26,$G1133=$G$27,H$27,$G1133=$G$29,H$29,$G1133=$G$31,H$31,$G1133=$G$32,H$150,$G1133=$G$248,H$248,$G1133=$G$250,H$250)</f>
        <v>41.367429999999999</v>
      </c>
      <c r="I1133" s="60" cm="1">
        <f t="array" ref="I1133">_xlfn.IFS($G1133=$G$5,I$5,$G1133=$G$6,I$6,$G1133=$G$7,I$7,$G1133=$G$8,I$8,$G1133=$G$9,I$9,$G1133=$G$10,I$10,$G1133=$G$11,I$11,$G1133=$G$12,I$12,$G1133=$G$13,I$13,$G1133=$G$15,I$15,$G1133=$G$16,I$16,$G1133=$G$17,I$17,$G1133=$G$18,I$18,$G1133=$G$19,I$19,$G1133=$G$20,I$20,$G1133=$G$21,I$21,$G1133=$G$22,I$22,$G1133=$G$25,I$25,$G1133=$G$26,I$26,$G1133=$G$27,I$27,$G1133=$G$29,I$29,$G1133=$G$31,I$31,$G1133=$G$32,I$150,$G1133=$G$248,I$248,$G1133=$G$250,I$250)</f>
        <v>2.1569609999999999</v>
      </c>
      <c r="J1133" s="61" cm="1">
        <f t="array" ref="J1133">_xlfn.IFS($G1133=$G$5,J$5,$G1133=$G$6,J$6,$G1133=$G$7,J$7,$G1133=$G$8,J$8,$G1133=$G$9,J$9,$G1133=$G$10,J$10,$G1133=$G$11,J$11,$G1133=$G$12,J$12,$G1133=$G$13,J$13,$G1133=$G$15,J$15,$G1133=$G$16,J$16,$G1133=$G$17,J$17,$G1133=$G$18,J$18,$G1133=$G$19,J$19,$G1133=$G$20,J$20,$G1133=$G$21,J$21,$G1133=$G$22,J$22,$G1133=$G$25,J$25,$G1133=$G$26,J$26,$G1133=$G$27,J$27,$G1133=$G$29,J$29,$G1133=$G$31,J$31,$G1133=$G$32,J$150,$G1133=$G$248,J$248,$G1133=$G$250,J$250)</f>
        <v>91</v>
      </c>
      <c r="K1133" t="str" cm="1">
        <f t="array" ref="K1133">_xlfn.IFS($G1133=$G$5,K$5,$G1133=$G$6,K$6,$G1133=$G$7,K$7,$G1133=$G$8,K$8,$G1133=$G$9,K$9,$G1133=$G$10,K$10,$G1133=$G$11,K$11,$G1133=$G$12,K$12,$G1133=$G$13,K$13,$G1133=$G$15,K$15,$G1133=$G$16,K$16,$G1133=$G$17,K$17,$G1133=$G$18,K$18,$G1133=$G$19,K$19,$G1133=$G$20,K$20,$G1133=$G$21,K$21,$G1133=$G$22,K$22,$G1133=$G$25,K$25,$G1133=$G$26,K$26,$G1133=$G$27,K$27,$G1133=$G$29,K$29,$G1133=$G$31,K$31,$G1133=$G$32,K$150,$G1133=$G$248,K$248,$G1133=$G$250,K$250)</f>
        <v>BG sentinel + BG lure7</v>
      </c>
      <c r="O1133" s="69" t="str">
        <f t="shared" si="96"/>
        <v>A_SP_BCN_11_211125</v>
      </c>
      <c r="P1133" s="64">
        <v>44525</v>
      </c>
      <c r="R1133" s="72"/>
      <c r="S1133" s="64">
        <v>44532</v>
      </c>
      <c r="U1133" s="72"/>
      <c r="V1133" s="54" t="s">
        <v>66</v>
      </c>
      <c r="X1133" s="69">
        <f t="shared" si="101"/>
        <v>7</v>
      </c>
      <c r="AA1133" s="69">
        <f t="shared" si="98"/>
        <v>0</v>
      </c>
      <c r="AB1133" s="69" t="str">
        <f t="shared" si="100"/>
        <v/>
      </c>
      <c r="AE1133" s="45" t="str">
        <f t="shared" si="95"/>
        <v/>
      </c>
      <c r="AF1133" s="56">
        <v>4</v>
      </c>
    </row>
    <row r="1134" spans="1:32" ht="18" customHeight="1" x14ac:dyDescent="0.25">
      <c r="A1134" s="45">
        <v>1130</v>
      </c>
      <c r="B1134" s="45" t="s">
        <v>60</v>
      </c>
      <c r="C1134" s="45" t="s">
        <v>61</v>
      </c>
      <c r="D1134" s="45" t="s">
        <v>62</v>
      </c>
      <c r="E1134" s="45" t="s">
        <v>62</v>
      </c>
      <c r="F1134" s="59" cm="1">
        <f t="array" ref="F1134">_xlfn.IFS($G1134=$G$5,F$5,$G1134=$G$6,F$6,$G1134=$G$7,F$7,$G1134=$G$8,F$8,$G1134=$G$9,F$9,$G1134=$G$10,F$10,$G1134=$G$11,F$11,$G1134=$G$12,F$12,$G1134=$G$13,F$13,$G1134=$G$15,F$15,$G1134=$G$16,F$16,$G1134=$G$17,F$17,$G1134=$G$18,F$18,$G1134=$G$19,F$19,$G1134=$G$20,F$20,$G1134=$G$21,F$21,$G1134=$G$22,F$22,$G1134=$G$25,F$25,$G1134=$G$26,F$26,$G1134=$G$27,F$27,$G1134=$G$29,F$29,$G1134=$G$31,F$31,$G1134=$G$32,F$32,$G1134=$G$248,F$248,$G1134=$G$250,F$250)</f>
        <v>8038</v>
      </c>
      <c r="G1134" t="s">
        <v>84</v>
      </c>
      <c r="H1134" s="60" cm="1">
        <f t="array" ref="H1134">_xlfn.IFS($G1134=$G$5,H$5,$G1134=$G$6,H$6,$G1134=$G$7,H$7,$G1134=$G$8,H$8,$G1134=$G$9,H$9,$G1134=$G$10,H$10,$G1134=$G$11,H$11,$G1134=$G$12,H$12,$G1134=$G$13,H$13,$G1134=$G$15,H$15,$G1134=$G$16,H$16,$G1134=$G$17,H$17,$G1134=$G$18,H$18,$G1134=$G$19,H$19,$G1134=$G$20,H$20,$G1134=$G$21,H$21,$G1134=$G$22,H$22,$G1134=$G$25,H$25,$G1134=$G$26,H$26,$G1134=$G$27,H$27,$G1134=$G$29,H$29,$G1134=$G$31,H$31,$G1134=$G$32,H$150,$G1134=$G$248,H$248,$G1134=$G$250,H$250)</f>
        <v>41.363377999999997</v>
      </c>
      <c r="I1134" s="60" cm="1">
        <f t="array" ref="I1134">_xlfn.IFS($G1134=$G$5,I$5,$G1134=$G$6,I$6,$G1134=$G$7,I$7,$G1134=$G$8,I$8,$G1134=$G$9,I$9,$G1134=$G$10,I$10,$G1134=$G$11,I$11,$G1134=$G$12,I$12,$G1134=$G$13,I$13,$G1134=$G$15,I$15,$G1134=$G$16,I$16,$G1134=$G$17,I$17,$G1134=$G$18,I$18,$G1134=$G$19,I$19,$G1134=$G$20,I$20,$G1134=$G$21,I$21,$G1134=$G$22,I$22,$G1134=$G$25,I$25,$G1134=$G$26,I$26,$G1134=$G$27,I$27,$G1134=$G$29,I$29,$G1134=$G$31,I$31,$G1134=$G$32,I$150,$G1134=$G$248,I$248,$G1134=$G$250,I$250)</f>
        <v>2.164879</v>
      </c>
      <c r="J1134" s="61" cm="1">
        <f t="array" ref="J1134">_xlfn.IFS($G1134=$G$5,J$5,$G1134=$G$6,J$6,$G1134=$G$7,J$7,$G1134=$G$8,J$8,$G1134=$G$9,J$9,$G1134=$G$10,J$10,$G1134=$G$11,J$11,$G1134=$G$12,J$12,$G1134=$G$13,J$13,$G1134=$G$15,J$15,$G1134=$G$16,J$16,$G1134=$G$17,J$17,$G1134=$G$18,J$18,$G1134=$G$19,J$19,$G1134=$G$20,J$20,$G1134=$G$21,J$21,$G1134=$G$22,J$22,$G1134=$G$25,J$25,$G1134=$G$26,J$26,$G1134=$G$27,J$27,$G1134=$G$29,J$29,$G1134=$G$31,J$31,$G1134=$G$32,J$150,$G1134=$G$248,J$248,$G1134=$G$250,J$250)</f>
        <v>185</v>
      </c>
      <c r="K1134" t="str" cm="1">
        <f t="array" ref="K1134">_xlfn.IFS($G1134=$G$5,K$5,$G1134=$G$6,K$6,$G1134=$G$7,K$7,$G1134=$G$8,K$8,$G1134=$G$9,K$9,$G1134=$G$10,K$10,$G1134=$G$11,K$11,$G1134=$G$12,K$12,$G1134=$G$13,K$13,$G1134=$G$15,K$15,$G1134=$G$16,K$16,$G1134=$G$17,K$17,$G1134=$G$18,K$18,$G1134=$G$19,K$19,$G1134=$G$20,K$20,$G1134=$G$21,K$21,$G1134=$G$22,K$22,$G1134=$G$25,K$25,$G1134=$G$26,K$26,$G1134=$G$27,K$27,$G1134=$G$29,K$29,$G1134=$G$31,K$31,$G1134=$G$32,K$150,$G1134=$G$248,K$248,$G1134=$G$250,K$250)</f>
        <v>BG sentinel + BG lure7</v>
      </c>
      <c r="O1134" s="69" t="str">
        <f t="shared" si="96"/>
        <v>A_SP_BCN_12_211125</v>
      </c>
      <c r="P1134" s="64">
        <v>44525</v>
      </c>
      <c r="R1134" s="72"/>
      <c r="S1134" s="64">
        <v>44532</v>
      </c>
      <c r="U1134" s="72"/>
      <c r="V1134" s="54" t="s">
        <v>66</v>
      </c>
      <c r="X1134" s="69">
        <f t="shared" si="101"/>
        <v>7</v>
      </c>
      <c r="AA1134" s="69">
        <f t="shared" si="98"/>
        <v>0</v>
      </c>
      <c r="AB1134" s="69" t="str">
        <f t="shared" si="100"/>
        <v/>
      </c>
      <c r="AE1134" s="45" t="str">
        <f t="shared" si="95"/>
        <v/>
      </c>
      <c r="AF1134" s="56">
        <v>4</v>
      </c>
    </row>
    <row r="1135" spans="1:32" ht="18" customHeight="1" x14ac:dyDescent="0.25">
      <c r="A1135" s="45">
        <v>1131</v>
      </c>
      <c r="B1135" s="45" t="s">
        <v>60</v>
      </c>
      <c r="C1135" s="45" t="s">
        <v>61</v>
      </c>
      <c r="D1135" s="45" t="s">
        <v>62</v>
      </c>
      <c r="E1135" s="45" t="s">
        <v>62</v>
      </c>
      <c r="F1135" s="59" cm="1">
        <f t="array" ref="F1135">_xlfn.IFS($G1135=$G$5,F$5,$G1135=$G$6,F$6,$G1135=$G$7,F$7,$G1135=$G$8,F$8,$G1135=$G$9,F$9,$G1135=$G$10,F$10,$G1135=$G$11,F$11,$G1135=$G$12,F$12,$G1135=$G$13,F$13,$G1135=$G$15,F$15,$G1135=$G$16,F$16,$G1135=$G$17,F$17,$G1135=$G$18,F$18,$G1135=$G$19,F$19,$G1135=$G$20,F$20,$G1135=$G$21,F$21,$G1135=$G$22,F$22,$G1135=$G$25,F$25,$G1135=$G$26,F$26,$G1135=$G$27,F$27,$G1135=$G$29,F$29,$G1135=$G$31,F$31,$G1135=$G$32,F$32,$G1135=$G$248,F$248,$G1135=$G$250,F$250)</f>
        <v>8035</v>
      </c>
      <c r="G1135" t="s">
        <v>85</v>
      </c>
      <c r="H1135" s="60" cm="1">
        <f t="array" ref="H1135">_xlfn.IFS($G1135=$G$5,H$5,$G1135=$G$6,H$6,$G1135=$G$7,H$7,$G1135=$G$8,H$8,$G1135=$G$9,H$9,$G1135=$G$10,H$10,$G1135=$G$11,H$11,$G1135=$G$12,H$12,$G1135=$G$13,H$13,$G1135=$G$15,H$15,$G1135=$G$16,H$16,$G1135=$G$17,H$17,$G1135=$G$18,H$18,$G1135=$G$19,H$19,$G1135=$G$20,H$20,$G1135=$G$21,H$21,$G1135=$G$22,H$22,$G1135=$G$25,H$25,$G1135=$G$26,H$26,$G1135=$G$27,H$27,$G1135=$G$29,H$29,$G1135=$G$31,H$31,$G1135=$G$32,H$150,$G1135=$G$248,H$248,$G1135=$G$250,H$250)</f>
        <v>41.434472</v>
      </c>
      <c r="I1135" s="60" cm="1">
        <f t="array" ref="I1135">_xlfn.IFS($G1135=$G$5,I$5,$G1135=$G$6,I$6,$G1135=$G$7,I$7,$G1135=$G$8,I$8,$G1135=$G$9,I$9,$G1135=$G$10,I$10,$G1135=$G$11,I$11,$G1135=$G$12,I$12,$G1135=$G$13,I$13,$G1135=$G$15,I$15,$G1135=$G$16,I$16,$G1135=$G$17,I$17,$G1135=$G$18,I$18,$G1135=$G$19,I$19,$G1135=$G$20,I$20,$G1135=$G$21,I$21,$G1135=$G$22,I$22,$G1135=$G$25,I$25,$G1135=$G$26,I$26,$G1135=$G$27,I$27,$G1135=$G$29,I$29,$G1135=$G$31,I$31,$G1135=$G$32,I$150,$G1135=$G$248,I$248,$G1135=$G$250,I$250)</f>
        <v>2.1315789999999999</v>
      </c>
      <c r="J1135" s="61" cm="1">
        <f t="array" ref="J1135">_xlfn.IFS($G1135=$G$5,J$5,$G1135=$G$6,J$6,$G1135=$G$7,J$7,$G1135=$G$8,J$8,$G1135=$G$9,J$9,$G1135=$G$10,J$10,$G1135=$G$11,J$11,$G1135=$G$12,J$12,$G1135=$G$13,J$13,$G1135=$G$15,J$15,$G1135=$G$16,J$16,$G1135=$G$17,J$17,$G1135=$G$18,J$18,$G1135=$G$19,J$19,$G1135=$G$20,J$20,$G1135=$G$21,J$21,$G1135=$G$22,J$22,$G1135=$G$25,J$25,$G1135=$G$26,J$26,$G1135=$G$27,J$27,$G1135=$G$29,J$29,$G1135=$G$31,J$31,$G1135=$G$32,J$150,$G1135=$G$248,J$248,$G1135=$G$250,J$250)</f>
        <v>365</v>
      </c>
      <c r="K1135" t="str" cm="1">
        <f t="array" ref="K1135">_xlfn.IFS($G1135=$G$5,K$5,$G1135=$G$6,K$6,$G1135=$G$7,K$7,$G1135=$G$8,K$8,$G1135=$G$9,K$9,$G1135=$G$10,K$10,$G1135=$G$11,K$11,$G1135=$G$12,K$12,$G1135=$G$13,K$13,$G1135=$G$15,K$15,$G1135=$G$16,K$16,$G1135=$G$17,K$17,$G1135=$G$18,K$18,$G1135=$G$19,K$19,$G1135=$G$20,K$20,$G1135=$G$21,K$21,$G1135=$G$22,K$22,$G1135=$G$25,K$25,$G1135=$G$26,K$26,$G1135=$G$27,K$27,$G1135=$G$29,K$29,$G1135=$G$31,K$31,$G1135=$G$32,K$150,$G1135=$G$248,K$248,$G1135=$G$250,K$250)</f>
        <v>BG sentinel + BG lure7</v>
      </c>
      <c r="O1135" s="69" t="str">
        <f t="shared" si="96"/>
        <v>A_SP_BCN_13_211124</v>
      </c>
      <c r="P1135" s="64">
        <v>44524</v>
      </c>
      <c r="R1135" s="72"/>
      <c r="S1135" s="64">
        <v>44531</v>
      </c>
      <c r="U1135" s="72"/>
      <c r="V1135" s="54" t="s">
        <v>66</v>
      </c>
      <c r="X1135" s="69">
        <f t="shared" si="101"/>
        <v>7</v>
      </c>
      <c r="AA1135" s="69">
        <f t="shared" si="98"/>
        <v>0</v>
      </c>
      <c r="AB1135" s="69" t="str">
        <f t="shared" si="100"/>
        <v/>
      </c>
      <c r="AE1135" s="45" t="str">
        <f t="shared" si="95"/>
        <v/>
      </c>
      <c r="AF1135" s="56">
        <v>4</v>
      </c>
    </row>
    <row r="1136" spans="1:32" ht="18" customHeight="1" x14ac:dyDescent="0.25">
      <c r="A1136" s="45">
        <v>1132</v>
      </c>
      <c r="B1136" s="45" t="s">
        <v>60</v>
      </c>
      <c r="C1136" s="45" t="s">
        <v>61</v>
      </c>
      <c r="D1136" s="45" t="s">
        <v>62</v>
      </c>
      <c r="E1136" s="45" t="s">
        <v>62</v>
      </c>
      <c r="F1136" s="59" cm="1">
        <f t="array" ref="F1136">_xlfn.IFS($G1136=$G$5,F$5,$G1136=$G$6,F$6,$G1136=$G$7,F$7,$G1136=$G$8,F$8,$G1136=$G$9,F$9,$G1136=$G$10,F$10,$G1136=$G$11,F$11,$G1136=$G$12,F$12,$G1136=$G$13,F$13,$G1136=$G$15,F$15,$G1136=$G$16,F$16,$G1136=$G$17,F$17,$G1136=$G$18,F$18,$G1136=$G$19,F$19,$G1136=$G$20,F$20,$G1136=$G$21,F$21,$G1136=$G$22,F$22,$G1136=$G$25,F$25,$G1136=$G$26,F$26,$G1136=$G$27,F$27,$G1136=$G$29,F$29,$G1136=$G$31,F$31,$G1136=$G$32,F$32,$G1136=$G$248,F$248,$G1136=$G$250,F$250)</f>
        <v>8017</v>
      </c>
      <c r="G1136" t="s">
        <v>86</v>
      </c>
      <c r="H1136" s="60" cm="1">
        <f t="array" ref="H1136">_xlfn.IFS($G1136=$G$5,H$5,$G1136=$G$6,H$6,$G1136=$G$7,H$7,$G1136=$G$8,H$8,$G1136=$G$9,H$9,$G1136=$G$10,H$10,$G1136=$G$11,H$11,$G1136=$G$12,H$12,$G1136=$G$13,H$13,$G1136=$G$15,H$15,$G1136=$G$16,H$16,$G1136=$G$17,H$17,$G1136=$G$18,H$18,$G1136=$G$19,H$19,$G1136=$G$20,H$20,$G1136=$G$21,H$21,$G1136=$G$22,H$22,$G1136=$G$25,H$25,$G1136=$G$26,H$26,$G1136=$G$27,H$27,$G1136=$G$29,H$29,$G1136=$G$31,H$31,$G1136=$G$32,H$150,$G1136=$G$248,H$248,$G1136=$G$250,H$250)</f>
        <v>41.428533999999999</v>
      </c>
      <c r="I1136" s="60" cm="1">
        <f t="array" ref="I1136">_xlfn.IFS($G1136=$G$5,I$5,$G1136=$G$6,I$6,$G1136=$G$7,I$7,$G1136=$G$8,I$8,$G1136=$G$9,I$9,$G1136=$G$10,I$10,$G1136=$G$11,I$11,$G1136=$G$12,I$12,$G1136=$G$13,I$13,$G1136=$G$15,I$15,$G1136=$G$16,I$16,$G1136=$G$17,I$17,$G1136=$G$18,I$18,$G1136=$G$19,I$19,$G1136=$G$20,I$20,$G1136=$G$21,I$21,$G1136=$G$22,I$22,$G1136=$G$25,I$25,$G1136=$G$26,I$26,$G1136=$G$27,I$27,$G1136=$G$29,I$29,$G1136=$G$31,I$31,$G1136=$G$32,I$150,$G1136=$G$248,I$248,$G1136=$G$250,I$250)</f>
        <v>2.090954</v>
      </c>
      <c r="J1136" s="61" cm="1">
        <f t="array" ref="J1136">_xlfn.IFS($G1136=$G$5,J$5,$G1136=$G$6,J$6,$G1136=$G$7,J$7,$G1136=$G$8,J$8,$G1136=$G$9,J$9,$G1136=$G$10,J$10,$G1136=$G$11,J$11,$G1136=$G$12,J$12,$G1136=$G$13,J$13,$G1136=$G$15,J$15,$G1136=$G$16,J$16,$G1136=$G$17,J$17,$G1136=$G$18,J$18,$G1136=$G$19,J$19,$G1136=$G$20,J$20,$G1136=$G$21,J$21,$G1136=$G$22,J$22,$G1136=$G$25,J$25,$G1136=$G$26,J$26,$G1136=$G$27,J$27,$G1136=$G$29,J$29,$G1136=$G$31,J$31,$G1136=$G$32,J$150,$G1136=$G$248,J$248,$G1136=$G$250,J$250)</f>
        <v>215</v>
      </c>
      <c r="K1136" t="str" cm="1">
        <f t="array" ref="K1136">_xlfn.IFS($G1136=$G$5,K$5,$G1136=$G$6,K$6,$G1136=$G$7,K$7,$G1136=$G$8,K$8,$G1136=$G$9,K$9,$G1136=$G$10,K$10,$G1136=$G$11,K$11,$G1136=$G$12,K$12,$G1136=$G$13,K$13,$G1136=$G$15,K$15,$G1136=$G$16,K$16,$G1136=$G$17,K$17,$G1136=$G$18,K$18,$G1136=$G$19,K$19,$G1136=$G$20,K$20,$G1136=$G$21,K$21,$G1136=$G$22,K$22,$G1136=$G$25,K$25,$G1136=$G$26,K$26,$G1136=$G$27,K$27,$G1136=$G$29,K$29,$G1136=$G$31,K$31,$G1136=$G$32,K$150,$G1136=$G$248,K$248,$G1136=$G$250,K$250)</f>
        <v>BG sentinel + BG lure7</v>
      </c>
      <c r="O1136" s="69" t="str">
        <f t="shared" si="96"/>
        <v>A_SP_BCN_14_211124</v>
      </c>
      <c r="P1136" s="64">
        <v>44524</v>
      </c>
      <c r="R1136" s="72"/>
      <c r="S1136" s="64">
        <v>44531</v>
      </c>
      <c r="U1136" s="72"/>
      <c r="V1136" s="54" t="s">
        <v>66</v>
      </c>
      <c r="X1136" s="69">
        <f t="shared" si="101"/>
        <v>7</v>
      </c>
      <c r="AA1136" s="69">
        <f t="shared" si="98"/>
        <v>0</v>
      </c>
      <c r="AB1136" s="69" t="str">
        <f t="shared" si="100"/>
        <v/>
      </c>
      <c r="AE1136" s="45" t="str">
        <f t="shared" si="95"/>
        <v/>
      </c>
      <c r="AF1136" s="56">
        <v>4</v>
      </c>
    </row>
    <row r="1137" spans="1:32" ht="18" customHeight="1" x14ac:dyDescent="0.25">
      <c r="A1137" s="45">
        <v>1133</v>
      </c>
      <c r="B1137" s="45" t="s">
        <v>60</v>
      </c>
      <c r="C1137" s="45" t="s">
        <v>61</v>
      </c>
      <c r="D1137" s="45" t="s">
        <v>62</v>
      </c>
      <c r="E1137" s="45" t="s">
        <v>62</v>
      </c>
      <c r="F1137" s="59" cm="1">
        <f t="array" ref="F1137">_xlfn.IFS($G1137=$G$5,F$5,$G1137=$G$6,F$6,$G1137=$G$7,F$7,$G1137=$G$8,F$8,$G1137=$G$9,F$9,$G1137=$G$10,F$10,$G1137=$G$11,F$11,$G1137=$G$12,F$12,$G1137=$G$13,F$13,$G1137=$G$15,F$15,$G1137=$G$16,F$16,$G1137=$G$17,F$17,$G1137=$G$18,F$18,$G1137=$G$19,F$19,$G1137=$G$20,F$20,$G1137=$G$21,F$21,$G1137=$G$22,F$22,$G1137=$G$25,F$25,$G1137=$G$26,F$26,$G1137=$G$27,F$27,$G1137=$G$29,F$29,$G1137=$G$31,F$31,$G1137=$G$32,F$32,$G1137=$G$248,F$248,$G1137=$G$250,F$250)</f>
        <v>8017</v>
      </c>
      <c r="G1137" t="s">
        <v>87</v>
      </c>
      <c r="H1137" s="60" cm="1">
        <f t="array" ref="H1137">_xlfn.IFS($G1137=$G$5,H$5,$G1137=$G$6,H$6,$G1137=$G$7,H$7,$G1137=$G$8,H$8,$G1137=$G$9,H$9,$G1137=$G$10,H$10,$G1137=$G$11,H$11,$G1137=$G$12,H$12,$G1137=$G$13,H$13,$G1137=$G$15,H$15,$G1137=$G$16,H$16,$G1137=$G$17,H$17,$G1137=$G$18,H$18,$G1137=$G$19,H$19,$G1137=$G$20,H$20,$G1137=$G$21,H$21,$G1137=$G$22,H$22,$G1137=$G$25,H$25,$G1137=$G$26,H$26,$G1137=$G$27,H$27,$G1137=$G$29,H$29,$G1137=$G$31,H$31,$G1137=$G$32,H$150,$G1137=$G$248,H$248,$G1137=$G$250,H$250)</f>
        <v>41.419471000000001</v>
      </c>
      <c r="I1137" s="60" cm="1">
        <f t="array" ref="I1137">_xlfn.IFS($G1137=$G$5,I$5,$G1137=$G$6,I$6,$G1137=$G$7,I$7,$G1137=$G$8,I$8,$G1137=$G$9,I$9,$G1137=$G$10,I$10,$G1137=$G$11,I$11,$G1137=$G$12,I$12,$G1137=$G$13,I$13,$G1137=$G$15,I$15,$G1137=$G$16,I$16,$G1137=$G$17,I$17,$G1137=$G$18,I$18,$G1137=$G$19,I$19,$G1137=$G$20,I$20,$G1137=$G$21,I$21,$G1137=$G$22,I$22,$G1137=$G$25,I$25,$G1137=$G$26,I$26,$G1137=$G$27,I$27,$G1137=$G$29,I$29,$G1137=$G$31,I$31,$G1137=$G$32,I$150,$G1137=$G$248,I$248,$G1137=$G$250,I$250)</f>
        <v>2.1010149999999999</v>
      </c>
      <c r="J1137" s="61" cm="1">
        <f t="array" ref="J1137">_xlfn.IFS($G1137=$G$5,J$5,$G1137=$G$6,J$6,$G1137=$G$7,J$7,$G1137=$G$8,J$8,$G1137=$G$9,J$9,$G1137=$G$10,J$10,$G1137=$G$11,J$11,$G1137=$G$12,J$12,$G1137=$G$13,J$13,$G1137=$G$15,J$15,$G1137=$G$16,J$16,$G1137=$G$17,J$17,$G1137=$G$18,J$18,$G1137=$G$19,J$19,$G1137=$G$20,J$20,$G1137=$G$21,J$21,$G1137=$G$22,J$22,$G1137=$G$25,J$25,$G1137=$G$26,J$26,$G1137=$G$27,J$27,$G1137=$G$29,J$29,$G1137=$G$31,J$31,$G1137=$G$32,J$150,$G1137=$G$248,J$248,$G1137=$G$250,J$250)</f>
        <v>284</v>
      </c>
      <c r="K1137" t="str" cm="1">
        <f t="array" ref="K1137">_xlfn.IFS($G1137=$G$5,K$5,$G1137=$G$6,K$6,$G1137=$G$7,K$7,$G1137=$G$8,K$8,$G1137=$G$9,K$9,$G1137=$G$10,K$10,$G1137=$G$11,K$11,$G1137=$G$12,K$12,$G1137=$G$13,K$13,$G1137=$G$15,K$15,$G1137=$G$16,K$16,$G1137=$G$17,K$17,$G1137=$G$18,K$18,$G1137=$G$19,K$19,$G1137=$G$20,K$20,$G1137=$G$21,K$21,$G1137=$G$22,K$22,$G1137=$G$25,K$25,$G1137=$G$26,K$26,$G1137=$G$27,K$27,$G1137=$G$29,K$29,$G1137=$G$31,K$31,$G1137=$G$32,K$150,$G1137=$G$248,K$248,$G1137=$G$250,K$250)</f>
        <v>BG sentinel + BG lure7</v>
      </c>
      <c r="O1137" s="69" t="str">
        <f t="shared" si="96"/>
        <v>A_SP_BCN_15_211124</v>
      </c>
      <c r="P1137" s="64">
        <v>44524</v>
      </c>
      <c r="R1137" s="72"/>
      <c r="S1137" s="64">
        <v>44531</v>
      </c>
      <c r="U1137" s="72"/>
      <c r="V1137" s="54" t="s">
        <v>66</v>
      </c>
      <c r="X1137" s="69">
        <f t="shared" si="101"/>
        <v>7</v>
      </c>
      <c r="AA1137" s="69">
        <f t="shared" si="98"/>
        <v>0</v>
      </c>
      <c r="AB1137" s="69" t="str">
        <f t="shared" si="100"/>
        <v/>
      </c>
      <c r="AE1137" s="45" t="str">
        <f t="shared" si="95"/>
        <v/>
      </c>
      <c r="AF1137" s="56">
        <v>4</v>
      </c>
    </row>
    <row r="1138" spans="1:32" ht="18" customHeight="1" x14ac:dyDescent="0.25">
      <c r="A1138" s="45">
        <v>1134</v>
      </c>
      <c r="B1138" s="45" t="s">
        <v>60</v>
      </c>
      <c r="C1138" s="45" t="s">
        <v>61</v>
      </c>
      <c r="D1138" s="45" t="s">
        <v>62</v>
      </c>
      <c r="E1138" s="45" t="s">
        <v>62</v>
      </c>
      <c r="F1138" s="59" cm="1">
        <f t="array" ref="F1138">_xlfn.IFS($G1138=$G$5,F$5,$G1138=$G$6,F$6,$G1138=$G$7,F$7,$G1138=$G$8,F$8,$G1138=$G$9,F$9,$G1138=$G$10,F$10,$G1138=$G$11,F$11,$G1138=$G$12,F$12,$G1138=$G$13,F$13,$G1138=$G$15,F$15,$G1138=$G$16,F$16,$G1138=$G$17,F$17,$G1138=$G$18,F$18,$G1138=$G$19,F$19,$G1138=$G$20,F$20,$G1138=$G$21,F$21,$G1138=$G$22,F$22,$G1138=$G$25,F$25,$G1138=$G$26,F$26,$G1138=$G$27,F$27,$G1138=$G$29,F$29,$G1138=$G$31,F$31,$G1138=$G$32,F$32,$G1138=$G$248,F$248,$G1138=$G$250,F$250)</f>
        <v>8017</v>
      </c>
      <c r="G1138" t="s">
        <v>88</v>
      </c>
      <c r="H1138" s="60" cm="1">
        <f t="array" ref="H1138">_xlfn.IFS($G1138=$G$5,H$5,$G1138=$G$6,H$6,$G1138=$G$7,H$7,$G1138=$G$8,H$8,$G1138=$G$9,H$9,$G1138=$G$10,H$10,$G1138=$G$11,H$11,$G1138=$G$12,H$12,$G1138=$G$13,H$13,$G1138=$G$15,H$15,$G1138=$G$16,H$16,$G1138=$G$17,H$17,$G1138=$G$18,H$18,$G1138=$G$19,H$19,$G1138=$G$20,H$20,$G1138=$G$21,H$21,$G1138=$G$22,H$22,$G1138=$G$25,H$25,$G1138=$G$26,H$26,$G1138=$G$27,H$27,$G1138=$G$29,H$29,$G1138=$G$31,H$31,$G1138=$G$32,H$150,$G1138=$G$248,H$248,$G1138=$G$250,H$250)</f>
        <v>41.398387</v>
      </c>
      <c r="I1138" s="60" cm="1">
        <f t="array" ref="I1138">_xlfn.IFS($G1138=$G$5,I$5,$G1138=$G$6,I$6,$G1138=$G$7,I$7,$G1138=$G$8,I$8,$G1138=$G$9,I$9,$G1138=$G$10,I$10,$G1138=$G$11,I$11,$G1138=$G$12,I$12,$G1138=$G$13,I$13,$G1138=$G$15,I$15,$G1138=$G$16,I$16,$G1138=$G$17,I$17,$G1138=$G$18,I$18,$G1138=$G$19,I$19,$G1138=$G$20,I$20,$G1138=$G$21,I$21,$G1138=$G$22,I$22,$G1138=$G$25,I$25,$G1138=$G$26,I$26,$G1138=$G$27,I$27,$G1138=$G$29,I$29,$G1138=$G$31,I$31,$G1138=$G$32,I$150,$G1138=$G$248,I$248,$G1138=$G$250,I$250)</f>
        <v>2.1244429999999999</v>
      </c>
      <c r="J1138" s="61" cm="1">
        <f t="array" ref="J1138">_xlfn.IFS($G1138=$G$5,J$5,$G1138=$G$6,J$6,$G1138=$G$7,J$7,$G1138=$G$8,J$8,$G1138=$G$9,J$9,$G1138=$G$10,J$10,$G1138=$G$11,J$11,$G1138=$G$12,J$12,$G1138=$G$13,J$13,$G1138=$G$15,J$15,$G1138=$G$16,J$16,$G1138=$G$17,J$17,$G1138=$G$18,J$18,$G1138=$G$19,J$19,$G1138=$G$20,J$20,$G1138=$G$21,J$21,$G1138=$G$22,J$22,$G1138=$G$25,J$25,$G1138=$G$26,J$26,$G1138=$G$27,J$27,$G1138=$G$29,J$29,$G1138=$G$31,J$31,$G1138=$G$32,J$150,$G1138=$G$248,J$248,$G1138=$G$250,J$250)</f>
        <v>106</v>
      </c>
      <c r="K1138" t="str" cm="1">
        <f t="array" ref="K1138">_xlfn.IFS($G1138=$G$5,K$5,$G1138=$G$6,K$6,$G1138=$G$7,K$7,$G1138=$G$8,K$8,$G1138=$G$9,K$9,$G1138=$G$10,K$10,$G1138=$G$11,K$11,$G1138=$G$12,K$12,$G1138=$G$13,K$13,$G1138=$G$15,K$15,$G1138=$G$16,K$16,$G1138=$G$17,K$17,$G1138=$G$18,K$18,$G1138=$G$19,K$19,$G1138=$G$20,K$20,$G1138=$G$21,K$21,$G1138=$G$22,K$22,$G1138=$G$25,K$25,$G1138=$G$26,K$26,$G1138=$G$27,K$27,$G1138=$G$29,K$29,$G1138=$G$31,K$31,$G1138=$G$32,K$150,$G1138=$G$248,K$248,$G1138=$G$250,K$250)</f>
        <v>BG sentinel + BG lure7</v>
      </c>
      <c r="O1138" s="69" t="str">
        <f t="shared" si="96"/>
        <v>A_SP_BCN_16_211125</v>
      </c>
      <c r="P1138" s="64">
        <v>44525</v>
      </c>
      <c r="R1138" s="72"/>
      <c r="S1138" s="64">
        <v>44532</v>
      </c>
      <c r="U1138" s="72"/>
      <c r="V1138" s="54" t="s">
        <v>66</v>
      </c>
      <c r="X1138" s="69">
        <f t="shared" si="101"/>
        <v>7</v>
      </c>
      <c r="AA1138" s="69">
        <f t="shared" si="98"/>
        <v>0</v>
      </c>
      <c r="AB1138" s="69" t="str">
        <f t="shared" si="100"/>
        <v/>
      </c>
      <c r="AE1138" s="45" t="str">
        <f t="shared" si="95"/>
        <v/>
      </c>
      <c r="AF1138" s="56">
        <v>4</v>
      </c>
    </row>
    <row r="1139" spans="1:32" ht="18" customHeight="1" x14ac:dyDescent="0.25">
      <c r="A1139" s="45">
        <v>1135</v>
      </c>
      <c r="B1139" s="45" t="s">
        <v>60</v>
      </c>
      <c r="C1139" s="45" t="s">
        <v>61</v>
      </c>
      <c r="D1139" s="45" t="s">
        <v>62</v>
      </c>
      <c r="E1139" s="45" t="s">
        <v>62</v>
      </c>
      <c r="F1139" s="59" cm="1">
        <f t="array" ref="F1139">_xlfn.IFS($G1139=$G$5,F$5,$G1139=$G$6,F$6,$G1139=$G$7,F$7,$G1139=$G$8,F$8,$G1139=$G$9,F$9,$G1139=$G$10,F$10,$G1139=$G$11,F$11,$G1139=$G$12,F$12,$G1139=$G$13,F$13,$G1139=$G$15,F$15,$G1139=$G$16,F$16,$G1139=$G$17,F$17,$G1139=$G$18,F$18,$G1139=$G$19,F$19,$G1139=$G$20,F$20,$G1139=$G$21,F$21,$G1139=$G$22,F$22,$G1139=$G$25,F$25,$G1139=$G$26,F$26,$G1139=$G$27,F$27,$G1139=$G$29,F$29,$G1139=$G$31,F$31,$G1139=$G$32,F$32,$G1139=$G$248,F$248,$G1139=$G$250,F$250)</f>
        <v>8023</v>
      </c>
      <c r="G1139" t="s">
        <v>89</v>
      </c>
      <c r="H1139" s="60" cm="1">
        <f t="array" ref="H1139">_xlfn.IFS($G1139=$G$5,H$5,$G1139=$G$6,H$6,$G1139=$G$7,H$7,$G1139=$G$8,H$8,$G1139=$G$9,H$9,$G1139=$G$10,H$10,$G1139=$G$11,H$11,$G1139=$G$12,H$12,$G1139=$G$13,H$13,$G1139=$G$15,H$15,$G1139=$G$16,H$16,$G1139=$G$17,H$17,$G1139=$G$18,H$18,$G1139=$G$19,H$19,$G1139=$G$20,H$20,$G1139=$G$21,H$21,$G1139=$G$22,H$22,$G1139=$G$25,H$25,$G1139=$G$26,H$26,$G1139=$G$27,H$27,$G1139=$G$29,H$29,$G1139=$G$31,H$31,$G1139=$G$32,H$150,$G1139=$G$248,H$248,$G1139=$G$250,H$250)</f>
        <v>41.417256000000002</v>
      </c>
      <c r="I1139" s="60" cm="1">
        <f t="array" ref="I1139">_xlfn.IFS($G1139=$G$5,I$5,$G1139=$G$6,I$6,$G1139=$G$7,I$7,$G1139=$G$8,I$8,$G1139=$G$9,I$9,$G1139=$G$10,I$10,$G1139=$G$11,I$11,$G1139=$G$12,I$12,$G1139=$G$13,I$13,$G1139=$G$15,I$15,$G1139=$G$16,I$16,$G1139=$G$17,I$17,$G1139=$G$18,I$18,$G1139=$G$19,I$19,$G1139=$G$20,I$20,$G1139=$G$21,I$21,$G1139=$G$22,I$22,$G1139=$G$25,I$25,$G1139=$G$26,I$26,$G1139=$G$27,I$27,$G1139=$G$29,I$29,$G1139=$G$31,I$31,$G1139=$G$32,I$150,$G1139=$G$248,I$248,$G1139=$G$250,I$250)</f>
        <v>2.1455709999999999</v>
      </c>
      <c r="J1139" s="61" cm="1">
        <f t="array" ref="J1139">_xlfn.IFS($G1139=$G$5,J$5,$G1139=$G$6,J$6,$G1139=$G$7,J$7,$G1139=$G$8,J$8,$G1139=$G$9,J$9,$G1139=$G$10,J$10,$G1139=$G$11,J$11,$G1139=$G$12,J$12,$G1139=$G$13,J$13,$G1139=$G$15,J$15,$G1139=$G$16,J$16,$G1139=$G$17,J$17,$G1139=$G$18,J$18,$G1139=$G$19,J$19,$G1139=$G$20,J$20,$G1139=$G$21,J$21,$G1139=$G$22,J$22,$G1139=$G$25,J$25,$G1139=$G$26,J$26,$G1139=$G$27,J$27,$G1139=$G$29,J$29,$G1139=$G$31,J$31,$G1139=$G$32,J$150,$G1139=$G$248,J$248,$G1139=$G$250,J$250)</f>
        <v>186</v>
      </c>
      <c r="K1139" t="str" cm="1">
        <f t="array" ref="K1139">_xlfn.IFS($G1139=$G$5,K$5,$G1139=$G$6,K$6,$G1139=$G$7,K$7,$G1139=$G$8,K$8,$G1139=$G$9,K$9,$G1139=$G$10,K$10,$G1139=$G$11,K$11,$G1139=$G$12,K$12,$G1139=$G$13,K$13,$G1139=$G$15,K$15,$G1139=$G$16,K$16,$G1139=$G$17,K$17,$G1139=$G$18,K$18,$G1139=$G$19,K$19,$G1139=$G$20,K$20,$G1139=$G$21,K$21,$G1139=$G$22,K$22,$G1139=$G$25,K$25,$G1139=$G$26,K$26,$G1139=$G$27,K$27,$G1139=$G$29,K$29,$G1139=$G$31,K$31,$G1139=$G$32,K$150,$G1139=$G$248,K$248,$G1139=$G$250,K$250)</f>
        <v>BG sentinel + BG lure7</v>
      </c>
      <c r="O1139" s="69" t="str">
        <f t="shared" si="96"/>
        <v>A_SP_BCN_17_211124</v>
      </c>
      <c r="P1139" s="64">
        <v>44524</v>
      </c>
      <c r="R1139" s="72"/>
      <c r="S1139" s="64">
        <v>44531</v>
      </c>
      <c r="U1139" s="72"/>
      <c r="V1139" s="54" t="s">
        <v>66</v>
      </c>
      <c r="X1139" s="69">
        <f t="shared" si="101"/>
        <v>7</v>
      </c>
      <c r="AA1139" s="69">
        <f t="shared" si="98"/>
        <v>0</v>
      </c>
      <c r="AB1139" s="69" t="str">
        <f t="shared" si="100"/>
        <v/>
      </c>
      <c r="AE1139" s="45" t="str">
        <f t="shared" si="95"/>
        <v/>
      </c>
      <c r="AF1139" s="56">
        <v>4</v>
      </c>
    </row>
    <row r="1140" spans="1:32" ht="18" customHeight="1" x14ac:dyDescent="0.25">
      <c r="A1140" s="45">
        <v>1136</v>
      </c>
      <c r="B1140" s="45" t="s">
        <v>60</v>
      </c>
      <c r="C1140" s="45" t="s">
        <v>61</v>
      </c>
      <c r="D1140" s="45" t="s">
        <v>62</v>
      </c>
      <c r="E1140" s="45" t="s">
        <v>62</v>
      </c>
      <c r="F1140" s="59" cm="1">
        <f t="array" ref="F1140">_xlfn.IFS($G1140=$G$5,F$5,$G1140=$G$6,F$6,$G1140=$G$7,F$7,$G1140=$G$8,F$8,$G1140=$G$9,F$9,$G1140=$G$10,F$10,$G1140=$G$11,F$11,$G1140=$G$12,F$12,$G1140=$G$13,F$13,$G1140=$G$15,F$15,$G1140=$G$16,F$16,$G1140=$G$17,F$17,$G1140=$G$18,F$18,$G1140=$G$19,F$19,$G1140=$G$20,F$20,$G1140=$G$21,F$21,$G1140=$G$22,F$22,$G1140=$G$25,F$25,$G1140=$G$26,F$26,$G1140=$G$27,F$27,$G1140=$G$29,F$29,$G1140=$G$31,F$31,$G1140=$G$32,F$32,$G1140=$G$248,F$248,$G1140=$G$250,F$250)</f>
        <v>8031</v>
      </c>
      <c r="G1140" t="s">
        <v>92</v>
      </c>
      <c r="H1140" s="60" cm="1">
        <f t="array" ref="H1140">_xlfn.IFS($G1140=$G$5,H$5,$G1140=$G$6,H$6,$G1140=$G$7,H$7,$G1140=$G$8,H$8,$G1140=$G$9,H$9,$G1140=$G$10,H$10,$G1140=$G$11,H$11,$G1140=$G$12,H$12,$G1140=$G$13,H$13,$G1140=$G$15,H$15,$G1140=$G$16,H$16,$G1140=$G$17,H$17,$G1140=$G$18,H$18,$G1140=$G$19,H$19,$G1140=$G$20,H$20,$G1140=$G$21,H$21,$G1140=$G$22,H$22,$G1140=$G$25,H$25,$G1140=$G$26,H$26,$G1140=$G$27,H$27,$G1140=$G$29,H$29,$G1140=$G$31,H$31,$G1140=$G$32,H$150,$G1140=$G$248,H$248,$G1140=$G$250,H$250)</f>
        <v>41.433618000000003</v>
      </c>
      <c r="I1140" s="60" cm="1">
        <f t="array" ref="I1140">_xlfn.IFS($G1140=$G$5,I$5,$G1140=$G$6,I$6,$G1140=$G$7,I$7,$G1140=$G$8,I$8,$G1140=$G$9,I$9,$G1140=$G$10,I$10,$G1140=$G$11,I$11,$G1140=$G$12,I$12,$G1140=$G$13,I$13,$G1140=$G$15,I$15,$G1140=$G$16,I$16,$G1140=$G$17,I$17,$G1140=$G$18,I$18,$G1140=$G$19,I$19,$G1140=$G$20,I$20,$G1140=$G$21,I$21,$G1140=$G$22,I$22,$G1140=$G$25,I$25,$G1140=$G$26,I$26,$G1140=$G$27,I$27,$G1140=$G$29,I$29,$G1140=$G$31,I$31,$G1140=$G$32,I$150,$G1140=$G$248,I$248,$G1140=$G$250,I$250)</f>
        <v>2.1677469999999999</v>
      </c>
      <c r="J1140" s="61" cm="1">
        <f t="array" ref="J1140">_xlfn.IFS($G1140=$G$5,J$5,$G1140=$G$6,J$6,$G1140=$G$7,J$7,$G1140=$G$8,J$8,$G1140=$G$9,J$9,$G1140=$G$10,J$10,$G1140=$G$11,J$11,$G1140=$G$12,J$12,$G1140=$G$13,J$13,$G1140=$G$15,J$15,$G1140=$G$16,J$16,$G1140=$G$17,J$17,$G1140=$G$18,J$18,$G1140=$G$19,J$19,$G1140=$G$20,J$20,$G1140=$G$21,J$21,$G1140=$G$22,J$22,$G1140=$G$25,J$25,$G1140=$G$26,J$26,$G1140=$G$27,J$27,$G1140=$G$29,J$29,$G1140=$G$31,J$31,$G1140=$G$32,J$150,$G1140=$G$248,J$248,$G1140=$G$250,J$250)</f>
        <v>96.85</v>
      </c>
      <c r="K1140" t="str" cm="1">
        <f t="array" ref="K1140">_xlfn.IFS($G1140=$G$5,K$5,$G1140=$G$6,K$6,$G1140=$G$7,K$7,$G1140=$G$8,K$8,$G1140=$G$9,K$9,$G1140=$G$10,K$10,$G1140=$G$11,K$11,$G1140=$G$12,K$12,$G1140=$G$13,K$13,$G1140=$G$15,K$15,$G1140=$G$16,K$16,$G1140=$G$17,K$17,$G1140=$G$18,K$18,$G1140=$G$19,K$19,$G1140=$G$20,K$20,$G1140=$G$21,K$21,$G1140=$G$22,K$22,$G1140=$G$25,K$25,$G1140=$G$26,K$26,$G1140=$G$27,K$27,$G1140=$G$29,K$29,$G1140=$G$31,K$31,$G1140=$G$32,K$150,$G1140=$G$248,K$248,$G1140=$G$250,K$250)</f>
        <v>BG sentinel + BG lure7</v>
      </c>
      <c r="O1140" s="69" t="str">
        <f t="shared" si="96"/>
        <v>A_SP_BCN_18_211125</v>
      </c>
      <c r="P1140" s="64">
        <v>44525</v>
      </c>
      <c r="R1140" s="72"/>
      <c r="S1140" s="64">
        <v>44532</v>
      </c>
      <c r="U1140" s="72"/>
      <c r="V1140" s="54" t="s">
        <v>66</v>
      </c>
      <c r="X1140" s="69">
        <f t="shared" si="101"/>
        <v>7</v>
      </c>
      <c r="AA1140" s="69">
        <f t="shared" si="98"/>
        <v>0</v>
      </c>
      <c r="AB1140" s="69" t="str">
        <f t="shared" si="100"/>
        <v/>
      </c>
      <c r="AE1140" s="45" t="str">
        <f t="shared" si="95"/>
        <v/>
      </c>
      <c r="AF1140" s="56">
        <v>4</v>
      </c>
    </row>
    <row r="1141" spans="1:32" ht="18" customHeight="1" x14ac:dyDescent="0.25">
      <c r="A1141" s="45">
        <v>1137</v>
      </c>
      <c r="B1141" s="45" t="s">
        <v>60</v>
      </c>
      <c r="C1141" s="45" t="s">
        <v>61</v>
      </c>
      <c r="D1141" s="45" t="s">
        <v>62</v>
      </c>
      <c r="E1141" s="45" t="s">
        <v>62</v>
      </c>
      <c r="F1141" s="59" cm="1">
        <f t="array" ref="F1141">_xlfn.IFS($G1141=$G$5,F$5,$G1141=$G$6,F$6,$G1141=$G$7,F$7,$G1141=$G$8,F$8,$G1141=$G$9,F$9,$G1141=$G$10,F$10,$G1141=$G$11,F$11,$G1141=$G$12,F$12,$G1141=$G$13,F$13,$G1141=$G$15,F$15,$G1141=$G$16,F$16,$G1141=$G$17,F$17,$G1141=$G$18,F$18,$G1141=$G$19,F$19,$G1141=$G$20,F$20,$G1141=$G$21,F$21,$G1141=$G$22,F$22,$G1141=$G$25,F$25,$G1141=$G$26,F$26,$G1141=$G$27,F$27,$G1141=$G$29,F$29,$G1141=$G$31,F$31,$G1141=$G$32,F$32,$G1141=$G$248,F$248,$G1141=$G$250,F$250)</f>
        <v>8038</v>
      </c>
      <c r="G1141" t="s">
        <v>93</v>
      </c>
      <c r="H1141" s="60" cm="1">
        <f t="array" ref="H1141">_xlfn.IFS($G1141=$G$5,H$5,$G1141=$G$6,H$6,$G1141=$G$7,H$7,$G1141=$G$8,H$8,$G1141=$G$9,H$9,$G1141=$G$10,H$10,$G1141=$G$11,H$11,$G1141=$G$12,H$12,$G1141=$G$13,H$13,$G1141=$G$15,H$15,$G1141=$G$16,H$16,$G1141=$G$17,H$17,$G1141=$G$18,H$18,$G1141=$G$19,H$19,$G1141=$G$20,H$20,$G1141=$G$21,H$21,$G1141=$G$22,H$22,$G1141=$G$25,H$25,$G1141=$G$26,H$26,$G1141=$G$27,H$27,$G1141=$G$29,H$29,$G1141=$G$31,H$31,$G1141=$G$32,H$150,$G1141=$G$248,H$248,$G1141=$G$250,H$250)</f>
        <v>41.359864999999999</v>
      </c>
      <c r="I1141" s="60" cm="1">
        <f t="array" ref="I1141">_xlfn.IFS($G1141=$G$5,I$5,$G1141=$G$6,I$6,$G1141=$G$7,I$7,$G1141=$G$8,I$8,$G1141=$G$9,I$9,$G1141=$G$10,I$10,$G1141=$G$11,I$11,$G1141=$G$12,I$12,$G1141=$G$13,I$13,$G1141=$G$15,I$15,$G1141=$G$16,I$16,$G1141=$G$17,I$17,$G1141=$G$18,I$18,$G1141=$G$19,I$19,$G1141=$G$20,I$20,$G1141=$G$21,I$21,$G1141=$G$22,I$22,$G1141=$G$25,I$25,$G1141=$G$26,I$26,$G1141=$G$27,I$27,$G1141=$G$29,I$29,$G1141=$G$31,I$31,$G1141=$G$32,I$150,$G1141=$G$248,I$248,$G1141=$G$250,I$250)</f>
        <v>2.1445430000000001</v>
      </c>
      <c r="J1141" s="61" cm="1">
        <f t="array" ref="J1141">_xlfn.IFS($G1141=$G$5,J$5,$G1141=$G$6,J$6,$G1141=$G$7,J$7,$G1141=$G$8,J$8,$G1141=$G$9,J$9,$G1141=$G$10,J$10,$G1141=$G$11,J$11,$G1141=$G$12,J$12,$G1141=$G$13,J$13,$G1141=$G$15,J$15,$G1141=$G$16,J$16,$G1141=$G$17,J$17,$G1141=$G$18,J$18,$G1141=$G$19,J$19,$G1141=$G$20,J$20,$G1141=$G$21,J$21,$G1141=$G$22,J$22,$G1141=$G$25,J$25,$G1141=$G$26,J$26,$G1141=$G$27,J$27,$G1141=$G$29,J$29,$G1141=$G$31,J$31,$G1141=$G$32,J$150,$G1141=$G$248,J$248,$G1141=$G$250,J$250)</f>
        <v>11.4</v>
      </c>
      <c r="K1141" t="str" cm="1">
        <f t="array" ref="K1141">_xlfn.IFS($G1141=$G$5,K$5,$G1141=$G$6,K$6,$G1141=$G$7,K$7,$G1141=$G$8,K$8,$G1141=$G$9,K$9,$G1141=$G$10,K$10,$G1141=$G$11,K$11,$G1141=$G$12,K$12,$G1141=$G$13,K$13,$G1141=$G$15,K$15,$G1141=$G$16,K$16,$G1141=$G$17,K$17,$G1141=$G$18,K$18,$G1141=$G$19,K$19,$G1141=$G$20,K$20,$G1141=$G$21,K$21,$G1141=$G$22,K$22,$G1141=$G$25,K$25,$G1141=$G$26,K$26,$G1141=$G$27,K$27,$G1141=$G$29,K$29,$G1141=$G$31,K$31,$G1141=$G$32,K$150,$G1141=$G$248,K$248,$G1141=$G$250,K$250)</f>
        <v>BG sentinel + BG lure7</v>
      </c>
      <c r="O1141" s="69" t="str">
        <f t="shared" si="96"/>
        <v>A_SP_BCN_19_211125</v>
      </c>
      <c r="P1141" s="64">
        <v>44525</v>
      </c>
      <c r="R1141" s="72"/>
      <c r="S1141" s="64">
        <v>44532</v>
      </c>
      <c r="U1141" s="72"/>
      <c r="V1141" s="54" t="s">
        <v>66</v>
      </c>
      <c r="X1141" s="69">
        <f t="shared" si="101"/>
        <v>7</v>
      </c>
      <c r="AA1141" s="69">
        <f t="shared" si="98"/>
        <v>0</v>
      </c>
      <c r="AB1141" s="69" t="str">
        <f t="shared" si="100"/>
        <v/>
      </c>
      <c r="AE1141" s="45" t="str">
        <f t="shared" si="95"/>
        <v/>
      </c>
      <c r="AF1141" s="56">
        <v>4</v>
      </c>
    </row>
    <row r="1142" spans="1:32" ht="18" customHeight="1" x14ac:dyDescent="0.25">
      <c r="A1142" s="45">
        <v>1138</v>
      </c>
      <c r="B1142" s="45" t="s">
        <v>60</v>
      </c>
      <c r="C1142" s="45" t="s">
        <v>61</v>
      </c>
      <c r="D1142" s="45" t="s">
        <v>62</v>
      </c>
      <c r="E1142" s="45" t="s">
        <v>62</v>
      </c>
      <c r="F1142" s="59" cm="1">
        <f t="array" ref="F1142">_xlfn.IFS($G1142=$G$5,F$5,$G1142=$G$6,F$6,$G1142=$G$7,F$7,$G1142=$G$8,F$8,$G1142=$G$9,F$9,$G1142=$G$10,F$10,$G1142=$G$11,F$11,$G1142=$G$12,F$12,$G1142=$G$13,F$13,$G1142=$G$15,F$15,$G1142=$G$16,F$16,$G1142=$G$17,F$17,$G1142=$G$18,F$18,$G1142=$G$19,F$19,$G1142=$G$20,F$20,$G1142=$G$21,F$21,$G1142=$G$22,F$22,$G1142=$G$25,F$25,$G1142=$G$26,F$26,$G1142=$G$27,F$27,$G1142=$G$29,F$29,$G1142=$G$31,F$31,$G1142=$G$32,F$32,$G1142=$G$248,F$248,$G1142=$G$250,F$250)</f>
        <v>8002</v>
      </c>
      <c r="G1142" t="s">
        <v>94</v>
      </c>
      <c r="H1142" s="60" cm="1">
        <f t="array" ref="H1142">_xlfn.IFS($G1142=$G$5,H$5,$G1142=$G$6,H$6,$G1142=$G$7,H$7,$G1142=$G$8,H$8,$G1142=$G$9,H$9,$G1142=$G$10,H$10,$G1142=$G$11,H$11,$G1142=$G$12,H$12,$G1142=$G$13,H$13,$G1142=$G$15,H$15,$G1142=$G$16,H$16,$G1142=$G$17,H$17,$G1142=$G$18,H$18,$G1142=$G$19,H$19,$G1142=$G$20,H$20,$G1142=$G$21,H$21,$G1142=$G$22,H$22,$G1142=$G$25,H$25,$G1142=$G$26,H$26,$G1142=$G$27,H$27,$G1142=$G$29,H$29,$G1142=$G$31,H$31,$G1142=$G$32,H$150,$G1142=$G$248,H$248,$G1142=$G$250,H$250)</f>
        <v>41.385213</v>
      </c>
      <c r="I1142" s="60" cm="1">
        <f t="array" ref="I1142">_xlfn.IFS($G1142=$G$5,I$5,$G1142=$G$6,I$6,$G1142=$G$7,I$7,$G1142=$G$8,I$8,$G1142=$G$9,I$9,$G1142=$G$10,I$10,$G1142=$G$11,I$11,$G1142=$G$12,I$12,$G1142=$G$13,I$13,$G1142=$G$15,I$15,$G1142=$G$16,I$16,$G1142=$G$17,I$17,$G1142=$G$18,I$18,$G1142=$G$19,I$19,$G1142=$G$20,I$20,$G1142=$G$21,I$21,$G1142=$G$22,I$22,$G1142=$G$25,I$25,$G1142=$G$26,I$26,$G1142=$G$27,I$27,$G1142=$G$29,I$29,$G1142=$G$31,I$31,$G1142=$G$32,I$150,$G1142=$G$248,I$248,$G1142=$G$250,I$250)</f>
        <v>2.174852</v>
      </c>
      <c r="J1142" s="61" cm="1">
        <f t="array" ref="J1142">_xlfn.IFS($G1142=$G$5,J$5,$G1142=$G$6,J$6,$G1142=$G$7,J$7,$G1142=$G$8,J$8,$G1142=$G$9,J$9,$G1142=$G$10,J$10,$G1142=$G$11,J$11,$G1142=$G$12,J$12,$G1142=$G$13,J$13,$G1142=$G$15,J$15,$G1142=$G$16,J$16,$G1142=$G$17,J$17,$G1142=$G$18,J$18,$G1142=$G$19,J$19,$G1142=$G$20,J$20,$G1142=$G$21,J$21,$G1142=$G$22,J$22,$G1142=$G$25,J$25,$G1142=$G$26,J$26,$G1142=$G$27,J$27,$G1142=$G$29,J$29,$G1142=$G$31,J$31,$G1142=$G$32,J$150,$G1142=$G$248,J$248,$G1142=$G$250,J$250)</f>
        <v>14</v>
      </c>
      <c r="K1142" t="str" cm="1">
        <f t="array" ref="K1142">_xlfn.IFS($G1142=$G$5,K$5,$G1142=$G$6,K$6,$G1142=$G$7,K$7,$G1142=$G$8,K$8,$G1142=$G$9,K$9,$G1142=$G$10,K$10,$G1142=$G$11,K$11,$G1142=$G$12,K$12,$G1142=$G$13,K$13,$G1142=$G$15,K$15,$G1142=$G$16,K$16,$G1142=$G$17,K$17,$G1142=$G$18,K$18,$G1142=$G$19,K$19,$G1142=$G$20,K$20,$G1142=$G$21,K$21,$G1142=$G$22,K$22,$G1142=$G$25,K$25,$G1142=$G$26,K$26,$G1142=$G$27,K$27,$G1142=$G$29,K$29,$G1142=$G$31,K$31,$G1142=$G$32,K$150,$G1142=$G$248,K$248,$G1142=$G$250,K$250)</f>
        <v>BG sentinel + BG lure7</v>
      </c>
      <c r="O1142" s="69" t="str">
        <f t="shared" si="96"/>
        <v>A_SP_BCN_20_211125</v>
      </c>
      <c r="P1142" s="64">
        <v>44525</v>
      </c>
      <c r="R1142" s="72"/>
      <c r="S1142" s="64">
        <v>44532</v>
      </c>
      <c r="U1142" s="72"/>
      <c r="V1142" s="54" t="s">
        <v>66</v>
      </c>
      <c r="X1142" s="69">
        <f t="shared" si="101"/>
        <v>7</v>
      </c>
      <c r="Z1142" s="45" t="s">
        <v>70</v>
      </c>
      <c r="AA1142" s="69">
        <f t="shared" si="98"/>
        <v>8</v>
      </c>
      <c r="AB1142" s="69" t="str">
        <f t="shared" si="100"/>
        <v>Adult</v>
      </c>
      <c r="AC1142" s="69">
        <v>8</v>
      </c>
      <c r="AD1142" s="69">
        <v>0</v>
      </c>
      <c r="AE1142" s="45" t="str">
        <f t="shared" si="95"/>
        <v>Morphological</v>
      </c>
      <c r="AF1142" s="56">
        <v>4</v>
      </c>
    </row>
    <row r="1143" spans="1:32" ht="18" customHeight="1" x14ac:dyDescent="0.25">
      <c r="A1143" s="45">
        <v>1139</v>
      </c>
      <c r="B1143" s="45" t="s">
        <v>60</v>
      </c>
      <c r="C1143" s="45" t="s">
        <v>61</v>
      </c>
      <c r="D1143" s="45" t="s">
        <v>62</v>
      </c>
      <c r="E1143" s="45" t="s">
        <v>62</v>
      </c>
      <c r="F1143" s="59" cm="1">
        <f t="array" ref="F1143">_xlfn.IFS($G1143=$G$5,F$5,$G1143=$G$6,F$6,$G1143=$G$7,F$7,$G1143=$G$8,F$8,$G1143=$G$9,F$9,$G1143=$G$10,F$10,$G1143=$G$11,F$11,$G1143=$G$12,F$12,$G1143=$G$13,F$13,$G1143=$G$15,F$15,$G1143=$G$16,F$16,$G1143=$G$17,F$17,$G1143=$G$18,F$18,$G1143=$G$19,F$19,$G1143=$G$20,F$20,$G1143=$G$21,F$21,$G1143=$G$22,F$22,$G1143=$G$25,F$25,$G1143=$G$26,F$26,$G1143=$G$27,F$27,$G1143=$G$29,F$29,$G1143=$G$31,F$31,$G1143=$G$32,F$32,$G1143=$G$248,F$248,$G1143=$G$250,F$250)</f>
        <v>8017</v>
      </c>
      <c r="G1143" t="s">
        <v>98</v>
      </c>
      <c r="H1143" s="60" cm="1">
        <f t="array" ref="H1143">_xlfn.IFS($G1143=$G$5,H$5,$G1143=$G$6,H$6,$G1143=$G$7,H$7,$G1143=$G$8,H$8,$G1143=$G$9,H$9,$G1143=$G$10,H$10,$G1143=$G$11,H$11,$G1143=$G$12,H$12,$G1143=$G$13,H$13,$G1143=$G$15,H$15,$G1143=$G$16,H$16,$G1143=$G$17,H$17,$G1143=$G$18,H$18,$G1143=$G$19,H$19,$G1143=$G$20,H$20,$G1143=$G$21,H$21,$G1143=$G$22,H$22,$G1143=$G$25,H$25,$G1143=$G$26,H$26,$G1143=$G$27,H$27,$G1143=$G$29,H$29,$G1143=$G$31,H$31,$G1143=$G$32,H$150,$G1143=$G$248,H$248,$G1143=$G$250,H$250)</f>
        <v>41.430315999999998</v>
      </c>
      <c r="I1143" s="60" cm="1">
        <f t="array" ref="I1143">_xlfn.IFS($G1143=$G$5,I$5,$G1143=$G$6,I$6,$G1143=$G$7,I$7,$G1143=$G$8,I$8,$G1143=$G$9,I$9,$G1143=$G$10,I$10,$G1143=$G$11,I$11,$G1143=$G$12,I$12,$G1143=$G$13,I$13,$G1143=$G$15,I$15,$G1143=$G$16,I$16,$G1143=$G$17,I$17,$G1143=$G$18,I$18,$G1143=$G$19,I$19,$G1143=$G$20,I$20,$G1143=$G$21,I$21,$G1143=$G$22,I$22,$G1143=$G$25,I$25,$G1143=$G$26,I$26,$G1143=$G$27,I$27,$G1143=$G$29,I$29,$G1143=$G$31,I$31,$G1143=$G$32,I$150,$G1143=$G$248,I$248,$G1143=$G$250,I$250)</f>
        <v>2.077556</v>
      </c>
      <c r="J1143" s="61" cm="1">
        <f t="array" ref="J1143">_xlfn.IFS($G1143=$G$5,J$5,$G1143=$G$6,J$6,$G1143=$G$7,J$7,$G1143=$G$8,J$8,$G1143=$G$9,J$9,$G1143=$G$10,J$10,$G1143=$G$11,J$11,$G1143=$G$12,J$12,$G1143=$G$13,J$13,$G1143=$G$15,J$15,$G1143=$G$16,J$16,$G1143=$G$17,J$17,$G1143=$G$18,J$18,$G1143=$G$19,J$19,$G1143=$G$20,J$20,$G1143=$G$21,J$21,$G1143=$G$22,J$22,$G1143=$G$25,J$25,$G1143=$G$26,J$26,$G1143=$G$27,J$27,$G1143=$G$29,J$29,$G1143=$G$31,J$31,$G1143=$G$32,J$150,$G1143=$G$248,J$248,$G1143=$G$250,J$250)</f>
        <v>243.3</v>
      </c>
      <c r="K1143" t="str" cm="1">
        <f t="array" ref="K1143">_xlfn.IFS($G1143=$G$5,K$5,$G1143=$G$6,K$6,$G1143=$G$7,K$7,$G1143=$G$8,K$8,$G1143=$G$9,K$9,$G1143=$G$10,K$10,$G1143=$G$11,K$11,$G1143=$G$12,K$12,$G1143=$G$13,K$13,$G1143=$G$15,K$15,$G1143=$G$16,K$16,$G1143=$G$17,K$17,$G1143=$G$18,K$18,$G1143=$G$19,K$19,$G1143=$G$20,K$20,$G1143=$G$21,K$21,$G1143=$G$22,K$22,$G1143=$G$25,K$25,$G1143=$G$26,K$26,$G1143=$G$27,K$27,$G1143=$G$29,K$29,$G1143=$G$31,K$31,$G1143=$G$32,K$150,$G1143=$G$248,K$248,$G1143=$G$250,K$250)</f>
        <v>BG sentinel + BG lure7</v>
      </c>
      <c r="O1143" s="69" t="str">
        <f t="shared" si="96"/>
        <v>A_SP_BCN_22_211124</v>
      </c>
      <c r="P1143" s="64">
        <v>44524</v>
      </c>
      <c r="R1143" s="72"/>
      <c r="S1143" s="64">
        <v>44531</v>
      </c>
      <c r="U1143" s="72"/>
      <c r="V1143" s="54" t="s">
        <v>66</v>
      </c>
      <c r="X1143" s="69">
        <f t="shared" si="101"/>
        <v>7</v>
      </c>
      <c r="AA1143" s="69">
        <f t="shared" si="98"/>
        <v>0</v>
      </c>
      <c r="AB1143" s="69" t="str">
        <f t="shared" si="100"/>
        <v/>
      </c>
      <c r="AE1143" s="45" t="str">
        <f t="shared" si="95"/>
        <v/>
      </c>
      <c r="AF1143" s="56">
        <v>4</v>
      </c>
    </row>
    <row r="1144" spans="1:32" ht="18" customHeight="1" x14ac:dyDescent="0.25">
      <c r="A1144" s="45">
        <v>1140</v>
      </c>
      <c r="B1144" s="45" t="s">
        <v>60</v>
      </c>
      <c r="C1144" s="45" t="s">
        <v>61</v>
      </c>
      <c r="D1144" s="45" t="s">
        <v>62</v>
      </c>
      <c r="E1144" s="45" t="s">
        <v>62</v>
      </c>
      <c r="F1144" s="59" cm="1">
        <f t="array" ref="F1144">_xlfn.IFS($G1144=$G$5,F$5,$G1144=$G$6,F$6,$G1144=$G$7,F$7,$G1144=$G$8,F$8,$G1144=$G$9,F$9,$G1144=$G$10,F$10,$G1144=$G$11,F$11,$G1144=$G$12,F$12,$G1144=$G$13,F$13,$G1144=$G$15,F$15,$G1144=$G$16,F$16,$G1144=$G$17,F$17,$G1144=$G$18,F$18,$G1144=$G$19,F$19,$G1144=$G$20,F$20,$G1144=$G$21,F$21,$G1144=$G$22,F$22,$G1144=$G$25,F$25,$G1144=$G$26,F$26,$G1144=$G$27,F$27,$G1144=$G$29,F$29,$G1144=$G$31,F$31,$G1144=$G$32,F$32,$G1144=$G$248,F$248,$G1144=$G$250,F$250)</f>
        <v>8038</v>
      </c>
      <c r="G1144" t="s">
        <v>103</v>
      </c>
      <c r="H1144" s="60" cm="1">
        <f t="array" ref="H1144">_xlfn.IFS($G1144=$G$5,H$5,$G1144=$G$6,H$6,$G1144=$G$7,H$7,$G1144=$G$8,H$8,$G1144=$G$9,H$9,$G1144=$G$10,H$10,$G1144=$G$11,H$11,$G1144=$G$12,H$12,$G1144=$G$13,H$13,$G1144=$G$15,H$15,$G1144=$G$16,H$16,$G1144=$G$17,H$17,$G1144=$G$18,H$18,$G1144=$G$19,H$19,$G1144=$G$20,H$20,$G1144=$G$21,H$21,$G1144=$G$22,H$22,$G1144=$G$25,H$25,$G1144=$G$26,H$26,$G1144=$G$27,H$27,$G1144=$G$29,H$29,$G1144=$G$31,H$31,$G1144=$G$32,H$150,$G1144=$G$248,H$248,$G1144=$G$250,H$250)</f>
        <v>41.367100000000001</v>
      </c>
      <c r="I1144" s="60" cm="1">
        <f t="array" ref="I1144">_xlfn.IFS($G1144=$G$5,I$5,$G1144=$G$6,I$6,$G1144=$G$7,I$7,$G1144=$G$8,I$8,$G1144=$G$9,I$9,$G1144=$G$10,I$10,$G1144=$G$11,I$11,$G1144=$G$12,I$12,$G1144=$G$13,I$13,$G1144=$G$15,I$15,$G1144=$G$16,I$16,$G1144=$G$17,I$17,$G1144=$G$18,I$18,$G1144=$G$19,I$19,$G1144=$G$20,I$20,$G1144=$G$21,I$21,$G1144=$G$22,I$22,$G1144=$G$25,I$25,$G1144=$G$26,I$26,$G1144=$G$27,I$27,$G1144=$G$29,I$29,$G1144=$G$31,I$31,$G1144=$G$32,I$150,$G1144=$G$248,I$248,$G1144=$G$250,I$250)</f>
        <v>2.1539079999999999</v>
      </c>
      <c r="J1144" s="61" cm="1">
        <f t="array" ref="J1144">_xlfn.IFS($G1144=$G$5,J$5,$G1144=$G$6,J$6,$G1144=$G$7,J$7,$G1144=$G$8,J$8,$G1144=$G$9,J$9,$G1144=$G$10,J$10,$G1144=$G$11,J$11,$G1144=$G$12,J$12,$G1144=$G$13,J$13,$G1144=$G$15,J$15,$G1144=$G$16,J$16,$G1144=$G$17,J$17,$G1144=$G$18,J$18,$G1144=$G$19,J$19,$G1144=$G$20,J$20,$G1144=$G$21,J$21,$G1144=$G$22,J$22,$G1144=$G$25,J$25,$G1144=$G$26,J$26,$G1144=$G$27,J$27,$G1144=$G$29,J$29,$G1144=$G$31,J$31,$G1144=$G$32,J$150,$G1144=$G$248,J$248,$G1144=$G$250,J$250)</f>
        <v>68</v>
      </c>
      <c r="K1144" t="str" cm="1">
        <f t="array" ref="K1144">_xlfn.IFS($G1144=$G$5,K$5,$G1144=$G$6,K$6,$G1144=$G$7,K$7,$G1144=$G$8,K$8,$G1144=$G$9,K$9,$G1144=$G$10,K$10,$G1144=$G$11,K$11,$G1144=$G$12,K$12,$G1144=$G$13,K$13,$G1144=$G$15,K$15,$G1144=$G$16,K$16,$G1144=$G$17,K$17,$G1144=$G$18,K$18,$G1144=$G$19,K$19,$G1144=$G$20,K$20,$G1144=$G$21,K$21,$G1144=$G$22,K$22,$G1144=$G$25,K$25,$G1144=$G$26,K$26,$G1144=$G$27,K$27,$G1144=$G$29,K$29,$G1144=$G$31,K$31,$G1144=$G$32,K$150,$G1144=$G$248,K$248,$G1144=$G$250,K$250)</f>
        <v>BG sentinel + BG lure7</v>
      </c>
      <c r="O1144" s="69" t="str">
        <f t="shared" si="96"/>
        <v>A_SP_BCN_23_211125</v>
      </c>
      <c r="P1144" s="64">
        <v>44525</v>
      </c>
      <c r="R1144" s="72"/>
      <c r="S1144" s="64">
        <v>44532</v>
      </c>
      <c r="U1144" s="72"/>
      <c r="V1144" s="54" t="s">
        <v>66</v>
      </c>
      <c r="X1144" s="69">
        <f t="shared" si="101"/>
        <v>7</v>
      </c>
      <c r="AA1144" s="69">
        <f t="shared" si="98"/>
        <v>0</v>
      </c>
      <c r="AB1144" s="69" t="str">
        <f t="shared" si="100"/>
        <v/>
      </c>
      <c r="AE1144" s="45" t="str">
        <f t="shared" si="95"/>
        <v/>
      </c>
      <c r="AF1144" s="56">
        <v>4</v>
      </c>
    </row>
    <row r="1145" spans="1:32" ht="18" customHeight="1" x14ac:dyDescent="0.25">
      <c r="A1145" s="45">
        <v>1141</v>
      </c>
      <c r="B1145" s="45" t="s">
        <v>60</v>
      </c>
      <c r="C1145" s="45" t="s">
        <v>61</v>
      </c>
      <c r="D1145" s="45" t="s">
        <v>62</v>
      </c>
      <c r="E1145" s="45" t="s">
        <v>62</v>
      </c>
      <c r="F1145" s="59" cm="1">
        <f t="array" ref="F1145">_xlfn.IFS($G1145=$G$5,F$5,$G1145=$G$6,F$6,$G1145=$G$7,F$7,$G1145=$G$8,F$8,$G1145=$G$9,F$9,$G1145=$G$10,F$10,$G1145=$G$11,F$11,$G1145=$G$12,F$12,$G1145=$G$13,F$13,$G1145=$G$15,F$15,$G1145=$G$16,F$16,$G1145=$G$17,F$17,$G1145=$G$18,F$18,$G1145=$G$19,F$19,$G1145=$G$20,F$20,$G1145=$G$21,F$21,$G1145=$G$22,F$22,$G1145=$G$25,F$25,$G1145=$G$26,F$26,$G1145=$G$27,F$27,$G1145=$G$29,F$29,$G1145=$G$31,F$31,$G1145=$G$32,F$32,$G1145=$G$248,F$248,$G1145=$G$250,F$250)</f>
        <v>8015</v>
      </c>
      <c r="G1145" t="s">
        <v>109</v>
      </c>
      <c r="H1145" s="60" cm="1">
        <f t="array" ref="H1145">_xlfn.IFS($G1145=$G$5,H$5,$G1145=$G$6,H$6,$G1145=$G$7,H$7,$G1145=$G$8,H$8,$G1145=$G$9,H$9,$G1145=$G$10,H$10,$G1145=$G$11,H$11,$G1145=$G$12,H$12,$G1145=$G$13,H$13,$G1145=$G$15,H$15,$G1145=$G$16,H$16,$G1145=$G$17,H$17,$G1145=$G$18,H$18,$G1145=$G$19,H$19,$G1145=$G$20,H$20,$G1145=$G$21,H$21,$G1145=$G$22,H$22,$G1145=$G$25,H$25,$G1145=$G$26,H$26,$G1145=$G$27,H$27,$G1145=$G$29,H$29,$G1145=$G$31,H$31,$G1145=$G$32,H$150,$G1145=$G$248,H$248,$G1145=$G$250,H$250)</f>
        <v>41.381725000000003</v>
      </c>
      <c r="I1145" s="60" cm="1">
        <f t="array" ref="I1145">_xlfn.IFS($G1145=$G$5,I$5,$G1145=$G$6,I$6,$G1145=$G$7,I$7,$G1145=$G$8,I$8,$G1145=$G$9,I$9,$G1145=$G$10,I$10,$G1145=$G$11,I$11,$G1145=$G$12,I$12,$G1145=$G$13,I$13,$G1145=$G$15,I$15,$G1145=$G$16,I$16,$G1145=$G$17,I$17,$G1145=$G$18,I$18,$G1145=$G$19,I$19,$G1145=$G$20,I$20,$G1145=$G$21,I$21,$G1145=$G$22,I$22,$G1145=$G$25,I$25,$G1145=$G$26,I$26,$G1145=$G$27,I$27,$G1145=$G$29,I$29,$G1145=$G$31,I$31,$G1145=$G$32,I$150,$G1145=$G$248,I$248,$G1145=$G$250,I$250)</f>
        <v>2.1543679999999998</v>
      </c>
      <c r="J1145" s="61" cm="1">
        <f t="array" ref="J1145">_xlfn.IFS($G1145=$G$5,J$5,$G1145=$G$6,J$6,$G1145=$G$7,J$7,$G1145=$G$8,J$8,$G1145=$G$9,J$9,$G1145=$G$10,J$10,$G1145=$G$11,J$11,$G1145=$G$12,J$12,$G1145=$G$13,J$13,$G1145=$G$15,J$15,$G1145=$G$16,J$16,$G1145=$G$17,J$17,$G1145=$G$18,J$18,$G1145=$G$19,J$19,$G1145=$G$20,J$20,$G1145=$G$21,J$21,$G1145=$G$22,J$22,$G1145=$G$25,J$25,$G1145=$G$26,J$26,$G1145=$G$27,J$27,$G1145=$G$29,J$29,$G1145=$G$31,J$31,$G1145=$G$32,J$150,$G1145=$G$248,J$248,$G1145=$G$250,J$250)</f>
        <v>20.7</v>
      </c>
      <c r="K1145" t="str" cm="1">
        <f t="array" ref="K1145">_xlfn.IFS($G1145=$G$5,K$5,$G1145=$G$6,K$6,$G1145=$G$7,K$7,$G1145=$G$8,K$8,$G1145=$G$9,K$9,$G1145=$G$10,K$10,$G1145=$G$11,K$11,$G1145=$G$12,K$12,$G1145=$G$13,K$13,$G1145=$G$15,K$15,$G1145=$G$16,K$16,$G1145=$G$17,K$17,$G1145=$G$18,K$18,$G1145=$G$19,K$19,$G1145=$G$20,K$20,$G1145=$G$21,K$21,$G1145=$G$22,K$22,$G1145=$G$25,K$25,$G1145=$G$26,K$26,$G1145=$G$27,K$27,$G1145=$G$29,K$29,$G1145=$G$31,K$31,$G1145=$G$32,K$150,$G1145=$G$248,K$248,$G1145=$G$250,K$250)</f>
        <v>BG sentinel + BG lure7</v>
      </c>
      <c r="O1145" s="69" t="str">
        <f t="shared" si="96"/>
        <v>A_SP_BCN_24_211125</v>
      </c>
      <c r="P1145" s="64">
        <v>44525</v>
      </c>
      <c r="R1145" s="72"/>
      <c r="S1145" s="64">
        <v>44532</v>
      </c>
      <c r="U1145" s="72"/>
      <c r="V1145" s="54" t="s">
        <v>66</v>
      </c>
      <c r="X1145" s="69">
        <f t="shared" si="101"/>
        <v>7</v>
      </c>
      <c r="AA1145" s="69">
        <f t="shared" si="98"/>
        <v>0</v>
      </c>
      <c r="AB1145" s="69" t="str">
        <f t="shared" si="100"/>
        <v/>
      </c>
      <c r="AE1145" s="45" t="str">
        <f t="shared" si="95"/>
        <v/>
      </c>
      <c r="AF1145" s="56">
        <v>4</v>
      </c>
    </row>
  </sheetData>
  <mergeCells count="5">
    <mergeCell ref="A1:F2"/>
    <mergeCell ref="G1:W1"/>
    <mergeCell ref="Y1:AE2"/>
    <mergeCell ref="G2:N2"/>
    <mergeCell ref="O2:W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2021_BG_BarcelonaCity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Isis</dc:creator>
  <cp:lastModifiedBy>Isis</cp:lastModifiedBy>
  <dcterms:created xsi:type="dcterms:W3CDTF">2023-02-13T00:45:39Z</dcterms:created>
  <dcterms:modified xsi:type="dcterms:W3CDTF">2023-02-13T00:47:17Z</dcterms:modified>
</cp:coreProperties>
</file>