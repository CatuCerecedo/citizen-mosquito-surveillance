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is\Documents\ISIS\Mosquito Alert\Big_mosquito_Bytes_deliverable\"/>
    </mc:Choice>
  </mc:AlternateContent>
  <xr:revisionPtr revIDLastSave="0" documentId="13_ncr:1_{84C6C0D3-D9AE-49F8-8DA1-225BAFC66CEA}" xr6:coauthVersionLast="47" xr6:coauthVersionMax="47" xr10:uidLastSave="{00000000-0000-0000-0000-000000000000}"/>
  <bookViews>
    <workbookView xWindow="-120" yWindow="-120" windowWidth="24240" windowHeight="13140" tabRatio="500" activeTab="1" xr2:uid="{00000000-000D-0000-FFFF-FFFF00000000}"/>
  </bookViews>
  <sheets>
    <sheet name="Metadata" sheetId="5" r:id="rId1"/>
    <sheet name="BGBData recording sheet AIM" sheetId="6" r:id="rId2"/>
    <sheet name="Vacuuming sites" sheetId="9" r:id="rId3"/>
  </sheets>
  <definedNames>
    <definedName name="_xlnm._FilterDatabase" localSheetId="1" hidden="1">'BGBData recording sheet AIM'!$A$4:$AG$4</definedName>
    <definedName name="_xlnm._FilterDatabase" localSheetId="2" hidden="1">'Vacuuming sites'!$A$4:$AG$4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86" i="9" l="1"/>
  <c r="O85" i="9"/>
  <c r="O84" i="9"/>
  <c r="O83" i="9"/>
  <c r="O82" i="9"/>
  <c r="O81" i="9"/>
  <c r="O80" i="9"/>
  <c r="O79" i="9"/>
  <c r="O78" i="9"/>
  <c r="O77" i="9"/>
  <c r="O76" i="9"/>
  <c r="O75" i="9"/>
  <c r="O31" i="9"/>
  <c r="O32" i="9"/>
  <c r="O33" i="9"/>
  <c r="O34" i="9"/>
  <c r="X79" i="9"/>
  <c r="X78" i="9"/>
  <c r="X77" i="9"/>
  <c r="X76" i="9"/>
  <c r="X75" i="9"/>
  <c r="X74" i="9"/>
  <c r="O74" i="9"/>
  <c r="X73" i="9"/>
  <c r="O73" i="9"/>
  <c r="X72" i="9"/>
  <c r="O72" i="9"/>
  <c r="X71" i="9"/>
  <c r="O71" i="9"/>
  <c r="X70" i="9"/>
  <c r="O70" i="9"/>
  <c r="X69" i="9"/>
  <c r="O69" i="9"/>
  <c r="X68" i="9"/>
  <c r="O68" i="9"/>
  <c r="X67" i="9"/>
  <c r="O67" i="9"/>
  <c r="X66" i="9"/>
  <c r="O66" i="9"/>
  <c r="X65" i="9"/>
  <c r="O65" i="9"/>
  <c r="X64" i="9"/>
  <c r="O64" i="9"/>
  <c r="X63" i="9"/>
  <c r="O63" i="9"/>
  <c r="X62" i="9"/>
  <c r="O62" i="9"/>
  <c r="X61" i="9"/>
  <c r="O61" i="9"/>
  <c r="X60" i="9"/>
  <c r="O60" i="9"/>
  <c r="X59" i="9"/>
  <c r="O59" i="9"/>
  <c r="X58" i="9"/>
  <c r="O58" i="9"/>
  <c r="X57" i="9"/>
  <c r="O57" i="9"/>
  <c r="X56" i="9"/>
  <c r="O56" i="9"/>
  <c r="X55" i="9"/>
  <c r="O55" i="9"/>
  <c r="X54" i="9"/>
  <c r="O54" i="9"/>
  <c r="X53" i="9"/>
  <c r="O53" i="9"/>
  <c r="X52" i="9"/>
  <c r="O52" i="9"/>
  <c r="X51" i="9"/>
  <c r="O51" i="9"/>
  <c r="X50" i="9"/>
  <c r="O50" i="9"/>
  <c r="X49" i="9"/>
  <c r="O49" i="9"/>
  <c r="X48" i="9"/>
  <c r="O48" i="9"/>
  <c r="X47" i="9"/>
  <c r="O47" i="9"/>
  <c r="X46" i="9"/>
  <c r="O46" i="9"/>
  <c r="X45" i="9"/>
  <c r="O45" i="9"/>
  <c r="X44" i="9"/>
  <c r="O44" i="9"/>
  <c r="X43" i="9"/>
  <c r="O43" i="9"/>
  <c r="X42" i="9"/>
  <c r="O42" i="9"/>
  <c r="X41" i="9"/>
  <c r="O41" i="9"/>
  <c r="X40" i="9"/>
  <c r="O40" i="9"/>
  <c r="X39" i="9"/>
  <c r="O39" i="9"/>
  <c r="X38" i="9"/>
  <c r="O38" i="9"/>
  <c r="X37" i="9"/>
  <c r="O37" i="9"/>
  <c r="X36" i="9"/>
  <c r="O36" i="9"/>
  <c r="X35" i="9"/>
  <c r="O35" i="9"/>
  <c r="X33" i="9"/>
  <c r="X32" i="9"/>
  <c r="X30" i="9"/>
  <c r="O30" i="9"/>
  <c r="X29" i="9"/>
  <c r="O29" i="9"/>
  <c r="X28" i="9"/>
  <c r="O28" i="9"/>
  <c r="X27" i="9"/>
  <c r="O27" i="9"/>
  <c r="X26" i="9"/>
  <c r="O26" i="9"/>
  <c r="X25" i="9"/>
  <c r="O25" i="9"/>
  <c r="X24" i="9"/>
  <c r="O24" i="9"/>
  <c r="X23" i="9"/>
  <c r="O23" i="9"/>
  <c r="X22" i="9"/>
  <c r="O22" i="9"/>
  <c r="X21" i="9"/>
  <c r="O21" i="9"/>
  <c r="X20" i="9"/>
  <c r="O20" i="9"/>
  <c r="X19" i="9"/>
  <c r="O19" i="9"/>
  <c r="X18" i="9"/>
  <c r="O18" i="9"/>
  <c r="X17" i="9"/>
  <c r="O17" i="9"/>
  <c r="X16" i="9"/>
  <c r="O16" i="9"/>
  <c r="X15" i="9"/>
  <c r="O15" i="9"/>
  <c r="X14" i="9"/>
  <c r="O14" i="9"/>
  <c r="X13" i="9"/>
  <c r="O13" i="9"/>
  <c r="X12" i="9"/>
  <c r="O12" i="9"/>
  <c r="X11" i="9"/>
  <c r="O11" i="9"/>
  <c r="X10" i="9"/>
  <c r="O10" i="9"/>
  <c r="X9" i="9"/>
  <c r="O9" i="9"/>
  <c r="X8" i="9"/>
  <c r="O8" i="9"/>
  <c r="X7" i="9"/>
  <c r="O7" i="9"/>
  <c r="X6" i="9"/>
  <c r="O6" i="9"/>
  <c r="X5" i="9"/>
  <c r="O5" i="9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31" i="6"/>
  <c r="O19" i="6"/>
  <c r="O20" i="6"/>
  <c r="O21" i="6"/>
  <c r="O22" i="6"/>
  <c r="O23" i="6"/>
  <c r="O24" i="6"/>
  <c r="O25" i="6"/>
  <c r="O26" i="6"/>
  <c r="O27" i="6"/>
  <c r="O28" i="6"/>
  <c r="O29" i="6"/>
  <c r="O30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X5" i="6"/>
  <c r="O5" i="6"/>
</calcChain>
</file>

<file path=xl/sharedStrings.xml><?xml version="1.0" encoding="utf-8"?>
<sst xmlns="http://schemas.openxmlformats.org/spreadsheetml/2006/main" count="2260" uniqueCount="135">
  <si>
    <t>Latitude</t>
  </si>
  <si>
    <t>Longitude</t>
  </si>
  <si>
    <t>Altitude</t>
  </si>
  <si>
    <t>Place (e.g. town, village)</t>
  </si>
  <si>
    <t>End date</t>
  </si>
  <si>
    <t>Start date</t>
  </si>
  <si>
    <t>Admin. unit (e.g. District NUTS3)</t>
  </si>
  <si>
    <t>Country</t>
  </si>
  <si>
    <t>Mosquito species</t>
  </si>
  <si>
    <t>Total number of  eggs on tongue depressor</t>
  </si>
  <si>
    <t>Start time</t>
  </si>
  <si>
    <t>End time</t>
  </si>
  <si>
    <t>Average temperature start date (only for BGS+CO2) [°C]</t>
  </si>
  <si>
    <t>Average temperature end date (only for BGS+CO2) [°C]</t>
  </si>
  <si>
    <t>Trapping effort</t>
  </si>
  <si>
    <t>Number per species  [EGGS: Total no. E x No. specimens hatched-analysed (subsample) / total no. hatched-analysed individuals]</t>
  </si>
  <si>
    <t>Location Name</t>
  </si>
  <si>
    <t>postal code</t>
  </si>
  <si>
    <t>Number females (optional)</t>
  </si>
  <si>
    <t>number of males (optional)</t>
  </si>
  <si>
    <t>Comment trap</t>
  </si>
  <si>
    <t>Comment sample</t>
  </si>
  <si>
    <t>trap ID [E (ovitraps) or A (BGS traps)  + location name + numbering]</t>
  </si>
  <si>
    <t>Sample name [trapID + startdatesample (YYMMDD)]</t>
  </si>
  <si>
    <t>Life_Stage identified (options= Adult, Larva or Egg)</t>
  </si>
  <si>
    <t>Identification method (options= Morphological, Maldi-TOF or PCR)</t>
  </si>
  <si>
    <t>if Other, specify land use:</t>
  </si>
  <si>
    <t>Trap type (options= 'Ovitrap', 'BG sentinel + BG lure7' or 'BG sentinel + BG lure7 + CO2')</t>
  </si>
  <si>
    <t>Land use (options= 'Urban habitat', 'Suburban habitat' or 'Other')</t>
  </si>
  <si>
    <t>trap status (e.g. 'Good', 'Battery out', 'Oviposition support missing', 'Trap broken', 'Trap missing', 'No water in the trap')</t>
  </si>
  <si>
    <t>EVERY FIELD TRIP - information about the sample</t>
  </si>
  <si>
    <t>THE FIRST FIELD TRIP - information about the trap</t>
  </si>
  <si>
    <t>TO BE COMPLETED BEFORE THE FIELD TRIP - information about the location</t>
  </si>
  <si>
    <t>Urban habitat</t>
  </si>
  <si>
    <t>TO BE COMPLETED IN THE LAB</t>
  </si>
  <si>
    <t>Good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</si>
  <si>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</si>
  <si>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</si>
  <si>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</si>
  <si>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</si>
  <si>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</si>
  <si>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</si>
  <si>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</si>
  <si>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</si>
  <si>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</si>
  <si>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</si>
  <si>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</si>
  <si>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</si>
  <si>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</si>
  <si>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</si>
  <si>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</si>
  <si>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</si>
  <si>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</si>
  <si>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</si>
  <si>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</si>
  <si>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</si>
  <si>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</si>
  <si>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</si>
  <si>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SP_BCN</t>
  </si>
  <si>
    <t>Spain</t>
  </si>
  <si>
    <t>Barcelona</t>
  </si>
  <si>
    <t>A_SP_BCN_2</t>
  </si>
  <si>
    <t>A_SP_BCN_4</t>
  </si>
  <si>
    <t>A_SP_BCN_6</t>
  </si>
  <si>
    <t>A_SP_BCN_8</t>
  </si>
  <si>
    <t>A_SP_BCN_9</t>
  </si>
  <si>
    <t>BG sentinel + BG lure7</t>
  </si>
  <si>
    <t>TO BE COMPLETED IN THE FIELD</t>
  </si>
  <si>
    <t>Fallen trap</t>
  </si>
  <si>
    <t>#</t>
  </si>
  <si>
    <t>Comments classification</t>
  </si>
  <si>
    <t>Data validity (1- Invalidates data; 2 - Reduces data quality; 3 - Add info or interesting observations to interprete results; 4 - no comment)</t>
  </si>
  <si>
    <t>Example</t>
  </si>
  <si>
    <t>Not mandatory - Case/Row number</t>
  </si>
  <si>
    <t>A two-segment acronym code (e.g. SP_BCN, for Spain, Barcelona) for the place where the trap is located</t>
  </si>
  <si>
    <t>The state or territory where the traps are located</t>
  </si>
  <si>
    <t>You can find the NUTS list here: https://ec.europa.eu/eurostat/web/nuts/background</t>
  </si>
  <si>
    <t xml:space="preserve">The name of the place where the trap is located in English or in the original language (please use Latin characters) </t>
  </si>
  <si>
    <t>Only indicated in the 2 first samplings (to cover all the traps)</t>
  </si>
  <si>
    <t>A BG trap in Barcelona can be: A_SP_BCN_24. If a trap is substituted by another one at the very same place (same X and Y coordinates; see line 14), please use the same ID that the previous one</t>
  </si>
  <si>
    <t xml:space="preserve">The Datum was taken from google maps and period is used to indicate decimals. </t>
  </si>
  <si>
    <t>Taken from ICGC website (approximate values) in meters; only indicated in the 2 first samplings (to cover all the traps)</t>
  </si>
  <si>
    <t>Please provide which one of the 3 types was used, writting the whole name</t>
  </si>
  <si>
    <t>Urban for towns, villages, and cities. Suburban for residential neighbourhoods</t>
  </si>
  <si>
    <t>Please specify if it is forest, industrial area, etc. with a text of 20 characters at max.</t>
  </si>
  <si>
    <t>Please provide any information about the trap apart from that at line 22 (e.g. trap removed, trap substituted)</t>
  </si>
  <si>
    <t>For a trap in Barcelona it could be: A_SP_BCN_24_201026</t>
  </si>
  <si>
    <t>For the same trap above it should be: 2020-10-26</t>
  </si>
  <si>
    <t>Only mandatory for CO2 traps</t>
  </si>
  <si>
    <t>For the same trap above it should be: 2020-11-03</t>
  </si>
  <si>
    <t>Other examples: trap wet due to  very bad weather conditions  (for BG traps), trap unplugged (for BG traps), trap overthrown, trap moved to another place</t>
  </si>
  <si>
    <t>Please provide information about the sample status, especially when the target mosquitoes are absent but other insects are found (in the case of BG traps)</t>
  </si>
  <si>
    <t>The number days in which the trap has been operating (difference between the end and the start date) --&gt; in some cases hours between one week and the next are quite different - maybe we should take into account times to assess more precisely  the trapping effort</t>
  </si>
  <si>
    <t>The current species complete name of the mosquito</t>
  </si>
  <si>
    <t>In case of adults - sum of males and females of each species</t>
  </si>
  <si>
    <t>Please provide which one of the 3 stages was identified, writting the whole name</t>
  </si>
  <si>
    <t>Please provide which one of the 3 methods was used, writting the whole name</t>
  </si>
  <si>
    <t>To assess the quality of data regarding comments - column added to the AIMCOST standard template</t>
  </si>
  <si>
    <t>Trap found open</t>
  </si>
  <si>
    <t>A_SP_BCN_16</t>
  </si>
  <si>
    <t>No electricity (no sample)</t>
  </si>
  <si>
    <t>A_SP_BCN_17</t>
  </si>
  <si>
    <t>A_SP_BCN_18</t>
  </si>
  <si>
    <t>Fallen trap - put in place</t>
  </si>
  <si>
    <t>Fallen trap - no sample</t>
  </si>
  <si>
    <t>A_SP_BCN_24</t>
  </si>
  <si>
    <t>Funnel upside down - no sample</t>
  </si>
  <si>
    <t>Trap open and disconnected</t>
  </si>
  <si>
    <t>A_SP_BCN_27</t>
  </si>
  <si>
    <t>Trap open</t>
  </si>
  <si>
    <t>A_SP_BCN_28</t>
  </si>
  <si>
    <t>Start time in 24h format 00:00, local time</t>
  </si>
  <si>
    <t>End time in 24h format 00:00, local time</t>
  </si>
  <si>
    <t>trap disconnected</t>
  </si>
  <si>
    <t>A_SP_BCN_29</t>
  </si>
  <si>
    <t>trap open</t>
  </si>
  <si>
    <t xml:space="preserve">trap open </t>
  </si>
  <si>
    <t>A_SP_BCN_30</t>
  </si>
  <si>
    <t>A_SP_BCN_31</t>
  </si>
  <si>
    <t>A_SP_BCN_32</t>
  </si>
  <si>
    <t>Funnel out of the trap, closed</t>
  </si>
  <si>
    <t>Trap fallen - no sample</t>
  </si>
  <si>
    <t>A_SP_BCN_33</t>
  </si>
  <si>
    <t>V5</t>
  </si>
  <si>
    <t>V6</t>
  </si>
  <si>
    <t>V7</t>
  </si>
  <si>
    <t>V8</t>
  </si>
  <si>
    <t>V9</t>
  </si>
  <si>
    <t>V10</t>
  </si>
  <si>
    <t>V11</t>
  </si>
  <si>
    <t>Sabadell</t>
  </si>
  <si>
    <t>Vilanova del Vallès</t>
  </si>
  <si>
    <t>BG Mosquitaire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</si>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</sst>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241A]dd/mm/yyyy;@"/>
    <numFmt numFmtId="166" formatCode="yyyy\-mm\-dd;@"/>
    <numFmt numFmtId="167" formatCode="hh:mm"/>
    <numFmt numFmtId="168" formatCode="00000"/>
  </numFmts>
  <fonts count="10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8" fillId="0" borderId="0"/>
    <xf numFmtId="0" fontId="9" fillId="0" borderId="0"/>
  </cellStyleXfs>
  <cellXfs count="63">
    <xf numFmtId="0" fontId="0" fillId="0" borderId="0" xfId="0"/>
    <xf numFmtId="0" fontId="2" fillId="0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6" fontId="2" fillId="4" borderId="2" xfId="1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20" fontId="0" fillId="0" borderId="0" xfId="0" applyNumberFormat="1"/>
    <xf numFmtId="164" fontId="2" fillId="4" borderId="2" xfId="1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166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6" fillId="4" borderId="0" xfId="0" quotePrefix="1" applyFont="1" applyFill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4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6" borderId="2" xfId="0" applyFont="1" applyFill="1" applyBorder="1" applyAlignment="1">
      <alignment horizontal="center" wrapText="1"/>
    </xf>
    <xf numFmtId="0" fontId="2" fillId="5" borderId="2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6" fontId="2" fillId="5" borderId="2" xfId="1" applyNumberFormat="1" applyFont="1" applyFill="1" applyBorder="1" applyAlignment="1">
      <alignment horizontal="center" vertical="center" wrapText="1"/>
    </xf>
    <xf numFmtId="164" fontId="2" fillId="5" borderId="2" xfId="1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Alignment="1">
      <alignment horizontal="center" vertical="center"/>
    </xf>
    <xf numFmtId="16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20" fontId="6" fillId="0" borderId="0" xfId="0" applyNumberFormat="1" applyFont="1" applyFill="1" applyAlignment="1">
      <alignment horizontal="center" vertical="center"/>
    </xf>
    <xf numFmtId="2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4" borderId="0" xfId="0" applyFont="1" applyFill="1"/>
    <xf numFmtId="168" fontId="6" fillId="0" borderId="0" xfId="0" applyNumberFormat="1" applyFont="1" applyFill="1" applyAlignment="1">
      <alignment horizontal="center" vertical="center"/>
    </xf>
    <xf numFmtId="166" fontId="6" fillId="0" borderId="0" xfId="0" applyNumberFormat="1" applyFont="1" applyFill="1" applyAlignment="1">
      <alignment horizontal="center"/>
    </xf>
    <xf numFmtId="167" fontId="6" fillId="0" borderId="0" xfId="0" applyNumberFormat="1" applyFont="1" applyFill="1" applyAlignment="1">
      <alignment horizontal="center"/>
    </xf>
  </cellXfs>
  <cellStyles count="4">
    <cellStyle name="Celda de comprobación" xfId="1" builtinId="23"/>
    <cellStyle name="Normal" xfId="0" builtinId="0"/>
    <cellStyle name="Normal 2" xfId="2" xr:uid="{D7025753-7FB6-4C38-A2FC-651F54B3C522}"/>
    <cellStyle name="Normal 3" xfId="3" xr:uid="{5A849229-A4B6-4544-9926-9FEDC6B4BE9E}"/>
  </cellStyles>
  <dxfs count="0"/>
  <tableStyles count="0" defaultTableStyle="TableStyleMedium9" defaultPivotStyle="PivotStyleMedium7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E327-F16D-4C46-8EBB-52837A7C7198}">
  <dimension ref="A1:C33"/>
  <sheetViews>
    <sheetView topLeftCell="A5" workbookViewId="0">
      <selection activeCell="C22" sqref="C22"/>
    </sheetView>
  </sheetViews>
  <sheetFormatPr baseColWidth="10" defaultRowHeight="15" x14ac:dyDescent="0.25"/>
  <cols>
    <col min="2" max="2" width="48" customWidth="1"/>
    <col min="3" max="3" width="55.140625" customWidth="1"/>
  </cols>
  <sheetData>
    <row r="1" spans="1:3" x14ac:dyDescent="0.25">
      <c r="A1" s="28"/>
      <c r="B1" s="28"/>
      <c r="C1" s="29"/>
    </row>
    <row r="2" spans="1:3" x14ac:dyDescent="0.25">
      <c r="A2" s="18">
        <v>1</v>
      </c>
      <c r="B2" s="18" t="s">
        <v>72</v>
      </c>
      <c r="C2" s="30" t="s">
        <v>73</v>
      </c>
    </row>
    <row r="3" spans="1:3" ht="30" x14ac:dyDescent="0.25">
      <c r="A3" s="18">
        <v>2</v>
      </c>
      <c r="B3" s="18" t="s">
        <v>16</v>
      </c>
      <c r="C3" s="30" t="s">
        <v>74</v>
      </c>
    </row>
    <row r="4" spans="1:3" x14ac:dyDescent="0.25">
      <c r="A4" s="18">
        <v>3</v>
      </c>
      <c r="B4" s="18" t="s">
        <v>7</v>
      </c>
      <c r="C4" s="30" t="s">
        <v>75</v>
      </c>
    </row>
    <row r="5" spans="1:3" ht="30" x14ac:dyDescent="0.25">
      <c r="A5" s="18">
        <v>4</v>
      </c>
      <c r="B5" s="18" t="s">
        <v>6</v>
      </c>
      <c r="C5" s="30" t="s">
        <v>76</v>
      </c>
    </row>
    <row r="6" spans="1:3" ht="30" x14ac:dyDescent="0.25">
      <c r="A6" s="18">
        <v>5</v>
      </c>
      <c r="B6" s="18" t="s">
        <v>3</v>
      </c>
      <c r="C6" s="30" t="s">
        <v>77</v>
      </c>
    </row>
    <row r="7" spans="1:3" x14ac:dyDescent="0.25">
      <c r="A7" s="18">
        <v>6</v>
      </c>
      <c r="B7" s="18" t="s">
        <v>17</v>
      </c>
      <c r="C7" s="31" t="s">
        <v>78</v>
      </c>
    </row>
    <row r="8" spans="1:3" ht="60" x14ac:dyDescent="0.25">
      <c r="A8" s="18">
        <v>7</v>
      </c>
      <c r="B8" s="18" t="s">
        <v>22</v>
      </c>
      <c r="C8" s="30" t="s">
        <v>79</v>
      </c>
    </row>
    <row r="9" spans="1:3" ht="30" x14ac:dyDescent="0.25">
      <c r="A9" s="18">
        <v>8</v>
      </c>
      <c r="B9" s="18" t="s">
        <v>0</v>
      </c>
      <c r="C9" s="31" t="s">
        <v>80</v>
      </c>
    </row>
    <row r="10" spans="1:3" ht="30" x14ac:dyDescent="0.25">
      <c r="A10" s="18">
        <v>9</v>
      </c>
      <c r="B10" s="18" t="s">
        <v>1</v>
      </c>
      <c r="C10" s="31" t="s">
        <v>80</v>
      </c>
    </row>
    <row r="11" spans="1:3" ht="30" x14ac:dyDescent="0.25">
      <c r="A11" s="18">
        <v>10</v>
      </c>
      <c r="B11" s="32" t="s">
        <v>2</v>
      </c>
      <c r="C11" s="31" t="s">
        <v>81</v>
      </c>
    </row>
    <row r="12" spans="1:3" ht="30" x14ac:dyDescent="0.25">
      <c r="A12" s="18">
        <v>11</v>
      </c>
      <c r="B12" s="18" t="s">
        <v>27</v>
      </c>
      <c r="C12" s="33" t="s">
        <v>82</v>
      </c>
    </row>
    <row r="13" spans="1:3" ht="30" x14ac:dyDescent="0.25">
      <c r="A13" s="18">
        <v>12</v>
      </c>
      <c r="B13" s="32" t="s">
        <v>28</v>
      </c>
      <c r="C13" s="30" t="s">
        <v>83</v>
      </c>
    </row>
    <row r="14" spans="1:3" ht="30" x14ac:dyDescent="0.25">
      <c r="A14" s="18">
        <v>13</v>
      </c>
      <c r="B14" s="18" t="s">
        <v>26</v>
      </c>
      <c r="C14" s="30" t="s">
        <v>84</v>
      </c>
    </row>
    <row r="15" spans="1:3" ht="30" x14ac:dyDescent="0.25">
      <c r="A15" s="18">
        <v>14</v>
      </c>
      <c r="B15" s="32" t="s">
        <v>20</v>
      </c>
      <c r="C15" s="30" t="s">
        <v>85</v>
      </c>
    </row>
    <row r="16" spans="1:3" x14ac:dyDescent="0.25">
      <c r="A16" s="18">
        <v>15</v>
      </c>
      <c r="B16" s="18" t="s">
        <v>23</v>
      </c>
      <c r="C16" s="30" t="s">
        <v>86</v>
      </c>
    </row>
    <row r="17" spans="1:3" x14ac:dyDescent="0.25">
      <c r="A17" s="18">
        <v>16</v>
      </c>
      <c r="B17" s="34" t="s">
        <v>5</v>
      </c>
      <c r="C17" s="30" t="s">
        <v>87</v>
      </c>
    </row>
    <row r="18" spans="1:3" x14ac:dyDescent="0.25">
      <c r="A18" s="18">
        <v>17</v>
      </c>
      <c r="B18" s="35" t="s">
        <v>10</v>
      </c>
      <c r="C18" s="30" t="s">
        <v>111</v>
      </c>
    </row>
    <row r="19" spans="1:3" ht="30" x14ac:dyDescent="0.25">
      <c r="A19" s="18">
        <v>18</v>
      </c>
      <c r="B19" s="35" t="s">
        <v>12</v>
      </c>
      <c r="C19" s="30" t="s">
        <v>88</v>
      </c>
    </row>
    <row r="20" spans="1:3" x14ac:dyDescent="0.25">
      <c r="A20" s="18">
        <v>19</v>
      </c>
      <c r="B20" s="34" t="s">
        <v>4</v>
      </c>
      <c r="C20" s="30" t="s">
        <v>89</v>
      </c>
    </row>
    <row r="21" spans="1:3" x14ac:dyDescent="0.25">
      <c r="A21" s="18">
        <v>20</v>
      </c>
      <c r="B21" s="35" t="s">
        <v>11</v>
      </c>
      <c r="C21" s="30" t="s">
        <v>112</v>
      </c>
    </row>
    <row r="22" spans="1:3" ht="30" x14ac:dyDescent="0.25">
      <c r="A22" s="18">
        <v>21</v>
      </c>
      <c r="B22" s="35" t="s">
        <v>13</v>
      </c>
      <c r="C22" s="30" t="s">
        <v>88</v>
      </c>
    </row>
    <row r="23" spans="1:3" ht="45" x14ac:dyDescent="0.25">
      <c r="A23" s="18">
        <v>22</v>
      </c>
      <c r="B23" s="35" t="s">
        <v>29</v>
      </c>
      <c r="C23" s="30" t="s">
        <v>90</v>
      </c>
    </row>
    <row r="24" spans="1:3" ht="45" x14ac:dyDescent="0.25">
      <c r="A24" s="18">
        <v>23</v>
      </c>
      <c r="B24" s="35" t="s">
        <v>21</v>
      </c>
      <c r="C24" s="33" t="s">
        <v>91</v>
      </c>
    </row>
    <row r="25" spans="1:3" ht="75" x14ac:dyDescent="0.25">
      <c r="A25" s="18">
        <v>24</v>
      </c>
      <c r="B25" s="35" t="s">
        <v>14</v>
      </c>
      <c r="C25" s="31" t="s">
        <v>92</v>
      </c>
    </row>
    <row r="26" spans="1:3" x14ac:dyDescent="0.25">
      <c r="A26" s="18">
        <v>25</v>
      </c>
      <c r="B26" s="18" t="s">
        <v>9</v>
      </c>
      <c r="C26" s="30"/>
    </row>
    <row r="27" spans="1:3" x14ac:dyDescent="0.25">
      <c r="A27" s="18">
        <v>26</v>
      </c>
      <c r="B27" s="18" t="s">
        <v>8</v>
      </c>
      <c r="C27" s="30" t="s">
        <v>93</v>
      </c>
    </row>
    <row r="28" spans="1:3" ht="45" x14ac:dyDescent="0.25">
      <c r="A28" s="18">
        <v>27</v>
      </c>
      <c r="B28" s="18" t="s">
        <v>15</v>
      </c>
      <c r="C28" s="30" t="s">
        <v>94</v>
      </c>
    </row>
    <row r="29" spans="1:3" ht="30" x14ac:dyDescent="0.25">
      <c r="A29" s="18">
        <v>28</v>
      </c>
      <c r="B29" s="18" t="s">
        <v>24</v>
      </c>
      <c r="C29" s="33" t="s">
        <v>95</v>
      </c>
    </row>
    <row r="30" spans="1:3" x14ac:dyDescent="0.25">
      <c r="A30" s="18">
        <v>29</v>
      </c>
      <c r="B30" s="18" t="s">
        <v>18</v>
      </c>
      <c r="C30" s="30"/>
    </row>
    <row r="31" spans="1:3" x14ac:dyDescent="0.25">
      <c r="A31" s="18">
        <v>30</v>
      </c>
      <c r="B31" s="18" t="s">
        <v>19</v>
      </c>
      <c r="C31" s="30"/>
    </row>
    <row r="32" spans="1:3" ht="30" x14ac:dyDescent="0.25">
      <c r="A32" s="18">
        <v>31</v>
      </c>
      <c r="B32" s="18" t="s">
        <v>25</v>
      </c>
      <c r="C32" s="33" t="s">
        <v>96</v>
      </c>
    </row>
    <row r="33" spans="2:3" ht="45" x14ac:dyDescent="0.25">
      <c r="B33" s="2" t="s">
        <v>71</v>
      </c>
      <c r="C33" s="3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7B16-FF31-4BF2-A167-7262C45B307E}">
  <dimension ref="A1:AG350"/>
  <sheetViews>
    <sheetView tabSelected="1" topLeftCell="K3" zoomScaleNormal="100" workbookViewId="0">
      <selection activeCell="W126" sqref="W126"/>
    </sheetView>
  </sheetViews>
  <sheetFormatPr baseColWidth="10" defaultColWidth="8.85546875" defaultRowHeight="15" x14ac:dyDescent="0.25"/>
  <cols>
    <col min="2" max="2" width="14.28515625" bestFit="1" customWidth="1"/>
    <col min="3" max="3" width="8.140625" style="3" customWidth="1"/>
    <col min="4" max="4" width="11.7109375" style="3" customWidth="1"/>
    <col min="5" max="5" width="18" style="3" bestFit="1" customWidth="1"/>
    <col min="6" max="6" width="11.7109375" style="3" customWidth="1"/>
    <col min="7" max="10" width="13.42578125" style="3" customWidth="1"/>
    <col min="11" max="11" width="20.42578125" style="3" customWidth="1"/>
    <col min="12" max="12" width="14.7109375" style="3" customWidth="1"/>
    <col min="13" max="13" width="12.7109375" style="3" bestFit="1" customWidth="1"/>
    <col min="14" max="14" width="10.42578125" style="3" customWidth="1"/>
    <col min="15" max="15" width="20.42578125" style="3" customWidth="1"/>
    <col min="16" max="16" width="14.5703125" style="11" customWidth="1"/>
    <col min="17" max="17" width="10.28515625" style="3" customWidth="1"/>
    <col min="18" max="18" width="13.42578125" style="3" customWidth="1"/>
    <col min="19" max="19" width="13.42578125" style="11" customWidth="1"/>
    <col min="20" max="20" width="10.5703125" style="3" customWidth="1"/>
    <col min="21" max="21" width="14.28515625" style="3" customWidth="1"/>
    <col min="22" max="22" width="18.140625" style="3" customWidth="1"/>
    <col min="23" max="23" width="17.42578125" style="14" customWidth="1"/>
    <col min="24" max="24" width="12.28515625" style="3" customWidth="1"/>
    <col min="25" max="25" width="14.28515625" style="3" customWidth="1"/>
    <col min="26" max="26" width="20.140625" style="3" customWidth="1"/>
    <col min="27" max="27" width="27.140625" style="3" customWidth="1"/>
    <col min="28" max="29" width="11.140625" style="3" customWidth="1"/>
    <col min="30" max="30" width="10.85546875" style="3" customWidth="1"/>
    <col min="31" max="31" width="13.5703125" style="3" customWidth="1"/>
    <col min="32" max="32" width="12.5703125" customWidth="1"/>
  </cols>
  <sheetData>
    <row r="1" spans="1:33" ht="14.45" customHeight="1" x14ac:dyDescent="0.25">
      <c r="A1" s="36" t="s">
        <v>32</v>
      </c>
      <c r="B1" s="36"/>
      <c r="C1" s="36"/>
      <c r="D1" s="36"/>
      <c r="E1" s="36"/>
      <c r="F1" s="36"/>
      <c r="G1" s="38" t="s">
        <v>67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40"/>
      <c r="X1" s="12"/>
      <c r="Y1" s="41" t="s">
        <v>34</v>
      </c>
      <c r="Z1" s="42"/>
      <c r="AA1" s="42"/>
      <c r="AB1" s="42"/>
      <c r="AC1" s="42"/>
      <c r="AD1" s="42"/>
      <c r="AE1" s="43"/>
    </row>
    <row r="2" spans="1:33" ht="24" customHeight="1" x14ac:dyDescent="0.25">
      <c r="A2" s="37"/>
      <c r="B2" s="37"/>
      <c r="C2" s="37"/>
      <c r="D2" s="37"/>
      <c r="E2" s="37"/>
      <c r="F2" s="37"/>
      <c r="G2" s="47" t="s">
        <v>31</v>
      </c>
      <c r="H2" s="48"/>
      <c r="I2" s="48"/>
      <c r="J2" s="48"/>
      <c r="K2" s="48"/>
      <c r="L2" s="48"/>
      <c r="M2" s="48"/>
      <c r="N2" s="49"/>
      <c r="O2" s="38" t="s">
        <v>30</v>
      </c>
      <c r="P2" s="39"/>
      <c r="Q2" s="39"/>
      <c r="R2" s="39"/>
      <c r="S2" s="39"/>
      <c r="T2" s="39"/>
      <c r="U2" s="39"/>
      <c r="V2" s="39"/>
      <c r="W2" s="40"/>
      <c r="X2" s="13"/>
      <c r="Y2" s="44"/>
      <c r="Z2" s="45"/>
      <c r="AA2" s="45"/>
      <c r="AB2" s="45"/>
      <c r="AC2" s="45"/>
      <c r="AD2" s="45"/>
      <c r="AE2" s="46"/>
    </row>
    <row r="3" spans="1:33" ht="189" customHeight="1" x14ac:dyDescent="0.25">
      <c r="A3" s="8" t="s">
        <v>69</v>
      </c>
      <c r="B3" s="4" t="s">
        <v>16</v>
      </c>
      <c r="C3" s="8" t="s">
        <v>7</v>
      </c>
      <c r="D3" s="4" t="s">
        <v>6</v>
      </c>
      <c r="E3" s="4" t="s">
        <v>3</v>
      </c>
      <c r="F3" s="9" t="s">
        <v>17</v>
      </c>
      <c r="G3" s="6" t="s">
        <v>22</v>
      </c>
      <c r="H3" s="6" t="s">
        <v>0</v>
      </c>
      <c r="I3" s="6" t="s">
        <v>1</v>
      </c>
      <c r="J3" s="5" t="s">
        <v>2</v>
      </c>
      <c r="K3" s="6" t="s">
        <v>27</v>
      </c>
      <c r="L3" s="5" t="s">
        <v>28</v>
      </c>
      <c r="M3" s="6" t="s">
        <v>26</v>
      </c>
      <c r="N3" s="5" t="s">
        <v>20</v>
      </c>
      <c r="O3" s="6" t="s">
        <v>23</v>
      </c>
      <c r="P3" s="10" t="s">
        <v>5</v>
      </c>
      <c r="Q3" s="7" t="s">
        <v>10</v>
      </c>
      <c r="R3" s="7" t="s">
        <v>12</v>
      </c>
      <c r="S3" s="10" t="s">
        <v>4</v>
      </c>
      <c r="T3" s="7" t="s">
        <v>11</v>
      </c>
      <c r="U3" s="7" t="s">
        <v>13</v>
      </c>
      <c r="V3" s="7" t="s">
        <v>29</v>
      </c>
      <c r="W3" s="16" t="s">
        <v>21</v>
      </c>
      <c r="X3" s="7" t="s">
        <v>14</v>
      </c>
      <c r="Y3" s="2" t="s">
        <v>9</v>
      </c>
      <c r="Z3" s="1" t="s">
        <v>8</v>
      </c>
      <c r="AA3" s="2" t="s">
        <v>15</v>
      </c>
      <c r="AB3" s="2" t="s">
        <v>24</v>
      </c>
      <c r="AC3" s="2" t="s">
        <v>18</v>
      </c>
      <c r="AD3" s="2" t="s">
        <v>19</v>
      </c>
      <c r="AE3" s="2" t="s">
        <v>25</v>
      </c>
      <c r="AF3" s="2" t="s">
        <v>71</v>
      </c>
    </row>
    <row r="4" spans="1:33" ht="30" x14ac:dyDescent="0.25">
      <c r="A4" s="8"/>
      <c r="B4" s="4" t="s">
        <v>36</v>
      </c>
      <c r="C4" s="8" t="s">
        <v>37</v>
      </c>
      <c r="D4" s="4" t="s">
        <v>38</v>
      </c>
      <c r="E4" s="4" t="s">
        <v>39</v>
      </c>
      <c r="F4" s="9" t="s">
        <v>17</v>
      </c>
      <c r="G4" s="6" t="s">
        <v>40</v>
      </c>
      <c r="H4" s="6" t="s">
        <v>0</v>
      </c>
      <c r="I4" s="6" t="s">
        <v>1</v>
      </c>
      <c r="J4" s="5" t="s">
        <v>2</v>
      </c>
      <c r="K4" s="6" t="s">
        <v>41</v>
      </c>
      <c r="L4" s="5" t="s">
        <v>42</v>
      </c>
      <c r="M4" s="6" t="s">
        <v>43</v>
      </c>
      <c r="N4" s="5" t="s">
        <v>44</v>
      </c>
      <c r="O4" s="6" t="s">
        <v>45</v>
      </c>
      <c r="P4" s="10" t="s">
        <v>5</v>
      </c>
      <c r="Q4" s="7" t="s">
        <v>10</v>
      </c>
      <c r="R4" s="7" t="s">
        <v>46</v>
      </c>
      <c r="S4" s="10" t="s">
        <v>4</v>
      </c>
      <c r="T4" s="7" t="s">
        <v>11</v>
      </c>
      <c r="U4" s="7" t="s">
        <v>47</v>
      </c>
      <c r="V4" s="7" t="s">
        <v>48</v>
      </c>
      <c r="W4" s="16" t="s">
        <v>49</v>
      </c>
      <c r="X4" s="7" t="s">
        <v>50</v>
      </c>
      <c r="Y4" s="2" t="s">
        <v>51</v>
      </c>
      <c r="Z4" s="1" t="s">
        <v>52</v>
      </c>
      <c r="AA4" s="2" t="s">
        <v>53</v>
      </c>
      <c r="AB4" s="2" t="s">
        <v>54</v>
      </c>
      <c r="AC4" s="2" t="s">
        <v>55</v>
      </c>
      <c r="AD4" s="2" t="s">
        <v>56</v>
      </c>
      <c r="AE4" s="2" t="s">
        <v>57</v>
      </c>
      <c r="AF4" s="18" t="s">
        <v>70</v>
      </c>
    </row>
    <row r="5" spans="1:33" x14ac:dyDescent="0.25">
      <c r="A5" s="17">
        <v>1</v>
      </c>
      <c r="B5" s="17" t="s">
        <v>58</v>
      </c>
      <c r="C5" s="17" t="s">
        <v>59</v>
      </c>
      <c r="D5" s="17" t="s">
        <v>60</v>
      </c>
      <c r="E5" s="17" t="s">
        <v>60</v>
      </c>
      <c r="F5" s="60"/>
      <c r="G5" s="57" t="s">
        <v>61</v>
      </c>
      <c r="H5" s="26">
        <v>41.424387000000003</v>
      </c>
      <c r="I5" s="26">
        <v>2.1431439999999999</v>
      </c>
      <c r="J5" s="26">
        <v>160</v>
      </c>
      <c r="K5" s="17" t="s">
        <v>66</v>
      </c>
      <c r="L5" s="17" t="s">
        <v>33</v>
      </c>
      <c r="M5" s="17"/>
      <c r="N5" s="17"/>
      <c r="O5" s="19" t="str">
        <f>G5&amp;"_"&amp;TEXT(P5,"AAMMDD")</f>
        <v>A_SP_BCN_2_231008</v>
      </c>
      <c r="P5" s="20">
        <v>45207</v>
      </c>
      <c r="Q5" s="21">
        <v>0.41666666666666669</v>
      </c>
      <c r="R5" s="22"/>
      <c r="S5" s="23">
        <v>45208</v>
      </c>
      <c r="T5" s="21">
        <v>0.41666666666666669</v>
      </c>
      <c r="U5" s="27"/>
      <c r="V5" s="25" t="s">
        <v>98</v>
      </c>
      <c r="W5" s="25"/>
      <c r="X5" s="17">
        <f t="shared" ref="X5:X68" si="0">S5-P5</f>
        <v>1</v>
      </c>
      <c r="Y5" s="27"/>
      <c r="Z5" s="17"/>
      <c r="AA5" s="17"/>
      <c r="AB5" s="17"/>
      <c r="AC5" s="17"/>
      <c r="AD5" s="17"/>
      <c r="AE5" s="17"/>
      <c r="AF5">
        <v>1</v>
      </c>
      <c r="AG5" s="15"/>
    </row>
    <row r="6" spans="1:33" x14ac:dyDescent="0.25">
      <c r="A6" s="17">
        <v>2</v>
      </c>
      <c r="B6" s="17" t="s">
        <v>58</v>
      </c>
      <c r="C6" s="17" t="s">
        <v>59</v>
      </c>
      <c r="D6" s="17" t="s">
        <v>60</v>
      </c>
      <c r="E6" s="17" t="s">
        <v>60</v>
      </c>
      <c r="F6" s="60"/>
      <c r="G6" s="57" t="s">
        <v>61</v>
      </c>
      <c r="H6" s="26">
        <v>41.424387000000003</v>
      </c>
      <c r="I6" s="26">
        <v>2.1431439999999999</v>
      </c>
      <c r="J6" s="26">
        <v>160</v>
      </c>
      <c r="K6" s="17" t="s">
        <v>66</v>
      </c>
      <c r="L6" s="17" t="s">
        <v>33</v>
      </c>
      <c r="M6" s="17"/>
      <c r="N6" s="17"/>
      <c r="O6" s="19" t="str">
        <f t="shared" ref="O6:O69" si="1">G6&amp;"_"&amp;TEXT(P6,"AAMMDD")</f>
        <v>A_SP_BCN_2_231010</v>
      </c>
      <c r="P6" s="20">
        <v>45209</v>
      </c>
      <c r="Q6" s="21">
        <v>0.41666666666666669</v>
      </c>
      <c r="R6" s="22"/>
      <c r="S6" s="23">
        <v>45210</v>
      </c>
      <c r="T6" s="21">
        <v>0.41666666666666669</v>
      </c>
      <c r="U6" s="27"/>
      <c r="V6" s="25" t="s">
        <v>35</v>
      </c>
      <c r="W6" s="25"/>
      <c r="X6" s="17">
        <f t="shared" si="0"/>
        <v>1</v>
      </c>
      <c r="Y6" s="27"/>
      <c r="Z6" s="17"/>
      <c r="AA6" s="17"/>
      <c r="AB6" s="17"/>
      <c r="AC6" s="17"/>
      <c r="AD6" s="17"/>
      <c r="AE6" s="17"/>
      <c r="AF6">
        <v>4</v>
      </c>
      <c r="AG6" s="15"/>
    </row>
    <row r="7" spans="1:33" x14ac:dyDescent="0.25">
      <c r="A7" s="17">
        <v>3</v>
      </c>
      <c r="B7" s="17" t="s">
        <v>58</v>
      </c>
      <c r="C7" s="17" t="s">
        <v>59</v>
      </c>
      <c r="D7" s="17" t="s">
        <v>60</v>
      </c>
      <c r="E7" s="17" t="s">
        <v>60</v>
      </c>
      <c r="F7" s="60"/>
      <c r="G7" s="57" t="s">
        <v>61</v>
      </c>
      <c r="H7" s="26">
        <v>41.424387000000003</v>
      </c>
      <c r="I7" s="26">
        <v>2.1431439999999999</v>
      </c>
      <c r="J7" s="26">
        <v>160</v>
      </c>
      <c r="K7" s="17" t="s">
        <v>66</v>
      </c>
      <c r="L7" s="17" t="s">
        <v>33</v>
      </c>
      <c r="M7" s="17"/>
      <c r="N7" s="17"/>
      <c r="O7" s="19" t="str">
        <f t="shared" si="1"/>
        <v>A_SP_BCN_2_231015</v>
      </c>
      <c r="P7" s="20">
        <v>45214</v>
      </c>
      <c r="Q7" s="21">
        <v>0.41666666666666669</v>
      </c>
      <c r="R7" s="22"/>
      <c r="S7" s="23">
        <v>45215</v>
      </c>
      <c r="T7" s="21">
        <v>0.41666666666666669</v>
      </c>
      <c r="U7" s="27"/>
      <c r="V7" s="25" t="s">
        <v>35</v>
      </c>
      <c r="W7" s="25"/>
      <c r="X7" s="17">
        <f t="shared" si="0"/>
        <v>1</v>
      </c>
      <c r="Y7" s="27"/>
      <c r="Z7" s="17"/>
      <c r="AA7" s="17"/>
      <c r="AB7" s="17"/>
      <c r="AC7" s="17"/>
      <c r="AD7" s="17"/>
      <c r="AE7" s="17"/>
      <c r="AF7">
        <v>4</v>
      </c>
    </row>
    <row r="8" spans="1:33" x14ac:dyDescent="0.25">
      <c r="A8" s="17">
        <v>4</v>
      </c>
      <c r="B8" s="17" t="s">
        <v>58</v>
      </c>
      <c r="C8" s="17" t="s">
        <v>59</v>
      </c>
      <c r="D8" s="17" t="s">
        <v>60</v>
      </c>
      <c r="E8" s="17" t="s">
        <v>60</v>
      </c>
      <c r="F8" s="60"/>
      <c r="G8" s="57" t="s">
        <v>61</v>
      </c>
      <c r="H8" s="26">
        <v>41.424387000000003</v>
      </c>
      <c r="I8" s="26">
        <v>2.1431439999999999</v>
      </c>
      <c r="J8" s="26">
        <v>160</v>
      </c>
      <c r="K8" s="17" t="s">
        <v>66</v>
      </c>
      <c r="L8" s="17" t="s">
        <v>33</v>
      </c>
      <c r="M8" s="17"/>
      <c r="N8" s="17"/>
      <c r="O8" s="19" t="str">
        <f t="shared" si="1"/>
        <v>A_SP_BCN_2_231018</v>
      </c>
      <c r="P8" s="20">
        <v>45217</v>
      </c>
      <c r="Q8" s="21">
        <v>0.41666666666666669</v>
      </c>
      <c r="R8" s="22"/>
      <c r="S8" s="23">
        <v>45218</v>
      </c>
      <c r="T8" s="21">
        <v>0.41666666666666669</v>
      </c>
      <c r="U8" s="27"/>
      <c r="V8" s="25" t="s">
        <v>35</v>
      </c>
      <c r="W8" s="25"/>
      <c r="X8" s="17">
        <f t="shared" si="0"/>
        <v>1</v>
      </c>
      <c r="Y8" s="27"/>
      <c r="Z8" s="17"/>
      <c r="AA8" s="17"/>
      <c r="AB8" s="17"/>
      <c r="AC8" s="17"/>
      <c r="AD8" s="17"/>
      <c r="AE8" s="17"/>
      <c r="AF8">
        <v>4</v>
      </c>
    </row>
    <row r="9" spans="1:33" x14ac:dyDescent="0.25">
      <c r="A9" s="17">
        <v>5</v>
      </c>
      <c r="B9" s="17" t="s">
        <v>58</v>
      </c>
      <c r="C9" s="17" t="s">
        <v>59</v>
      </c>
      <c r="D9" s="17" t="s">
        <v>60</v>
      </c>
      <c r="E9" s="17" t="s">
        <v>60</v>
      </c>
      <c r="F9" s="60"/>
      <c r="G9" s="57" t="s">
        <v>61</v>
      </c>
      <c r="H9" s="26">
        <v>41.424387000000003</v>
      </c>
      <c r="I9" s="26">
        <v>2.1431439999999999</v>
      </c>
      <c r="J9" s="26">
        <v>160</v>
      </c>
      <c r="K9" s="17" t="s">
        <v>66</v>
      </c>
      <c r="L9" s="17" t="s">
        <v>33</v>
      </c>
      <c r="M9" s="17"/>
      <c r="N9" s="17"/>
      <c r="O9" s="19" t="str">
        <f t="shared" si="1"/>
        <v>A_SP_BCN_2_231022</v>
      </c>
      <c r="P9" s="20">
        <v>45221</v>
      </c>
      <c r="Q9" s="21">
        <v>0.41666666666666669</v>
      </c>
      <c r="R9" s="22"/>
      <c r="S9" s="23">
        <v>45222</v>
      </c>
      <c r="T9" s="21">
        <v>0.41666666666666669</v>
      </c>
      <c r="U9" s="27"/>
      <c r="V9" s="25" t="s">
        <v>35</v>
      </c>
      <c r="W9" s="25"/>
      <c r="X9" s="17">
        <f t="shared" si="0"/>
        <v>1</v>
      </c>
      <c r="Y9" s="27"/>
      <c r="Z9" s="17"/>
      <c r="AA9" s="17"/>
      <c r="AB9" s="17"/>
      <c r="AC9" s="17"/>
      <c r="AD9" s="17"/>
      <c r="AE9" s="17"/>
      <c r="AF9">
        <v>4</v>
      </c>
    </row>
    <row r="10" spans="1:33" x14ac:dyDescent="0.25">
      <c r="A10" s="17">
        <v>6</v>
      </c>
      <c r="B10" s="17" t="s">
        <v>58</v>
      </c>
      <c r="C10" s="17" t="s">
        <v>59</v>
      </c>
      <c r="D10" s="17" t="s">
        <v>60</v>
      </c>
      <c r="E10" s="17" t="s">
        <v>60</v>
      </c>
      <c r="F10" s="60"/>
      <c r="G10" s="57" t="s">
        <v>61</v>
      </c>
      <c r="H10" s="26">
        <v>41.424387000000003</v>
      </c>
      <c r="I10" s="26">
        <v>2.1431439999999999</v>
      </c>
      <c r="J10" s="26">
        <v>160</v>
      </c>
      <c r="K10" s="17" t="s">
        <v>66</v>
      </c>
      <c r="L10" s="17" t="s">
        <v>33</v>
      </c>
      <c r="M10" s="17"/>
      <c r="N10" s="17"/>
      <c r="O10" s="19" t="str">
        <f t="shared" si="1"/>
        <v>A_SP_BCN_2_231025</v>
      </c>
      <c r="P10" s="20">
        <v>45224</v>
      </c>
      <c r="Q10" s="21">
        <v>0.41666666666666669</v>
      </c>
      <c r="R10" s="22"/>
      <c r="S10" s="23">
        <v>45225</v>
      </c>
      <c r="T10" s="21">
        <v>0.41666666666666669</v>
      </c>
      <c r="U10" s="27"/>
      <c r="V10" s="25" t="s">
        <v>35</v>
      </c>
      <c r="W10" s="25"/>
      <c r="X10" s="17">
        <f t="shared" si="0"/>
        <v>1</v>
      </c>
      <c r="Y10" s="27"/>
      <c r="Z10" s="17"/>
      <c r="AA10" s="17"/>
      <c r="AB10" s="17"/>
      <c r="AC10" s="17"/>
      <c r="AD10" s="17"/>
      <c r="AE10" s="17"/>
      <c r="AF10">
        <v>4</v>
      </c>
    </row>
    <row r="11" spans="1:33" x14ac:dyDescent="0.25">
      <c r="A11" s="17">
        <v>7</v>
      </c>
      <c r="B11" s="17" t="s">
        <v>58</v>
      </c>
      <c r="C11" s="17" t="s">
        <v>59</v>
      </c>
      <c r="D11" s="17" t="s">
        <v>60</v>
      </c>
      <c r="E11" s="17" t="s">
        <v>60</v>
      </c>
      <c r="F11" s="60"/>
      <c r="G11" s="57" t="s">
        <v>61</v>
      </c>
      <c r="H11" s="26">
        <v>41.424387000000003</v>
      </c>
      <c r="I11" s="26">
        <v>2.1431439999999999</v>
      </c>
      <c r="J11" s="26">
        <v>160</v>
      </c>
      <c r="K11" s="17" t="s">
        <v>66</v>
      </c>
      <c r="L11" s="17" t="s">
        <v>33</v>
      </c>
      <c r="M11" s="17"/>
      <c r="N11" s="17"/>
      <c r="O11" s="19" t="str">
        <f t="shared" si="1"/>
        <v>A_SP_BCN_2_231029</v>
      </c>
      <c r="P11" s="20">
        <v>45228</v>
      </c>
      <c r="Q11" s="21">
        <v>0.375</v>
      </c>
      <c r="R11" s="22"/>
      <c r="S11" s="23">
        <v>45229</v>
      </c>
      <c r="T11" s="24">
        <v>0.375</v>
      </c>
      <c r="U11" s="27"/>
      <c r="V11" s="25" t="s">
        <v>35</v>
      </c>
      <c r="W11" s="25"/>
      <c r="X11" s="17">
        <f t="shared" si="0"/>
        <v>1</v>
      </c>
      <c r="Y11" s="27"/>
      <c r="Z11" s="17"/>
      <c r="AA11" s="17"/>
      <c r="AB11" s="17"/>
      <c r="AC11" s="17"/>
      <c r="AD11" s="17"/>
      <c r="AE11" s="17"/>
      <c r="AF11">
        <v>4</v>
      </c>
    </row>
    <row r="12" spans="1:33" x14ac:dyDescent="0.25">
      <c r="A12" s="17">
        <v>8</v>
      </c>
      <c r="B12" s="17" t="s">
        <v>58</v>
      </c>
      <c r="C12" s="17" t="s">
        <v>59</v>
      </c>
      <c r="D12" s="17" t="s">
        <v>60</v>
      </c>
      <c r="E12" s="17" t="s">
        <v>60</v>
      </c>
      <c r="F12" s="60"/>
      <c r="G12" s="57" t="s">
        <v>61</v>
      </c>
      <c r="H12" s="26">
        <v>41.424387000000003</v>
      </c>
      <c r="I12" s="26">
        <v>2.1431439999999999</v>
      </c>
      <c r="J12" s="26">
        <v>160</v>
      </c>
      <c r="K12" s="17" t="s">
        <v>66</v>
      </c>
      <c r="L12" s="17" t="s">
        <v>33</v>
      </c>
      <c r="M12" s="17"/>
      <c r="N12" s="17"/>
      <c r="O12" s="19" t="str">
        <f t="shared" si="1"/>
        <v>A_SP_BCN_2_231030</v>
      </c>
      <c r="P12" s="23">
        <v>45229</v>
      </c>
      <c r="Q12" s="21">
        <v>0.74305555555555547</v>
      </c>
      <c r="R12" s="22"/>
      <c r="S12" s="23">
        <v>45245</v>
      </c>
      <c r="T12" s="24">
        <v>0.375</v>
      </c>
      <c r="U12" s="27"/>
      <c r="V12" s="25" t="s">
        <v>35</v>
      </c>
      <c r="W12" s="25"/>
      <c r="X12" s="17">
        <f t="shared" si="0"/>
        <v>16</v>
      </c>
      <c r="Y12" s="27"/>
      <c r="Z12" s="17"/>
      <c r="AA12" s="17"/>
      <c r="AB12" s="17"/>
      <c r="AC12" s="17"/>
      <c r="AD12" s="17"/>
      <c r="AE12" s="17"/>
      <c r="AF12">
        <v>4</v>
      </c>
    </row>
    <row r="13" spans="1:33" x14ac:dyDescent="0.25">
      <c r="A13" s="17">
        <v>9</v>
      </c>
      <c r="B13" s="17" t="s">
        <v>58</v>
      </c>
      <c r="C13" s="17" t="s">
        <v>59</v>
      </c>
      <c r="D13" s="17" t="s">
        <v>60</v>
      </c>
      <c r="E13" s="17" t="s">
        <v>60</v>
      </c>
      <c r="F13" s="60"/>
      <c r="G13" s="57" t="s">
        <v>61</v>
      </c>
      <c r="H13" s="26">
        <v>41.424387000000003</v>
      </c>
      <c r="I13" s="26">
        <v>2.1431439999999999</v>
      </c>
      <c r="J13" s="26">
        <v>160</v>
      </c>
      <c r="K13" s="17" t="s">
        <v>66</v>
      </c>
      <c r="L13" s="17" t="s">
        <v>33</v>
      </c>
      <c r="M13" s="17"/>
      <c r="N13" s="17"/>
      <c r="O13" s="19" t="str">
        <f t="shared" si="1"/>
        <v>A_SP_BCN_2_231116</v>
      </c>
      <c r="P13" s="61">
        <v>45246</v>
      </c>
      <c r="Q13" s="55">
        <v>0.375</v>
      </c>
      <c r="R13" s="22"/>
      <c r="S13" s="23">
        <v>45247</v>
      </c>
      <c r="T13" s="24">
        <v>0.375</v>
      </c>
      <c r="U13" s="27"/>
      <c r="V13" s="25" t="s">
        <v>35</v>
      </c>
      <c r="W13" s="25"/>
      <c r="X13" s="17">
        <f t="shared" si="0"/>
        <v>1</v>
      </c>
      <c r="Y13" s="27"/>
      <c r="Z13" s="17"/>
      <c r="AA13" s="17"/>
      <c r="AB13" s="17"/>
      <c r="AC13" s="17"/>
      <c r="AD13" s="17"/>
      <c r="AE13" s="17"/>
      <c r="AF13">
        <v>4</v>
      </c>
    </row>
    <row r="14" spans="1:33" x14ac:dyDescent="0.25">
      <c r="A14" s="17">
        <v>10</v>
      </c>
      <c r="B14" s="17" t="s">
        <v>58</v>
      </c>
      <c r="C14" s="17" t="s">
        <v>59</v>
      </c>
      <c r="D14" s="17" t="s">
        <v>60</v>
      </c>
      <c r="E14" s="17" t="s">
        <v>60</v>
      </c>
      <c r="F14" s="60"/>
      <c r="G14" s="57" t="s">
        <v>61</v>
      </c>
      <c r="H14" s="26">
        <v>41.424387000000003</v>
      </c>
      <c r="I14" s="26">
        <v>2.1431439999999999</v>
      </c>
      <c r="J14" s="26">
        <v>160</v>
      </c>
      <c r="K14" s="17" t="s">
        <v>66</v>
      </c>
      <c r="L14" s="17" t="s">
        <v>33</v>
      </c>
      <c r="M14" s="17"/>
      <c r="N14" s="17"/>
      <c r="O14" s="19" t="str">
        <f t="shared" si="1"/>
        <v>A_SP_BCN_2_231120</v>
      </c>
      <c r="P14" s="61">
        <v>45250</v>
      </c>
      <c r="Q14" s="55">
        <v>0.375</v>
      </c>
      <c r="R14" s="22"/>
      <c r="S14" s="53">
        <v>45251</v>
      </c>
      <c r="T14" s="55">
        <v>0.375</v>
      </c>
      <c r="U14" s="27"/>
      <c r="V14" s="25" t="s">
        <v>35</v>
      </c>
      <c r="W14" s="25"/>
      <c r="X14" s="17">
        <f t="shared" si="0"/>
        <v>1</v>
      </c>
      <c r="Y14" s="27"/>
      <c r="Z14" s="17"/>
      <c r="AA14" s="17"/>
      <c r="AB14" s="17"/>
      <c r="AC14" s="17"/>
      <c r="AD14" s="17"/>
      <c r="AE14" s="17"/>
      <c r="AF14">
        <v>4</v>
      </c>
    </row>
    <row r="15" spans="1:33" x14ac:dyDescent="0.25">
      <c r="A15" s="17">
        <v>11</v>
      </c>
      <c r="B15" s="17" t="s">
        <v>58</v>
      </c>
      <c r="C15" s="17" t="s">
        <v>59</v>
      </c>
      <c r="D15" s="17" t="s">
        <v>60</v>
      </c>
      <c r="E15" s="17" t="s">
        <v>60</v>
      </c>
      <c r="F15" s="60"/>
      <c r="G15" s="57" t="s">
        <v>61</v>
      </c>
      <c r="H15" s="26">
        <v>41.424387000000003</v>
      </c>
      <c r="I15" s="26">
        <v>2.1431439999999999</v>
      </c>
      <c r="J15" s="26">
        <v>160</v>
      </c>
      <c r="K15" s="17" t="s">
        <v>66</v>
      </c>
      <c r="L15" s="17" t="s">
        <v>33</v>
      </c>
      <c r="M15" s="17"/>
      <c r="N15" s="17"/>
      <c r="O15" s="19" t="str">
        <f t="shared" si="1"/>
        <v>A_SP_BCN_2_231123</v>
      </c>
      <c r="P15" s="61">
        <v>45253</v>
      </c>
      <c r="Q15" s="55">
        <v>0.375</v>
      </c>
      <c r="R15" s="22"/>
      <c r="S15" s="53">
        <v>45254</v>
      </c>
      <c r="T15" s="55">
        <v>0.375</v>
      </c>
      <c r="U15" s="27"/>
      <c r="V15" s="25" t="s">
        <v>35</v>
      </c>
      <c r="W15" s="25"/>
      <c r="X15" s="17">
        <f t="shared" si="0"/>
        <v>1</v>
      </c>
      <c r="Y15" s="27"/>
      <c r="Z15" s="17"/>
      <c r="AA15" s="17"/>
      <c r="AB15" s="17"/>
      <c r="AC15" s="17"/>
      <c r="AD15" s="17"/>
      <c r="AE15" s="17"/>
      <c r="AF15">
        <v>4</v>
      </c>
    </row>
    <row r="16" spans="1:33" x14ac:dyDescent="0.25">
      <c r="A16" s="17">
        <v>12</v>
      </c>
      <c r="B16" s="17" t="s">
        <v>58</v>
      </c>
      <c r="C16" s="17" t="s">
        <v>59</v>
      </c>
      <c r="D16" s="17" t="s">
        <v>60</v>
      </c>
      <c r="E16" s="17" t="s">
        <v>60</v>
      </c>
      <c r="F16" s="60"/>
      <c r="G16" s="57" t="s">
        <v>61</v>
      </c>
      <c r="H16" s="26">
        <v>41.424387000000003</v>
      </c>
      <c r="I16" s="26">
        <v>2.1431439999999999</v>
      </c>
      <c r="J16" s="26">
        <v>160</v>
      </c>
      <c r="K16" s="17" t="s">
        <v>66</v>
      </c>
      <c r="L16" s="17" t="s">
        <v>33</v>
      </c>
      <c r="M16" s="17"/>
      <c r="N16" s="17"/>
      <c r="O16" s="19" t="str">
        <f t="shared" si="1"/>
        <v>A_SP_BCN_2_231127</v>
      </c>
      <c r="P16" s="61">
        <v>45257</v>
      </c>
      <c r="Q16" s="55">
        <v>0.375</v>
      </c>
      <c r="R16" s="22"/>
      <c r="S16" s="53">
        <v>45258</v>
      </c>
      <c r="T16" s="55">
        <v>0.375</v>
      </c>
      <c r="U16" s="27"/>
      <c r="V16" s="25" t="s">
        <v>35</v>
      </c>
      <c r="W16" s="25"/>
      <c r="X16" s="17">
        <f t="shared" si="0"/>
        <v>1</v>
      </c>
      <c r="Y16" s="27"/>
      <c r="Z16" s="17"/>
      <c r="AA16" s="17"/>
      <c r="AB16" s="17"/>
      <c r="AC16" s="17"/>
      <c r="AD16" s="17"/>
      <c r="AE16" s="17"/>
      <c r="AF16">
        <v>4</v>
      </c>
    </row>
    <row r="17" spans="1:33" x14ac:dyDescent="0.25">
      <c r="A17" s="17">
        <v>13</v>
      </c>
      <c r="B17" s="17" t="s">
        <v>58</v>
      </c>
      <c r="C17" s="17" t="s">
        <v>59</v>
      </c>
      <c r="D17" s="17" t="s">
        <v>60</v>
      </c>
      <c r="E17" s="17" t="s">
        <v>60</v>
      </c>
      <c r="F17" s="60"/>
      <c r="G17" s="57" t="s">
        <v>61</v>
      </c>
      <c r="H17" s="26">
        <v>41.424387000000003</v>
      </c>
      <c r="I17" s="26">
        <v>2.1431439999999999</v>
      </c>
      <c r="J17" s="26">
        <v>160</v>
      </c>
      <c r="K17" s="17" t="s">
        <v>66</v>
      </c>
      <c r="L17" s="17" t="s">
        <v>33</v>
      </c>
      <c r="M17" s="17"/>
      <c r="N17" s="17"/>
      <c r="O17" s="19" t="str">
        <f t="shared" si="1"/>
        <v>A_SP_BCN_2_231130</v>
      </c>
      <c r="P17" s="61">
        <v>45260</v>
      </c>
      <c r="Q17" s="55">
        <v>0.375</v>
      </c>
      <c r="R17" s="22"/>
      <c r="S17" s="53">
        <v>45261</v>
      </c>
      <c r="T17" s="55">
        <v>0.375</v>
      </c>
      <c r="U17" s="27"/>
      <c r="V17" s="25" t="s">
        <v>35</v>
      </c>
      <c r="W17" s="25"/>
      <c r="X17" s="17">
        <f t="shared" si="0"/>
        <v>1</v>
      </c>
      <c r="Y17" s="27"/>
      <c r="Z17" s="17"/>
      <c r="AA17" s="17"/>
      <c r="AB17" s="17"/>
      <c r="AC17" s="17"/>
      <c r="AD17" s="17"/>
      <c r="AE17" s="17"/>
      <c r="AF17">
        <v>4</v>
      </c>
      <c r="AG17" s="15"/>
    </row>
    <row r="18" spans="1:33" x14ac:dyDescent="0.25">
      <c r="A18" s="17">
        <v>14</v>
      </c>
      <c r="B18" s="17" t="s">
        <v>58</v>
      </c>
      <c r="C18" s="17" t="s">
        <v>59</v>
      </c>
      <c r="D18" s="17" t="s">
        <v>60</v>
      </c>
      <c r="E18" s="17" t="s">
        <v>60</v>
      </c>
      <c r="F18" s="50"/>
      <c r="G18" s="25" t="s">
        <v>62</v>
      </c>
      <c r="H18">
        <v>41.404924999999999</v>
      </c>
      <c r="I18">
        <v>2.1987909999999999</v>
      </c>
      <c r="J18">
        <v>4</v>
      </c>
      <c r="K18" s="17" t="s">
        <v>66</v>
      </c>
      <c r="L18" s="17" t="s">
        <v>33</v>
      </c>
      <c r="M18" s="17"/>
      <c r="N18" s="17"/>
      <c r="O18" s="19" t="str">
        <f t="shared" si="1"/>
        <v>A_SP_BCN_4_231008</v>
      </c>
      <c r="P18" s="61">
        <v>45207</v>
      </c>
      <c r="Q18" s="62">
        <v>0.41666666666666669</v>
      </c>
      <c r="R18" s="22"/>
      <c r="S18" s="53">
        <v>45208</v>
      </c>
      <c r="T18" s="62">
        <v>0.41666666666666669</v>
      </c>
      <c r="U18" s="27"/>
      <c r="V18" s="25" t="s">
        <v>35</v>
      </c>
      <c r="W18" s="25"/>
      <c r="X18" s="17">
        <f t="shared" si="0"/>
        <v>1</v>
      </c>
      <c r="Y18" s="27"/>
      <c r="Z18" s="17"/>
      <c r="AA18" s="17"/>
      <c r="AB18" s="17"/>
      <c r="AC18" s="17"/>
      <c r="AD18" s="17"/>
      <c r="AE18" s="17"/>
      <c r="AF18">
        <v>4</v>
      </c>
      <c r="AG18" s="15"/>
    </row>
    <row r="19" spans="1:33" x14ac:dyDescent="0.25">
      <c r="A19" s="17">
        <v>15</v>
      </c>
      <c r="B19" s="17" t="s">
        <v>58</v>
      </c>
      <c r="C19" s="17" t="s">
        <v>59</v>
      </c>
      <c r="D19" s="17" t="s">
        <v>60</v>
      </c>
      <c r="E19" s="17" t="s">
        <v>60</v>
      </c>
      <c r="F19" s="50"/>
      <c r="G19" s="25" t="s">
        <v>62</v>
      </c>
      <c r="H19">
        <v>41.404924999999999</v>
      </c>
      <c r="I19">
        <v>2.1987909999999999</v>
      </c>
      <c r="J19">
        <v>4</v>
      </c>
      <c r="K19" s="17" t="s">
        <v>66</v>
      </c>
      <c r="L19" s="17" t="s">
        <v>33</v>
      </c>
      <c r="M19" s="17"/>
      <c r="N19" s="17"/>
      <c r="O19" s="19" t="str">
        <f t="shared" si="1"/>
        <v>A_SP_BCN_4_231010</v>
      </c>
      <c r="P19" s="61">
        <v>45209</v>
      </c>
      <c r="Q19" s="62">
        <v>0.41666666666666669</v>
      </c>
      <c r="R19" s="22"/>
      <c r="S19" s="53">
        <v>45210</v>
      </c>
      <c r="T19" s="62">
        <v>0.41666666666666669</v>
      </c>
      <c r="U19" s="27"/>
      <c r="V19" s="25" t="s">
        <v>98</v>
      </c>
      <c r="W19" s="25"/>
      <c r="X19" s="17">
        <f t="shared" si="0"/>
        <v>1</v>
      </c>
      <c r="Y19" s="27"/>
      <c r="Z19" s="17"/>
      <c r="AA19" s="17"/>
      <c r="AB19" s="17"/>
      <c r="AC19" s="17"/>
      <c r="AD19" s="17"/>
      <c r="AE19" s="17"/>
      <c r="AF19">
        <v>2</v>
      </c>
      <c r="AG19" s="15"/>
    </row>
    <row r="20" spans="1:33" x14ac:dyDescent="0.25">
      <c r="A20" s="17">
        <v>16</v>
      </c>
      <c r="B20" s="17" t="s">
        <v>58</v>
      </c>
      <c r="C20" s="17" t="s">
        <v>59</v>
      </c>
      <c r="D20" s="17" t="s">
        <v>60</v>
      </c>
      <c r="E20" s="17" t="s">
        <v>60</v>
      </c>
      <c r="F20" s="50"/>
      <c r="G20" s="25" t="s">
        <v>62</v>
      </c>
      <c r="H20">
        <v>41.404924999999999</v>
      </c>
      <c r="I20">
        <v>2.1987909999999999</v>
      </c>
      <c r="J20">
        <v>4</v>
      </c>
      <c r="K20" s="17" t="s">
        <v>66</v>
      </c>
      <c r="L20" s="17" t="s">
        <v>33</v>
      </c>
      <c r="M20" s="17"/>
      <c r="N20" s="17"/>
      <c r="O20" s="19" t="str">
        <f t="shared" si="1"/>
        <v>A_SP_BCN_4_231015</v>
      </c>
      <c r="P20" s="61">
        <v>45214</v>
      </c>
      <c r="Q20" s="62">
        <v>0.41666666666666669</v>
      </c>
      <c r="R20" s="22"/>
      <c r="S20" s="53">
        <v>45215</v>
      </c>
      <c r="T20" s="62">
        <v>0.41666666666666669</v>
      </c>
      <c r="U20" s="27"/>
      <c r="V20" s="25" t="s">
        <v>35</v>
      </c>
      <c r="W20" s="25"/>
      <c r="X20" s="17">
        <f t="shared" si="0"/>
        <v>1</v>
      </c>
      <c r="Y20" s="27"/>
      <c r="Z20" s="17"/>
      <c r="AA20" s="17"/>
      <c r="AB20" s="17"/>
      <c r="AC20" s="17"/>
      <c r="AD20" s="17"/>
      <c r="AE20" s="17"/>
      <c r="AF20">
        <v>4</v>
      </c>
    </row>
    <row r="21" spans="1:33" x14ac:dyDescent="0.25">
      <c r="A21" s="17">
        <v>17</v>
      </c>
      <c r="B21" s="17" t="s">
        <v>58</v>
      </c>
      <c r="C21" s="17" t="s">
        <v>59</v>
      </c>
      <c r="D21" s="17" t="s">
        <v>60</v>
      </c>
      <c r="E21" s="17" t="s">
        <v>60</v>
      </c>
      <c r="F21" s="50"/>
      <c r="G21" s="25" t="s">
        <v>62</v>
      </c>
      <c r="H21">
        <v>41.404924999999999</v>
      </c>
      <c r="I21">
        <v>2.1987909999999999</v>
      </c>
      <c r="J21">
        <v>4</v>
      </c>
      <c r="K21" s="17" t="s">
        <v>66</v>
      </c>
      <c r="L21" s="17" t="s">
        <v>33</v>
      </c>
      <c r="M21" s="17"/>
      <c r="N21" s="17"/>
      <c r="O21" s="19" t="str">
        <f t="shared" si="1"/>
        <v>A_SP_BCN_4_231018</v>
      </c>
      <c r="P21" s="61">
        <v>45217</v>
      </c>
      <c r="Q21" s="62">
        <v>0.41666666666666669</v>
      </c>
      <c r="R21" s="22"/>
      <c r="S21" s="53">
        <v>45218</v>
      </c>
      <c r="T21" s="62">
        <v>0.41666666666666669</v>
      </c>
      <c r="U21" s="27"/>
      <c r="V21" s="25" t="s">
        <v>35</v>
      </c>
      <c r="W21" s="25"/>
      <c r="X21" s="17">
        <f t="shared" si="0"/>
        <v>1</v>
      </c>
      <c r="Y21" s="27"/>
      <c r="Z21" s="17"/>
      <c r="AA21" s="17"/>
      <c r="AB21" s="17"/>
      <c r="AC21" s="17"/>
      <c r="AD21" s="17"/>
      <c r="AE21" s="17"/>
      <c r="AF21">
        <v>4</v>
      </c>
    </row>
    <row r="22" spans="1:33" x14ac:dyDescent="0.25">
      <c r="A22" s="17">
        <v>18</v>
      </c>
      <c r="B22" s="17" t="s">
        <v>58</v>
      </c>
      <c r="C22" s="17" t="s">
        <v>59</v>
      </c>
      <c r="D22" s="17" t="s">
        <v>60</v>
      </c>
      <c r="E22" s="17" t="s">
        <v>60</v>
      </c>
      <c r="F22" s="50"/>
      <c r="G22" s="25" t="s">
        <v>62</v>
      </c>
      <c r="H22">
        <v>41.404924999999999</v>
      </c>
      <c r="I22">
        <v>2.1987909999999999</v>
      </c>
      <c r="J22">
        <v>4</v>
      </c>
      <c r="K22" s="17" t="s">
        <v>66</v>
      </c>
      <c r="L22" s="17" t="s">
        <v>33</v>
      </c>
      <c r="M22" s="17"/>
      <c r="N22" s="17"/>
      <c r="O22" s="19" t="str">
        <f t="shared" si="1"/>
        <v>A_SP_BCN_4_231022</v>
      </c>
      <c r="P22" s="61">
        <v>45221</v>
      </c>
      <c r="Q22" s="62">
        <v>0.41666666666666669</v>
      </c>
      <c r="R22" s="22"/>
      <c r="S22" s="53">
        <v>45222</v>
      </c>
      <c r="T22" s="62">
        <v>0.41666666666666669</v>
      </c>
      <c r="U22" s="27"/>
      <c r="V22" s="25" t="s">
        <v>98</v>
      </c>
      <c r="W22" s="25"/>
      <c r="X22" s="17">
        <f t="shared" si="0"/>
        <v>1</v>
      </c>
      <c r="Y22" s="27"/>
      <c r="Z22" s="17"/>
      <c r="AA22" s="17"/>
      <c r="AB22" s="17"/>
      <c r="AC22" s="17"/>
      <c r="AD22" s="17"/>
      <c r="AE22" s="17"/>
      <c r="AF22">
        <v>2</v>
      </c>
    </row>
    <row r="23" spans="1:33" x14ac:dyDescent="0.25">
      <c r="A23" s="17">
        <v>19</v>
      </c>
      <c r="B23" s="17" t="s">
        <v>58</v>
      </c>
      <c r="C23" s="17" t="s">
        <v>59</v>
      </c>
      <c r="D23" s="17" t="s">
        <v>60</v>
      </c>
      <c r="E23" s="17" t="s">
        <v>60</v>
      </c>
      <c r="F23" s="50"/>
      <c r="G23" s="25" t="s">
        <v>62</v>
      </c>
      <c r="H23">
        <v>41.404924999999999</v>
      </c>
      <c r="I23">
        <v>2.1987909999999999</v>
      </c>
      <c r="J23">
        <v>4</v>
      </c>
      <c r="K23" s="17" t="s">
        <v>66</v>
      </c>
      <c r="L23" s="17" t="s">
        <v>33</v>
      </c>
      <c r="M23" s="17"/>
      <c r="N23" s="17"/>
      <c r="O23" s="19" t="str">
        <f t="shared" si="1"/>
        <v>A_SP_BCN_4_231025</v>
      </c>
      <c r="P23" s="61">
        <v>45224</v>
      </c>
      <c r="Q23" s="62">
        <v>0.41666666666666669</v>
      </c>
      <c r="R23" s="22"/>
      <c r="S23" s="53">
        <v>45225</v>
      </c>
      <c r="T23" s="62">
        <v>0.41666666666666669</v>
      </c>
      <c r="U23" s="27"/>
      <c r="V23" s="25" t="s">
        <v>98</v>
      </c>
      <c r="W23" s="25"/>
      <c r="X23" s="17">
        <f t="shared" si="0"/>
        <v>1</v>
      </c>
      <c r="Y23" s="27"/>
      <c r="Z23" s="17"/>
      <c r="AA23" s="17"/>
      <c r="AB23" s="17"/>
      <c r="AC23" s="17"/>
      <c r="AD23" s="17"/>
      <c r="AE23" s="17"/>
      <c r="AF23">
        <v>2</v>
      </c>
    </row>
    <row r="24" spans="1:33" x14ac:dyDescent="0.25">
      <c r="A24" s="17">
        <v>20</v>
      </c>
      <c r="B24" s="17" t="s">
        <v>58</v>
      </c>
      <c r="C24" s="17" t="s">
        <v>59</v>
      </c>
      <c r="D24" s="17" t="s">
        <v>60</v>
      </c>
      <c r="E24" s="17" t="s">
        <v>60</v>
      </c>
      <c r="F24" s="50"/>
      <c r="G24" s="25" t="s">
        <v>62</v>
      </c>
      <c r="H24">
        <v>41.404924999999999</v>
      </c>
      <c r="I24">
        <v>2.1987909999999999</v>
      </c>
      <c r="J24">
        <v>4</v>
      </c>
      <c r="K24" s="17" t="s">
        <v>66</v>
      </c>
      <c r="L24" s="17" t="s">
        <v>33</v>
      </c>
      <c r="M24" s="17"/>
      <c r="N24" s="17"/>
      <c r="O24" s="19" t="str">
        <f t="shared" si="1"/>
        <v>A_SP_BCN_4_231029</v>
      </c>
      <c r="P24" s="61">
        <v>45228</v>
      </c>
      <c r="Q24" s="62">
        <v>0.375</v>
      </c>
      <c r="R24" s="22"/>
      <c r="S24" s="53">
        <v>45229</v>
      </c>
      <c r="T24" s="55">
        <v>0.375</v>
      </c>
      <c r="U24" s="27"/>
      <c r="V24" s="25" t="s">
        <v>35</v>
      </c>
      <c r="W24" s="25"/>
      <c r="X24" s="17">
        <f t="shared" si="0"/>
        <v>1</v>
      </c>
      <c r="Y24" s="27"/>
      <c r="Z24" s="17"/>
      <c r="AA24" s="17"/>
      <c r="AB24" s="17"/>
      <c r="AC24" s="17"/>
      <c r="AD24" s="17"/>
      <c r="AE24" s="17"/>
      <c r="AF24">
        <v>4</v>
      </c>
    </row>
    <row r="25" spans="1:33" x14ac:dyDescent="0.25">
      <c r="A25" s="17">
        <v>21</v>
      </c>
      <c r="B25" s="17" t="s">
        <v>58</v>
      </c>
      <c r="C25" s="17" t="s">
        <v>59</v>
      </c>
      <c r="D25" s="17" t="s">
        <v>60</v>
      </c>
      <c r="E25" s="17" t="s">
        <v>60</v>
      </c>
      <c r="F25" s="50"/>
      <c r="G25" s="25" t="s">
        <v>62</v>
      </c>
      <c r="H25">
        <v>41.404924999999999</v>
      </c>
      <c r="I25">
        <v>2.1987909999999999</v>
      </c>
      <c r="J25">
        <v>4</v>
      </c>
      <c r="K25" s="17" t="s">
        <v>66</v>
      </c>
      <c r="L25" s="17" t="s">
        <v>33</v>
      </c>
      <c r="M25" s="17"/>
      <c r="N25" s="17"/>
      <c r="O25" s="19" t="str">
        <f t="shared" si="1"/>
        <v>A_SP_BCN_4_231030</v>
      </c>
      <c r="P25" s="53">
        <v>45229</v>
      </c>
      <c r="Q25" s="62">
        <v>0.6875</v>
      </c>
      <c r="R25" s="22"/>
      <c r="S25" s="53">
        <v>45244</v>
      </c>
      <c r="T25" s="55">
        <v>0.78472222222222221</v>
      </c>
      <c r="U25" s="27"/>
      <c r="V25" s="25" t="s">
        <v>35</v>
      </c>
      <c r="W25" s="25"/>
      <c r="X25" s="17">
        <f t="shared" si="0"/>
        <v>15</v>
      </c>
      <c r="Y25" s="27"/>
      <c r="Z25" s="17"/>
      <c r="AA25" s="17"/>
      <c r="AB25" s="17"/>
      <c r="AC25" s="17"/>
      <c r="AD25" s="17"/>
      <c r="AE25" s="17"/>
      <c r="AF25">
        <v>4</v>
      </c>
    </row>
    <row r="26" spans="1:33" x14ac:dyDescent="0.25">
      <c r="A26" s="17">
        <v>22</v>
      </c>
      <c r="B26" s="17" t="s">
        <v>58</v>
      </c>
      <c r="C26" s="17" t="s">
        <v>59</v>
      </c>
      <c r="D26" s="17" t="s">
        <v>60</v>
      </c>
      <c r="E26" s="17" t="s">
        <v>60</v>
      </c>
      <c r="F26" s="50"/>
      <c r="G26" s="25" t="s">
        <v>62</v>
      </c>
      <c r="H26">
        <v>41.404924999999999</v>
      </c>
      <c r="I26">
        <v>2.1987909999999999</v>
      </c>
      <c r="J26">
        <v>4</v>
      </c>
      <c r="K26" s="17" t="s">
        <v>66</v>
      </c>
      <c r="L26" s="17" t="s">
        <v>33</v>
      </c>
      <c r="M26" s="17"/>
      <c r="N26" s="17"/>
      <c r="O26" s="19" t="str">
        <f t="shared" si="1"/>
        <v>A_SP_BCN_4_231116</v>
      </c>
      <c r="P26" s="61">
        <v>45246</v>
      </c>
      <c r="Q26" s="55">
        <v>0.375</v>
      </c>
      <c r="R26" s="22"/>
      <c r="S26" s="53">
        <v>45247</v>
      </c>
      <c r="T26" s="55">
        <v>0.375</v>
      </c>
      <c r="U26" s="27"/>
      <c r="V26" s="25" t="s">
        <v>35</v>
      </c>
      <c r="W26" s="25"/>
      <c r="X26" s="17">
        <f t="shared" si="0"/>
        <v>1</v>
      </c>
      <c r="Y26" s="27"/>
      <c r="Z26" s="17"/>
      <c r="AA26" s="17"/>
      <c r="AB26" s="17"/>
      <c r="AC26" s="17"/>
      <c r="AD26" s="17"/>
      <c r="AE26" s="17"/>
      <c r="AF26">
        <v>4</v>
      </c>
    </row>
    <row r="27" spans="1:33" x14ac:dyDescent="0.25">
      <c r="A27" s="17">
        <v>23</v>
      </c>
      <c r="B27" s="17" t="s">
        <v>58</v>
      </c>
      <c r="C27" s="17" t="s">
        <v>59</v>
      </c>
      <c r="D27" s="17" t="s">
        <v>60</v>
      </c>
      <c r="E27" s="17" t="s">
        <v>60</v>
      </c>
      <c r="F27" s="50"/>
      <c r="G27" s="25" t="s">
        <v>62</v>
      </c>
      <c r="H27">
        <v>41.404924999999999</v>
      </c>
      <c r="I27">
        <v>2.1987909999999999</v>
      </c>
      <c r="J27">
        <v>4</v>
      </c>
      <c r="K27" s="17" t="s">
        <v>66</v>
      </c>
      <c r="L27" s="17" t="s">
        <v>33</v>
      </c>
      <c r="M27" s="17"/>
      <c r="N27" s="17"/>
      <c r="O27" s="19" t="str">
        <f t="shared" si="1"/>
        <v>A_SP_BCN_4_231120</v>
      </c>
      <c r="P27" s="61">
        <v>45250</v>
      </c>
      <c r="Q27" s="55">
        <v>0.375</v>
      </c>
      <c r="R27" s="22"/>
      <c r="S27" s="53">
        <v>45251</v>
      </c>
      <c r="T27" s="55">
        <v>0.375</v>
      </c>
      <c r="U27" s="27"/>
      <c r="V27" s="25" t="s">
        <v>35</v>
      </c>
      <c r="W27" s="25"/>
      <c r="X27" s="17">
        <f t="shared" si="0"/>
        <v>1</v>
      </c>
      <c r="Y27" s="27"/>
      <c r="Z27" s="17"/>
      <c r="AA27" s="17"/>
      <c r="AB27" s="17"/>
      <c r="AC27" s="17"/>
      <c r="AD27" s="17"/>
      <c r="AE27" s="17"/>
      <c r="AF27">
        <v>4</v>
      </c>
    </row>
    <row r="28" spans="1:33" x14ac:dyDescent="0.25">
      <c r="A28" s="17">
        <v>24</v>
      </c>
      <c r="B28" s="17" t="s">
        <v>58</v>
      </c>
      <c r="C28" s="17" t="s">
        <v>59</v>
      </c>
      <c r="D28" s="17" t="s">
        <v>60</v>
      </c>
      <c r="E28" s="17" t="s">
        <v>60</v>
      </c>
      <c r="F28" s="50"/>
      <c r="G28" s="25" t="s">
        <v>62</v>
      </c>
      <c r="H28">
        <v>41.404924999999999</v>
      </c>
      <c r="I28">
        <v>2.1987909999999999</v>
      </c>
      <c r="J28">
        <v>4</v>
      </c>
      <c r="K28" s="17" t="s">
        <v>66</v>
      </c>
      <c r="L28" s="17" t="s">
        <v>33</v>
      </c>
      <c r="M28" s="17"/>
      <c r="N28" s="17"/>
      <c r="O28" s="19" t="str">
        <f t="shared" si="1"/>
        <v>A_SP_BCN_4_231123</v>
      </c>
      <c r="P28" s="61">
        <v>45253</v>
      </c>
      <c r="Q28" s="55">
        <v>0.375</v>
      </c>
      <c r="R28" s="22"/>
      <c r="S28" s="53">
        <v>45254</v>
      </c>
      <c r="T28" s="55">
        <v>0.375</v>
      </c>
      <c r="U28" s="27"/>
      <c r="V28" s="25" t="s">
        <v>35</v>
      </c>
      <c r="W28" s="25"/>
      <c r="X28" s="17">
        <f t="shared" si="0"/>
        <v>1</v>
      </c>
      <c r="Y28" s="27"/>
      <c r="Z28" s="17"/>
      <c r="AA28" s="17"/>
      <c r="AB28" s="17"/>
      <c r="AC28" s="17"/>
      <c r="AD28" s="17"/>
      <c r="AE28" s="17"/>
      <c r="AF28">
        <v>4</v>
      </c>
    </row>
    <row r="29" spans="1:33" x14ac:dyDescent="0.25">
      <c r="A29" s="17">
        <v>25</v>
      </c>
      <c r="B29" s="17" t="s">
        <v>58</v>
      </c>
      <c r="C29" s="17" t="s">
        <v>59</v>
      </c>
      <c r="D29" s="17" t="s">
        <v>60</v>
      </c>
      <c r="E29" s="17" t="s">
        <v>60</v>
      </c>
      <c r="F29" s="50"/>
      <c r="G29" s="25" t="s">
        <v>62</v>
      </c>
      <c r="H29">
        <v>41.404924999999999</v>
      </c>
      <c r="I29">
        <v>2.1987909999999999</v>
      </c>
      <c r="J29">
        <v>4</v>
      </c>
      <c r="K29" s="17" t="s">
        <v>66</v>
      </c>
      <c r="L29" s="17" t="s">
        <v>33</v>
      </c>
      <c r="M29" s="17"/>
      <c r="N29" s="17"/>
      <c r="O29" s="19" t="str">
        <f t="shared" si="1"/>
        <v>A_SP_BCN_4_231127</v>
      </c>
      <c r="P29" s="61">
        <v>45257</v>
      </c>
      <c r="Q29" s="55">
        <v>0.375</v>
      </c>
      <c r="R29" s="22"/>
      <c r="S29" s="53">
        <v>45258</v>
      </c>
      <c r="T29" s="55">
        <v>0.375</v>
      </c>
      <c r="U29" s="27"/>
      <c r="V29" s="25" t="s">
        <v>35</v>
      </c>
      <c r="W29" s="25"/>
      <c r="X29" s="17">
        <f t="shared" si="0"/>
        <v>1</v>
      </c>
      <c r="Y29" s="27"/>
      <c r="Z29" s="17"/>
      <c r="AA29" s="17"/>
      <c r="AB29" s="17"/>
      <c r="AC29" s="17"/>
      <c r="AD29" s="17"/>
      <c r="AE29" s="17"/>
      <c r="AF29">
        <v>4</v>
      </c>
    </row>
    <row r="30" spans="1:33" x14ac:dyDescent="0.25">
      <c r="A30" s="17">
        <v>26</v>
      </c>
      <c r="B30" s="17" t="s">
        <v>58</v>
      </c>
      <c r="C30" s="17" t="s">
        <v>59</v>
      </c>
      <c r="D30" s="17" t="s">
        <v>60</v>
      </c>
      <c r="E30" s="17" t="s">
        <v>60</v>
      </c>
      <c r="F30" s="50"/>
      <c r="G30" s="25" t="s">
        <v>62</v>
      </c>
      <c r="H30">
        <v>41.404924999999999</v>
      </c>
      <c r="I30">
        <v>2.1987909999999999</v>
      </c>
      <c r="J30">
        <v>4</v>
      </c>
      <c r="K30" s="17" t="s">
        <v>66</v>
      </c>
      <c r="L30" s="17" t="s">
        <v>33</v>
      </c>
      <c r="M30" s="17"/>
      <c r="N30" s="17"/>
      <c r="O30" s="19" t="str">
        <f t="shared" si="1"/>
        <v>A_SP_BCN_4_231130</v>
      </c>
      <c r="P30" s="61">
        <v>45260</v>
      </c>
      <c r="Q30" s="55">
        <v>0.375</v>
      </c>
      <c r="R30" s="22"/>
      <c r="S30" s="53">
        <v>45261</v>
      </c>
      <c r="T30" s="55">
        <v>0.375</v>
      </c>
      <c r="U30" s="27"/>
      <c r="V30" s="25" t="s">
        <v>35</v>
      </c>
      <c r="W30" s="25"/>
      <c r="X30" s="17">
        <f t="shared" si="0"/>
        <v>1</v>
      </c>
      <c r="Y30" s="27"/>
      <c r="Z30" s="17"/>
      <c r="AA30" s="17"/>
      <c r="AB30" s="17"/>
      <c r="AC30" s="17"/>
      <c r="AD30" s="17"/>
      <c r="AE30" s="17"/>
      <c r="AF30">
        <v>4</v>
      </c>
    </row>
    <row r="31" spans="1:33" x14ac:dyDescent="0.25">
      <c r="A31" s="17">
        <v>27</v>
      </c>
      <c r="B31" s="17" t="s">
        <v>58</v>
      </c>
      <c r="C31" s="17" t="s">
        <v>59</v>
      </c>
      <c r="D31" s="17" t="s">
        <v>60</v>
      </c>
      <c r="E31" s="17" t="s">
        <v>60</v>
      </c>
      <c r="F31" s="50"/>
      <c r="G31" s="25" t="s">
        <v>63</v>
      </c>
      <c r="H31">
        <v>41.382339999999999</v>
      </c>
      <c r="I31">
        <v>2.1714790000000002</v>
      </c>
      <c r="J31">
        <v>19</v>
      </c>
      <c r="K31" s="17" t="s">
        <v>66</v>
      </c>
      <c r="L31" s="17" t="s">
        <v>33</v>
      </c>
      <c r="M31" s="17"/>
      <c r="N31" s="17"/>
      <c r="O31" s="19" t="str">
        <f t="shared" si="1"/>
        <v>A_SP_BCN_6_231003</v>
      </c>
      <c r="P31" s="61">
        <v>45202</v>
      </c>
      <c r="Q31" s="62">
        <v>0.53125</v>
      </c>
      <c r="R31" s="22"/>
      <c r="S31" s="53">
        <v>45205</v>
      </c>
      <c r="T31" s="55">
        <v>0.84027777777777779</v>
      </c>
      <c r="U31" s="27"/>
      <c r="V31" s="25" t="s">
        <v>35</v>
      </c>
      <c r="W31" s="25"/>
      <c r="X31" s="17">
        <f t="shared" si="0"/>
        <v>3</v>
      </c>
      <c r="Y31" s="27"/>
      <c r="Z31" s="17"/>
      <c r="AA31" s="17"/>
      <c r="AB31" s="17"/>
      <c r="AC31" s="17"/>
      <c r="AD31" s="17"/>
      <c r="AE31" s="17"/>
      <c r="AF31">
        <v>4</v>
      </c>
    </row>
    <row r="32" spans="1:33" x14ac:dyDescent="0.25">
      <c r="A32" s="17">
        <v>28</v>
      </c>
      <c r="B32" s="17" t="s">
        <v>58</v>
      </c>
      <c r="C32" s="17" t="s">
        <v>59</v>
      </c>
      <c r="D32" s="17" t="s">
        <v>60</v>
      </c>
      <c r="E32" s="17" t="s">
        <v>60</v>
      </c>
      <c r="F32" s="50"/>
      <c r="G32" s="25" t="s">
        <v>63</v>
      </c>
      <c r="H32">
        <v>41.382339999999999</v>
      </c>
      <c r="I32">
        <v>2.1714790000000002</v>
      </c>
      <c r="J32">
        <v>19</v>
      </c>
      <c r="K32" s="17" t="s">
        <v>66</v>
      </c>
      <c r="L32" s="17" t="s">
        <v>33</v>
      </c>
      <c r="M32" s="17"/>
      <c r="N32" s="17"/>
      <c r="O32" s="19" t="str">
        <f t="shared" si="1"/>
        <v>A_SP_BCN_6_231009</v>
      </c>
      <c r="P32" s="61">
        <v>45208</v>
      </c>
      <c r="Q32" s="62">
        <v>0.41666666666666669</v>
      </c>
      <c r="R32" s="22"/>
      <c r="S32" s="53">
        <v>45209</v>
      </c>
      <c r="T32" s="55">
        <v>0.41666666666666669</v>
      </c>
      <c r="U32" s="27"/>
      <c r="V32" s="25" t="s">
        <v>35</v>
      </c>
      <c r="W32" s="25"/>
      <c r="X32" s="17">
        <f t="shared" si="0"/>
        <v>1</v>
      </c>
      <c r="Y32" s="27"/>
      <c r="Z32" s="17"/>
      <c r="AA32" s="17"/>
      <c r="AB32" s="17"/>
      <c r="AC32" s="17"/>
      <c r="AD32" s="17"/>
      <c r="AE32" s="17"/>
      <c r="AF32">
        <v>4</v>
      </c>
    </row>
    <row r="33" spans="1:32" x14ac:dyDescent="0.25">
      <c r="A33" s="17">
        <v>29</v>
      </c>
      <c r="B33" s="17" t="s">
        <v>58</v>
      </c>
      <c r="C33" s="17" t="s">
        <v>59</v>
      </c>
      <c r="D33" s="17" t="s">
        <v>60</v>
      </c>
      <c r="E33" s="17" t="s">
        <v>60</v>
      </c>
      <c r="F33" s="50"/>
      <c r="G33" s="25" t="s">
        <v>63</v>
      </c>
      <c r="H33">
        <v>41.382339999999999</v>
      </c>
      <c r="I33">
        <v>2.1714790000000002</v>
      </c>
      <c r="J33">
        <v>19</v>
      </c>
      <c r="K33" s="17" t="s">
        <v>66</v>
      </c>
      <c r="L33" s="17" t="s">
        <v>33</v>
      </c>
      <c r="M33" s="17"/>
      <c r="N33" s="17"/>
      <c r="O33" s="19" t="str">
        <f t="shared" si="1"/>
        <v>A_SP_BCN_6_231012</v>
      </c>
      <c r="P33" s="61">
        <v>45211</v>
      </c>
      <c r="Q33" s="62">
        <v>0.41666666666666669</v>
      </c>
      <c r="R33" s="22"/>
      <c r="S33" s="53">
        <v>45212</v>
      </c>
      <c r="T33" s="55">
        <v>0.41666666666666669</v>
      </c>
      <c r="U33" s="27"/>
      <c r="V33" s="25" t="s">
        <v>35</v>
      </c>
      <c r="W33" s="25"/>
      <c r="X33" s="17">
        <f t="shared" si="0"/>
        <v>1</v>
      </c>
      <c r="Y33" s="27"/>
      <c r="Z33" s="17"/>
      <c r="AA33" s="17"/>
      <c r="AB33" s="17"/>
      <c r="AC33" s="17"/>
      <c r="AD33" s="17"/>
      <c r="AE33" s="17"/>
      <c r="AF33">
        <v>4</v>
      </c>
    </row>
    <row r="34" spans="1:32" x14ac:dyDescent="0.25">
      <c r="A34" s="17">
        <v>30</v>
      </c>
      <c r="B34" s="17" t="s">
        <v>58</v>
      </c>
      <c r="C34" s="17" t="s">
        <v>59</v>
      </c>
      <c r="D34" s="17" t="s">
        <v>60</v>
      </c>
      <c r="E34" s="17" t="s">
        <v>60</v>
      </c>
      <c r="F34" s="50"/>
      <c r="G34" s="25" t="s">
        <v>63</v>
      </c>
      <c r="H34">
        <v>41.382339999999999</v>
      </c>
      <c r="I34">
        <v>2.1714790000000002</v>
      </c>
      <c r="J34">
        <v>19</v>
      </c>
      <c r="K34" s="17" t="s">
        <v>66</v>
      </c>
      <c r="L34" s="17" t="s">
        <v>33</v>
      </c>
      <c r="M34" s="17"/>
      <c r="N34" s="17"/>
      <c r="O34" s="19" t="str">
        <f t="shared" si="1"/>
        <v>A_SP_BCN_6_231016</v>
      </c>
      <c r="P34" s="61">
        <v>45215</v>
      </c>
      <c r="Q34" s="62">
        <v>0.41666666666666669</v>
      </c>
      <c r="R34" s="22"/>
      <c r="S34" s="53">
        <v>45216</v>
      </c>
      <c r="T34" s="55">
        <v>0.41666666666666669</v>
      </c>
      <c r="U34" s="27"/>
      <c r="V34" s="25" t="s">
        <v>98</v>
      </c>
      <c r="W34" s="25"/>
      <c r="X34" s="17">
        <f t="shared" si="0"/>
        <v>1</v>
      </c>
      <c r="Y34" s="27"/>
      <c r="Z34" s="17"/>
      <c r="AA34" s="17"/>
      <c r="AB34" s="17"/>
      <c r="AC34" s="17"/>
      <c r="AD34" s="17"/>
      <c r="AE34" s="17"/>
      <c r="AF34">
        <v>2</v>
      </c>
    </row>
    <row r="35" spans="1:32" x14ac:dyDescent="0.25">
      <c r="A35" s="17">
        <v>31</v>
      </c>
      <c r="B35" s="17" t="s">
        <v>58</v>
      </c>
      <c r="C35" s="17" t="s">
        <v>59</v>
      </c>
      <c r="D35" s="17" t="s">
        <v>60</v>
      </c>
      <c r="E35" s="17" t="s">
        <v>60</v>
      </c>
      <c r="F35" s="50"/>
      <c r="G35" s="25" t="s">
        <v>63</v>
      </c>
      <c r="H35">
        <v>41.382339999999999</v>
      </c>
      <c r="I35">
        <v>2.1714790000000002</v>
      </c>
      <c r="J35">
        <v>19</v>
      </c>
      <c r="K35" s="17" t="s">
        <v>66</v>
      </c>
      <c r="L35" s="17" t="s">
        <v>33</v>
      </c>
      <c r="M35" s="17"/>
      <c r="N35" s="17"/>
      <c r="O35" s="19" t="str">
        <f t="shared" si="1"/>
        <v>A_SP_BCN_6_231019</v>
      </c>
      <c r="P35" s="61">
        <v>45218</v>
      </c>
      <c r="Q35" s="62">
        <v>0.41666666666666669</v>
      </c>
      <c r="R35" s="22"/>
      <c r="S35" s="53">
        <v>45219</v>
      </c>
      <c r="T35" s="55">
        <v>0.41666666666666669</v>
      </c>
      <c r="U35" s="27"/>
      <c r="V35" s="25" t="s">
        <v>35</v>
      </c>
      <c r="W35" s="25"/>
      <c r="X35" s="17">
        <f t="shared" si="0"/>
        <v>1</v>
      </c>
      <c r="Y35" s="27"/>
      <c r="Z35" s="17"/>
      <c r="AA35" s="17"/>
      <c r="AB35" s="17"/>
      <c r="AC35" s="17"/>
      <c r="AD35" s="17"/>
      <c r="AE35" s="17"/>
      <c r="AF35">
        <v>4</v>
      </c>
    </row>
    <row r="36" spans="1:32" s="51" customFormat="1" x14ac:dyDescent="0.25">
      <c r="A36" s="17">
        <v>32</v>
      </c>
      <c r="B36" s="17" t="s">
        <v>58</v>
      </c>
      <c r="C36" s="17" t="s">
        <v>59</v>
      </c>
      <c r="D36" s="17" t="s">
        <v>60</v>
      </c>
      <c r="E36" s="17" t="s">
        <v>60</v>
      </c>
      <c r="F36" s="52"/>
      <c r="G36" s="25" t="s">
        <v>63</v>
      </c>
      <c r="H36">
        <v>41.382339999999999</v>
      </c>
      <c r="I36">
        <v>2.1714790000000002</v>
      </c>
      <c r="J36">
        <v>19</v>
      </c>
      <c r="K36" s="17" t="s">
        <v>66</v>
      </c>
      <c r="L36" s="17" t="s">
        <v>33</v>
      </c>
      <c r="M36" s="52"/>
      <c r="N36" s="52"/>
      <c r="O36" s="19" t="str">
        <f t="shared" si="1"/>
        <v>A_SP_BCN_6_231023</v>
      </c>
      <c r="P36" s="53">
        <v>45222</v>
      </c>
      <c r="Q36" s="62">
        <v>0.41666666666666669</v>
      </c>
      <c r="R36" s="27"/>
      <c r="S36" s="53">
        <v>45223</v>
      </c>
      <c r="T36" s="55">
        <v>0.41666666666666669</v>
      </c>
      <c r="U36" s="27"/>
      <c r="V36" s="25" t="s">
        <v>35</v>
      </c>
      <c r="W36" s="54"/>
      <c r="X36" s="17">
        <f t="shared" si="0"/>
        <v>1</v>
      </c>
      <c r="Y36" s="27"/>
      <c r="Z36" s="52"/>
      <c r="AA36" s="52"/>
      <c r="AB36" s="52"/>
      <c r="AC36" s="52"/>
      <c r="AD36" s="52"/>
      <c r="AE36" s="52"/>
      <c r="AF36">
        <v>4</v>
      </c>
    </row>
    <row r="37" spans="1:32" s="51" customFormat="1" x14ac:dyDescent="0.25">
      <c r="A37" s="17">
        <v>33</v>
      </c>
      <c r="B37" s="17" t="s">
        <v>58</v>
      </c>
      <c r="C37" s="17" t="s">
        <v>59</v>
      </c>
      <c r="D37" s="17" t="s">
        <v>60</v>
      </c>
      <c r="E37" s="17" t="s">
        <v>60</v>
      </c>
      <c r="F37" s="52"/>
      <c r="G37" s="25" t="s">
        <v>63</v>
      </c>
      <c r="H37">
        <v>41.382339999999999</v>
      </c>
      <c r="I37">
        <v>2.1714790000000002</v>
      </c>
      <c r="J37">
        <v>19</v>
      </c>
      <c r="K37" s="17" t="s">
        <v>66</v>
      </c>
      <c r="L37" s="17" t="s">
        <v>33</v>
      </c>
      <c r="M37" s="52"/>
      <c r="N37" s="52"/>
      <c r="O37" s="19" t="str">
        <f t="shared" si="1"/>
        <v>A_SP_BCN_6_231026</v>
      </c>
      <c r="P37" s="53">
        <v>45225</v>
      </c>
      <c r="Q37" s="62">
        <v>0.41666666666666669</v>
      </c>
      <c r="R37" s="27"/>
      <c r="S37" s="53">
        <v>45226</v>
      </c>
      <c r="T37" s="62">
        <v>0.41666666666666669</v>
      </c>
      <c r="U37" s="27"/>
      <c r="V37" s="25" t="s">
        <v>35</v>
      </c>
      <c r="W37" s="54"/>
      <c r="X37" s="17">
        <f t="shared" si="0"/>
        <v>1</v>
      </c>
      <c r="Y37" s="27"/>
      <c r="Z37" s="52"/>
      <c r="AA37" s="52"/>
      <c r="AB37" s="52"/>
      <c r="AC37" s="52"/>
      <c r="AD37" s="52"/>
      <c r="AE37" s="52"/>
      <c r="AF37">
        <v>4</v>
      </c>
    </row>
    <row r="38" spans="1:32" s="51" customFormat="1" x14ac:dyDescent="0.25">
      <c r="A38" s="17">
        <v>34</v>
      </c>
      <c r="B38" s="17" t="s">
        <v>58</v>
      </c>
      <c r="C38" s="17" t="s">
        <v>59</v>
      </c>
      <c r="D38" s="17" t="s">
        <v>60</v>
      </c>
      <c r="E38" s="17" t="s">
        <v>60</v>
      </c>
      <c r="F38" s="52"/>
      <c r="G38" s="25" t="s">
        <v>63</v>
      </c>
      <c r="H38">
        <v>41.382339999999999</v>
      </c>
      <c r="I38">
        <v>2.1714790000000002</v>
      </c>
      <c r="J38">
        <v>19</v>
      </c>
      <c r="K38" s="17" t="s">
        <v>66</v>
      </c>
      <c r="L38" s="17" t="s">
        <v>33</v>
      </c>
      <c r="M38" s="52"/>
      <c r="N38" s="52"/>
      <c r="O38" s="19" t="str">
        <f t="shared" si="1"/>
        <v>A_SP_BCN_6_231030</v>
      </c>
      <c r="P38" s="53">
        <v>45229</v>
      </c>
      <c r="Q38" s="55">
        <v>0.375</v>
      </c>
      <c r="R38" s="27"/>
      <c r="S38" s="53">
        <v>45230</v>
      </c>
      <c r="T38" s="55">
        <v>0.375</v>
      </c>
      <c r="U38" s="27"/>
      <c r="V38" s="25" t="s">
        <v>35</v>
      </c>
      <c r="W38" s="54"/>
      <c r="X38" s="17">
        <f t="shared" si="0"/>
        <v>1</v>
      </c>
      <c r="Y38" s="27"/>
      <c r="Z38" s="52"/>
      <c r="AA38" s="52"/>
      <c r="AB38" s="52"/>
      <c r="AC38" s="52"/>
      <c r="AD38" s="52"/>
      <c r="AE38" s="52"/>
      <c r="AF38">
        <v>4</v>
      </c>
    </row>
    <row r="39" spans="1:32" s="51" customFormat="1" x14ac:dyDescent="0.25">
      <c r="A39" s="17">
        <v>35</v>
      </c>
      <c r="B39" s="17" t="s">
        <v>58</v>
      </c>
      <c r="C39" s="17" t="s">
        <v>59</v>
      </c>
      <c r="D39" s="17" t="s">
        <v>60</v>
      </c>
      <c r="E39" s="17" t="s">
        <v>60</v>
      </c>
      <c r="F39" s="52"/>
      <c r="G39" s="25" t="s">
        <v>63</v>
      </c>
      <c r="H39">
        <v>41.382339999999999</v>
      </c>
      <c r="I39">
        <v>2.1714790000000002</v>
      </c>
      <c r="J39">
        <v>19</v>
      </c>
      <c r="K39" s="17" t="s">
        <v>66</v>
      </c>
      <c r="L39" s="17" t="s">
        <v>33</v>
      </c>
      <c r="M39" s="52"/>
      <c r="N39" s="52"/>
      <c r="O39" s="19" t="str">
        <f t="shared" si="1"/>
        <v>A_SP_BCN_6_231031</v>
      </c>
      <c r="P39" s="53">
        <v>45230</v>
      </c>
      <c r="Q39" s="55">
        <v>0.64583333333333337</v>
      </c>
      <c r="R39" s="27"/>
      <c r="S39" s="53">
        <v>45244</v>
      </c>
      <c r="T39" s="55">
        <v>0.60416666666666663</v>
      </c>
      <c r="U39" s="27"/>
      <c r="V39" s="25" t="s">
        <v>35</v>
      </c>
      <c r="W39" s="54"/>
      <c r="X39" s="17">
        <f t="shared" si="0"/>
        <v>14</v>
      </c>
      <c r="Y39" s="27"/>
      <c r="Z39" s="52"/>
      <c r="AA39" s="52"/>
      <c r="AB39" s="52"/>
      <c r="AC39" s="52"/>
      <c r="AD39" s="52"/>
      <c r="AE39" s="52"/>
      <c r="AF39">
        <v>4</v>
      </c>
    </row>
    <row r="40" spans="1:32" s="51" customFormat="1" x14ac:dyDescent="0.25">
      <c r="A40" s="17">
        <v>36</v>
      </c>
      <c r="B40" s="17" t="s">
        <v>58</v>
      </c>
      <c r="C40" s="17" t="s">
        <v>59</v>
      </c>
      <c r="D40" s="17" t="s">
        <v>60</v>
      </c>
      <c r="E40" s="17" t="s">
        <v>60</v>
      </c>
      <c r="F40" s="52"/>
      <c r="G40" s="25" t="s">
        <v>63</v>
      </c>
      <c r="H40">
        <v>41.382339999999999</v>
      </c>
      <c r="I40">
        <v>2.1714790000000002</v>
      </c>
      <c r="J40">
        <v>19</v>
      </c>
      <c r="K40" s="17" t="s">
        <v>66</v>
      </c>
      <c r="L40" s="17" t="s">
        <v>33</v>
      </c>
      <c r="M40" s="52"/>
      <c r="N40" s="52"/>
      <c r="O40" s="19" t="str">
        <f t="shared" si="1"/>
        <v>A_SP_BCN_6_231115</v>
      </c>
      <c r="P40" s="53">
        <v>45245</v>
      </c>
      <c r="Q40" s="55">
        <v>0.375</v>
      </c>
      <c r="R40" s="27"/>
      <c r="S40" s="53">
        <v>45246</v>
      </c>
      <c r="T40" s="55">
        <v>0.375</v>
      </c>
      <c r="U40" s="27"/>
      <c r="V40" s="25" t="s">
        <v>35</v>
      </c>
      <c r="W40" s="54"/>
      <c r="X40" s="17">
        <f t="shared" si="0"/>
        <v>1</v>
      </c>
      <c r="Y40" s="27"/>
      <c r="Z40" s="52"/>
      <c r="AA40" s="52"/>
      <c r="AB40" s="52"/>
      <c r="AC40" s="52"/>
      <c r="AD40" s="52"/>
      <c r="AE40" s="52"/>
      <c r="AF40">
        <v>4</v>
      </c>
    </row>
    <row r="41" spans="1:32" s="51" customFormat="1" x14ac:dyDescent="0.25">
      <c r="A41" s="17">
        <v>37</v>
      </c>
      <c r="B41" s="17" t="s">
        <v>58</v>
      </c>
      <c r="C41" s="17" t="s">
        <v>59</v>
      </c>
      <c r="D41" s="17" t="s">
        <v>60</v>
      </c>
      <c r="E41" s="17" t="s">
        <v>60</v>
      </c>
      <c r="F41" s="52"/>
      <c r="G41" s="25" t="s">
        <v>63</v>
      </c>
      <c r="H41">
        <v>41.382339999999999</v>
      </c>
      <c r="I41">
        <v>2.1714790000000002</v>
      </c>
      <c r="J41">
        <v>19</v>
      </c>
      <c r="K41" s="17" t="s">
        <v>66</v>
      </c>
      <c r="L41" s="17" t="s">
        <v>33</v>
      </c>
      <c r="M41" s="52"/>
      <c r="N41" s="52"/>
      <c r="O41" s="19" t="str">
        <f t="shared" si="1"/>
        <v>A_SP_BCN_6_231120</v>
      </c>
      <c r="P41" s="53">
        <v>45250</v>
      </c>
      <c r="Q41" s="55">
        <v>0.375</v>
      </c>
      <c r="R41" s="27"/>
      <c r="S41" s="53">
        <v>45251</v>
      </c>
      <c r="T41" s="55">
        <v>0.375</v>
      </c>
      <c r="U41" s="27"/>
      <c r="V41" s="25" t="s">
        <v>35</v>
      </c>
      <c r="W41" s="54"/>
      <c r="X41" s="17">
        <f t="shared" si="0"/>
        <v>1</v>
      </c>
      <c r="Y41" s="27"/>
      <c r="Z41" s="52"/>
      <c r="AA41" s="52"/>
      <c r="AB41" s="52"/>
      <c r="AC41" s="52"/>
      <c r="AD41" s="52"/>
      <c r="AE41" s="52"/>
      <c r="AF41">
        <v>4</v>
      </c>
    </row>
    <row r="42" spans="1:32" s="51" customFormat="1" x14ac:dyDescent="0.25">
      <c r="A42" s="17">
        <v>38</v>
      </c>
      <c r="B42" s="17" t="s">
        <v>58</v>
      </c>
      <c r="C42" s="17" t="s">
        <v>59</v>
      </c>
      <c r="D42" s="17" t="s">
        <v>60</v>
      </c>
      <c r="E42" s="17" t="s">
        <v>60</v>
      </c>
      <c r="F42" s="52"/>
      <c r="G42" s="25" t="s">
        <v>63</v>
      </c>
      <c r="H42">
        <v>41.382339999999999</v>
      </c>
      <c r="I42">
        <v>2.1714790000000002</v>
      </c>
      <c r="J42">
        <v>19</v>
      </c>
      <c r="K42" s="17" t="s">
        <v>66</v>
      </c>
      <c r="L42" s="17" t="s">
        <v>33</v>
      </c>
      <c r="M42" s="52"/>
      <c r="N42" s="52"/>
      <c r="O42" s="19" t="str">
        <f t="shared" si="1"/>
        <v>A_SP_BCN_6_231123</v>
      </c>
      <c r="P42" s="53">
        <v>45253</v>
      </c>
      <c r="Q42" s="55">
        <v>0.375</v>
      </c>
      <c r="R42" s="27"/>
      <c r="S42" s="53">
        <v>45254</v>
      </c>
      <c r="T42" s="55">
        <v>0.375</v>
      </c>
      <c r="U42" s="27"/>
      <c r="V42" s="25" t="s">
        <v>35</v>
      </c>
      <c r="W42" s="54"/>
      <c r="X42" s="17">
        <f t="shared" si="0"/>
        <v>1</v>
      </c>
      <c r="Y42" s="27"/>
      <c r="Z42" s="52"/>
      <c r="AA42" s="52"/>
      <c r="AB42" s="52"/>
      <c r="AC42" s="52"/>
      <c r="AD42" s="52"/>
      <c r="AE42" s="52"/>
      <c r="AF42">
        <v>4</v>
      </c>
    </row>
    <row r="43" spans="1:32" s="51" customFormat="1" x14ac:dyDescent="0.25">
      <c r="A43" s="17">
        <v>39</v>
      </c>
      <c r="B43" s="17" t="s">
        <v>58</v>
      </c>
      <c r="C43" s="17" t="s">
        <v>59</v>
      </c>
      <c r="D43" s="17" t="s">
        <v>60</v>
      </c>
      <c r="E43" s="17" t="s">
        <v>60</v>
      </c>
      <c r="F43" s="52"/>
      <c r="G43" s="25" t="s">
        <v>63</v>
      </c>
      <c r="H43">
        <v>41.382339999999999</v>
      </c>
      <c r="I43">
        <v>2.1714790000000002</v>
      </c>
      <c r="J43">
        <v>19</v>
      </c>
      <c r="K43" s="17" t="s">
        <v>66</v>
      </c>
      <c r="L43" s="17" t="s">
        <v>33</v>
      </c>
      <c r="M43" s="52"/>
      <c r="N43" s="52"/>
      <c r="O43" s="19" t="str">
        <f t="shared" si="1"/>
        <v>A_SP_BCN_6_231127</v>
      </c>
      <c r="P43" s="53">
        <v>45257</v>
      </c>
      <c r="Q43" s="55">
        <v>0.375</v>
      </c>
      <c r="R43" s="27"/>
      <c r="S43" s="53">
        <v>45258</v>
      </c>
      <c r="T43" s="55">
        <v>0.375</v>
      </c>
      <c r="U43" s="27"/>
      <c r="V43" s="25" t="s">
        <v>35</v>
      </c>
      <c r="W43" s="54"/>
      <c r="X43" s="17">
        <f t="shared" si="0"/>
        <v>1</v>
      </c>
      <c r="Y43" s="27"/>
      <c r="Z43" s="52"/>
      <c r="AA43" s="52"/>
      <c r="AB43" s="52"/>
      <c r="AC43" s="52"/>
      <c r="AD43" s="52"/>
      <c r="AE43" s="52"/>
      <c r="AF43">
        <v>4</v>
      </c>
    </row>
    <row r="44" spans="1:32" s="51" customFormat="1" x14ac:dyDescent="0.25">
      <c r="A44" s="17">
        <v>40</v>
      </c>
      <c r="B44" s="17" t="s">
        <v>58</v>
      </c>
      <c r="C44" s="17" t="s">
        <v>59</v>
      </c>
      <c r="D44" s="17" t="s">
        <v>60</v>
      </c>
      <c r="E44" s="17" t="s">
        <v>60</v>
      </c>
      <c r="F44" s="52"/>
      <c r="G44" s="25" t="s">
        <v>63</v>
      </c>
      <c r="H44">
        <v>41.382339999999999</v>
      </c>
      <c r="I44">
        <v>2.1714790000000002</v>
      </c>
      <c r="J44">
        <v>19</v>
      </c>
      <c r="K44" s="17" t="s">
        <v>66</v>
      </c>
      <c r="L44" s="17" t="s">
        <v>33</v>
      </c>
      <c r="M44" s="52"/>
      <c r="N44" s="52"/>
      <c r="O44" s="19" t="str">
        <f t="shared" si="1"/>
        <v>A_SP_BCN_6_231130</v>
      </c>
      <c r="P44" s="61">
        <v>45260</v>
      </c>
      <c r="Q44" s="55">
        <v>0.375</v>
      </c>
      <c r="R44" s="22"/>
      <c r="S44" s="53">
        <v>45261</v>
      </c>
      <c r="T44" s="55">
        <v>0.375</v>
      </c>
      <c r="U44" s="27"/>
      <c r="V44" s="25" t="s">
        <v>35</v>
      </c>
      <c r="W44" s="54"/>
      <c r="X44" s="17">
        <f t="shared" si="0"/>
        <v>1</v>
      </c>
      <c r="Y44" s="27"/>
      <c r="Z44" s="52"/>
      <c r="AA44" s="52"/>
      <c r="AB44" s="52"/>
      <c r="AC44" s="52"/>
      <c r="AD44" s="52"/>
      <c r="AE44" s="52"/>
      <c r="AF44">
        <v>4</v>
      </c>
    </row>
    <row r="45" spans="1:32" s="51" customFormat="1" x14ac:dyDescent="0.25">
      <c r="A45" s="17">
        <v>41</v>
      </c>
      <c r="B45" s="17" t="s">
        <v>58</v>
      </c>
      <c r="C45" s="17" t="s">
        <v>59</v>
      </c>
      <c r="D45" s="17" t="s">
        <v>60</v>
      </c>
      <c r="E45" s="17" t="s">
        <v>60</v>
      </c>
      <c r="F45" s="52"/>
      <c r="G45" s="58" t="s">
        <v>64</v>
      </c>
      <c r="H45">
        <v>41.368589</v>
      </c>
      <c r="I45">
        <v>2.1620900000000001</v>
      </c>
      <c r="J45">
        <v>95</v>
      </c>
      <c r="K45" s="17" t="s">
        <v>66</v>
      </c>
      <c r="L45" s="52"/>
      <c r="M45" s="52"/>
      <c r="N45" s="52"/>
      <c r="O45" s="19" t="str">
        <f t="shared" si="1"/>
        <v>A_SP_BCN_8_231003</v>
      </c>
      <c r="P45" s="61">
        <v>45202</v>
      </c>
      <c r="Q45" s="62">
        <v>0.5</v>
      </c>
      <c r="R45" s="22"/>
      <c r="S45" s="53">
        <v>45209</v>
      </c>
      <c r="T45" s="55">
        <v>0.52083333333333337</v>
      </c>
      <c r="U45" s="27"/>
      <c r="V45" s="25" t="s">
        <v>35</v>
      </c>
      <c r="W45" s="54"/>
      <c r="X45" s="17">
        <f t="shared" si="0"/>
        <v>7</v>
      </c>
      <c r="Y45" s="27"/>
      <c r="Z45" s="52"/>
      <c r="AA45" s="52"/>
      <c r="AB45" s="52"/>
      <c r="AC45" s="52"/>
      <c r="AD45" s="52"/>
      <c r="AE45" s="52"/>
      <c r="AF45">
        <v>4</v>
      </c>
    </row>
    <row r="46" spans="1:32" s="51" customFormat="1" x14ac:dyDescent="0.25">
      <c r="A46" s="17">
        <v>42</v>
      </c>
      <c r="B46" s="17" t="s">
        <v>58</v>
      </c>
      <c r="C46" s="17" t="s">
        <v>59</v>
      </c>
      <c r="D46" s="17" t="s">
        <v>60</v>
      </c>
      <c r="E46" s="17" t="s">
        <v>60</v>
      </c>
      <c r="F46" s="52"/>
      <c r="G46" s="58" t="s">
        <v>64</v>
      </c>
      <c r="H46">
        <v>41.368589</v>
      </c>
      <c r="I46">
        <v>2.1620900000000001</v>
      </c>
      <c r="J46">
        <v>95</v>
      </c>
      <c r="K46" s="17" t="s">
        <v>66</v>
      </c>
      <c r="L46" s="52"/>
      <c r="M46" s="52"/>
      <c r="N46" s="52"/>
      <c r="O46" s="19" t="str">
        <f t="shared" si="1"/>
        <v>A_SP_BCN_8_231012</v>
      </c>
      <c r="P46" s="61">
        <v>45211</v>
      </c>
      <c r="Q46" s="62">
        <v>0.41666666666666669</v>
      </c>
      <c r="R46" s="22"/>
      <c r="S46" s="53">
        <v>45212</v>
      </c>
      <c r="T46" s="55">
        <v>0.41666666666666669</v>
      </c>
      <c r="U46" s="27"/>
      <c r="V46" s="25" t="s">
        <v>35</v>
      </c>
      <c r="W46" s="54"/>
      <c r="X46" s="17">
        <f t="shared" si="0"/>
        <v>1</v>
      </c>
      <c r="Y46" s="27"/>
      <c r="Z46" s="52"/>
      <c r="AA46" s="52"/>
      <c r="AB46" s="52"/>
      <c r="AC46" s="52"/>
      <c r="AD46" s="52"/>
      <c r="AE46" s="52"/>
      <c r="AF46">
        <v>4</v>
      </c>
    </row>
    <row r="47" spans="1:32" s="51" customFormat="1" x14ac:dyDescent="0.25">
      <c r="A47" s="17">
        <v>43</v>
      </c>
      <c r="B47" s="17" t="s">
        <v>58</v>
      </c>
      <c r="C47" s="17" t="s">
        <v>59</v>
      </c>
      <c r="D47" s="17" t="s">
        <v>60</v>
      </c>
      <c r="E47" s="17" t="s">
        <v>60</v>
      </c>
      <c r="F47" s="52"/>
      <c r="G47" s="58" t="s">
        <v>64</v>
      </c>
      <c r="H47">
        <v>41.368589</v>
      </c>
      <c r="I47">
        <v>2.1620900000000001</v>
      </c>
      <c r="J47">
        <v>95</v>
      </c>
      <c r="K47" s="17" t="s">
        <v>66</v>
      </c>
      <c r="L47" s="52"/>
      <c r="M47" s="52"/>
      <c r="N47" s="52"/>
      <c r="O47" s="19" t="str">
        <f t="shared" si="1"/>
        <v>A_SP_BCN_8_231016</v>
      </c>
      <c r="P47" s="61">
        <v>45215</v>
      </c>
      <c r="Q47" s="62">
        <v>0.41666666666666669</v>
      </c>
      <c r="R47" s="22"/>
      <c r="S47" s="53">
        <v>45216</v>
      </c>
      <c r="T47" s="55">
        <v>0.41666666666666669</v>
      </c>
      <c r="U47" s="27"/>
      <c r="V47" s="25" t="s">
        <v>35</v>
      </c>
      <c r="W47" s="54"/>
      <c r="X47" s="17">
        <f t="shared" si="0"/>
        <v>1</v>
      </c>
      <c r="Y47" s="27"/>
      <c r="Z47" s="52"/>
      <c r="AA47" s="52"/>
      <c r="AB47" s="52"/>
      <c r="AC47" s="52"/>
      <c r="AD47" s="52"/>
      <c r="AE47" s="52"/>
      <c r="AF47">
        <v>4</v>
      </c>
    </row>
    <row r="48" spans="1:32" s="51" customFormat="1" x14ac:dyDescent="0.25">
      <c r="A48" s="17">
        <v>44</v>
      </c>
      <c r="B48" s="17" t="s">
        <v>58</v>
      </c>
      <c r="C48" s="17" t="s">
        <v>59</v>
      </c>
      <c r="D48" s="17" t="s">
        <v>60</v>
      </c>
      <c r="E48" s="17" t="s">
        <v>60</v>
      </c>
      <c r="F48" s="52"/>
      <c r="G48" s="58" t="s">
        <v>64</v>
      </c>
      <c r="H48">
        <v>41.368589</v>
      </c>
      <c r="I48">
        <v>2.1620900000000001</v>
      </c>
      <c r="J48">
        <v>95</v>
      </c>
      <c r="K48" s="17" t="s">
        <v>66</v>
      </c>
      <c r="L48" s="52"/>
      <c r="M48" s="52"/>
      <c r="N48" s="52"/>
      <c r="O48" s="19" t="str">
        <f t="shared" si="1"/>
        <v>A_SP_BCN_8_231019</v>
      </c>
      <c r="P48" s="61">
        <v>45218</v>
      </c>
      <c r="Q48" s="62">
        <v>0.41666666666666669</v>
      </c>
      <c r="R48" s="22"/>
      <c r="S48" s="53">
        <v>45219</v>
      </c>
      <c r="T48" s="55">
        <v>0.41666666666666669</v>
      </c>
      <c r="U48" s="27"/>
      <c r="V48" s="25" t="s">
        <v>35</v>
      </c>
      <c r="W48" s="54"/>
      <c r="X48" s="17">
        <f t="shared" si="0"/>
        <v>1</v>
      </c>
      <c r="Y48" s="27"/>
      <c r="Z48" s="52"/>
      <c r="AA48" s="52"/>
      <c r="AB48" s="52"/>
      <c r="AC48" s="52"/>
      <c r="AD48" s="52"/>
      <c r="AE48" s="52"/>
      <c r="AF48">
        <v>4</v>
      </c>
    </row>
    <row r="49" spans="1:32" s="51" customFormat="1" x14ac:dyDescent="0.25">
      <c r="A49" s="17">
        <v>45</v>
      </c>
      <c r="B49" s="17" t="s">
        <v>58</v>
      </c>
      <c r="C49" s="17" t="s">
        <v>59</v>
      </c>
      <c r="D49" s="17" t="s">
        <v>60</v>
      </c>
      <c r="E49" s="17" t="s">
        <v>60</v>
      </c>
      <c r="F49" s="52"/>
      <c r="G49" s="58" t="s">
        <v>64</v>
      </c>
      <c r="H49">
        <v>41.368589</v>
      </c>
      <c r="I49">
        <v>2.1620900000000001</v>
      </c>
      <c r="J49">
        <v>95</v>
      </c>
      <c r="K49" s="17" t="s">
        <v>66</v>
      </c>
      <c r="L49" s="52"/>
      <c r="M49" s="52"/>
      <c r="N49" s="52"/>
      <c r="O49" s="19" t="str">
        <f t="shared" si="1"/>
        <v>A_SP_BCN_8_231023</v>
      </c>
      <c r="P49" s="53">
        <v>45222</v>
      </c>
      <c r="Q49" s="62">
        <v>0.41666666666666669</v>
      </c>
      <c r="R49" s="27"/>
      <c r="S49" s="53">
        <v>45223</v>
      </c>
      <c r="T49" s="55">
        <v>0.41666666666666669</v>
      </c>
      <c r="U49" s="27"/>
      <c r="V49" s="25" t="s">
        <v>35</v>
      </c>
      <c r="W49" s="54"/>
      <c r="X49" s="17">
        <f t="shared" si="0"/>
        <v>1</v>
      </c>
      <c r="Y49" s="27"/>
      <c r="Z49" s="52"/>
      <c r="AA49" s="52"/>
      <c r="AB49" s="52"/>
      <c r="AC49" s="52"/>
      <c r="AD49" s="52"/>
      <c r="AE49" s="52"/>
      <c r="AF49">
        <v>4</v>
      </c>
    </row>
    <row r="50" spans="1:32" s="51" customFormat="1" x14ac:dyDescent="0.25">
      <c r="A50" s="17">
        <v>46</v>
      </c>
      <c r="B50" s="17" t="s">
        <v>58</v>
      </c>
      <c r="C50" s="17" t="s">
        <v>59</v>
      </c>
      <c r="D50" s="17" t="s">
        <v>60</v>
      </c>
      <c r="E50" s="17" t="s">
        <v>60</v>
      </c>
      <c r="F50" s="52"/>
      <c r="G50" s="58" t="s">
        <v>64</v>
      </c>
      <c r="H50">
        <v>41.368589</v>
      </c>
      <c r="I50">
        <v>2.1620900000000001</v>
      </c>
      <c r="J50">
        <v>95</v>
      </c>
      <c r="K50" s="17" t="s">
        <v>66</v>
      </c>
      <c r="L50" s="52"/>
      <c r="M50" s="52"/>
      <c r="N50" s="52"/>
      <c r="O50" s="19" t="str">
        <f t="shared" si="1"/>
        <v>A_SP_BCN_8_231026</v>
      </c>
      <c r="P50" s="53">
        <v>45225</v>
      </c>
      <c r="Q50" s="62">
        <v>0.41666666666666669</v>
      </c>
      <c r="R50" s="27"/>
      <c r="S50" s="53">
        <v>45226</v>
      </c>
      <c r="T50" s="62">
        <v>0.41666666666666669</v>
      </c>
      <c r="U50" s="27"/>
      <c r="V50" s="25" t="s">
        <v>35</v>
      </c>
      <c r="W50" s="54"/>
      <c r="X50" s="17">
        <f t="shared" si="0"/>
        <v>1</v>
      </c>
      <c r="Y50" s="27"/>
      <c r="Z50" s="52"/>
      <c r="AA50" s="52"/>
      <c r="AB50" s="52"/>
      <c r="AC50" s="52"/>
      <c r="AD50" s="52"/>
      <c r="AE50" s="52"/>
      <c r="AF50">
        <v>4</v>
      </c>
    </row>
    <row r="51" spans="1:32" s="51" customFormat="1" x14ac:dyDescent="0.25">
      <c r="A51" s="17">
        <v>47</v>
      </c>
      <c r="B51" s="17" t="s">
        <v>58</v>
      </c>
      <c r="C51" s="17" t="s">
        <v>59</v>
      </c>
      <c r="D51" s="17" t="s">
        <v>60</v>
      </c>
      <c r="E51" s="17" t="s">
        <v>60</v>
      </c>
      <c r="F51" s="52"/>
      <c r="G51" s="58" t="s">
        <v>64</v>
      </c>
      <c r="H51">
        <v>41.368589</v>
      </c>
      <c r="I51">
        <v>2.1620900000000001</v>
      </c>
      <c r="J51">
        <v>95</v>
      </c>
      <c r="K51" s="17" t="s">
        <v>66</v>
      </c>
      <c r="L51" s="52"/>
      <c r="M51" s="52"/>
      <c r="N51" s="52"/>
      <c r="O51" s="19" t="str">
        <f t="shared" si="1"/>
        <v>A_SP_BCN_8_231030</v>
      </c>
      <c r="P51" s="53">
        <v>45229</v>
      </c>
      <c r="Q51" s="55">
        <v>0.375</v>
      </c>
      <c r="R51" s="27"/>
      <c r="S51" s="53">
        <v>45230</v>
      </c>
      <c r="T51" s="55">
        <v>0.375</v>
      </c>
      <c r="U51" s="27"/>
      <c r="V51" s="25" t="s">
        <v>98</v>
      </c>
      <c r="W51" s="54"/>
      <c r="X51" s="17">
        <f t="shared" si="0"/>
        <v>1</v>
      </c>
      <c r="Y51" s="27"/>
      <c r="Z51" s="52"/>
      <c r="AA51" s="52"/>
      <c r="AB51" s="52"/>
      <c r="AC51" s="52"/>
      <c r="AD51" s="52"/>
      <c r="AE51" s="52"/>
      <c r="AF51" s="51">
        <v>2</v>
      </c>
    </row>
    <row r="52" spans="1:32" s="51" customFormat="1" x14ac:dyDescent="0.25">
      <c r="A52" s="17">
        <v>48</v>
      </c>
      <c r="B52" s="17" t="s">
        <v>58</v>
      </c>
      <c r="C52" s="17" t="s">
        <v>59</v>
      </c>
      <c r="D52" s="17" t="s">
        <v>60</v>
      </c>
      <c r="E52" s="17" t="s">
        <v>60</v>
      </c>
      <c r="F52" s="52"/>
      <c r="G52" s="58" t="s">
        <v>64</v>
      </c>
      <c r="H52">
        <v>41.368589</v>
      </c>
      <c r="I52">
        <v>2.1620900000000001</v>
      </c>
      <c r="J52">
        <v>95</v>
      </c>
      <c r="K52" s="17" t="s">
        <v>66</v>
      </c>
      <c r="L52" s="52"/>
      <c r="M52" s="52"/>
      <c r="N52" s="52"/>
      <c r="O52" s="19" t="str">
        <f t="shared" si="1"/>
        <v>A_SP_BCN_8_231031</v>
      </c>
      <c r="P52" s="53">
        <v>45230</v>
      </c>
      <c r="Q52" s="55">
        <v>0.60416666666666663</v>
      </c>
      <c r="R52" s="27"/>
      <c r="S52" s="53">
        <v>45244</v>
      </c>
      <c r="T52" s="55">
        <v>0.58680555555555558</v>
      </c>
      <c r="U52" s="27"/>
      <c r="V52" s="25" t="s">
        <v>35</v>
      </c>
      <c r="W52" s="54"/>
      <c r="X52" s="17">
        <f t="shared" si="0"/>
        <v>14</v>
      </c>
      <c r="Y52" s="27"/>
      <c r="Z52" s="52"/>
      <c r="AA52" s="52"/>
      <c r="AB52" s="52"/>
      <c r="AC52" s="52"/>
      <c r="AD52" s="52"/>
      <c r="AE52" s="52"/>
      <c r="AF52">
        <v>4</v>
      </c>
    </row>
    <row r="53" spans="1:32" s="51" customFormat="1" x14ac:dyDescent="0.25">
      <c r="A53" s="17">
        <v>49</v>
      </c>
      <c r="B53" s="17" t="s">
        <v>58</v>
      </c>
      <c r="C53" s="17" t="s">
        <v>59</v>
      </c>
      <c r="D53" s="17" t="s">
        <v>60</v>
      </c>
      <c r="E53" s="17" t="s">
        <v>60</v>
      </c>
      <c r="F53" s="52"/>
      <c r="G53" s="58" t="s">
        <v>64</v>
      </c>
      <c r="H53">
        <v>41.368589</v>
      </c>
      <c r="I53">
        <v>2.1620900000000001</v>
      </c>
      <c r="J53">
        <v>95</v>
      </c>
      <c r="K53" s="17" t="s">
        <v>66</v>
      </c>
      <c r="L53" s="52"/>
      <c r="M53" s="52"/>
      <c r="N53" s="52"/>
      <c r="O53" s="19" t="str">
        <f t="shared" si="1"/>
        <v>A_SP_BCN_8_231115</v>
      </c>
      <c r="P53" s="53">
        <v>45245</v>
      </c>
      <c r="Q53" s="55">
        <v>0.375</v>
      </c>
      <c r="R53" s="27"/>
      <c r="S53" s="53">
        <v>45246</v>
      </c>
      <c r="T53" s="55">
        <v>0.375</v>
      </c>
      <c r="U53" s="27"/>
      <c r="V53" s="25" t="s">
        <v>35</v>
      </c>
      <c r="W53" s="54"/>
      <c r="X53" s="17">
        <f t="shared" si="0"/>
        <v>1</v>
      </c>
      <c r="Y53" s="27"/>
      <c r="Z53" s="52"/>
      <c r="AA53" s="52"/>
      <c r="AB53" s="52"/>
      <c r="AC53" s="52"/>
      <c r="AD53" s="52"/>
      <c r="AE53" s="52"/>
      <c r="AF53">
        <v>4</v>
      </c>
    </row>
    <row r="54" spans="1:32" s="51" customFormat="1" x14ac:dyDescent="0.25">
      <c r="A54" s="17">
        <v>50</v>
      </c>
      <c r="B54" s="17" t="s">
        <v>58</v>
      </c>
      <c r="C54" s="17" t="s">
        <v>59</v>
      </c>
      <c r="D54" s="17" t="s">
        <v>60</v>
      </c>
      <c r="E54" s="17" t="s">
        <v>60</v>
      </c>
      <c r="F54" s="52"/>
      <c r="G54" s="58" t="s">
        <v>64</v>
      </c>
      <c r="H54">
        <v>41.368589</v>
      </c>
      <c r="I54">
        <v>2.1620900000000001</v>
      </c>
      <c r="J54">
        <v>95</v>
      </c>
      <c r="K54" s="17" t="s">
        <v>66</v>
      </c>
      <c r="L54" s="52"/>
      <c r="M54" s="52"/>
      <c r="N54" s="52"/>
      <c r="O54" s="19" t="str">
        <f t="shared" si="1"/>
        <v>A_SP_BCN_8_231120</v>
      </c>
      <c r="P54" s="53">
        <v>45250</v>
      </c>
      <c r="Q54" s="55">
        <v>0.375</v>
      </c>
      <c r="R54" s="27"/>
      <c r="S54" s="53">
        <v>45251</v>
      </c>
      <c r="T54" s="55">
        <v>0.375</v>
      </c>
      <c r="U54" s="27"/>
      <c r="V54" s="25" t="s">
        <v>35</v>
      </c>
      <c r="W54" s="54"/>
      <c r="X54" s="17">
        <f t="shared" si="0"/>
        <v>1</v>
      </c>
      <c r="Y54" s="27"/>
      <c r="Z54" s="52"/>
      <c r="AA54" s="52"/>
      <c r="AB54" s="52"/>
      <c r="AC54" s="52"/>
      <c r="AD54" s="52"/>
      <c r="AE54" s="52"/>
      <c r="AF54">
        <v>4</v>
      </c>
    </row>
    <row r="55" spans="1:32" s="51" customFormat="1" x14ac:dyDescent="0.25">
      <c r="A55" s="17">
        <v>51</v>
      </c>
      <c r="B55" s="17" t="s">
        <v>58</v>
      </c>
      <c r="C55" s="17" t="s">
        <v>59</v>
      </c>
      <c r="D55" s="17" t="s">
        <v>60</v>
      </c>
      <c r="E55" s="17" t="s">
        <v>60</v>
      </c>
      <c r="F55" s="52"/>
      <c r="G55" s="58" t="s">
        <v>64</v>
      </c>
      <c r="H55">
        <v>41.368589</v>
      </c>
      <c r="I55">
        <v>2.1620900000000001</v>
      </c>
      <c r="J55">
        <v>95</v>
      </c>
      <c r="K55" s="17" t="s">
        <v>66</v>
      </c>
      <c r="L55" s="52"/>
      <c r="M55" s="52"/>
      <c r="N55" s="52"/>
      <c r="O55" s="19" t="str">
        <f t="shared" si="1"/>
        <v>A_SP_BCN_8_231123</v>
      </c>
      <c r="P55" s="53">
        <v>45253</v>
      </c>
      <c r="Q55" s="55">
        <v>0.375</v>
      </c>
      <c r="R55" s="27"/>
      <c r="S55" s="53">
        <v>45254</v>
      </c>
      <c r="T55" s="55">
        <v>0.375</v>
      </c>
      <c r="U55" s="27"/>
      <c r="V55" s="25" t="s">
        <v>35</v>
      </c>
      <c r="W55" s="54"/>
      <c r="X55" s="17">
        <f t="shared" si="0"/>
        <v>1</v>
      </c>
      <c r="Y55" s="27"/>
      <c r="Z55" s="52"/>
      <c r="AA55" s="52"/>
      <c r="AB55" s="52"/>
      <c r="AC55" s="52"/>
      <c r="AD55" s="52"/>
      <c r="AE55" s="52"/>
      <c r="AF55">
        <v>4</v>
      </c>
    </row>
    <row r="56" spans="1:32" s="51" customFormat="1" x14ac:dyDescent="0.25">
      <c r="A56" s="17">
        <v>52</v>
      </c>
      <c r="B56" s="17" t="s">
        <v>58</v>
      </c>
      <c r="C56" s="17" t="s">
        <v>59</v>
      </c>
      <c r="D56" s="17" t="s">
        <v>60</v>
      </c>
      <c r="E56" s="17" t="s">
        <v>60</v>
      </c>
      <c r="F56" s="52"/>
      <c r="G56" s="58" t="s">
        <v>64</v>
      </c>
      <c r="H56">
        <v>41.368589</v>
      </c>
      <c r="I56">
        <v>2.1620900000000001</v>
      </c>
      <c r="J56">
        <v>95</v>
      </c>
      <c r="K56" s="17" t="s">
        <v>66</v>
      </c>
      <c r="L56" s="52"/>
      <c r="M56" s="52"/>
      <c r="N56" s="52"/>
      <c r="O56" s="19" t="str">
        <f t="shared" si="1"/>
        <v>A_SP_BCN_8_231127</v>
      </c>
      <c r="P56" s="53">
        <v>45257</v>
      </c>
      <c r="Q56" s="55">
        <v>0.375</v>
      </c>
      <c r="R56" s="27"/>
      <c r="S56" s="53">
        <v>45258</v>
      </c>
      <c r="T56" s="55">
        <v>0.375</v>
      </c>
      <c r="U56" s="27"/>
      <c r="V56" s="25" t="s">
        <v>35</v>
      </c>
      <c r="W56" s="54"/>
      <c r="X56" s="17">
        <f t="shared" si="0"/>
        <v>1</v>
      </c>
      <c r="Y56" s="27"/>
      <c r="Z56" s="52"/>
      <c r="AA56" s="52"/>
      <c r="AB56" s="52"/>
      <c r="AC56" s="52"/>
      <c r="AD56" s="52"/>
      <c r="AE56" s="52"/>
      <c r="AF56">
        <v>4</v>
      </c>
    </row>
    <row r="57" spans="1:32" s="51" customFormat="1" x14ac:dyDescent="0.25">
      <c r="A57" s="17">
        <v>53</v>
      </c>
      <c r="B57" s="17" t="s">
        <v>58</v>
      </c>
      <c r="C57" s="17" t="s">
        <v>59</v>
      </c>
      <c r="D57" s="17" t="s">
        <v>60</v>
      </c>
      <c r="E57" s="17" t="s">
        <v>60</v>
      </c>
      <c r="F57" s="52"/>
      <c r="G57" s="58" t="s">
        <v>64</v>
      </c>
      <c r="H57">
        <v>41.368589</v>
      </c>
      <c r="I57">
        <v>2.1620900000000001</v>
      </c>
      <c r="J57">
        <v>95</v>
      </c>
      <c r="K57" s="17" t="s">
        <v>66</v>
      </c>
      <c r="L57" s="52"/>
      <c r="M57" s="52"/>
      <c r="N57" s="52"/>
      <c r="O57" s="19" t="str">
        <f t="shared" si="1"/>
        <v>A_SP_BCN_8_231130</v>
      </c>
      <c r="P57" s="61">
        <v>45260</v>
      </c>
      <c r="Q57" s="55">
        <v>0.375</v>
      </c>
      <c r="R57" s="22"/>
      <c r="S57" s="53">
        <v>45261</v>
      </c>
      <c r="T57" s="55">
        <v>0.375</v>
      </c>
      <c r="U57" s="27"/>
      <c r="V57" s="25" t="s">
        <v>35</v>
      </c>
      <c r="W57" s="54"/>
      <c r="X57" s="17">
        <f t="shared" si="0"/>
        <v>1</v>
      </c>
      <c r="Y57" s="27"/>
      <c r="Z57" s="52"/>
      <c r="AA57" s="52"/>
      <c r="AB57" s="52"/>
      <c r="AC57" s="52"/>
      <c r="AD57" s="52"/>
      <c r="AE57" s="52"/>
      <c r="AF57">
        <v>4</v>
      </c>
    </row>
    <row r="58" spans="1:32" s="51" customFormat="1" x14ac:dyDescent="0.25">
      <c r="A58" s="17">
        <v>54</v>
      </c>
      <c r="B58" s="17" t="s">
        <v>58</v>
      </c>
      <c r="C58" s="17" t="s">
        <v>59</v>
      </c>
      <c r="D58" s="17" t="s">
        <v>60</v>
      </c>
      <c r="E58" s="17" t="s">
        <v>60</v>
      </c>
      <c r="F58" s="52"/>
      <c r="G58" s="58" t="s">
        <v>65</v>
      </c>
      <c r="H58">
        <v>41.393644999999999</v>
      </c>
      <c r="I58">
        <v>2.1216780000000002</v>
      </c>
      <c r="J58">
        <v>98</v>
      </c>
      <c r="K58" s="17" t="s">
        <v>66</v>
      </c>
      <c r="L58" s="52"/>
      <c r="M58" s="52"/>
      <c r="N58" s="52"/>
      <c r="O58" s="19" t="str">
        <f t="shared" si="1"/>
        <v>A_SP_BCN_9_231003</v>
      </c>
      <c r="P58" s="61">
        <v>45202</v>
      </c>
      <c r="Q58" s="62">
        <v>0.59027777777777779</v>
      </c>
      <c r="R58" s="22"/>
      <c r="S58" s="53">
        <v>45205</v>
      </c>
      <c r="T58" s="55">
        <v>0.77777777777777779</v>
      </c>
      <c r="U58" s="27"/>
      <c r="V58" s="25" t="s">
        <v>35</v>
      </c>
      <c r="W58" s="54"/>
      <c r="X58" s="17">
        <f t="shared" si="0"/>
        <v>3</v>
      </c>
      <c r="Y58" s="27"/>
      <c r="Z58" s="52"/>
      <c r="AA58" s="52"/>
      <c r="AB58" s="52"/>
      <c r="AC58" s="52"/>
      <c r="AD58" s="52"/>
      <c r="AE58" s="52"/>
      <c r="AF58">
        <v>4</v>
      </c>
    </row>
    <row r="59" spans="1:32" s="51" customFormat="1" x14ac:dyDescent="0.25">
      <c r="A59" s="17">
        <v>55</v>
      </c>
      <c r="B59" s="17" t="s">
        <v>58</v>
      </c>
      <c r="C59" s="17" t="s">
        <v>59</v>
      </c>
      <c r="D59" s="17" t="s">
        <v>60</v>
      </c>
      <c r="E59" s="17" t="s">
        <v>60</v>
      </c>
      <c r="F59" s="52"/>
      <c r="G59" s="58" t="s">
        <v>65</v>
      </c>
      <c r="H59">
        <v>41.393644999999999</v>
      </c>
      <c r="I59">
        <v>2.1216780000000002</v>
      </c>
      <c r="J59">
        <v>98</v>
      </c>
      <c r="K59" s="17" t="s">
        <v>66</v>
      </c>
      <c r="L59" s="52"/>
      <c r="M59" s="52"/>
      <c r="N59" s="52"/>
      <c r="O59" s="19" t="str">
        <f t="shared" si="1"/>
        <v>A_SP_BCN_9_231009</v>
      </c>
      <c r="P59" s="61">
        <v>45208</v>
      </c>
      <c r="Q59" s="62">
        <v>0.41666666666666669</v>
      </c>
      <c r="R59" s="22"/>
      <c r="S59" s="53">
        <v>45209</v>
      </c>
      <c r="T59" s="55">
        <v>0.41666666666666669</v>
      </c>
      <c r="U59" s="27"/>
      <c r="V59" s="25" t="s">
        <v>35</v>
      </c>
      <c r="W59" s="54"/>
      <c r="X59" s="17">
        <f t="shared" si="0"/>
        <v>1</v>
      </c>
      <c r="Y59" s="27"/>
      <c r="Z59" s="52"/>
      <c r="AA59" s="52"/>
      <c r="AB59" s="52"/>
      <c r="AC59" s="52"/>
      <c r="AD59" s="52"/>
      <c r="AE59" s="52"/>
      <c r="AF59">
        <v>4</v>
      </c>
    </row>
    <row r="60" spans="1:32" s="51" customFormat="1" x14ac:dyDescent="0.25">
      <c r="A60" s="17">
        <v>56</v>
      </c>
      <c r="B60" s="17" t="s">
        <v>58</v>
      </c>
      <c r="C60" s="17" t="s">
        <v>59</v>
      </c>
      <c r="D60" s="17" t="s">
        <v>60</v>
      </c>
      <c r="E60" s="17" t="s">
        <v>60</v>
      </c>
      <c r="F60" s="52"/>
      <c r="G60" s="58" t="s">
        <v>65</v>
      </c>
      <c r="H60">
        <v>41.393644999999999</v>
      </c>
      <c r="I60">
        <v>2.1216780000000002</v>
      </c>
      <c r="J60">
        <v>98</v>
      </c>
      <c r="K60" s="17" t="s">
        <v>66</v>
      </c>
      <c r="L60" s="52"/>
      <c r="M60" s="52"/>
      <c r="N60" s="52"/>
      <c r="O60" s="19" t="str">
        <f t="shared" si="1"/>
        <v>A_SP_BCN_9_231012</v>
      </c>
      <c r="P60" s="61">
        <v>45211</v>
      </c>
      <c r="Q60" s="62">
        <v>0.41666666666666669</v>
      </c>
      <c r="R60" s="22"/>
      <c r="S60" s="53">
        <v>45212</v>
      </c>
      <c r="T60" s="55">
        <v>0.41666666666666669</v>
      </c>
      <c r="U60" s="27"/>
      <c r="V60" s="25" t="s">
        <v>35</v>
      </c>
      <c r="W60" s="54"/>
      <c r="X60" s="17">
        <f t="shared" si="0"/>
        <v>1</v>
      </c>
      <c r="Y60" s="27"/>
      <c r="Z60" s="52"/>
      <c r="AA60" s="52"/>
      <c r="AB60" s="52"/>
      <c r="AC60" s="52"/>
      <c r="AD60" s="52"/>
      <c r="AE60" s="52"/>
      <c r="AF60">
        <v>4</v>
      </c>
    </row>
    <row r="61" spans="1:32" s="51" customFormat="1" x14ac:dyDescent="0.25">
      <c r="A61" s="17">
        <v>57</v>
      </c>
      <c r="B61" s="17" t="s">
        <v>58</v>
      </c>
      <c r="C61" s="17" t="s">
        <v>59</v>
      </c>
      <c r="D61" s="17" t="s">
        <v>60</v>
      </c>
      <c r="E61" s="17" t="s">
        <v>60</v>
      </c>
      <c r="F61" s="52"/>
      <c r="G61" s="58" t="s">
        <v>65</v>
      </c>
      <c r="H61">
        <v>41.393644999999999</v>
      </c>
      <c r="I61">
        <v>2.1216780000000002</v>
      </c>
      <c r="J61">
        <v>98</v>
      </c>
      <c r="K61" s="17" t="s">
        <v>66</v>
      </c>
      <c r="L61" s="52"/>
      <c r="M61" s="52"/>
      <c r="N61" s="52"/>
      <c r="O61" s="19" t="str">
        <f t="shared" si="1"/>
        <v>A_SP_BCN_9_231016</v>
      </c>
      <c r="P61" s="61">
        <v>45215</v>
      </c>
      <c r="Q61" s="62">
        <v>0.41666666666666669</v>
      </c>
      <c r="R61" s="22"/>
      <c r="S61" s="53">
        <v>45216</v>
      </c>
      <c r="T61" s="55">
        <v>0.41666666666666669</v>
      </c>
      <c r="U61" s="27"/>
      <c r="V61" s="25" t="s">
        <v>35</v>
      </c>
      <c r="W61" s="54"/>
      <c r="X61" s="17">
        <f t="shared" si="0"/>
        <v>1</v>
      </c>
      <c r="Y61" s="27"/>
      <c r="Z61" s="52"/>
      <c r="AA61" s="52"/>
      <c r="AB61" s="52"/>
      <c r="AC61" s="52"/>
      <c r="AD61" s="52"/>
      <c r="AE61" s="52"/>
      <c r="AF61">
        <v>4</v>
      </c>
    </row>
    <row r="62" spans="1:32" s="51" customFormat="1" x14ac:dyDescent="0.25">
      <c r="A62" s="17">
        <v>58</v>
      </c>
      <c r="B62" s="17" t="s">
        <v>58</v>
      </c>
      <c r="C62" s="17" t="s">
        <v>59</v>
      </c>
      <c r="D62" s="17" t="s">
        <v>60</v>
      </c>
      <c r="E62" s="17" t="s">
        <v>60</v>
      </c>
      <c r="F62" s="52"/>
      <c r="G62" s="58" t="s">
        <v>65</v>
      </c>
      <c r="H62">
        <v>41.393644999999999</v>
      </c>
      <c r="I62">
        <v>2.1216780000000002</v>
      </c>
      <c r="J62">
        <v>98</v>
      </c>
      <c r="K62" s="17" t="s">
        <v>66</v>
      </c>
      <c r="L62" s="52"/>
      <c r="M62" s="52"/>
      <c r="N62" s="52"/>
      <c r="O62" s="19" t="str">
        <f t="shared" si="1"/>
        <v>A_SP_BCN_9_231019</v>
      </c>
      <c r="P62" s="61">
        <v>45218</v>
      </c>
      <c r="Q62" s="62">
        <v>0.41666666666666669</v>
      </c>
      <c r="R62" s="22"/>
      <c r="S62" s="53">
        <v>45219</v>
      </c>
      <c r="T62" s="55">
        <v>0.41666666666666669</v>
      </c>
      <c r="U62" s="27"/>
      <c r="V62" s="25" t="s">
        <v>35</v>
      </c>
      <c r="W62" s="54"/>
      <c r="X62" s="17">
        <f t="shared" si="0"/>
        <v>1</v>
      </c>
      <c r="Y62" s="27"/>
      <c r="Z62" s="52"/>
      <c r="AA62" s="52"/>
      <c r="AB62" s="52"/>
      <c r="AC62" s="52"/>
      <c r="AD62" s="52"/>
      <c r="AE62" s="52"/>
      <c r="AF62">
        <v>4</v>
      </c>
    </row>
    <row r="63" spans="1:32" s="51" customFormat="1" x14ac:dyDescent="0.25">
      <c r="A63" s="17">
        <v>59</v>
      </c>
      <c r="B63" s="17" t="s">
        <v>58</v>
      </c>
      <c r="C63" s="17" t="s">
        <v>59</v>
      </c>
      <c r="D63" s="17" t="s">
        <v>60</v>
      </c>
      <c r="E63" s="17" t="s">
        <v>60</v>
      </c>
      <c r="F63" s="52"/>
      <c r="G63" s="58" t="s">
        <v>65</v>
      </c>
      <c r="H63">
        <v>41.393644999999999</v>
      </c>
      <c r="I63">
        <v>2.1216780000000002</v>
      </c>
      <c r="J63">
        <v>98</v>
      </c>
      <c r="K63" s="17" t="s">
        <v>66</v>
      </c>
      <c r="L63" s="52"/>
      <c r="M63" s="52"/>
      <c r="N63" s="52"/>
      <c r="O63" s="19" t="str">
        <f t="shared" si="1"/>
        <v>A_SP_BCN_9_231023</v>
      </c>
      <c r="P63" s="53">
        <v>45222</v>
      </c>
      <c r="Q63" s="62">
        <v>0.41666666666666669</v>
      </c>
      <c r="R63" s="27"/>
      <c r="S63" s="53">
        <v>45223</v>
      </c>
      <c r="T63" s="55">
        <v>0.41666666666666669</v>
      </c>
      <c r="U63" s="27"/>
      <c r="V63" s="25" t="s">
        <v>35</v>
      </c>
      <c r="W63" s="54"/>
      <c r="X63" s="17">
        <f t="shared" si="0"/>
        <v>1</v>
      </c>
      <c r="Y63" s="27"/>
      <c r="Z63" s="52"/>
      <c r="AA63" s="52"/>
      <c r="AB63" s="52"/>
      <c r="AC63" s="52"/>
      <c r="AD63" s="52"/>
      <c r="AE63" s="52"/>
      <c r="AF63">
        <v>4</v>
      </c>
    </row>
    <row r="64" spans="1:32" s="51" customFormat="1" x14ac:dyDescent="0.25">
      <c r="A64" s="17">
        <v>60</v>
      </c>
      <c r="B64" s="17" t="s">
        <v>58</v>
      </c>
      <c r="C64" s="17" t="s">
        <v>59</v>
      </c>
      <c r="D64" s="17" t="s">
        <v>60</v>
      </c>
      <c r="E64" s="17" t="s">
        <v>60</v>
      </c>
      <c r="F64" s="52"/>
      <c r="G64" s="58" t="s">
        <v>65</v>
      </c>
      <c r="H64">
        <v>41.393644999999999</v>
      </c>
      <c r="I64">
        <v>2.1216780000000002</v>
      </c>
      <c r="J64">
        <v>98</v>
      </c>
      <c r="K64" s="17" t="s">
        <v>66</v>
      </c>
      <c r="L64" s="52"/>
      <c r="M64" s="52"/>
      <c r="N64" s="52"/>
      <c r="O64" s="19" t="str">
        <f t="shared" si="1"/>
        <v>A_SP_BCN_9_231026</v>
      </c>
      <c r="P64" s="53">
        <v>45225</v>
      </c>
      <c r="Q64" s="62">
        <v>0.41666666666666669</v>
      </c>
      <c r="R64" s="27"/>
      <c r="S64" s="53">
        <v>45226</v>
      </c>
      <c r="T64" s="62">
        <v>0.41666666666666669</v>
      </c>
      <c r="U64" s="27"/>
      <c r="V64" s="25" t="s">
        <v>35</v>
      </c>
      <c r="W64" s="54"/>
      <c r="X64" s="17">
        <f t="shared" si="0"/>
        <v>1</v>
      </c>
      <c r="Y64" s="27"/>
      <c r="Z64" s="52"/>
      <c r="AA64" s="52"/>
      <c r="AB64" s="52"/>
      <c r="AC64" s="52"/>
      <c r="AD64" s="52"/>
      <c r="AE64" s="52"/>
      <c r="AF64">
        <v>4</v>
      </c>
    </row>
    <row r="65" spans="1:32" s="51" customFormat="1" x14ac:dyDescent="0.25">
      <c r="A65" s="17">
        <v>61</v>
      </c>
      <c r="B65" s="17" t="s">
        <v>58</v>
      </c>
      <c r="C65" s="17" t="s">
        <v>59</v>
      </c>
      <c r="D65" s="17" t="s">
        <v>60</v>
      </c>
      <c r="E65" s="17" t="s">
        <v>60</v>
      </c>
      <c r="F65" s="52"/>
      <c r="G65" s="58" t="s">
        <v>65</v>
      </c>
      <c r="H65">
        <v>41.393644999999999</v>
      </c>
      <c r="I65">
        <v>2.1216780000000002</v>
      </c>
      <c r="J65">
        <v>98</v>
      </c>
      <c r="K65" s="17" t="s">
        <v>66</v>
      </c>
      <c r="L65" s="52"/>
      <c r="M65" s="52"/>
      <c r="N65" s="52"/>
      <c r="O65" s="19" t="str">
        <f t="shared" si="1"/>
        <v>A_SP_BCN_9_231030</v>
      </c>
      <c r="P65" s="53">
        <v>45229</v>
      </c>
      <c r="Q65" s="55">
        <v>0.375</v>
      </c>
      <c r="R65" s="27"/>
      <c r="S65" s="53">
        <v>45230</v>
      </c>
      <c r="T65" s="55">
        <v>0.375</v>
      </c>
      <c r="U65" s="27"/>
      <c r="V65" s="25" t="s">
        <v>35</v>
      </c>
      <c r="W65" s="54"/>
      <c r="X65" s="17">
        <f t="shared" si="0"/>
        <v>1</v>
      </c>
      <c r="Y65" s="27"/>
      <c r="Z65" s="52"/>
      <c r="AA65" s="52"/>
      <c r="AB65" s="52"/>
      <c r="AC65" s="52"/>
      <c r="AD65" s="52"/>
      <c r="AE65" s="52"/>
      <c r="AF65">
        <v>4</v>
      </c>
    </row>
    <row r="66" spans="1:32" s="51" customFormat="1" x14ac:dyDescent="0.25">
      <c r="A66" s="17">
        <v>62</v>
      </c>
      <c r="B66" s="17" t="s">
        <v>58</v>
      </c>
      <c r="C66" s="17" t="s">
        <v>59</v>
      </c>
      <c r="D66" s="17" t="s">
        <v>60</v>
      </c>
      <c r="E66" s="17" t="s">
        <v>60</v>
      </c>
      <c r="F66" s="52"/>
      <c r="G66" s="58" t="s">
        <v>65</v>
      </c>
      <c r="H66">
        <v>41.393644999999999</v>
      </c>
      <c r="I66">
        <v>2.1216780000000002</v>
      </c>
      <c r="J66">
        <v>98</v>
      </c>
      <c r="K66" s="17" t="s">
        <v>66</v>
      </c>
      <c r="L66" s="52"/>
      <c r="M66" s="52"/>
      <c r="N66" s="52"/>
      <c r="O66" s="19" t="str">
        <f t="shared" si="1"/>
        <v>A_SP_BCN_9_231031</v>
      </c>
      <c r="P66" s="53">
        <v>45230</v>
      </c>
      <c r="Q66" s="55">
        <v>0.8125</v>
      </c>
      <c r="R66" s="27"/>
      <c r="S66" s="53">
        <v>45244</v>
      </c>
      <c r="T66" s="55">
        <v>0.70833333333333337</v>
      </c>
      <c r="U66" s="27"/>
      <c r="V66" s="25" t="s">
        <v>35</v>
      </c>
      <c r="W66" s="54"/>
      <c r="X66" s="17">
        <f t="shared" si="0"/>
        <v>14</v>
      </c>
      <c r="Y66" s="27"/>
      <c r="Z66" s="52"/>
      <c r="AA66" s="52"/>
      <c r="AB66" s="52"/>
      <c r="AC66" s="52"/>
      <c r="AD66" s="52"/>
      <c r="AE66" s="52"/>
      <c r="AF66">
        <v>4</v>
      </c>
    </row>
    <row r="67" spans="1:32" s="51" customFormat="1" x14ac:dyDescent="0.25">
      <c r="A67" s="17">
        <v>63</v>
      </c>
      <c r="B67" s="17" t="s">
        <v>58</v>
      </c>
      <c r="C67" s="17" t="s">
        <v>59</v>
      </c>
      <c r="D67" s="17" t="s">
        <v>60</v>
      </c>
      <c r="E67" s="17" t="s">
        <v>60</v>
      </c>
      <c r="F67" s="52"/>
      <c r="G67" s="58" t="s">
        <v>65</v>
      </c>
      <c r="H67">
        <v>41.393644999999999</v>
      </c>
      <c r="I67">
        <v>2.1216780000000002</v>
      </c>
      <c r="J67">
        <v>98</v>
      </c>
      <c r="K67" s="17" t="s">
        <v>66</v>
      </c>
      <c r="L67" s="52"/>
      <c r="M67" s="52"/>
      <c r="N67" s="52"/>
      <c r="O67" s="19" t="str">
        <f t="shared" si="1"/>
        <v>A_SP_BCN_9_231116</v>
      </c>
      <c r="P67" s="53">
        <v>45246</v>
      </c>
      <c r="Q67" s="55">
        <v>0.375</v>
      </c>
      <c r="R67" s="27"/>
      <c r="S67" s="53">
        <v>45247</v>
      </c>
      <c r="T67" s="55">
        <v>0.375</v>
      </c>
      <c r="U67" s="27"/>
      <c r="V67" s="25" t="s">
        <v>35</v>
      </c>
      <c r="W67" s="54"/>
      <c r="X67" s="17">
        <f t="shared" si="0"/>
        <v>1</v>
      </c>
      <c r="Y67" s="27"/>
      <c r="Z67" s="52"/>
      <c r="AA67" s="52"/>
      <c r="AB67" s="52"/>
      <c r="AC67" s="52"/>
      <c r="AD67" s="52"/>
      <c r="AE67" s="52"/>
      <c r="AF67">
        <v>4</v>
      </c>
    </row>
    <row r="68" spans="1:32" s="51" customFormat="1" x14ac:dyDescent="0.25">
      <c r="A68" s="17">
        <v>64</v>
      </c>
      <c r="B68" s="17" t="s">
        <v>58</v>
      </c>
      <c r="C68" s="17" t="s">
        <v>59</v>
      </c>
      <c r="D68" s="17" t="s">
        <v>60</v>
      </c>
      <c r="E68" s="17" t="s">
        <v>60</v>
      </c>
      <c r="F68" s="52"/>
      <c r="G68" s="58" t="s">
        <v>65</v>
      </c>
      <c r="H68">
        <v>41.393644999999999</v>
      </c>
      <c r="I68">
        <v>2.1216780000000002</v>
      </c>
      <c r="J68">
        <v>98</v>
      </c>
      <c r="K68" s="17" t="s">
        <v>66</v>
      </c>
      <c r="L68" s="52"/>
      <c r="M68" s="52"/>
      <c r="N68" s="52"/>
      <c r="O68" s="19" t="str">
        <f t="shared" si="1"/>
        <v>A_SP_BCN_9_231119</v>
      </c>
      <c r="P68" s="53">
        <v>45249</v>
      </c>
      <c r="Q68" s="55">
        <v>0.375</v>
      </c>
      <c r="R68" s="27"/>
      <c r="S68" s="53">
        <v>45250</v>
      </c>
      <c r="T68" s="55">
        <v>0.375</v>
      </c>
      <c r="U68" s="27"/>
      <c r="V68" s="25" t="s">
        <v>35</v>
      </c>
      <c r="W68" s="54"/>
      <c r="X68" s="17">
        <f t="shared" si="0"/>
        <v>1</v>
      </c>
      <c r="Y68" s="27"/>
      <c r="Z68" s="52"/>
      <c r="AA68" s="52"/>
      <c r="AB68" s="52"/>
      <c r="AC68" s="52"/>
      <c r="AD68" s="52"/>
      <c r="AE68" s="52"/>
      <c r="AF68">
        <v>4</v>
      </c>
    </row>
    <row r="69" spans="1:32" s="51" customFormat="1" x14ac:dyDescent="0.25">
      <c r="A69" s="17">
        <v>65</v>
      </c>
      <c r="B69" s="17" t="s">
        <v>58</v>
      </c>
      <c r="C69" s="17" t="s">
        <v>59</v>
      </c>
      <c r="D69" s="17" t="s">
        <v>60</v>
      </c>
      <c r="E69" s="17" t="s">
        <v>60</v>
      </c>
      <c r="F69" s="52"/>
      <c r="G69" s="58" t="s">
        <v>65</v>
      </c>
      <c r="H69">
        <v>41.393644999999999</v>
      </c>
      <c r="I69">
        <v>2.1216780000000002</v>
      </c>
      <c r="J69">
        <v>98</v>
      </c>
      <c r="K69" s="17" t="s">
        <v>66</v>
      </c>
      <c r="L69" s="52"/>
      <c r="M69" s="52"/>
      <c r="N69" s="52"/>
      <c r="O69" s="19" t="str">
        <f t="shared" si="1"/>
        <v>A_SP_BCN_9_231122</v>
      </c>
      <c r="P69" s="53">
        <v>45252</v>
      </c>
      <c r="Q69" s="55">
        <v>0.375</v>
      </c>
      <c r="R69" s="27"/>
      <c r="S69" s="53">
        <v>45253</v>
      </c>
      <c r="T69" s="55">
        <v>0.375</v>
      </c>
      <c r="U69" s="27"/>
      <c r="V69" s="25" t="s">
        <v>35</v>
      </c>
      <c r="W69" s="54"/>
      <c r="X69" s="17">
        <f t="shared" ref="X69:X132" si="2">S69-P69</f>
        <v>1</v>
      </c>
      <c r="Y69" s="27"/>
      <c r="Z69" s="52"/>
      <c r="AA69" s="52"/>
      <c r="AB69" s="52"/>
      <c r="AC69" s="52"/>
      <c r="AD69" s="52"/>
      <c r="AE69" s="52"/>
      <c r="AF69">
        <v>4</v>
      </c>
    </row>
    <row r="70" spans="1:32" s="51" customFormat="1" x14ac:dyDescent="0.25">
      <c r="A70" s="17">
        <v>66</v>
      </c>
      <c r="B70" s="17" t="s">
        <v>58</v>
      </c>
      <c r="C70" s="17" t="s">
        <v>59</v>
      </c>
      <c r="D70" s="17" t="s">
        <v>60</v>
      </c>
      <c r="E70" s="17" t="s">
        <v>60</v>
      </c>
      <c r="F70" s="52"/>
      <c r="G70" s="58" t="s">
        <v>65</v>
      </c>
      <c r="H70">
        <v>41.393644999999999</v>
      </c>
      <c r="I70">
        <v>2.1216780000000002</v>
      </c>
      <c r="J70">
        <v>98</v>
      </c>
      <c r="K70" s="17" t="s">
        <v>66</v>
      </c>
      <c r="L70" s="52"/>
      <c r="M70" s="52"/>
      <c r="N70" s="52"/>
      <c r="O70" s="19" t="str">
        <f t="shared" ref="O70:O133" si="3">G70&amp;"_"&amp;TEXT(P70,"AAMMDD")</f>
        <v>A_SP_BCN_9_231126</v>
      </c>
      <c r="P70" s="53">
        <v>45256</v>
      </c>
      <c r="Q70" s="55">
        <v>0.375</v>
      </c>
      <c r="R70" s="27"/>
      <c r="S70" s="53">
        <v>45257</v>
      </c>
      <c r="T70" s="55">
        <v>0.375</v>
      </c>
      <c r="U70" s="27"/>
      <c r="V70" s="25" t="s">
        <v>35</v>
      </c>
      <c r="W70" s="54"/>
      <c r="X70" s="17">
        <f t="shared" si="2"/>
        <v>1</v>
      </c>
      <c r="Y70" s="27"/>
      <c r="Z70" s="52"/>
      <c r="AA70" s="52"/>
      <c r="AB70" s="52"/>
      <c r="AC70" s="52"/>
      <c r="AD70" s="52"/>
      <c r="AE70" s="52"/>
      <c r="AF70">
        <v>4</v>
      </c>
    </row>
    <row r="71" spans="1:32" s="51" customFormat="1" x14ac:dyDescent="0.25">
      <c r="A71" s="17">
        <v>67</v>
      </c>
      <c r="B71" s="17" t="s">
        <v>58</v>
      </c>
      <c r="C71" s="17" t="s">
        <v>59</v>
      </c>
      <c r="D71" s="17" t="s">
        <v>60</v>
      </c>
      <c r="E71" s="17" t="s">
        <v>60</v>
      </c>
      <c r="F71" s="52"/>
      <c r="G71" s="58" t="s">
        <v>65</v>
      </c>
      <c r="H71">
        <v>41.393644999999999</v>
      </c>
      <c r="I71">
        <v>2.1216780000000002</v>
      </c>
      <c r="J71">
        <v>98</v>
      </c>
      <c r="K71" s="17" t="s">
        <v>66</v>
      </c>
      <c r="L71" s="52"/>
      <c r="M71" s="52"/>
      <c r="N71" s="52"/>
      <c r="O71" s="19" t="str">
        <f t="shared" si="3"/>
        <v>A_SP_BCN_9_231130</v>
      </c>
      <c r="P71" s="61">
        <v>45260</v>
      </c>
      <c r="Q71" s="55">
        <v>0.375</v>
      </c>
      <c r="R71" s="22"/>
      <c r="S71" s="53">
        <v>45261</v>
      </c>
      <c r="T71" s="55">
        <v>0.375</v>
      </c>
      <c r="U71" s="27"/>
      <c r="V71" s="25" t="s">
        <v>35</v>
      </c>
      <c r="W71" s="54"/>
      <c r="X71" s="17">
        <f t="shared" si="2"/>
        <v>1</v>
      </c>
      <c r="Y71" s="27"/>
      <c r="Z71" s="52"/>
      <c r="AA71" s="52"/>
      <c r="AB71" s="52"/>
      <c r="AC71" s="52"/>
      <c r="AD71" s="52"/>
      <c r="AE71" s="52"/>
      <c r="AF71">
        <v>4</v>
      </c>
    </row>
    <row r="72" spans="1:32" s="51" customFormat="1" x14ac:dyDescent="0.25">
      <c r="A72" s="17">
        <v>68</v>
      </c>
      <c r="B72" s="17" t="s">
        <v>58</v>
      </c>
      <c r="C72" s="17" t="s">
        <v>59</v>
      </c>
      <c r="D72" s="17" t="s">
        <v>60</v>
      </c>
      <c r="E72" s="17" t="s">
        <v>60</v>
      </c>
      <c r="F72" s="52"/>
      <c r="G72" s="58" t="s">
        <v>99</v>
      </c>
      <c r="H72">
        <v>41.398387</v>
      </c>
      <c r="I72">
        <v>2.1244429999999999</v>
      </c>
      <c r="J72">
        <v>106</v>
      </c>
      <c r="K72" s="17" t="s">
        <v>66</v>
      </c>
      <c r="L72" s="52"/>
      <c r="M72" s="52"/>
      <c r="N72" s="52"/>
      <c r="O72" s="19" t="str">
        <f t="shared" si="3"/>
        <v>A_SP_BCN_16_231003</v>
      </c>
      <c r="P72" s="61">
        <v>45202</v>
      </c>
      <c r="Q72" s="62">
        <v>0.69444444444444453</v>
      </c>
      <c r="R72" s="22"/>
      <c r="S72" s="53">
        <v>45205</v>
      </c>
      <c r="T72" s="55">
        <v>0.69444444444444453</v>
      </c>
      <c r="U72" s="27"/>
      <c r="V72" s="25" t="s">
        <v>35</v>
      </c>
      <c r="W72" s="54"/>
      <c r="X72" s="17">
        <f t="shared" si="2"/>
        <v>3</v>
      </c>
      <c r="Y72" s="27"/>
      <c r="Z72" s="52"/>
      <c r="AA72" s="52"/>
      <c r="AB72" s="52"/>
      <c r="AC72" s="52"/>
      <c r="AD72" s="52"/>
      <c r="AE72" s="52"/>
      <c r="AF72">
        <v>4</v>
      </c>
    </row>
    <row r="73" spans="1:32" s="51" customFormat="1" x14ac:dyDescent="0.25">
      <c r="A73" s="17">
        <v>69</v>
      </c>
      <c r="B73" s="17" t="s">
        <v>58</v>
      </c>
      <c r="C73" s="17" t="s">
        <v>59</v>
      </c>
      <c r="D73" s="17" t="s">
        <v>60</v>
      </c>
      <c r="E73" s="17" t="s">
        <v>60</v>
      </c>
      <c r="F73" s="52"/>
      <c r="G73" s="58" t="s">
        <v>99</v>
      </c>
      <c r="H73">
        <v>41.398387</v>
      </c>
      <c r="I73">
        <v>2.1244429999999999</v>
      </c>
      <c r="J73">
        <v>106</v>
      </c>
      <c r="K73" s="17" t="s">
        <v>66</v>
      </c>
      <c r="L73" s="52"/>
      <c r="M73" s="52"/>
      <c r="N73" s="52"/>
      <c r="O73" s="19" t="str">
        <f t="shared" si="3"/>
        <v>A_SP_BCN_16_231009</v>
      </c>
      <c r="P73" s="61">
        <v>45208</v>
      </c>
      <c r="Q73" s="62">
        <v>0.41666666666666669</v>
      </c>
      <c r="R73" s="22"/>
      <c r="S73" s="53">
        <v>45209</v>
      </c>
      <c r="T73" s="55">
        <v>0.41666666666666669</v>
      </c>
      <c r="U73" s="27"/>
      <c r="V73" s="52" t="s">
        <v>100</v>
      </c>
      <c r="W73" s="54"/>
      <c r="X73" s="17">
        <f t="shared" si="2"/>
        <v>1</v>
      </c>
      <c r="Y73" s="27"/>
      <c r="Z73" s="52"/>
      <c r="AA73" s="52"/>
      <c r="AB73" s="52"/>
      <c r="AC73" s="52"/>
      <c r="AD73" s="52"/>
      <c r="AE73" s="52"/>
      <c r="AF73" s="51">
        <v>1</v>
      </c>
    </row>
    <row r="74" spans="1:32" s="51" customFormat="1" x14ac:dyDescent="0.25">
      <c r="A74" s="17">
        <v>70</v>
      </c>
      <c r="B74" s="17" t="s">
        <v>58</v>
      </c>
      <c r="C74" s="17" t="s">
        <v>59</v>
      </c>
      <c r="D74" s="17" t="s">
        <v>60</v>
      </c>
      <c r="E74" s="17" t="s">
        <v>60</v>
      </c>
      <c r="F74" s="52"/>
      <c r="G74" s="58" t="s">
        <v>99</v>
      </c>
      <c r="H74">
        <v>41.398387</v>
      </c>
      <c r="I74">
        <v>2.1244429999999999</v>
      </c>
      <c r="J74">
        <v>106</v>
      </c>
      <c r="K74" s="17" t="s">
        <v>66</v>
      </c>
      <c r="L74" s="52"/>
      <c r="M74" s="52"/>
      <c r="N74" s="52"/>
      <c r="O74" s="19" t="str">
        <f t="shared" si="3"/>
        <v>A_SP_BCN_16_231012</v>
      </c>
      <c r="P74" s="61">
        <v>45211</v>
      </c>
      <c r="Q74" s="62">
        <v>0.41666666666666669</v>
      </c>
      <c r="R74" s="22"/>
      <c r="S74" s="53">
        <v>45212</v>
      </c>
      <c r="T74" s="55">
        <v>0.41666666666666669</v>
      </c>
      <c r="U74" s="27"/>
      <c r="V74" s="25" t="s">
        <v>35</v>
      </c>
      <c r="W74" s="54"/>
      <c r="X74" s="17">
        <f t="shared" si="2"/>
        <v>1</v>
      </c>
      <c r="Y74" s="27"/>
      <c r="Z74" s="52"/>
      <c r="AA74" s="52"/>
      <c r="AB74" s="52"/>
      <c r="AC74" s="52"/>
      <c r="AD74" s="52"/>
      <c r="AE74" s="52"/>
      <c r="AF74">
        <v>4</v>
      </c>
    </row>
    <row r="75" spans="1:32" s="51" customFormat="1" x14ac:dyDescent="0.25">
      <c r="A75" s="17">
        <v>71</v>
      </c>
      <c r="B75" s="17" t="s">
        <v>58</v>
      </c>
      <c r="C75" s="17" t="s">
        <v>59</v>
      </c>
      <c r="D75" s="17" t="s">
        <v>60</v>
      </c>
      <c r="E75" s="17" t="s">
        <v>60</v>
      </c>
      <c r="F75" s="52"/>
      <c r="G75" s="58" t="s">
        <v>99</v>
      </c>
      <c r="H75">
        <v>41.398387</v>
      </c>
      <c r="I75">
        <v>2.1244429999999999</v>
      </c>
      <c r="J75">
        <v>106</v>
      </c>
      <c r="K75" s="17" t="s">
        <v>66</v>
      </c>
      <c r="L75" s="52"/>
      <c r="M75" s="52"/>
      <c r="N75" s="52"/>
      <c r="O75" s="19" t="str">
        <f t="shared" si="3"/>
        <v>A_SP_BCN_16_231016</v>
      </c>
      <c r="P75" s="61">
        <v>45215</v>
      </c>
      <c r="Q75" s="62">
        <v>0.41666666666666669</v>
      </c>
      <c r="R75" s="22"/>
      <c r="S75" s="53">
        <v>45216</v>
      </c>
      <c r="T75" s="55">
        <v>0.41666666666666669</v>
      </c>
      <c r="U75" s="27"/>
      <c r="V75" s="25" t="s">
        <v>35</v>
      </c>
      <c r="W75" s="54"/>
      <c r="X75" s="17">
        <f t="shared" si="2"/>
        <v>1</v>
      </c>
      <c r="Y75" s="27"/>
      <c r="Z75" s="52"/>
      <c r="AA75" s="52"/>
      <c r="AB75" s="52"/>
      <c r="AC75" s="52"/>
      <c r="AD75" s="52"/>
      <c r="AE75" s="52"/>
      <c r="AF75">
        <v>4</v>
      </c>
    </row>
    <row r="76" spans="1:32" s="51" customFormat="1" x14ac:dyDescent="0.25">
      <c r="A76" s="17">
        <v>72</v>
      </c>
      <c r="B76" s="17" t="s">
        <v>58</v>
      </c>
      <c r="C76" s="17" t="s">
        <v>59</v>
      </c>
      <c r="D76" s="17" t="s">
        <v>60</v>
      </c>
      <c r="E76" s="17" t="s">
        <v>60</v>
      </c>
      <c r="F76" s="52"/>
      <c r="G76" s="58" t="s">
        <v>99</v>
      </c>
      <c r="H76">
        <v>41.398387</v>
      </c>
      <c r="I76">
        <v>2.1244429999999999</v>
      </c>
      <c r="J76">
        <v>106</v>
      </c>
      <c r="K76" s="17" t="s">
        <v>66</v>
      </c>
      <c r="L76" s="52"/>
      <c r="M76" s="52"/>
      <c r="N76" s="52"/>
      <c r="O76" s="19" t="str">
        <f t="shared" si="3"/>
        <v>A_SP_BCN_16_231019</v>
      </c>
      <c r="P76" s="61">
        <v>45218</v>
      </c>
      <c r="Q76" s="62">
        <v>0.41666666666666669</v>
      </c>
      <c r="R76" s="22"/>
      <c r="S76" s="53">
        <v>45219</v>
      </c>
      <c r="T76" s="55">
        <v>0.41666666666666669</v>
      </c>
      <c r="U76" s="27"/>
      <c r="V76" s="25" t="s">
        <v>35</v>
      </c>
      <c r="W76" s="54"/>
      <c r="X76" s="17">
        <f t="shared" si="2"/>
        <v>1</v>
      </c>
      <c r="Y76" s="27"/>
      <c r="Z76" s="52"/>
      <c r="AA76" s="52"/>
      <c r="AB76" s="52"/>
      <c r="AC76" s="52"/>
      <c r="AD76" s="52"/>
      <c r="AE76" s="52"/>
      <c r="AF76">
        <v>4</v>
      </c>
    </row>
    <row r="77" spans="1:32" s="51" customFormat="1" x14ac:dyDescent="0.25">
      <c r="A77" s="17">
        <v>73</v>
      </c>
      <c r="B77" s="17" t="s">
        <v>58</v>
      </c>
      <c r="C77" s="17" t="s">
        <v>59</v>
      </c>
      <c r="D77" s="17" t="s">
        <v>60</v>
      </c>
      <c r="E77" s="17" t="s">
        <v>60</v>
      </c>
      <c r="F77" s="52"/>
      <c r="G77" s="58" t="s">
        <v>99</v>
      </c>
      <c r="H77">
        <v>41.398387</v>
      </c>
      <c r="I77">
        <v>2.1244429999999999</v>
      </c>
      <c r="J77">
        <v>106</v>
      </c>
      <c r="K77" s="17" t="s">
        <v>66</v>
      </c>
      <c r="L77" s="52"/>
      <c r="M77" s="52"/>
      <c r="N77" s="52"/>
      <c r="O77" s="19" t="str">
        <f t="shared" si="3"/>
        <v>A_SP_BCN_16_231023</v>
      </c>
      <c r="P77" s="53">
        <v>45222</v>
      </c>
      <c r="Q77" s="62">
        <v>0.41666666666666669</v>
      </c>
      <c r="R77" s="27"/>
      <c r="S77" s="53">
        <v>45223</v>
      </c>
      <c r="T77" s="55">
        <v>0.41666666666666669</v>
      </c>
      <c r="U77" s="27"/>
      <c r="V77" s="25" t="s">
        <v>35</v>
      </c>
      <c r="W77" s="54"/>
      <c r="X77" s="17">
        <f t="shared" si="2"/>
        <v>1</v>
      </c>
      <c r="Y77" s="27"/>
      <c r="Z77" s="52"/>
      <c r="AA77" s="52"/>
      <c r="AB77" s="52"/>
      <c r="AC77" s="52"/>
      <c r="AD77" s="52"/>
      <c r="AE77" s="52"/>
      <c r="AF77">
        <v>4</v>
      </c>
    </row>
    <row r="78" spans="1:32" s="51" customFormat="1" x14ac:dyDescent="0.25">
      <c r="A78" s="17">
        <v>74</v>
      </c>
      <c r="B78" s="17" t="s">
        <v>58</v>
      </c>
      <c r="C78" s="17" t="s">
        <v>59</v>
      </c>
      <c r="D78" s="17" t="s">
        <v>60</v>
      </c>
      <c r="E78" s="17" t="s">
        <v>60</v>
      </c>
      <c r="F78" s="52"/>
      <c r="G78" s="58" t="s">
        <v>99</v>
      </c>
      <c r="H78">
        <v>41.398387</v>
      </c>
      <c r="I78">
        <v>2.1244429999999999</v>
      </c>
      <c r="J78">
        <v>106</v>
      </c>
      <c r="K78" s="17" t="s">
        <v>66</v>
      </c>
      <c r="L78" s="52"/>
      <c r="M78" s="52"/>
      <c r="N78" s="52"/>
      <c r="O78" s="19" t="str">
        <f t="shared" si="3"/>
        <v>A_SP_BCN_16_231026</v>
      </c>
      <c r="P78" s="53">
        <v>45225</v>
      </c>
      <c r="Q78" s="62">
        <v>0.41666666666666669</v>
      </c>
      <c r="R78" s="27"/>
      <c r="S78" s="53">
        <v>45226</v>
      </c>
      <c r="T78" s="62">
        <v>0.41666666666666669</v>
      </c>
      <c r="U78" s="27"/>
      <c r="V78" s="25" t="s">
        <v>35</v>
      </c>
      <c r="W78" s="54"/>
      <c r="X78" s="17">
        <f t="shared" si="2"/>
        <v>1</v>
      </c>
      <c r="Y78" s="27"/>
      <c r="Z78" s="52"/>
      <c r="AA78" s="52"/>
      <c r="AB78" s="52"/>
      <c r="AC78" s="52"/>
      <c r="AD78" s="52"/>
      <c r="AE78" s="52"/>
      <c r="AF78">
        <v>4</v>
      </c>
    </row>
    <row r="79" spans="1:32" s="51" customFormat="1" x14ac:dyDescent="0.25">
      <c r="A79" s="17">
        <v>75</v>
      </c>
      <c r="B79" s="17" t="s">
        <v>58</v>
      </c>
      <c r="C79" s="17" t="s">
        <v>59</v>
      </c>
      <c r="D79" s="17" t="s">
        <v>60</v>
      </c>
      <c r="E79" s="17" t="s">
        <v>60</v>
      </c>
      <c r="F79" s="52"/>
      <c r="G79" s="58" t="s">
        <v>99</v>
      </c>
      <c r="H79">
        <v>41.398387</v>
      </c>
      <c r="I79">
        <v>2.1244429999999999</v>
      </c>
      <c r="J79">
        <v>106</v>
      </c>
      <c r="K79" s="17" t="s">
        <v>66</v>
      </c>
      <c r="L79" s="52"/>
      <c r="M79" s="52"/>
      <c r="N79" s="52"/>
      <c r="O79" s="19" t="str">
        <f t="shared" si="3"/>
        <v>A_SP_BCN_16_231030</v>
      </c>
      <c r="P79" s="53">
        <v>45229</v>
      </c>
      <c r="Q79" s="55">
        <v>0.375</v>
      </c>
      <c r="R79" s="27"/>
      <c r="S79" s="53">
        <v>45230</v>
      </c>
      <c r="T79" s="55">
        <v>0.375</v>
      </c>
      <c r="U79" s="27"/>
      <c r="V79" s="25" t="s">
        <v>35</v>
      </c>
      <c r="W79" s="54"/>
      <c r="X79" s="17">
        <f t="shared" si="2"/>
        <v>1</v>
      </c>
      <c r="Y79" s="27"/>
      <c r="Z79" s="52"/>
      <c r="AA79" s="52"/>
      <c r="AB79" s="52"/>
      <c r="AC79" s="52"/>
      <c r="AD79" s="52"/>
      <c r="AE79" s="52"/>
      <c r="AF79">
        <v>4</v>
      </c>
    </row>
    <row r="80" spans="1:32" s="51" customFormat="1" x14ac:dyDescent="0.25">
      <c r="A80" s="17">
        <v>76</v>
      </c>
      <c r="B80" s="17" t="s">
        <v>58</v>
      </c>
      <c r="C80" s="17" t="s">
        <v>59</v>
      </c>
      <c r="D80" s="17" t="s">
        <v>60</v>
      </c>
      <c r="E80" s="17" t="s">
        <v>60</v>
      </c>
      <c r="F80" s="52"/>
      <c r="G80" s="58" t="s">
        <v>99</v>
      </c>
      <c r="H80">
        <v>41.398387</v>
      </c>
      <c r="I80">
        <v>2.1244429999999999</v>
      </c>
      <c r="J80">
        <v>106</v>
      </c>
      <c r="K80" s="17" t="s">
        <v>66</v>
      </c>
      <c r="L80" s="52"/>
      <c r="M80" s="52"/>
      <c r="N80" s="52"/>
      <c r="O80" s="19" t="str">
        <f t="shared" si="3"/>
        <v>A_SP_BCN_16_231031</v>
      </c>
      <c r="P80" s="53">
        <v>45230</v>
      </c>
      <c r="Q80" s="55">
        <v>0.78819444444444453</v>
      </c>
      <c r="R80" s="27"/>
      <c r="S80" s="53">
        <v>45244</v>
      </c>
      <c r="T80" s="55">
        <v>0.6875</v>
      </c>
      <c r="U80" s="27"/>
      <c r="V80" s="25" t="s">
        <v>35</v>
      </c>
      <c r="W80" s="54"/>
      <c r="X80" s="17">
        <f t="shared" si="2"/>
        <v>14</v>
      </c>
      <c r="Y80" s="27"/>
      <c r="Z80" s="52"/>
      <c r="AA80" s="52"/>
      <c r="AB80" s="52"/>
      <c r="AC80" s="52"/>
      <c r="AD80" s="52"/>
      <c r="AE80" s="52"/>
      <c r="AF80">
        <v>4</v>
      </c>
    </row>
    <row r="81" spans="1:32" s="51" customFormat="1" x14ac:dyDescent="0.25">
      <c r="A81" s="17">
        <v>77</v>
      </c>
      <c r="B81" s="17" t="s">
        <v>58</v>
      </c>
      <c r="C81" s="17" t="s">
        <v>59</v>
      </c>
      <c r="D81" s="17" t="s">
        <v>60</v>
      </c>
      <c r="E81" s="17" t="s">
        <v>60</v>
      </c>
      <c r="F81" s="52"/>
      <c r="G81" s="58" t="s">
        <v>99</v>
      </c>
      <c r="H81">
        <v>41.398387</v>
      </c>
      <c r="I81">
        <v>2.1244429999999999</v>
      </c>
      <c r="J81">
        <v>106</v>
      </c>
      <c r="K81" s="17" t="s">
        <v>66</v>
      </c>
      <c r="L81" s="52"/>
      <c r="M81" s="52"/>
      <c r="N81" s="52"/>
      <c r="O81" s="19" t="str">
        <f t="shared" si="3"/>
        <v>A_SP_BCN_16_231116</v>
      </c>
      <c r="P81" s="53">
        <v>45246</v>
      </c>
      <c r="Q81" s="55">
        <v>0.375</v>
      </c>
      <c r="R81" s="27"/>
      <c r="S81" s="53">
        <v>45247</v>
      </c>
      <c r="T81" s="55">
        <v>0.375</v>
      </c>
      <c r="U81" s="27"/>
      <c r="V81" s="25" t="s">
        <v>35</v>
      </c>
      <c r="W81" s="54"/>
      <c r="X81" s="17">
        <f t="shared" si="2"/>
        <v>1</v>
      </c>
      <c r="Y81" s="27"/>
      <c r="Z81" s="52"/>
      <c r="AA81" s="52"/>
      <c r="AB81" s="52"/>
      <c r="AC81" s="52"/>
      <c r="AD81" s="52"/>
      <c r="AE81" s="52"/>
      <c r="AF81">
        <v>4</v>
      </c>
    </row>
    <row r="82" spans="1:32" s="51" customFormat="1" x14ac:dyDescent="0.25">
      <c r="A82" s="17">
        <v>78</v>
      </c>
      <c r="B82" s="17" t="s">
        <v>58</v>
      </c>
      <c r="C82" s="17" t="s">
        <v>59</v>
      </c>
      <c r="D82" s="17" t="s">
        <v>60</v>
      </c>
      <c r="E82" s="17" t="s">
        <v>60</v>
      </c>
      <c r="F82" s="52"/>
      <c r="G82" s="58" t="s">
        <v>99</v>
      </c>
      <c r="H82">
        <v>41.398387</v>
      </c>
      <c r="I82">
        <v>2.1244429999999999</v>
      </c>
      <c r="J82">
        <v>106</v>
      </c>
      <c r="K82" s="17" t="s">
        <v>66</v>
      </c>
      <c r="L82" s="52"/>
      <c r="M82" s="52"/>
      <c r="N82" s="52"/>
      <c r="O82" s="19" t="str">
        <f t="shared" si="3"/>
        <v>A_SP_BCN_16_231119</v>
      </c>
      <c r="P82" s="53">
        <v>45249</v>
      </c>
      <c r="Q82" s="55">
        <v>0.375</v>
      </c>
      <c r="R82" s="27"/>
      <c r="S82" s="53">
        <v>45250</v>
      </c>
      <c r="T82" s="55">
        <v>0.375</v>
      </c>
      <c r="U82" s="27"/>
      <c r="V82" s="25" t="s">
        <v>35</v>
      </c>
      <c r="W82" s="54"/>
      <c r="X82" s="17">
        <f t="shared" si="2"/>
        <v>1</v>
      </c>
      <c r="Y82" s="27"/>
      <c r="Z82" s="52"/>
      <c r="AA82" s="52"/>
      <c r="AB82" s="52"/>
      <c r="AC82" s="52"/>
      <c r="AD82" s="52"/>
      <c r="AE82" s="52"/>
      <c r="AF82">
        <v>4</v>
      </c>
    </row>
    <row r="83" spans="1:32" s="51" customFormat="1" x14ac:dyDescent="0.25">
      <c r="A83" s="17">
        <v>79</v>
      </c>
      <c r="B83" s="17" t="s">
        <v>58</v>
      </c>
      <c r="C83" s="17" t="s">
        <v>59</v>
      </c>
      <c r="D83" s="17" t="s">
        <v>60</v>
      </c>
      <c r="E83" s="17" t="s">
        <v>60</v>
      </c>
      <c r="F83" s="52"/>
      <c r="G83" s="58" t="s">
        <v>99</v>
      </c>
      <c r="H83">
        <v>41.398387</v>
      </c>
      <c r="I83">
        <v>2.1244429999999999</v>
      </c>
      <c r="J83">
        <v>106</v>
      </c>
      <c r="K83" s="17" t="s">
        <v>66</v>
      </c>
      <c r="L83" s="52"/>
      <c r="M83" s="52"/>
      <c r="N83" s="52"/>
      <c r="O83" s="19" t="str">
        <f t="shared" si="3"/>
        <v>A_SP_BCN_16_231122</v>
      </c>
      <c r="P83" s="53">
        <v>45252</v>
      </c>
      <c r="Q83" s="55">
        <v>0.375</v>
      </c>
      <c r="R83" s="27"/>
      <c r="S83" s="53">
        <v>45253</v>
      </c>
      <c r="T83" s="55">
        <v>0.375</v>
      </c>
      <c r="U83" s="27"/>
      <c r="V83" s="25" t="s">
        <v>35</v>
      </c>
      <c r="W83" s="54"/>
      <c r="X83" s="17">
        <f t="shared" si="2"/>
        <v>1</v>
      </c>
      <c r="Y83" s="27"/>
      <c r="Z83" s="52"/>
      <c r="AA83" s="52"/>
      <c r="AB83" s="52"/>
      <c r="AC83" s="52"/>
      <c r="AD83" s="52"/>
      <c r="AE83" s="52"/>
      <c r="AF83">
        <v>4</v>
      </c>
    </row>
    <row r="84" spans="1:32" s="51" customFormat="1" x14ac:dyDescent="0.25">
      <c r="A84" s="17">
        <v>80</v>
      </c>
      <c r="B84" s="17" t="s">
        <v>58</v>
      </c>
      <c r="C84" s="17" t="s">
        <v>59</v>
      </c>
      <c r="D84" s="17" t="s">
        <v>60</v>
      </c>
      <c r="E84" s="17" t="s">
        <v>60</v>
      </c>
      <c r="F84" s="52"/>
      <c r="G84" s="58" t="s">
        <v>99</v>
      </c>
      <c r="H84">
        <v>41.398387</v>
      </c>
      <c r="I84">
        <v>2.1244429999999999</v>
      </c>
      <c r="J84">
        <v>106</v>
      </c>
      <c r="K84" s="17" t="s">
        <v>66</v>
      </c>
      <c r="L84" s="52"/>
      <c r="M84" s="52"/>
      <c r="N84" s="52"/>
      <c r="O84" s="19" t="str">
        <f t="shared" si="3"/>
        <v>A_SP_BCN_16_231126</v>
      </c>
      <c r="P84" s="53">
        <v>45256</v>
      </c>
      <c r="Q84" s="55">
        <v>0.375</v>
      </c>
      <c r="R84" s="27"/>
      <c r="S84" s="53">
        <v>45257</v>
      </c>
      <c r="T84" s="55">
        <v>0.375</v>
      </c>
      <c r="U84" s="27"/>
      <c r="V84" s="25" t="s">
        <v>35</v>
      </c>
      <c r="W84" s="54"/>
      <c r="X84" s="17">
        <f t="shared" si="2"/>
        <v>1</v>
      </c>
      <c r="Y84" s="27"/>
      <c r="Z84" s="52"/>
      <c r="AA84" s="52"/>
      <c r="AB84" s="52"/>
      <c r="AC84" s="52"/>
      <c r="AD84" s="52"/>
      <c r="AE84" s="52"/>
      <c r="AF84">
        <v>4</v>
      </c>
    </row>
    <row r="85" spans="1:32" s="51" customFormat="1" x14ac:dyDescent="0.25">
      <c r="A85" s="17">
        <v>81</v>
      </c>
      <c r="B85" s="17" t="s">
        <v>58</v>
      </c>
      <c r="C85" s="17" t="s">
        <v>59</v>
      </c>
      <c r="D85" s="17" t="s">
        <v>60</v>
      </c>
      <c r="E85" s="17" t="s">
        <v>60</v>
      </c>
      <c r="F85" s="52"/>
      <c r="G85" s="58" t="s">
        <v>99</v>
      </c>
      <c r="H85">
        <v>41.398387</v>
      </c>
      <c r="I85">
        <v>2.1244429999999999</v>
      </c>
      <c r="J85">
        <v>106</v>
      </c>
      <c r="K85" s="17" t="s">
        <v>66</v>
      </c>
      <c r="L85" s="52"/>
      <c r="M85" s="52"/>
      <c r="N85" s="52"/>
      <c r="O85" s="19" t="str">
        <f t="shared" si="3"/>
        <v>A_SP_BCN_16_231130</v>
      </c>
      <c r="P85" s="61">
        <v>45260</v>
      </c>
      <c r="Q85" s="55">
        <v>0.375</v>
      </c>
      <c r="R85" s="22"/>
      <c r="S85" s="53">
        <v>45261</v>
      </c>
      <c r="T85" s="55">
        <v>0.375</v>
      </c>
      <c r="U85" s="27"/>
      <c r="V85" s="25" t="s">
        <v>35</v>
      </c>
      <c r="W85" s="54"/>
      <c r="X85" s="17">
        <f t="shared" si="2"/>
        <v>1</v>
      </c>
      <c r="Y85" s="27"/>
      <c r="Z85" s="52"/>
      <c r="AA85" s="52"/>
      <c r="AB85" s="52"/>
      <c r="AC85" s="52"/>
      <c r="AD85" s="52"/>
      <c r="AE85" s="52"/>
      <c r="AF85">
        <v>4</v>
      </c>
    </row>
    <row r="86" spans="1:32" s="51" customFormat="1" x14ac:dyDescent="0.25">
      <c r="A86" s="17">
        <v>82</v>
      </c>
      <c r="B86" s="17" t="s">
        <v>58</v>
      </c>
      <c r="C86" s="17" t="s">
        <v>59</v>
      </c>
      <c r="D86" s="17" t="s">
        <v>60</v>
      </c>
      <c r="E86" s="17" t="s">
        <v>60</v>
      </c>
      <c r="F86" s="52"/>
      <c r="G86" s="58" t="s">
        <v>101</v>
      </c>
      <c r="H86">
        <v>41.417256000000002</v>
      </c>
      <c r="I86">
        <v>2.1455709999999999</v>
      </c>
      <c r="J86">
        <v>186</v>
      </c>
      <c r="K86" s="17" t="s">
        <v>66</v>
      </c>
      <c r="L86" s="52"/>
      <c r="M86" s="52"/>
      <c r="N86" s="52"/>
      <c r="O86" s="19" t="str">
        <f t="shared" si="3"/>
        <v>A_SP_BCN_17_231008</v>
      </c>
      <c r="P86" s="61">
        <v>45207</v>
      </c>
      <c r="Q86" s="62">
        <v>0.41666666666666669</v>
      </c>
      <c r="R86" s="22"/>
      <c r="S86" s="53">
        <v>45208</v>
      </c>
      <c r="T86" s="62">
        <v>0.41666666666666669</v>
      </c>
      <c r="U86" s="27"/>
      <c r="V86" s="25" t="s">
        <v>35</v>
      </c>
      <c r="W86" s="54"/>
      <c r="X86" s="17">
        <f t="shared" si="2"/>
        <v>1</v>
      </c>
      <c r="Y86" s="27"/>
      <c r="Z86" s="52"/>
      <c r="AA86" s="52"/>
      <c r="AB86" s="52"/>
      <c r="AC86" s="52"/>
      <c r="AD86" s="52"/>
      <c r="AE86" s="52"/>
      <c r="AF86">
        <v>4</v>
      </c>
    </row>
    <row r="87" spans="1:32" s="51" customFormat="1" x14ac:dyDescent="0.25">
      <c r="A87" s="17">
        <v>83</v>
      </c>
      <c r="B87" s="17" t="s">
        <v>58</v>
      </c>
      <c r="C87" s="17" t="s">
        <v>59</v>
      </c>
      <c r="D87" s="17" t="s">
        <v>60</v>
      </c>
      <c r="E87" s="17" t="s">
        <v>60</v>
      </c>
      <c r="F87" s="52"/>
      <c r="G87" s="58" t="s">
        <v>101</v>
      </c>
      <c r="H87">
        <v>41.417256000000002</v>
      </c>
      <c r="I87">
        <v>2.1455709999999999</v>
      </c>
      <c r="J87">
        <v>186</v>
      </c>
      <c r="K87" s="17" t="s">
        <v>66</v>
      </c>
      <c r="L87" s="52"/>
      <c r="M87" s="52"/>
      <c r="N87" s="52"/>
      <c r="O87" s="19" t="str">
        <f t="shared" si="3"/>
        <v>A_SP_BCN_17_231010</v>
      </c>
      <c r="P87" s="61">
        <v>45209</v>
      </c>
      <c r="Q87" s="62">
        <v>0.41666666666666669</v>
      </c>
      <c r="R87" s="22"/>
      <c r="S87" s="53">
        <v>45210</v>
      </c>
      <c r="T87" s="62">
        <v>0.41666666666666669</v>
      </c>
      <c r="U87" s="27"/>
      <c r="V87" s="52" t="s">
        <v>98</v>
      </c>
      <c r="W87" s="54"/>
      <c r="X87" s="17">
        <f t="shared" si="2"/>
        <v>1</v>
      </c>
      <c r="Y87" s="27"/>
      <c r="Z87" s="52"/>
      <c r="AA87" s="52"/>
      <c r="AB87" s="52"/>
      <c r="AC87" s="52"/>
      <c r="AD87" s="52"/>
      <c r="AE87" s="52"/>
      <c r="AF87" s="51">
        <v>1</v>
      </c>
    </row>
    <row r="88" spans="1:32" s="51" customFormat="1" x14ac:dyDescent="0.25">
      <c r="A88" s="17">
        <v>84</v>
      </c>
      <c r="B88" s="17" t="s">
        <v>58</v>
      </c>
      <c r="C88" s="17" t="s">
        <v>59</v>
      </c>
      <c r="D88" s="17" t="s">
        <v>60</v>
      </c>
      <c r="E88" s="17" t="s">
        <v>60</v>
      </c>
      <c r="F88" s="52"/>
      <c r="G88" s="58" t="s">
        <v>101</v>
      </c>
      <c r="H88">
        <v>41.417256000000002</v>
      </c>
      <c r="I88">
        <v>2.1455709999999999</v>
      </c>
      <c r="J88">
        <v>186</v>
      </c>
      <c r="K88" s="17" t="s">
        <v>66</v>
      </c>
      <c r="L88" s="52"/>
      <c r="M88" s="52"/>
      <c r="N88" s="52"/>
      <c r="O88" s="19" t="str">
        <f t="shared" si="3"/>
        <v>A_SP_BCN_17_231015</v>
      </c>
      <c r="P88" s="61">
        <v>45214</v>
      </c>
      <c r="Q88" s="62">
        <v>0.41666666666666669</v>
      </c>
      <c r="R88" s="22"/>
      <c r="S88" s="53">
        <v>45215</v>
      </c>
      <c r="T88" s="62">
        <v>0.41666666666666669</v>
      </c>
      <c r="U88" s="27"/>
      <c r="V88" s="25" t="s">
        <v>35</v>
      </c>
      <c r="W88" s="54"/>
      <c r="X88" s="17">
        <f t="shared" si="2"/>
        <v>1</v>
      </c>
      <c r="Y88" s="27"/>
      <c r="Z88" s="52"/>
      <c r="AA88" s="52"/>
      <c r="AB88" s="52"/>
      <c r="AC88" s="52"/>
      <c r="AD88" s="52"/>
      <c r="AE88" s="52"/>
      <c r="AF88">
        <v>4</v>
      </c>
    </row>
    <row r="89" spans="1:32" s="51" customFormat="1" x14ac:dyDescent="0.25">
      <c r="A89" s="17">
        <v>85</v>
      </c>
      <c r="B89" s="17" t="s">
        <v>58</v>
      </c>
      <c r="C89" s="17" t="s">
        <v>59</v>
      </c>
      <c r="D89" s="17" t="s">
        <v>60</v>
      </c>
      <c r="E89" s="17" t="s">
        <v>60</v>
      </c>
      <c r="F89" s="52"/>
      <c r="G89" s="58" t="s">
        <v>101</v>
      </c>
      <c r="H89">
        <v>41.417256000000002</v>
      </c>
      <c r="I89">
        <v>2.1455709999999999</v>
      </c>
      <c r="J89">
        <v>186</v>
      </c>
      <c r="K89" s="17" t="s">
        <v>66</v>
      </c>
      <c r="L89" s="52"/>
      <c r="M89" s="52"/>
      <c r="N89" s="52"/>
      <c r="O89" s="19" t="str">
        <f t="shared" si="3"/>
        <v>A_SP_BCN_17_231018</v>
      </c>
      <c r="P89" s="61">
        <v>45217</v>
      </c>
      <c r="Q89" s="62">
        <v>0.41666666666666669</v>
      </c>
      <c r="R89" s="22"/>
      <c r="S89" s="53">
        <v>45218</v>
      </c>
      <c r="T89" s="62">
        <v>0.41666666666666669</v>
      </c>
      <c r="U89" s="27"/>
      <c r="V89" s="25" t="s">
        <v>35</v>
      </c>
      <c r="W89" s="54"/>
      <c r="X89" s="17">
        <f t="shared" si="2"/>
        <v>1</v>
      </c>
      <c r="Y89" s="27"/>
      <c r="Z89" s="52"/>
      <c r="AA89" s="52"/>
      <c r="AB89" s="52"/>
      <c r="AC89" s="52"/>
      <c r="AD89" s="52"/>
      <c r="AE89" s="52"/>
      <c r="AF89">
        <v>4</v>
      </c>
    </row>
    <row r="90" spans="1:32" s="51" customFormat="1" x14ac:dyDescent="0.25">
      <c r="A90" s="17">
        <v>86</v>
      </c>
      <c r="B90" s="17" t="s">
        <v>58</v>
      </c>
      <c r="C90" s="17" t="s">
        <v>59</v>
      </c>
      <c r="D90" s="17" t="s">
        <v>60</v>
      </c>
      <c r="E90" s="17" t="s">
        <v>60</v>
      </c>
      <c r="F90" s="52"/>
      <c r="G90" s="58" t="s">
        <v>101</v>
      </c>
      <c r="H90">
        <v>41.417256000000002</v>
      </c>
      <c r="I90">
        <v>2.1455709999999999</v>
      </c>
      <c r="J90">
        <v>186</v>
      </c>
      <c r="K90" s="17" t="s">
        <v>66</v>
      </c>
      <c r="L90" s="52"/>
      <c r="M90" s="52"/>
      <c r="N90" s="52"/>
      <c r="O90" s="19" t="str">
        <f t="shared" si="3"/>
        <v>A_SP_BCN_17_231022</v>
      </c>
      <c r="P90" s="61">
        <v>45221</v>
      </c>
      <c r="Q90" s="62">
        <v>0.41666666666666669</v>
      </c>
      <c r="R90" s="22"/>
      <c r="S90" s="53">
        <v>45222</v>
      </c>
      <c r="T90" s="62">
        <v>0.41666666666666669</v>
      </c>
      <c r="U90" s="27"/>
      <c r="V90" s="25" t="s">
        <v>35</v>
      </c>
      <c r="W90" s="54"/>
      <c r="X90" s="17">
        <f t="shared" si="2"/>
        <v>1</v>
      </c>
      <c r="Y90" s="27"/>
      <c r="Z90" s="52"/>
      <c r="AA90" s="52"/>
      <c r="AB90" s="52"/>
      <c r="AC90" s="52"/>
      <c r="AD90" s="52"/>
      <c r="AE90" s="52"/>
      <c r="AF90">
        <v>4</v>
      </c>
    </row>
    <row r="91" spans="1:32" s="51" customFormat="1" x14ac:dyDescent="0.25">
      <c r="A91" s="17">
        <v>87</v>
      </c>
      <c r="B91" s="17" t="s">
        <v>58</v>
      </c>
      <c r="C91" s="17" t="s">
        <v>59</v>
      </c>
      <c r="D91" s="17" t="s">
        <v>60</v>
      </c>
      <c r="E91" s="17" t="s">
        <v>60</v>
      </c>
      <c r="F91" s="52"/>
      <c r="G91" s="58" t="s">
        <v>101</v>
      </c>
      <c r="H91">
        <v>41.417256000000002</v>
      </c>
      <c r="I91">
        <v>2.1455709999999999</v>
      </c>
      <c r="J91">
        <v>186</v>
      </c>
      <c r="K91" s="17" t="s">
        <v>66</v>
      </c>
      <c r="L91" s="52"/>
      <c r="M91" s="52"/>
      <c r="N91" s="52"/>
      <c r="O91" s="19" t="str">
        <f t="shared" si="3"/>
        <v>A_SP_BCN_17_231025</v>
      </c>
      <c r="P91" s="61">
        <v>45224</v>
      </c>
      <c r="Q91" s="62">
        <v>0.41666666666666669</v>
      </c>
      <c r="R91" s="22"/>
      <c r="S91" s="53">
        <v>45225</v>
      </c>
      <c r="T91" s="62">
        <v>0.41666666666666669</v>
      </c>
      <c r="U91" s="27"/>
      <c r="V91" s="25" t="s">
        <v>35</v>
      </c>
      <c r="W91" s="54"/>
      <c r="X91" s="17">
        <f t="shared" si="2"/>
        <v>1</v>
      </c>
      <c r="Y91" s="27"/>
      <c r="Z91" s="52"/>
      <c r="AA91" s="52"/>
      <c r="AB91" s="52"/>
      <c r="AC91" s="52"/>
      <c r="AD91" s="52"/>
      <c r="AE91" s="52"/>
      <c r="AF91">
        <v>4</v>
      </c>
    </row>
    <row r="92" spans="1:32" s="51" customFormat="1" x14ac:dyDescent="0.25">
      <c r="A92" s="17">
        <v>88</v>
      </c>
      <c r="B92" s="17" t="s">
        <v>58</v>
      </c>
      <c r="C92" s="17" t="s">
        <v>59</v>
      </c>
      <c r="D92" s="17" t="s">
        <v>60</v>
      </c>
      <c r="E92" s="17" t="s">
        <v>60</v>
      </c>
      <c r="F92" s="52"/>
      <c r="G92" s="58" t="s">
        <v>101</v>
      </c>
      <c r="H92">
        <v>41.417256000000002</v>
      </c>
      <c r="I92">
        <v>2.1455709999999999</v>
      </c>
      <c r="J92">
        <v>186</v>
      </c>
      <c r="K92" s="17" t="s">
        <v>66</v>
      </c>
      <c r="L92" s="52"/>
      <c r="M92" s="52"/>
      <c r="N92" s="52"/>
      <c r="O92" s="19" t="str">
        <f t="shared" si="3"/>
        <v>A_SP_BCN_17_231029</v>
      </c>
      <c r="P92" s="61">
        <v>45228</v>
      </c>
      <c r="Q92" s="62">
        <v>0.375</v>
      </c>
      <c r="R92" s="22"/>
      <c r="S92" s="53">
        <v>45229</v>
      </c>
      <c r="T92" s="55">
        <v>0.375</v>
      </c>
      <c r="U92" s="27"/>
      <c r="V92" s="25" t="s">
        <v>35</v>
      </c>
      <c r="W92" s="54"/>
      <c r="X92" s="17">
        <f t="shared" si="2"/>
        <v>1</v>
      </c>
      <c r="Y92" s="27"/>
      <c r="Z92" s="52"/>
      <c r="AA92" s="52"/>
      <c r="AB92" s="52"/>
      <c r="AC92" s="52"/>
      <c r="AD92" s="52"/>
      <c r="AE92" s="52"/>
      <c r="AF92">
        <v>4</v>
      </c>
    </row>
    <row r="93" spans="1:32" s="51" customFormat="1" x14ac:dyDescent="0.25">
      <c r="A93" s="17">
        <v>89</v>
      </c>
      <c r="B93" s="17" t="s">
        <v>58</v>
      </c>
      <c r="C93" s="17" t="s">
        <v>59</v>
      </c>
      <c r="D93" s="17" t="s">
        <v>60</v>
      </c>
      <c r="E93" s="17" t="s">
        <v>60</v>
      </c>
      <c r="F93" s="52"/>
      <c r="G93" s="58" t="s">
        <v>101</v>
      </c>
      <c r="H93">
        <v>41.417256000000002</v>
      </c>
      <c r="I93">
        <v>2.1455709999999999</v>
      </c>
      <c r="J93">
        <v>186</v>
      </c>
      <c r="K93" s="17" t="s">
        <v>66</v>
      </c>
      <c r="L93" s="52"/>
      <c r="M93" s="52"/>
      <c r="N93" s="52"/>
      <c r="O93" s="19" t="str">
        <f t="shared" si="3"/>
        <v>A_SP_BCN_17_231030</v>
      </c>
      <c r="P93" s="53">
        <v>45229</v>
      </c>
      <c r="Q93" s="62">
        <v>0.72916666666666663</v>
      </c>
      <c r="R93" s="22"/>
      <c r="S93" s="53">
        <v>45245</v>
      </c>
      <c r="T93" s="55">
        <v>0.52083333333333337</v>
      </c>
      <c r="U93" s="27"/>
      <c r="V93" s="25" t="s">
        <v>35</v>
      </c>
      <c r="W93" s="54"/>
      <c r="X93" s="17">
        <f t="shared" si="2"/>
        <v>16</v>
      </c>
      <c r="Y93" s="27"/>
      <c r="Z93" s="52"/>
      <c r="AA93" s="52"/>
      <c r="AB93" s="52"/>
      <c r="AC93" s="52"/>
      <c r="AD93" s="52"/>
      <c r="AE93" s="52"/>
      <c r="AF93">
        <v>4</v>
      </c>
    </row>
    <row r="94" spans="1:32" s="51" customFormat="1" x14ac:dyDescent="0.25">
      <c r="A94" s="17">
        <v>90</v>
      </c>
      <c r="B94" s="17" t="s">
        <v>58</v>
      </c>
      <c r="C94" s="17" t="s">
        <v>59</v>
      </c>
      <c r="D94" s="17" t="s">
        <v>60</v>
      </c>
      <c r="E94" s="17" t="s">
        <v>60</v>
      </c>
      <c r="F94" s="52"/>
      <c r="G94" s="58" t="s">
        <v>101</v>
      </c>
      <c r="H94">
        <v>41.417256000000002</v>
      </c>
      <c r="I94">
        <v>2.1455709999999999</v>
      </c>
      <c r="J94">
        <v>186</v>
      </c>
      <c r="K94" s="17" t="s">
        <v>66</v>
      </c>
      <c r="L94" s="52"/>
      <c r="M94" s="52"/>
      <c r="N94" s="52"/>
      <c r="O94" s="19" t="str">
        <f t="shared" si="3"/>
        <v>A_SP_BCN_17_231116</v>
      </c>
      <c r="P94" s="61">
        <v>45246</v>
      </c>
      <c r="Q94" s="55">
        <v>0.375</v>
      </c>
      <c r="R94" s="22"/>
      <c r="S94" s="53">
        <v>45247</v>
      </c>
      <c r="T94" s="55">
        <v>0.375</v>
      </c>
      <c r="U94" s="27"/>
      <c r="V94" s="25" t="s">
        <v>35</v>
      </c>
      <c r="W94" s="54"/>
      <c r="X94" s="17">
        <f t="shared" si="2"/>
        <v>1</v>
      </c>
      <c r="Y94" s="27"/>
      <c r="Z94" s="52"/>
      <c r="AA94" s="52"/>
      <c r="AB94" s="52"/>
      <c r="AC94" s="52"/>
      <c r="AD94" s="52"/>
      <c r="AE94" s="52"/>
      <c r="AF94">
        <v>4</v>
      </c>
    </row>
    <row r="95" spans="1:32" s="51" customFormat="1" x14ac:dyDescent="0.25">
      <c r="A95" s="17">
        <v>91</v>
      </c>
      <c r="B95" s="17" t="s">
        <v>58</v>
      </c>
      <c r="C95" s="17" t="s">
        <v>59</v>
      </c>
      <c r="D95" s="17" t="s">
        <v>60</v>
      </c>
      <c r="E95" s="17" t="s">
        <v>60</v>
      </c>
      <c r="F95" s="52"/>
      <c r="G95" s="58" t="s">
        <v>101</v>
      </c>
      <c r="H95">
        <v>41.417256000000002</v>
      </c>
      <c r="I95">
        <v>2.1455709999999999</v>
      </c>
      <c r="J95">
        <v>186</v>
      </c>
      <c r="K95" s="17" t="s">
        <v>66</v>
      </c>
      <c r="L95" s="52"/>
      <c r="M95" s="52"/>
      <c r="N95" s="52"/>
      <c r="O95" s="19" t="str">
        <f t="shared" si="3"/>
        <v>A_SP_BCN_17_231120</v>
      </c>
      <c r="P95" s="61">
        <v>45250</v>
      </c>
      <c r="Q95" s="55">
        <v>0.375</v>
      </c>
      <c r="R95" s="22"/>
      <c r="S95" s="53">
        <v>45251</v>
      </c>
      <c r="T95" s="55">
        <v>0.53125</v>
      </c>
      <c r="U95" s="27"/>
      <c r="V95" s="25" t="s">
        <v>35</v>
      </c>
      <c r="W95" s="54"/>
      <c r="X95" s="17">
        <f t="shared" si="2"/>
        <v>1</v>
      </c>
      <c r="Y95" s="27"/>
      <c r="Z95" s="52"/>
      <c r="AA95" s="52"/>
      <c r="AB95" s="52"/>
      <c r="AC95" s="52"/>
      <c r="AD95" s="52"/>
      <c r="AE95" s="52"/>
      <c r="AF95">
        <v>4</v>
      </c>
    </row>
    <row r="96" spans="1:32" s="51" customFormat="1" x14ac:dyDescent="0.25">
      <c r="A96" s="17">
        <v>92</v>
      </c>
      <c r="B96" s="17" t="s">
        <v>58</v>
      </c>
      <c r="C96" s="17" t="s">
        <v>59</v>
      </c>
      <c r="D96" s="17" t="s">
        <v>60</v>
      </c>
      <c r="E96" s="17" t="s">
        <v>60</v>
      </c>
      <c r="F96" s="52"/>
      <c r="G96" s="58" t="s">
        <v>101</v>
      </c>
      <c r="H96">
        <v>41.417256000000002</v>
      </c>
      <c r="I96">
        <v>2.1455709999999999</v>
      </c>
      <c r="J96">
        <v>186</v>
      </c>
      <c r="K96" s="17" t="s">
        <v>66</v>
      </c>
      <c r="L96" s="52"/>
      <c r="M96" s="52"/>
      <c r="N96" s="52"/>
      <c r="O96" s="19" t="str">
        <f t="shared" si="3"/>
        <v>A_SP_BCN_17_231123</v>
      </c>
      <c r="P96" s="61">
        <v>45253</v>
      </c>
      <c r="Q96" s="55">
        <v>0.375</v>
      </c>
      <c r="R96" s="22"/>
      <c r="S96" s="53">
        <v>45254</v>
      </c>
      <c r="T96" s="55">
        <v>0.375</v>
      </c>
      <c r="U96" s="27"/>
      <c r="V96" s="25" t="s">
        <v>35</v>
      </c>
      <c r="W96" s="54"/>
      <c r="X96" s="17">
        <f t="shared" si="2"/>
        <v>1</v>
      </c>
      <c r="Y96" s="27"/>
      <c r="Z96" s="52"/>
      <c r="AA96" s="52"/>
      <c r="AB96" s="52"/>
      <c r="AC96" s="52"/>
      <c r="AD96" s="52"/>
      <c r="AE96" s="52"/>
      <c r="AF96">
        <v>4</v>
      </c>
    </row>
    <row r="97" spans="1:32" s="51" customFormat="1" x14ac:dyDescent="0.25">
      <c r="A97" s="17">
        <v>93</v>
      </c>
      <c r="B97" s="17" t="s">
        <v>58</v>
      </c>
      <c r="C97" s="17" t="s">
        <v>59</v>
      </c>
      <c r="D97" s="17" t="s">
        <v>60</v>
      </c>
      <c r="E97" s="17" t="s">
        <v>60</v>
      </c>
      <c r="F97" s="52"/>
      <c r="G97" s="58" t="s">
        <v>101</v>
      </c>
      <c r="H97">
        <v>41.417256000000002</v>
      </c>
      <c r="I97">
        <v>2.1455709999999999</v>
      </c>
      <c r="J97">
        <v>186</v>
      </c>
      <c r="K97" s="17" t="s">
        <v>66</v>
      </c>
      <c r="L97" s="52"/>
      <c r="M97" s="52"/>
      <c r="N97" s="52"/>
      <c r="O97" s="19" t="str">
        <f t="shared" si="3"/>
        <v>A_SP_BCN_17_231127</v>
      </c>
      <c r="P97" s="61">
        <v>45257</v>
      </c>
      <c r="Q97" s="55">
        <v>0.375</v>
      </c>
      <c r="R97" s="22"/>
      <c r="S97" s="53">
        <v>45258</v>
      </c>
      <c r="T97" s="55">
        <v>0.375</v>
      </c>
      <c r="U97" s="27"/>
      <c r="V97" s="25" t="s">
        <v>35</v>
      </c>
      <c r="W97" s="54"/>
      <c r="X97" s="17">
        <f t="shared" si="2"/>
        <v>1</v>
      </c>
      <c r="Y97" s="27"/>
      <c r="Z97" s="52"/>
      <c r="AA97" s="52"/>
      <c r="AB97" s="52"/>
      <c r="AC97" s="52"/>
      <c r="AD97" s="52"/>
      <c r="AE97" s="52"/>
      <c r="AF97">
        <v>4</v>
      </c>
    </row>
    <row r="98" spans="1:32" s="51" customFormat="1" x14ac:dyDescent="0.25">
      <c r="A98" s="17">
        <v>94</v>
      </c>
      <c r="B98" s="17" t="s">
        <v>58</v>
      </c>
      <c r="C98" s="17" t="s">
        <v>59</v>
      </c>
      <c r="D98" s="17" t="s">
        <v>60</v>
      </c>
      <c r="E98" s="17" t="s">
        <v>60</v>
      </c>
      <c r="F98" s="52"/>
      <c r="G98" s="58" t="s">
        <v>101</v>
      </c>
      <c r="H98">
        <v>41.417256000000002</v>
      </c>
      <c r="I98">
        <v>2.1455709999999999</v>
      </c>
      <c r="J98">
        <v>186</v>
      </c>
      <c r="K98" s="17" t="s">
        <v>66</v>
      </c>
      <c r="L98" s="52"/>
      <c r="M98" s="52"/>
      <c r="N98" s="52"/>
      <c r="O98" s="19" t="str">
        <f t="shared" si="3"/>
        <v>A_SP_BCN_17_231130</v>
      </c>
      <c r="P98" s="61">
        <v>45260</v>
      </c>
      <c r="Q98" s="55">
        <v>0.375</v>
      </c>
      <c r="R98" s="22"/>
      <c r="S98" s="53">
        <v>45261</v>
      </c>
      <c r="T98" s="55">
        <v>0.375</v>
      </c>
      <c r="U98" s="27"/>
      <c r="V98" s="25" t="s">
        <v>35</v>
      </c>
      <c r="W98" s="54"/>
      <c r="X98" s="17">
        <f t="shared" si="2"/>
        <v>1</v>
      </c>
      <c r="Y98" s="27"/>
      <c r="Z98" s="52"/>
      <c r="AA98" s="52"/>
      <c r="AB98" s="52"/>
      <c r="AC98" s="52"/>
      <c r="AD98" s="52"/>
      <c r="AE98" s="52"/>
      <c r="AF98">
        <v>4</v>
      </c>
    </row>
    <row r="99" spans="1:32" s="51" customFormat="1" x14ac:dyDescent="0.25">
      <c r="A99" s="17">
        <v>95</v>
      </c>
      <c r="B99" s="17" t="s">
        <v>58</v>
      </c>
      <c r="C99" s="17" t="s">
        <v>59</v>
      </c>
      <c r="D99" s="17" t="s">
        <v>60</v>
      </c>
      <c r="E99" s="17" t="s">
        <v>60</v>
      </c>
      <c r="F99" s="52"/>
      <c r="G99" s="58" t="s">
        <v>102</v>
      </c>
      <c r="H99">
        <v>41.433618000000003</v>
      </c>
      <c r="I99">
        <v>2.1677469999999999</v>
      </c>
      <c r="J99">
        <v>96.85</v>
      </c>
      <c r="K99" s="17" t="s">
        <v>66</v>
      </c>
      <c r="L99" s="52"/>
      <c r="M99" s="52"/>
      <c r="N99" s="52"/>
      <c r="O99" s="19" t="str">
        <f t="shared" si="3"/>
        <v>A_SP_BCN_18_231008</v>
      </c>
      <c r="P99" s="61">
        <v>45207</v>
      </c>
      <c r="Q99" s="62">
        <v>0.41666666666666669</v>
      </c>
      <c r="R99" s="22"/>
      <c r="S99" s="53">
        <v>45208</v>
      </c>
      <c r="T99" s="62">
        <v>0.41666666666666669</v>
      </c>
      <c r="U99" s="27"/>
      <c r="V99" s="25" t="s">
        <v>35</v>
      </c>
      <c r="W99" s="54"/>
      <c r="X99" s="17">
        <f t="shared" si="2"/>
        <v>1</v>
      </c>
      <c r="Y99" s="27"/>
      <c r="Z99" s="52"/>
      <c r="AA99" s="52"/>
      <c r="AB99" s="52"/>
      <c r="AC99" s="52"/>
      <c r="AD99" s="52"/>
      <c r="AE99" s="52"/>
      <c r="AF99">
        <v>4</v>
      </c>
    </row>
    <row r="100" spans="1:32" s="51" customFormat="1" x14ac:dyDescent="0.25">
      <c r="A100" s="17">
        <v>96</v>
      </c>
      <c r="B100" s="17" t="s">
        <v>58</v>
      </c>
      <c r="C100" s="17" t="s">
        <v>59</v>
      </c>
      <c r="D100" s="17" t="s">
        <v>60</v>
      </c>
      <c r="E100" s="17" t="s">
        <v>60</v>
      </c>
      <c r="F100" s="52"/>
      <c r="G100" s="58" t="s">
        <v>102</v>
      </c>
      <c r="H100">
        <v>41.433618000000003</v>
      </c>
      <c r="I100">
        <v>2.1677469999999999</v>
      </c>
      <c r="J100">
        <v>96.85</v>
      </c>
      <c r="K100" s="17" t="s">
        <v>66</v>
      </c>
      <c r="L100" s="52"/>
      <c r="M100" s="52"/>
      <c r="N100" s="52"/>
      <c r="O100" s="19" t="str">
        <f t="shared" si="3"/>
        <v>A_SP_BCN_18_231010</v>
      </c>
      <c r="P100" s="61">
        <v>45209</v>
      </c>
      <c r="Q100" s="62">
        <v>0.41666666666666669</v>
      </c>
      <c r="R100" s="22"/>
      <c r="S100" s="53">
        <v>45210</v>
      </c>
      <c r="T100" s="62">
        <v>0.41666666666666669</v>
      </c>
      <c r="U100" s="27"/>
      <c r="V100" s="25" t="s">
        <v>35</v>
      </c>
      <c r="W100" s="54"/>
      <c r="X100" s="17">
        <f t="shared" si="2"/>
        <v>1</v>
      </c>
      <c r="Y100" s="27"/>
      <c r="Z100" s="52"/>
      <c r="AA100" s="52"/>
      <c r="AB100" s="52"/>
      <c r="AC100" s="52"/>
      <c r="AD100" s="52"/>
      <c r="AE100" s="52"/>
      <c r="AF100">
        <v>4</v>
      </c>
    </row>
    <row r="101" spans="1:32" s="51" customFormat="1" x14ac:dyDescent="0.25">
      <c r="A101" s="17">
        <v>97</v>
      </c>
      <c r="B101" s="17" t="s">
        <v>58</v>
      </c>
      <c r="C101" s="17" t="s">
        <v>59</v>
      </c>
      <c r="D101" s="17" t="s">
        <v>60</v>
      </c>
      <c r="E101" s="17" t="s">
        <v>60</v>
      </c>
      <c r="F101" s="52"/>
      <c r="G101" s="58" t="s">
        <v>102</v>
      </c>
      <c r="H101">
        <v>41.433618000000003</v>
      </c>
      <c r="I101">
        <v>2.1677469999999999</v>
      </c>
      <c r="J101">
        <v>96.85</v>
      </c>
      <c r="K101" s="17" t="s">
        <v>66</v>
      </c>
      <c r="L101" s="52"/>
      <c r="M101" s="52"/>
      <c r="N101" s="52"/>
      <c r="O101" s="19" t="str">
        <f t="shared" si="3"/>
        <v>A_SP_BCN_18_231015</v>
      </c>
      <c r="P101" s="61">
        <v>45214</v>
      </c>
      <c r="Q101" s="62">
        <v>0.41666666666666669</v>
      </c>
      <c r="R101" s="22"/>
      <c r="S101" s="53">
        <v>45215</v>
      </c>
      <c r="T101" s="62">
        <v>0.41666666666666669</v>
      </c>
      <c r="U101" s="27"/>
      <c r="V101" s="25" t="s">
        <v>35</v>
      </c>
      <c r="W101" s="54"/>
      <c r="X101" s="17">
        <f t="shared" si="2"/>
        <v>1</v>
      </c>
      <c r="Y101" s="27"/>
      <c r="Z101" s="52"/>
      <c r="AA101" s="52"/>
      <c r="AB101" s="52"/>
      <c r="AC101" s="52"/>
      <c r="AD101" s="52"/>
      <c r="AE101" s="52"/>
      <c r="AF101">
        <v>4</v>
      </c>
    </row>
    <row r="102" spans="1:32" s="51" customFormat="1" x14ac:dyDescent="0.25">
      <c r="A102" s="17">
        <v>98</v>
      </c>
      <c r="B102" s="17" t="s">
        <v>58</v>
      </c>
      <c r="C102" s="17" t="s">
        <v>59</v>
      </c>
      <c r="D102" s="17" t="s">
        <v>60</v>
      </c>
      <c r="E102" s="17" t="s">
        <v>60</v>
      </c>
      <c r="F102" s="52"/>
      <c r="G102" s="58" t="s">
        <v>102</v>
      </c>
      <c r="H102">
        <v>41.433618000000003</v>
      </c>
      <c r="I102">
        <v>2.1677469999999999</v>
      </c>
      <c r="J102">
        <v>96.85</v>
      </c>
      <c r="K102" s="17" t="s">
        <v>66</v>
      </c>
      <c r="L102" s="52"/>
      <c r="M102" s="52"/>
      <c r="N102" s="52"/>
      <c r="O102" s="19" t="str">
        <f t="shared" si="3"/>
        <v>A_SP_BCN_18_231018</v>
      </c>
      <c r="P102" s="61">
        <v>45217</v>
      </c>
      <c r="Q102" s="62">
        <v>0.41666666666666669</v>
      </c>
      <c r="R102" s="22"/>
      <c r="S102" s="53">
        <v>45218</v>
      </c>
      <c r="T102" s="62">
        <v>0.41666666666666669</v>
      </c>
      <c r="U102" s="27"/>
      <c r="V102" s="25" t="s">
        <v>35</v>
      </c>
      <c r="W102" s="54"/>
      <c r="X102" s="17">
        <f t="shared" si="2"/>
        <v>1</v>
      </c>
      <c r="Y102" s="27"/>
      <c r="Z102" s="52"/>
      <c r="AA102" s="52"/>
      <c r="AB102" s="52"/>
      <c r="AC102" s="52"/>
      <c r="AD102" s="52"/>
      <c r="AE102" s="52"/>
      <c r="AF102">
        <v>4</v>
      </c>
    </row>
    <row r="103" spans="1:32" s="51" customFormat="1" x14ac:dyDescent="0.25">
      <c r="A103" s="17">
        <v>99</v>
      </c>
      <c r="B103" s="17" t="s">
        <v>58</v>
      </c>
      <c r="C103" s="17" t="s">
        <v>59</v>
      </c>
      <c r="D103" s="17" t="s">
        <v>60</v>
      </c>
      <c r="E103" s="17" t="s">
        <v>60</v>
      </c>
      <c r="F103" s="52"/>
      <c r="G103" s="58" t="s">
        <v>102</v>
      </c>
      <c r="H103">
        <v>41.433618000000003</v>
      </c>
      <c r="I103">
        <v>2.1677469999999999</v>
      </c>
      <c r="J103">
        <v>96.85</v>
      </c>
      <c r="K103" s="17" t="s">
        <v>66</v>
      </c>
      <c r="L103" s="52"/>
      <c r="M103" s="52"/>
      <c r="N103" s="52"/>
      <c r="O103" s="19" t="str">
        <f t="shared" si="3"/>
        <v>A_SP_BCN_18_231022</v>
      </c>
      <c r="P103" s="61">
        <v>45221</v>
      </c>
      <c r="Q103" s="62">
        <v>0.41666666666666669</v>
      </c>
      <c r="R103" s="22"/>
      <c r="S103" s="53">
        <v>45222</v>
      </c>
      <c r="T103" s="62">
        <v>0.41666666666666669</v>
      </c>
      <c r="U103" s="27"/>
      <c r="V103" s="25" t="s">
        <v>35</v>
      </c>
      <c r="W103" s="54"/>
      <c r="X103" s="17">
        <f t="shared" si="2"/>
        <v>1</v>
      </c>
      <c r="Y103" s="27"/>
      <c r="Z103" s="52"/>
      <c r="AA103" s="52"/>
      <c r="AB103" s="52"/>
      <c r="AC103" s="52"/>
      <c r="AD103" s="52"/>
      <c r="AE103" s="52"/>
      <c r="AF103">
        <v>4</v>
      </c>
    </row>
    <row r="104" spans="1:32" s="51" customFormat="1" x14ac:dyDescent="0.25">
      <c r="A104" s="17">
        <v>100</v>
      </c>
      <c r="B104" s="17" t="s">
        <v>58</v>
      </c>
      <c r="C104" s="17" t="s">
        <v>59</v>
      </c>
      <c r="D104" s="17" t="s">
        <v>60</v>
      </c>
      <c r="E104" s="17" t="s">
        <v>60</v>
      </c>
      <c r="F104" s="52"/>
      <c r="G104" s="58" t="s">
        <v>102</v>
      </c>
      <c r="H104">
        <v>41.433618000000003</v>
      </c>
      <c r="I104">
        <v>2.1677469999999999</v>
      </c>
      <c r="J104">
        <v>96.85</v>
      </c>
      <c r="K104" s="17" t="s">
        <v>66</v>
      </c>
      <c r="L104" s="52"/>
      <c r="M104" s="52"/>
      <c r="N104" s="52"/>
      <c r="O104" s="19" t="str">
        <f t="shared" si="3"/>
        <v>A_SP_BCN_18_231025</v>
      </c>
      <c r="P104" s="61">
        <v>45224</v>
      </c>
      <c r="Q104" s="62">
        <v>0.41666666666666669</v>
      </c>
      <c r="R104" s="22"/>
      <c r="S104" s="53">
        <v>45225</v>
      </c>
      <c r="T104" s="62">
        <v>0.41666666666666669</v>
      </c>
      <c r="U104" s="27"/>
      <c r="V104" s="25" t="s">
        <v>35</v>
      </c>
      <c r="W104" s="54"/>
      <c r="X104" s="17">
        <f t="shared" si="2"/>
        <v>1</v>
      </c>
      <c r="Y104" s="27"/>
      <c r="Z104" s="52"/>
      <c r="AA104" s="52"/>
      <c r="AB104" s="52"/>
      <c r="AC104" s="52"/>
      <c r="AD104" s="52"/>
      <c r="AE104" s="52"/>
      <c r="AF104">
        <v>4</v>
      </c>
    </row>
    <row r="105" spans="1:32" s="51" customFormat="1" x14ac:dyDescent="0.25">
      <c r="A105" s="17">
        <v>101</v>
      </c>
      <c r="B105" s="17" t="s">
        <v>58</v>
      </c>
      <c r="C105" s="17" t="s">
        <v>59</v>
      </c>
      <c r="D105" s="17" t="s">
        <v>60</v>
      </c>
      <c r="E105" s="17" t="s">
        <v>60</v>
      </c>
      <c r="F105" s="52"/>
      <c r="G105" s="58" t="s">
        <v>102</v>
      </c>
      <c r="H105">
        <v>41.433618000000003</v>
      </c>
      <c r="I105">
        <v>2.1677469999999999</v>
      </c>
      <c r="J105">
        <v>96.85</v>
      </c>
      <c r="K105" s="17" t="s">
        <v>66</v>
      </c>
      <c r="L105" s="52"/>
      <c r="M105" s="52"/>
      <c r="N105" s="52"/>
      <c r="O105" s="19" t="str">
        <f t="shared" si="3"/>
        <v>A_SP_BCN_18_231029</v>
      </c>
      <c r="P105" s="61">
        <v>45228</v>
      </c>
      <c r="Q105" s="62">
        <v>0.375</v>
      </c>
      <c r="R105" s="22"/>
      <c r="S105" s="53">
        <v>45229</v>
      </c>
      <c r="T105" s="55">
        <v>0.375</v>
      </c>
      <c r="U105" s="27"/>
      <c r="V105" s="52" t="s">
        <v>103</v>
      </c>
      <c r="W105" s="54"/>
      <c r="X105" s="17">
        <f t="shared" si="2"/>
        <v>1</v>
      </c>
      <c r="Y105" s="27"/>
      <c r="Z105" s="52"/>
      <c r="AA105" s="52"/>
      <c r="AB105" s="52"/>
      <c r="AC105" s="52"/>
      <c r="AD105" s="52"/>
      <c r="AE105" s="52"/>
      <c r="AF105" s="51">
        <v>2</v>
      </c>
    </row>
    <row r="106" spans="1:32" s="51" customFormat="1" x14ac:dyDescent="0.25">
      <c r="A106" s="17">
        <v>102</v>
      </c>
      <c r="B106" s="17" t="s">
        <v>58</v>
      </c>
      <c r="C106" s="17" t="s">
        <v>59</v>
      </c>
      <c r="D106" s="17" t="s">
        <v>60</v>
      </c>
      <c r="E106" s="17" t="s">
        <v>60</v>
      </c>
      <c r="F106" s="52"/>
      <c r="G106" s="58" t="s">
        <v>102</v>
      </c>
      <c r="H106">
        <v>41.433618000000003</v>
      </c>
      <c r="I106">
        <v>2.1677469999999999</v>
      </c>
      <c r="J106">
        <v>96.85</v>
      </c>
      <c r="K106" s="17" t="s">
        <v>66</v>
      </c>
      <c r="L106" s="52"/>
      <c r="M106" s="52"/>
      <c r="N106" s="52"/>
      <c r="O106" s="19" t="str">
        <f t="shared" si="3"/>
        <v>A_SP_BCN_18_231030</v>
      </c>
      <c r="P106" s="53">
        <v>45229</v>
      </c>
      <c r="Q106" s="62">
        <v>0.77083333333333337</v>
      </c>
      <c r="R106" s="22"/>
      <c r="S106" s="53">
        <v>45244</v>
      </c>
      <c r="T106" s="55">
        <v>0.85416666666666663</v>
      </c>
      <c r="U106" s="27"/>
      <c r="V106" s="25" t="s">
        <v>35</v>
      </c>
      <c r="W106" s="54"/>
      <c r="X106" s="17">
        <f t="shared" si="2"/>
        <v>15</v>
      </c>
      <c r="Y106" s="27"/>
      <c r="Z106" s="52"/>
      <c r="AA106" s="52"/>
      <c r="AB106" s="52"/>
      <c r="AC106" s="52"/>
      <c r="AD106" s="52"/>
      <c r="AE106" s="52"/>
      <c r="AF106">
        <v>4</v>
      </c>
    </row>
    <row r="107" spans="1:32" s="51" customFormat="1" x14ac:dyDescent="0.25">
      <c r="A107" s="17">
        <v>103</v>
      </c>
      <c r="B107" s="17" t="s">
        <v>58</v>
      </c>
      <c r="C107" s="17" t="s">
        <v>59</v>
      </c>
      <c r="D107" s="17" t="s">
        <v>60</v>
      </c>
      <c r="E107" s="17" t="s">
        <v>60</v>
      </c>
      <c r="F107" s="52"/>
      <c r="G107" s="58" t="s">
        <v>102</v>
      </c>
      <c r="H107">
        <v>41.433618000000003</v>
      </c>
      <c r="I107">
        <v>2.1677469999999999</v>
      </c>
      <c r="J107">
        <v>96.85</v>
      </c>
      <c r="K107" s="17" t="s">
        <v>66</v>
      </c>
      <c r="L107" s="52"/>
      <c r="M107" s="52"/>
      <c r="N107" s="52"/>
      <c r="O107" s="19" t="str">
        <f t="shared" si="3"/>
        <v>A_SP_BCN_18_231115</v>
      </c>
      <c r="P107" s="61">
        <v>45245</v>
      </c>
      <c r="Q107" s="55">
        <v>0.375</v>
      </c>
      <c r="R107" s="22"/>
      <c r="S107" s="53">
        <v>45246</v>
      </c>
      <c r="T107" s="55">
        <v>0.375</v>
      </c>
      <c r="U107" s="27"/>
      <c r="V107" s="25" t="s">
        <v>35</v>
      </c>
      <c r="W107" s="54"/>
      <c r="X107" s="17">
        <f t="shared" si="2"/>
        <v>1</v>
      </c>
      <c r="Y107" s="27"/>
      <c r="Z107" s="52"/>
      <c r="AA107" s="52"/>
      <c r="AB107" s="52"/>
      <c r="AC107" s="52"/>
      <c r="AD107" s="52"/>
      <c r="AE107" s="52"/>
      <c r="AF107">
        <v>4</v>
      </c>
    </row>
    <row r="108" spans="1:32" s="51" customFormat="1" x14ac:dyDescent="0.25">
      <c r="A108" s="17">
        <v>104</v>
      </c>
      <c r="B108" s="17" t="s">
        <v>58</v>
      </c>
      <c r="C108" s="17" t="s">
        <v>59</v>
      </c>
      <c r="D108" s="17" t="s">
        <v>60</v>
      </c>
      <c r="E108" s="17" t="s">
        <v>60</v>
      </c>
      <c r="F108" s="52"/>
      <c r="G108" s="58" t="s">
        <v>102</v>
      </c>
      <c r="H108">
        <v>41.433618000000003</v>
      </c>
      <c r="I108">
        <v>2.1677469999999999</v>
      </c>
      <c r="J108">
        <v>96.85</v>
      </c>
      <c r="K108" s="17" t="s">
        <v>66</v>
      </c>
      <c r="L108" s="52"/>
      <c r="M108" s="52"/>
      <c r="N108" s="52"/>
      <c r="O108" s="19" t="str">
        <f t="shared" si="3"/>
        <v>A_SP_BCN_18_231120</v>
      </c>
      <c r="P108" s="61">
        <v>45250</v>
      </c>
      <c r="Q108" s="55">
        <v>0.73958333333333337</v>
      </c>
      <c r="R108" s="22"/>
      <c r="S108" s="53">
        <v>45251</v>
      </c>
      <c r="T108" s="55">
        <v>0.73958333333333337</v>
      </c>
      <c r="U108" s="27"/>
      <c r="V108" s="25" t="s">
        <v>35</v>
      </c>
      <c r="W108" s="54"/>
      <c r="X108" s="17">
        <f t="shared" si="2"/>
        <v>1</v>
      </c>
      <c r="Y108" s="27"/>
      <c r="Z108" s="52"/>
      <c r="AA108" s="52"/>
      <c r="AB108" s="52"/>
      <c r="AC108" s="52"/>
      <c r="AD108" s="52"/>
      <c r="AE108" s="52"/>
      <c r="AF108">
        <v>4</v>
      </c>
    </row>
    <row r="109" spans="1:32" s="51" customFormat="1" x14ac:dyDescent="0.25">
      <c r="A109" s="17">
        <v>105</v>
      </c>
      <c r="B109" s="17" t="s">
        <v>58</v>
      </c>
      <c r="C109" s="17" t="s">
        <v>59</v>
      </c>
      <c r="D109" s="17" t="s">
        <v>60</v>
      </c>
      <c r="E109" s="17" t="s">
        <v>60</v>
      </c>
      <c r="F109" s="52"/>
      <c r="G109" s="58" t="s">
        <v>102</v>
      </c>
      <c r="H109">
        <v>41.433618000000003</v>
      </c>
      <c r="I109">
        <v>2.1677469999999999</v>
      </c>
      <c r="J109">
        <v>96.85</v>
      </c>
      <c r="K109" s="17" t="s">
        <v>66</v>
      </c>
      <c r="L109" s="52"/>
      <c r="M109" s="52"/>
      <c r="N109" s="52"/>
      <c r="O109" s="19" t="str">
        <f t="shared" si="3"/>
        <v>A_SP_BCN_18_231123</v>
      </c>
      <c r="P109" s="61">
        <v>45253</v>
      </c>
      <c r="Q109" s="55">
        <v>0.375</v>
      </c>
      <c r="R109" s="22"/>
      <c r="S109" s="53">
        <v>45254</v>
      </c>
      <c r="T109" s="55">
        <v>0.375</v>
      </c>
      <c r="U109" s="27"/>
      <c r="V109" s="25" t="s">
        <v>35</v>
      </c>
      <c r="W109" s="54"/>
      <c r="X109" s="17">
        <f t="shared" si="2"/>
        <v>1</v>
      </c>
      <c r="Y109" s="27"/>
      <c r="Z109" s="52"/>
      <c r="AA109" s="52"/>
      <c r="AB109" s="52"/>
      <c r="AC109" s="52"/>
      <c r="AD109" s="52"/>
      <c r="AE109" s="52"/>
      <c r="AF109">
        <v>4</v>
      </c>
    </row>
    <row r="110" spans="1:32" s="51" customFormat="1" x14ac:dyDescent="0.25">
      <c r="A110" s="17">
        <v>106</v>
      </c>
      <c r="B110" s="17" t="s">
        <v>58</v>
      </c>
      <c r="C110" s="17" t="s">
        <v>59</v>
      </c>
      <c r="D110" s="17" t="s">
        <v>60</v>
      </c>
      <c r="E110" s="17" t="s">
        <v>60</v>
      </c>
      <c r="F110" s="52"/>
      <c r="G110" s="58" t="s">
        <v>102</v>
      </c>
      <c r="H110">
        <v>41.433618000000003</v>
      </c>
      <c r="I110">
        <v>2.1677469999999999</v>
      </c>
      <c r="J110">
        <v>96.85</v>
      </c>
      <c r="K110" s="17" t="s">
        <v>66</v>
      </c>
      <c r="L110" s="52"/>
      <c r="M110" s="52"/>
      <c r="N110" s="52"/>
      <c r="O110" s="19" t="str">
        <f t="shared" si="3"/>
        <v>A_SP_BCN_18_231127</v>
      </c>
      <c r="P110" s="61">
        <v>45257</v>
      </c>
      <c r="Q110" s="55">
        <v>0.375</v>
      </c>
      <c r="R110" s="22"/>
      <c r="S110" s="53">
        <v>45258</v>
      </c>
      <c r="T110" s="55">
        <v>0.375</v>
      </c>
      <c r="U110" s="27"/>
      <c r="V110" s="52" t="s">
        <v>104</v>
      </c>
      <c r="W110" s="54"/>
      <c r="X110" s="17">
        <f t="shared" si="2"/>
        <v>1</v>
      </c>
      <c r="Y110" s="27"/>
      <c r="Z110" s="52"/>
      <c r="AA110" s="52"/>
      <c r="AB110" s="52"/>
      <c r="AC110" s="52"/>
      <c r="AD110" s="52"/>
      <c r="AE110" s="52"/>
      <c r="AF110" s="51">
        <v>1</v>
      </c>
    </row>
    <row r="111" spans="1:32" s="51" customFormat="1" x14ac:dyDescent="0.25">
      <c r="A111" s="17">
        <v>107</v>
      </c>
      <c r="B111" s="17" t="s">
        <v>58</v>
      </c>
      <c r="C111" s="17" t="s">
        <v>59</v>
      </c>
      <c r="D111" s="17" t="s">
        <v>60</v>
      </c>
      <c r="E111" s="17" t="s">
        <v>60</v>
      </c>
      <c r="F111" s="52"/>
      <c r="G111" s="58" t="s">
        <v>102</v>
      </c>
      <c r="H111">
        <v>41.433618000000003</v>
      </c>
      <c r="I111">
        <v>2.1677469999999999</v>
      </c>
      <c r="J111">
        <v>96.85</v>
      </c>
      <c r="K111" s="17" t="s">
        <v>66</v>
      </c>
      <c r="L111" s="52"/>
      <c r="M111" s="52"/>
      <c r="N111" s="52"/>
      <c r="O111" s="19" t="str">
        <f t="shared" si="3"/>
        <v>A_SP_BCN_18_231130</v>
      </c>
      <c r="P111" s="61">
        <v>45260</v>
      </c>
      <c r="Q111" s="55">
        <v>0.375</v>
      </c>
      <c r="R111" s="22"/>
      <c r="S111" s="53">
        <v>45261</v>
      </c>
      <c r="T111" s="55">
        <v>0.375</v>
      </c>
      <c r="U111" s="27"/>
      <c r="V111" s="25" t="s">
        <v>35</v>
      </c>
      <c r="W111" s="54"/>
      <c r="X111" s="17">
        <f t="shared" si="2"/>
        <v>1</v>
      </c>
      <c r="Y111" s="27"/>
      <c r="Z111" s="52"/>
      <c r="AA111" s="52"/>
      <c r="AB111" s="52"/>
      <c r="AC111" s="52"/>
      <c r="AD111" s="52"/>
      <c r="AE111" s="52"/>
      <c r="AF111">
        <v>4</v>
      </c>
    </row>
    <row r="112" spans="1:32" s="51" customFormat="1" x14ac:dyDescent="0.25">
      <c r="A112" s="17">
        <v>108</v>
      </c>
      <c r="B112" s="17" t="s">
        <v>58</v>
      </c>
      <c r="C112" s="17" t="s">
        <v>59</v>
      </c>
      <c r="D112" s="17" t="s">
        <v>60</v>
      </c>
      <c r="E112" s="17" t="s">
        <v>60</v>
      </c>
      <c r="F112" s="52"/>
      <c r="G112" s="58" t="s">
        <v>105</v>
      </c>
      <c r="H112">
        <v>41.381725000000003</v>
      </c>
      <c r="I112">
        <v>2.1543679999999998</v>
      </c>
      <c r="J112">
        <v>20.7</v>
      </c>
      <c r="K112" s="17" t="s">
        <v>66</v>
      </c>
      <c r="L112" s="52"/>
      <c r="M112" s="52"/>
      <c r="N112" s="52"/>
      <c r="O112" s="19" t="str">
        <f t="shared" si="3"/>
        <v>A_SP_BCN_24_231016</v>
      </c>
      <c r="P112" s="61">
        <v>45215</v>
      </c>
      <c r="Q112" s="62">
        <v>0.41666666666666669</v>
      </c>
      <c r="R112" s="22"/>
      <c r="S112" s="53">
        <v>45216</v>
      </c>
      <c r="T112" s="55">
        <v>0.41666666666666669</v>
      </c>
      <c r="U112" s="27"/>
      <c r="V112" s="25" t="s">
        <v>35</v>
      </c>
      <c r="W112" s="54"/>
      <c r="X112" s="17">
        <f t="shared" si="2"/>
        <v>1</v>
      </c>
      <c r="Y112" s="27"/>
      <c r="Z112" s="52"/>
      <c r="AA112" s="52"/>
      <c r="AB112" s="52"/>
      <c r="AC112" s="52"/>
      <c r="AD112" s="52"/>
      <c r="AE112" s="52"/>
      <c r="AF112">
        <v>4</v>
      </c>
    </row>
    <row r="113" spans="1:32" s="51" customFormat="1" x14ac:dyDescent="0.25">
      <c r="A113" s="17">
        <v>109</v>
      </c>
      <c r="B113" s="17" t="s">
        <v>58</v>
      </c>
      <c r="C113" s="17" t="s">
        <v>59</v>
      </c>
      <c r="D113" s="17" t="s">
        <v>60</v>
      </c>
      <c r="E113" s="17" t="s">
        <v>60</v>
      </c>
      <c r="F113" s="52"/>
      <c r="G113" s="58" t="s">
        <v>105</v>
      </c>
      <c r="H113">
        <v>41.381725000000003</v>
      </c>
      <c r="I113">
        <v>2.1543679999999998</v>
      </c>
      <c r="J113">
        <v>20.7</v>
      </c>
      <c r="K113" s="17" t="s">
        <v>66</v>
      </c>
      <c r="L113" s="52"/>
      <c r="M113" s="52"/>
      <c r="N113" s="52"/>
      <c r="O113" s="19" t="str">
        <f t="shared" si="3"/>
        <v>A_SP_BCN_24_231019</v>
      </c>
      <c r="P113" s="61">
        <v>45218</v>
      </c>
      <c r="Q113" s="62">
        <v>0.41666666666666669</v>
      </c>
      <c r="R113" s="22"/>
      <c r="S113" s="53">
        <v>45219</v>
      </c>
      <c r="T113" s="55">
        <v>0.41666666666666669</v>
      </c>
      <c r="U113" s="27"/>
      <c r="V113" s="25" t="s">
        <v>35</v>
      </c>
      <c r="W113" s="54"/>
      <c r="X113" s="17">
        <f t="shared" si="2"/>
        <v>1</v>
      </c>
      <c r="Y113" s="27"/>
      <c r="Z113" s="52"/>
      <c r="AA113" s="52"/>
      <c r="AB113" s="52"/>
      <c r="AC113" s="52"/>
      <c r="AD113" s="52"/>
      <c r="AE113" s="52"/>
      <c r="AF113">
        <v>4</v>
      </c>
    </row>
    <row r="114" spans="1:32" s="51" customFormat="1" x14ac:dyDescent="0.25">
      <c r="A114" s="17">
        <v>110</v>
      </c>
      <c r="B114" s="17" t="s">
        <v>58</v>
      </c>
      <c r="C114" s="17" t="s">
        <v>59</v>
      </c>
      <c r="D114" s="17" t="s">
        <v>60</v>
      </c>
      <c r="E114" s="17" t="s">
        <v>60</v>
      </c>
      <c r="F114" s="52"/>
      <c r="G114" s="58" t="s">
        <v>105</v>
      </c>
      <c r="H114">
        <v>41.381725000000003</v>
      </c>
      <c r="I114">
        <v>2.1543679999999998</v>
      </c>
      <c r="J114">
        <v>20.7</v>
      </c>
      <c r="K114" s="17" t="s">
        <v>66</v>
      </c>
      <c r="L114" s="52"/>
      <c r="M114" s="52"/>
      <c r="N114" s="52"/>
      <c r="O114" s="19" t="str">
        <f t="shared" si="3"/>
        <v>A_SP_BCN_24_231023</v>
      </c>
      <c r="P114" s="53">
        <v>45222</v>
      </c>
      <c r="Q114" s="62">
        <v>0.41666666666666669</v>
      </c>
      <c r="R114" s="27"/>
      <c r="S114" s="53">
        <v>45223</v>
      </c>
      <c r="T114" s="55">
        <v>0.41666666666666669</v>
      </c>
      <c r="U114" s="27"/>
      <c r="V114" s="52" t="s">
        <v>106</v>
      </c>
      <c r="W114" s="54"/>
      <c r="X114" s="17">
        <f t="shared" si="2"/>
        <v>1</v>
      </c>
      <c r="Y114" s="27"/>
      <c r="Z114" s="52"/>
      <c r="AA114" s="52"/>
      <c r="AB114" s="52"/>
      <c r="AC114" s="52"/>
      <c r="AD114" s="52"/>
      <c r="AE114" s="52"/>
      <c r="AF114" s="51">
        <v>1</v>
      </c>
    </row>
    <row r="115" spans="1:32" s="51" customFormat="1" x14ac:dyDescent="0.25">
      <c r="A115" s="17">
        <v>111</v>
      </c>
      <c r="B115" s="17" t="s">
        <v>58</v>
      </c>
      <c r="C115" s="17" t="s">
        <v>59</v>
      </c>
      <c r="D115" s="17" t="s">
        <v>60</v>
      </c>
      <c r="E115" s="17" t="s">
        <v>60</v>
      </c>
      <c r="F115" s="52"/>
      <c r="G115" s="58" t="s">
        <v>105</v>
      </c>
      <c r="H115">
        <v>41.381725000000003</v>
      </c>
      <c r="I115">
        <v>2.1543679999999998</v>
      </c>
      <c r="J115">
        <v>20.7</v>
      </c>
      <c r="K115" s="17" t="s">
        <v>66</v>
      </c>
      <c r="L115" s="52"/>
      <c r="M115" s="52"/>
      <c r="N115" s="52"/>
      <c r="O115" s="19" t="str">
        <f t="shared" si="3"/>
        <v>A_SP_BCN_24_231026</v>
      </c>
      <c r="P115" s="53">
        <v>45225</v>
      </c>
      <c r="Q115" s="62">
        <v>0.41666666666666669</v>
      </c>
      <c r="R115" s="27"/>
      <c r="S115" s="53">
        <v>45226</v>
      </c>
      <c r="T115" s="62">
        <v>0.41666666666666669</v>
      </c>
      <c r="U115" s="27"/>
      <c r="V115" s="25" t="s">
        <v>35</v>
      </c>
      <c r="W115" s="54"/>
      <c r="X115" s="17">
        <f t="shared" si="2"/>
        <v>1</v>
      </c>
      <c r="Y115" s="27"/>
      <c r="Z115" s="52"/>
      <c r="AA115" s="52"/>
      <c r="AB115" s="52"/>
      <c r="AC115" s="52"/>
      <c r="AD115" s="52"/>
      <c r="AE115" s="52"/>
      <c r="AF115">
        <v>4</v>
      </c>
    </row>
    <row r="116" spans="1:32" s="51" customFormat="1" x14ac:dyDescent="0.25">
      <c r="A116" s="17">
        <v>112</v>
      </c>
      <c r="B116" s="17" t="s">
        <v>58</v>
      </c>
      <c r="C116" s="17" t="s">
        <v>59</v>
      </c>
      <c r="D116" s="17" t="s">
        <v>60</v>
      </c>
      <c r="E116" s="17" t="s">
        <v>60</v>
      </c>
      <c r="F116" s="52"/>
      <c r="G116" s="58" t="s">
        <v>105</v>
      </c>
      <c r="H116">
        <v>41.381725000000003</v>
      </c>
      <c r="I116">
        <v>2.1543679999999998</v>
      </c>
      <c r="J116">
        <v>20.7</v>
      </c>
      <c r="K116" s="17" t="s">
        <v>66</v>
      </c>
      <c r="L116" s="52"/>
      <c r="M116" s="52"/>
      <c r="N116" s="52"/>
      <c r="O116" s="19" t="str">
        <f t="shared" si="3"/>
        <v>A_SP_BCN_24_231030</v>
      </c>
      <c r="P116" s="53">
        <v>45229</v>
      </c>
      <c r="Q116" s="55">
        <v>0.375</v>
      </c>
      <c r="R116" s="27"/>
      <c r="S116" s="53">
        <v>45230</v>
      </c>
      <c r="T116" s="55">
        <v>0.375</v>
      </c>
      <c r="U116" s="27"/>
      <c r="V116" s="52" t="s">
        <v>68</v>
      </c>
      <c r="W116" s="54"/>
      <c r="X116" s="17">
        <f t="shared" si="2"/>
        <v>1</v>
      </c>
      <c r="Y116" s="27"/>
      <c r="Z116" s="52"/>
      <c r="AA116" s="52"/>
      <c r="AB116" s="52"/>
      <c r="AC116" s="52"/>
      <c r="AD116" s="52"/>
      <c r="AE116" s="52"/>
      <c r="AF116" s="51">
        <v>2</v>
      </c>
    </row>
    <row r="117" spans="1:32" s="51" customFormat="1" x14ac:dyDescent="0.25">
      <c r="A117" s="17">
        <v>113</v>
      </c>
      <c r="B117" s="17" t="s">
        <v>58</v>
      </c>
      <c r="C117" s="17" t="s">
        <v>59</v>
      </c>
      <c r="D117" s="17" t="s">
        <v>60</v>
      </c>
      <c r="E117" s="17" t="s">
        <v>60</v>
      </c>
      <c r="F117" s="52"/>
      <c r="G117" s="58" t="s">
        <v>105</v>
      </c>
      <c r="H117">
        <v>41.381725000000003</v>
      </c>
      <c r="I117">
        <v>2.1543679999999998</v>
      </c>
      <c r="J117">
        <v>20.7</v>
      </c>
      <c r="K117" s="17" t="s">
        <v>66</v>
      </c>
      <c r="L117" s="52"/>
      <c r="M117" s="52"/>
      <c r="N117" s="52"/>
      <c r="O117" s="19" t="str">
        <f t="shared" si="3"/>
        <v>A_SP_BCN_24_231031</v>
      </c>
      <c r="P117" s="53">
        <v>45230</v>
      </c>
      <c r="Q117" s="55">
        <v>0.68055555555555547</v>
      </c>
      <c r="R117" s="27"/>
      <c r="S117" s="53">
        <v>45244</v>
      </c>
      <c r="T117" s="55">
        <v>0.63541666666666663</v>
      </c>
      <c r="U117" s="27"/>
      <c r="V117" s="25" t="s">
        <v>35</v>
      </c>
      <c r="W117" s="54"/>
      <c r="X117" s="17">
        <f t="shared" si="2"/>
        <v>14</v>
      </c>
      <c r="Y117" s="27"/>
      <c r="Z117" s="52"/>
      <c r="AA117" s="52"/>
      <c r="AB117" s="52"/>
      <c r="AC117" s="52"/>
      <c r="AD117" s="52"/>
      <c r="AE117" s="52"/>
      <c r="AF117">
        <v>4</v>
      </c>
    </row>
    <row r="118" spans="1:32" s="51" customFormat="1" x14ac:dyDescent="0.25">
      <c r="A118" s="17">
        <v>114</v>
      </c>
      <c r="B118" s="17" t="s">
        <v>58</v>
      </c>
      <c r="C118" s="17" t="s">
        <v>59</v>
      </c>
      <c r="D118" s="17" t="s">
        <v>60</v>
      </c>
      <c r="E118" s="17" t="s">
        <v>60</v>
      </c>
      <c r="F118" s="52"/>
      <c r="G118" s="58" t="s">
        <v>105</v>
      </c>
      <c r="H118">
        <v>41.381725000000003</v>
      </c>
      <c r="I118">
        <v>2.1543679999999998</v>
      </c>
      <c r="J118">
        <v>20.7</v>
      </c>
      <c r="K118" s="17" t="s">
        <v>66</v>
      </c>
      <c r="L118" s="52"/>
      <c r="M118" s="52"/>
      <c r="N118" s="52"/>
      <c r="O118" s="19" t="str">
        <f t="shared" si="3"/>
        <v>A_SP_BCN_24_231116</v>
      </c>
      <c r="P118" s="53">
        <v>45246</v>
      </c>
      <c r="Q118" s="55">
        <v>0.375</v>
      </c>
      <c r="R118" s="27"/>
      <c r="S118" s="53">
        <v>45247</v>
      </c>
      <c r="T118" s="55">
        <v>0.375</v>
      </c>
      <c r="U118" s="27"/>
      <c r="V118" s="25" t="s">
        <v>35</v>
      </c>
      <c r="W118" s="54"/>
      <c r="X118" s="17">
        <f t="shared" si="2"/>
        <v>1</v>
      </c>
      <c r="Y118" s="27"/>
      <c r="Z118" s="52"/>
      <c r="AA118" s="52"/>
      <c r="AB118" s="52"/>
      <c r="AC118" s="52"/>
      <c r="AD118" s="52"/>
      <c r="AE118" s="52"/>
      <c r="AF118">
        <v>4</v>
      </c>
    </row>
    <row r="119" spans="1:32" s="51" customFormat="1" x14ac:dyDescent="0.25">
      <c r="A119" s="17">
        <v>115</v>
      </c>
      <c r="B119" s="17" t="s">
        <v>58</v>
      </c>
      <c r="C119" s="17" t="s">
        <v>59</v>
      </c>
      <c r="D119" s="17" t="s">
        <v>60</v>
      </c>
      <c r="E119" s="17" t="s">
        <v>60</v>
      </c>
      <c r="F119" s="52"/>
      <c r="G119" s="58" t="s">
        <v>105</v>
      </c>
      <c r="H119">
        <v>41.381725000000003</v>
      </c>
      <c r="I119">
        <v>2.1543679999999998</v>
      </c>
      <c r="J119">
        <v>20.7</v>
      </c>
      <c r="K119" s="17" t="s">
        <v>66</v>
      </c>
      <c r="L119" s="52"/>
      <c r="M119" s="52"/>
      <c r="N119" s="52"/>
      <c r="O119" s="19" t="str">
        <f t="shared" si="3"/>
        <v>A_SP_BCN_24_231119</v>
      </c>
      <c r="P119" s="53">
        <v>45249</v>
      </c>
      <c r="Q119" s="55">
        <v>0.375</v>
      </c>
      <c r="R119" s="27"/>
      <c r="S119" s="53">
        <v>45250</v>
      </c>
      <c r="T119" s="55">
        <v>0.375</v>
      </c>
      <c r="U119" s="27"/>
      <c r="V119" s="25" t="s">
        <v>35</v>
      </c>
      <c r="W119" s="54"/>
      <c r="X119" s="17">
        <f t="shared" si="2"/>
        <v>1</v>
      </c>
      <c r="Y119" s="27"/>
      <c r="Z119" s="52"/>
      <c r="AA119" s="52"/>
      <c r="AB119" s="52"/>
      <c r="AC119" s="52"/>
      <c r="AD119" s="52"/>
      <c r="AE119" s="52"/>
      <c r="AF119">
        <v>4</v>
      </c>
    </row>
    <row r="120" spans="1:32" s="51" customFormat="1" x14ac:dyDescent="0.25">
      <c r="A120" s="17">
        <v>116</v>
      </c>
      <c r="B120" s="17" t="s">
        <v>58</v>
      </c>
      <c r="C120" s="17" t="s">
        <v>59</v>
      </c>
      <c r="D120" s="17" t="s">
        <v>60</v>
      </c>
      <c r="E120" s="17" t="s">
        <v>60</v>
      </c>
      <c r="F120" s="52"/>
      <c r="G120" s="58" t="s">
        <v>105</v>
      </c>
      <c r="H120">
        <v>41.381725000000003</v>
      </c>
      <c r="I120">
        <v>2.1543679999999998</v>
      </c>
      <c r="J120">
        <v>20.7</v>
      </c>
      <c r="K120" s="17" t="s">
        <v>66</v>
      </c>
      <c r="L120" s="52"/>
      <c r="M120" s="52"/>
      <c r="N120" s="52"/>
      <c r="O120" s="19" t="str">
        <f t="shared" si="3"/>
        <v>A_SP_BCN_24_231122</v>
      </c>
      <c r="P120" s="53">
        <v>45252</v>
      </c>
      <c r="Q120" s="55">
        <v>0.375</v>
      </c>
      <c r="R120" s="27"/>
      <c r="S120" s="53">
        <v>45253</v>
      </c>
      <c r="T120" s="55">
        <v>0.375</v>
      </c>
      <c r="U120" s="27"/>
      <c r="V120" s="52" t="s">
        <v>107</v>
      </c>
      <c r="W120" s="54"/>
      <c r="X120" s="17">
        <f t="shared" si="2"/>
        <v>1</v>
      </c>
      <c r="Y120" s="27"/>
      <c r="Z120" s="52"/>
      <c r="AA120" s="52"/>
      <c r="AB120" s="52"/>
      <c r="AC120" s="52"/>
      <c r="AD120" s="52"/>
      <c r="AE120" s="52"/>
      <c r="AF120" s="51">
        <v>2</v>
      </c>
    </row>
    <row r="121" spans="1:32" s="51" customFormat="1" x14ac:dyDescent="0.25">
      <c r="A121" s="17">
        <v>117</v>
      </c>
      <c r="B121" s="17" t="s">
        <v>58</v>
      </c>
      <c r="C121" s="17" t="s">
        <v>59</v>
      </c>
      <c r="D121" s="17" t="s">
        <v>60</v>
      </c>
      <c r="E121" s="17" t="s">
        <v>60</v>
      </c>
      <c r="F121" s="52"/>
      <c r="G121" s="58" t="s">
        <v>105</v>
      </c>
      <c r="H121">
        <v>41.381725000000003</v>
      </c>
      <c r="I121">
        <v>2.1543679999999998</v>
      </c>
      <c r="J121">
        <v>20.7</v>
      </c>
      <c r="K121" s="17" t="s">
        <v>66</v>
      </c>
      <c r="L121" s="52"/>
      <c r="M121" s="52"/>
      <c r="N121" s="52"/>
      <c r="O121" s="19" t="str">
        <f t="shared" si="3"/>
        <v>A_SP_BCN_24_231126</v>
      </c>
      <c r="P121" s="53">
        <v>45256</v>
      </c>
      <c r="Q121" s="55">
        <v>0.375</v>
      </c>
      <c r="R121" s="27"/>
      <c r="S121" s="53">
        <v>45257</v>
      </c>
      <c r="T121" s="55">
        <v>0.375</v>
      </c>
      <c r="U121" s="27"/>
      <c r="V121" s="25" t="s">
        <v>35</v>
      </c>
      <c r="W121" s="54"/>
      <c r="X121" s="17">
        <f t="shared" si="2"/>
        <v>1</v>
      </c>
      <c r="Y121" s="27"/>
      <c r="Z121" s="52"/>
      <c r="AA121" s="52"/>
      <c r="AB121" s="52"/>
      <c r="AC121" s="52"/>
      <c r="AD121" s="52"/>
      <c r="AE121" s="52"/>
      <c r="AF121">
        <v>4</v>
      </c>
    </row>
    <row r="122" spans="1:32" s="51" customFormat="1" x14ac:dyDescent="0.25">
      <c r="A122" s="17">
        <v>118</v>
      </c>
      <c r="B122" s="17" t="s">
        <v>58</v>
      </c>
      <c r="C122" s="17" t="s">
        <v>59</v>
      </c>
      <c r="D122" s="17" t="s">
        <v>60</v>
      </c>
      <c r="E122" s="17" t="s">
        <v>60</v>
      </c>
      <c r="F122" s="52"/>
      <c r="G122" s="58" t="s">
        <v>105</v>
      </c>
      <c r="H122">
        <v>41.381725000000003</v>
      </c>
      <c r="I122">
        <v>2.1543679999999998</v>
      </c>
      <c r="J122">
        <v>20.7</v>
      </c>
      <c r="K122" s="17" t="s">
        <v>66</v>
      </c>
      <c r="L122" s="52"/>
      <c r="M122" s="52"/>
      <c r="N122" s="52"/>
      <c r="O122" s="19" t="str">
        <f t="shared" si="3"/>
        <v>A_SP_BCN_24_231130</v>
      </c>
      <c r="P122" s="61">
        <v>45260</v>
      </c>
      <c r="Q122" s="55">
        <v>0.375</v>
      </c>
      <c r="R122" s="22"/>
      <c r="S122" s="53">
        <v>45261</v>
      </c>
      <c r="T122" s="55">
        <v>0.375</v>
      </c>
      <c r="U122" s="27"/>
      <c r="V122" s="25" t="s">
        <v>35</v>
      </c>
      <c r="W122" s="54"/>
      <c r="X122" s="17">
        <f t="shared" si="2"/>
        <v>1</v>
      </c>
      <c r="Y122" s="27"/>
      <c r="Z122" s="52"/>
      <c r="AA122" s="52"/>
      <c r="AB122" s="52"/>
      <c r="AC122" s="52"/>
      <c r="AD122" s="52"/>
      <c r="AE122" s="52"/>
      <c r="AF122">
        <v>4</v>
      </c>
    </row>
    <row r="123" spans="1:32" s="51" customFormat="1" x14ac:dyDescent="0.25">
      <c r="A123" s="17">
        <v>119</v>
      </c>
      <c r="B123" s="17" t="s">
        <v>58</v>
      </c>
      <c r="C123" s="17" t="s">
        <v>59</v>
      </c>
      <c r="D123" s="17" t="s">
        <v>60</v>
      </c>
      <c r="E123" s="17" t="s">
        <v>60</v>
      </c>
      <c r="F123" s="52"/>
      <c r="G123" s="58" t="s">
        <v>108</v>
      </c>
      <c r="H123">
        <v>41.448877570000001</v>
      </c>
      <c r="I123">
        <v>2.180279203</v>
      </c>
      <c r="J123" s="52"/>
      <c r="K123" s="17" t="s">
        <v>66</v>
      </c>
      <c r="L123" s="52"/>
      <c r="M123" s="52"/>
      <c r="N123" s="52"/>
      <c r="O123" s="19" t="str">
        <f t="shared" si="3"/>
        <v>A_SP_BCN_27_231008</v>
      </c>
      <c r="P123" s="61">
        <v>45207</v>
      </c>
      <c r="Q123" s="62">
        <v>0.41666666666666669</v>
      </c>
      <c r="R123" s="22"/>
      <c r="S123" s="53">
        <v>45208</v>
      </c>
      <c r="T123" s="62">
        <v>0.41666666666666669</v>
      </c>
      <c r="U123" s="27"/>
      <c r="V123" s="25" t="s">
        <v>35</v>
      </c>
      <c r="W123" s="54"/>
      <c r="X123" s="17">
        <f t="shared" si="2"/>
        <v>1</v>
      </c>
      <c r="Y123" s="27"/>
      <c r="Z123" s="52"/>
      <c r="AA123" s="52"/>
      <c r="AB123" s="52"/>
      <c r="AC123" s="52"/>
      <c r="AD123" s="52"/>
      <c r="AE123" s="52"/>
      <c r="AF123">
        <v>4</v>
      </c>
    </row>
    <row r="124" spans="1:32" s="51" customFormat="1" x14ac:dyDescent="0.25">
      <c r="A124" s="17">
        <v>120</v>
      </c>
      <c r="B124" s="17" t="s">
        <v>58</v>
      </c>
      <c r="C124" s="17" t="s">
        <v>59</v>
      </c>
      <c r="D124" s="17" t="s">
        <v>60</v>
      </c>
      <c r="E124" s="17" t="s">
        <v>60</v>
      </c>
      <c r="F124" s="52"/>
      <c r="G124" s="58" t="s">
        <v>108</v>
      </c>
      <c r="H124">
        <v>41.448877570000001</v>
      </c>
      <c r="I124">
        <v>2.180279203</v>
      </c>
      <c r="J124" s="52"/>
      <c r="K124" s="17" t="s">
        <v>66</v>
      </c>
      <c r="L124" s="52"/>
      <c r="M124" s="52"/>
      <c r="N124" s="52"/>
      <c r="O124" s="19" t="str">
        <f t="shared" si="3"/>
        <v>A_SP_BCN_27_231010</v>
      </c>
      <c r="P124" s="61">
        <v>45209</v>
      </c>
      <c r="Q124" s="62">
        <v>0.41666666666666669</v>
      </c>
      <c r="R124" s="22"/>
      <c r="S124" s="53">
        <v>45210</v>
      </c>
      <c r="T124" s="62">
        <v>0.41666666666666669</v>
      </c>
      <c r="U124" s="27"/>
      <c r="V124" s="52"/>
      <c r="W124" s="54"/>
      <c r="X124" s="17">
        <f t="shared" si="2"/>
        <v>1</v>
      </c>
      <c r="Y124" s="27"/>
      <c r="Z124" s="52"/>
      <c r="AA124" s="52"/>
      <c r="AB124" s="52"/>
      <c r="AC124" s="52"/>
      <c r="AD124" s="52"/>
      <c r="AE124" s="52"/>
      <c r="AF124">
        <v>4</v>
      </c>
    </row>
    <row r="125" spans="1:32" s="51" customFormat="1" x14ac:dyDescent="0.25">
      <c r="A125" s="17">
        <v>121</v>
      </c>
      <c r="B125" s="17" t="s">
        <v>58</v>
      </c>
      <c r="C125" s="17" t="s">
        <v>59</v>
      </c>
      <c r="D125" s="17" t="s">
        <v>60</v>
      </c>
      <c r="E125" s="17" t="s">
        <v>60</v>
      </c>
      <c r="F125" s="52"/>
      <c r="G125" s="58" t="s">
        <v>108</v>
      </c>
      <c r="H125">
        <v>41.448877570000001</v>
      </c>
      <c r="I125">
        <v>2.180279203</v>
      </c>
      <c r="J125" s="52"/>
      <c r="K125" s="17" t="s">
        <v>66</v>
      </c>
      <c r="L125" s="52"/>
      <c r="M125" s="52"/>
      <c r="N125" s="52"/>
      <c r="O125" s="19" t="str">
        <f t="shared" si="3"/>
        <v>A_SP_BCN_27_231015</v>
      </c>
      <c r="P125" s="61">
        <v>45214</v>
      </c>
      <c r="Q125" s="62">
        <v>0.41666666666666669</v>
      </c>
      <c r="R125" s="22"/>
      <c r="S125" s="53">
        <v>45215</v>
      </c>
      <c r="T125" s="62">
        <v>0.41666666666666669</v>
      </c>
      <c r="U125" s="27"/>
      <c r="V125" s="25" t="s">
        <v>35</v>
      </c>
      <c r="W125" s="54"/>
      <c r="X125" s="17">
        <f t="shared" si="2"/>
        <v>1</v>
      </c>
      <c r="Y125" s="27"/>
      <c r="Z125" s="52"/>
      <c r="AA125" s="52"/>
      <c r="AB125" s="52"/>
      <c r="AC125" s="52"/>
      <c r="AD125" s="52"/>
      <c r="AE125" s="52"/>
      <c r="AF125">
        <v>4</v>
      </c>
    </row>
    <row r="126" spans="1:32" s="51" customFormat="1" x14ac:dyDescent="0.25">
      <c r="A126" s="17">
        <v>122</v>
      </c>
      <c r="B126" s="17" t="s">
        <v>58</v>
      </c>
      <c r="C126" s="17" t="s">
        <v>59</v>
      </c>
      <c r="D126" s="17" t="s">
        <v>60</v>
      </c>
      <c r="E126" s="17" t="s">
        <v>60</v>
      </c>
      <c r="F126" s="52"/>
      <c r="G126" s="58" t="s">
        <v>108</v>
      </c>
      <c r="H126">
        <v>41.448877570000001</v>
      </c>
      <c r="I126">
        <v>2.180279203</v>
      </c>
      <c r="J126" s="52"/>
      <c r="K126" s="17" t="s">
        <v>66</v>
      </c>
      <c r="L126" s="52"/>
      <c r="M126" s="52"/>
      <c r="N126" s="52"/>
      <c r="O126" s="19" t="str">
        <f t="shared" si="3"/>
        <v>A_SP_BCN_27_231018</v>
      </c>
      <c r="P126" s="61">
        <v>45217</v>
      </c>
      <c r="Q126" s="62">
        <v>0.41666666666666669</v>
      </c>
      <c r="R126" s="22"/>
      <c r="S126" s="53">
        <v>45218</v>
      </c>
      <c r="T126" s="62">
        <v>0.41666666666666669</v>
      </c>
      <c r="U126" s="27"/>
      <c r="V126" s="25" t="s">
        <v>35</v>
      </c>
      <c r="W126" s="54"/>
      <c r="X126" s="17">
        <f t="shared" si="2"/>
        <v>1</v>
      </c>
      <c r="Y126" s="27"/>
      <c r="Z126" s="52"/>
      <c r="AA126" s="52"/>
      <c r="AB126" s="52"/>
      <c r="AC126" s="52"/>
      <c r="AD126" s="52"/>
      <c r="AE126" s="52"/>
      <c r="AF126">
        <v>4</v>
      </c>
    </row>
    <row r="127" spans="1:32" s="51" customFormat="1" x14ac:dyDescent="0.25">
      <c r="A127" s="17">
        <v>123</v>
      </c>
      <c r="B127" s="17" t="s">
        <v>58</v>
      </c>
      <c r="C127" s="17" t="s">
        <v>59</v>
      </c>
      <c r="D127" s="17" t="s">
        <v>60</v>
      </c>
      <c r="E127" s="17" t="s">
        <v>60</v>
      </c>
      <c r="F127" s="52"/>
      <c r="G127" s="58" t="s">
        <v>108</v>
      </c>
      <c r="H127">
        <v>41.448877570000001</v>
      </c>
      <c r="I127">
        <v>2.180279203</v>
      </c>
      <c r="J127" s="52"/>
      <c r="K127" s="17" t="s">
        <v>66</v>
      </c>
      <c r="L127" s="52"/>
      <c r="M127" s="52"/>
      <c r="N127" s="52"/>
      <c r="O127" s="19" t="str">
        <f t="shared" si="3"/>
        <v>A_SP_BCN_27_231022</v>
      </c>
      <c r="P127" s="61">
        <v>45221</v>
      </c>
      <c r="Q127" s="62">
        <v>0.41666666666666669</v>
      </c>
      <c r="R127" s="22"/>
      <c r="S127" s="53">
        <v>45222</v>
      </c>
      <c r="T127" s="62">
        <v>0.41666666666666669</v>
      </c>
      <c r="U127" s="27"/>
      <c r="V127" s="52" t="s">
        <v>109</v>
      </c>
      <c r="W127" s="54"/>
      <c r="X127" s="17">
        <f t="shared" si="2"/>
        <v>1</v>
      </c>
      <c r="Y127" s="27"/>
      <c r="Z127" s="52"/>
      <c r="AA127" s="52"/>
      <c r="AB127" s="52"/>
      <c r="AC127" s="52"/>
      <c r="AD127" s="52"/>
      <c r="AE127" s="52"/>
      <c r="AF127" s="51">
        <v>2</v>
      </c>
    </row>
    <row r="128" spans="1:32" s="51" customFormat="1" x14ac:dyDescent="0.25">
      <c r="A128" s="17">
        <v>124</v>
      </c>
      <c r="B128" s="17" t="s">
        <v>58</v>
      </c>
      <c r="C128" s="17" t="s">
        <v>59</v>
      </c>
      <c r="D128" s="17" t="s">
        <v>60</v>
      </c>
      <c r="E128" s="17" t="s">
        <v>60</v>
      </c>
      <c r="F128" s="52"/>
      <c r="G128" s="58" t="s">
        <v>108</v>
      </c>
      <c r="H128">
        <v>41.448877570000001</v>
      </c>
      <c r="I128">
        <v>2.180279203</v>
      </c>
      <c r="J128" s="52"/>
      <c r="K128" s="17" t="s">
        <v>66</v>
      </c>
      <c r="L128" s="52"/>
      <c r="M128" s="52"/>
      <c r="N128" s="52"/>
      <c r="O128" s="19" t="str">
        <f t="shared" si="3"/>
        <v>A_SP_BCN_27_231025</v>
      </c>
      <c r="P128" s="61">
        <v>45224</v>
      </c>
      <c r="Q128" s="62">
        <v>0.41666666666666669</v>
      </c>
      <c r="R128" s="22"/>
      <c r="S128" s="53">
        <v>45225</v>
      </c>
      <c r="T128" s="62">
        <v>0.41666666666666669</v>
      </c>
      <c r="U128" s="27"/>
      <c r="V128" s="25" t="s">
        <v>35</v>
      </c>
      <c r="W128" s="54"/>
      <c r="X128" s="17">
        <f t="shared" si="2"/>
        <v>1</v>
      </c>
      <c r="Y128" s="27"/>
      <c r="Z128" s="52"/>
      <c r="AA128" s="52"/>
      <c r="AB128" s="52"/>
      <c r="AC128" s="52"/>
      <c r="AD128" s="52"/>
      <c r="AE128" s="52"/>
      <c r="AF128">
        <v>4</v>
      </c>
    </row>
    <row r="129" spans="1:32" s="51" customFormat="1" x14ac:dyDescent="0.25">
      <c r="A129" s="17">
        <v>125</v>
      </c>
      <c r="B129" s="17" t="s">
        <v>58</v>
      </c>
      <c r="C129" s="17" t="s">
        <v>59</v>
      </c>
      <c r="D129" s="17" t="s">
        <v>60</v>
      </c>
      <c r="E129" s="17" t="s">
        <v>60</v>
      </c>
      <c r="F129" s="52"/>
      <c r="G129" s="58" t="s">
        <v>108</v>
      </c>
      <c r="H129">
        <v>41.448877570000001</v>
      </c>
      <c r="I129">
        <v>2.180279203</v>
      </c>
      <c r="J129" s="52"/>
      <c r="K129" s="17" t="s">
        <v>66</v>
      </c>
      <c r="L129" s="52"/>
      <c r="M129" s="52"/>
      <c r="N129" s="52"/>
      <c r="O129" s="19" t="str">
        <f t="shared" si="3"/>
        <v>A_SP_BCN_27_231029</v>
      </c>
      <c r="P129" s="61">
        <v>45228</v>
      </c>
      <c r="Q129" s="62">
        <v>0.375</v>
      </c>
      <c r="R129" s="22"/>
      <c r="S129" s="53">
        <v>45229</v>
      </c>
      <c r="T129" s="55">
        <v>0.375</v>
      </c>
      <c r="U129" s="27"/>
      <c r="V129" s="25" t="s">
        <v>35</v>
      </c>
      <c r="W129" s="54"/>
      <c r="X129" s="17">
        <f t="shared" si="2"/>
        <v>1</v>
      </c>
      <c r="Y129" s="27"/>
      <c r="Z129" s="52"/>
      <c r="AA129" s="52"/>
      <c r="AB129" s="52"/>
      <c r="AC129" s="52"/>
      <c r="AD129" s="52"/>
      <c r="AE129" s="52"/>
      <c r="AF129">
        <v>4</v>
      </c>
    </row>
    <row r="130" spans="1:32" s="51" customFormat="1" x14ac:dyDescent="0.25">
      <c r="A130" s="17">
        <v>126</v>
      </c>
      <c r="B130" s="17" t="s">
        <v>58</v>
      </c>
      <c r="C130" s="17" t="s">
        <v>59</v>
      </c>
      <c r="D130" s="17" t="s">
        <v>60</v>
      </c>
      <c r="E130" s="17" t="s">
        <v>60</v>
      </c>
      <c r="F130" s="52"/>
      <c r="G130" s="58" t="s">
        <v>108</v>
      </c>
      <c r="H130">
        <v>41.448877570000001</v>
      </c>
      <c r="I130">
        <v>2.180279203</v>
      </c>
      <c r="J130" s="52"/>
      <c r="K130" s="17" t="s">
        <v>66</v>
      </c>
      <c r="L130" s="52"/>
      <c r="M130" s="52"/>
      <c r="N130" s="52"/>
      <c r="O130" s="19" t="str">
        <f t="shared" si="3"/>
        <v>A_SP_BCN_27_231030</v>
      </c>
      <c r="P130" s="53">
        <v>45229</v>
      </c>
      <c r="Q130" s="62">
        <v>0.79166666666666663</v>
      </c>
      <c r="R130" s="22"/>
      <c r="S130" s="53">
        <v>45244</v>
      </c>
      <c r="T130" s="55">
        <v>0.83333333333333337</v>
      </c>
      <c r="U130" s="27"/>
      <c r="V130" s="25" t="s">
        <v>35</v>
      </c>
      <c r="W130" s="54"/>
      <c r="X130" s="17">
        <f t="shared" si="2"/>
        <v>15</v>
      </c>
      <c r="Y130" s="27"/>
      <c r="Z130" s="52"/>
      <c r="AA130" s="52"/>
      <c r="AB130" s="52"/>
      <c r="AC130" s="52"/>
      <c r="AD130" s="52"/>
      <c r="AE130" s="52"/>
      <c r="AF130">
        <v>4</v>
      </c>
    </row>
    <row r="131" spans="1:32" s="51" customFormat="1" x14ac:dyDescent="0.25">
      <c r="A131" s="17">
        <v>127</v>
      </c>
      <c r="B131" s="17" t="s">
        <v>58</v>
      </c>
      <c r="C131" s="17" t="s">
        <v>59</v>
      </c>
      <c r="D131" s="17" t="s">
        <v>60</v>
      </c>
      <c r="E131" s="17" t="s">
        <v>60</v>
      </c>
      <c r="F131" s="52"/>
      <c r="G131" s="58" t="s">
        <v>108</v>
      </c>
      <c r="H131">
        <v>41.448877570000001</v>
      </c>
      <c r="I131">
        <v>2.180279203</v>
      </c>
      <c r="J131" s="52"/>
      <c r="K131" s="17" t="s">
        <v>66</v>
      </c>
      <c r="L131" s="52"/>
      <c r="M131" s="52"/>
      <c r="N131" s="52"/>
      <c r="O131" s="19" t="str">
        <f t="shared" si="3"/>
        <v>A_SP_BCN_27_231115</v>
      </c>
      <c r="P131" s="61">
        <v>45245</v>
      </c>
      <c r="Q131" s="55">
        <v>0.375</v>
      </c>
      <c r="R131" s="22"/>
      <c r="S131" s="53">
        <v>45246</v>
      </c>
      <c r="T131" s="55">
        <v>0.375</v>
      </c>
      <c r="U131" s="27"/>
      <c r="V131" s="25" t="s">
        <v>35</v>
      </c>
      <c r="W131" s="54"/>
      <c r="X131" s="17">
        <f t="shared" si="2"/>
        <v>1</v>
      </c>
      <c r="Y131" s="27"/>
      <c r="Z131" s="52"/>
      <c r="AA131" s="52"/>
      <c r="AB131" s="52"/>
      <c r="AC131" s="52"/>
      <c r="AD131" s="52"/>
      <c r="AE131" s="52"/>
      <c r="AF131">
        <v>4</v>
      </c>
    </row>
    <row r="132" spans="1:32" s="51" customFormat="1" x14ac:dyDescent="0.25">
      <c r="A132" s="17">
        <v>128</v>
      </c>
      <c r="B132" s="17" t="s">
        <v>58</v>
      </c>
      <c r="C132" s="17" t="s">
        <v>59</v>
      </c>
      <c r="D132" s="17" t="s">
        <v>60</v>
      </c>
      <c r="E132" s="17" t="s">
        <v>60</v>
      </c>
      <c r="F132" s="52"/>
      <c r="G132" s="58" t="s">
        <v>108</v>
      </c>
      <c r="H132">
        <v>41.448877570000001</v>
      </c>
      <c r="I132">
        <v>2.180279203</v>
      </c>
      <c r="J132" s="52"/>
      <c r="K132" s="17" t="s">
        <v>66</v>
      </c>
      <c r="L132" s="52"/>
      <c r="M132" s="52"/>
      <c r="N132" s="52"/>
      <c r="O132" s="19" t="str">
        <f t="shared" si="3"/>
        <v>A_SP_BCN_27_231120</v>
      </c>
      <c r="P132" s="61">
        <v>45250</v>
      </c>
      <c r="Q132" s="55">
        <v>0.875</v>
      </c>
      <c r="R132" s="22"/>
      <c r="S132" s="53">
        <v>45251</v>
      </c>
      <c r="T132" s="55">
        <v>0.875</v>
      </c>
      <c r="U132" s="27"/>
      <c r="V132" s="25" t="s">
        <v>35</v>
      </c>
      <c r="W132" s="54"/>
      <c r="X132" s="17">
        <f t="shared" si="2"/>
        <v>1</v>
      </c>
      <c r="Y132" s="27"/>
      <c r="Z132" s="52"/>
      <c r="AA132" s="52"/>
      <c r="AB132" s="52"/>
      <c r="AC132" s="52"/>
      <c r="AD132" s="52"/>
      <c r="AE132" s="52"/>
      <c r="AF132">
        <v>4</v>
      </c>
    </row>
    <row r="133" spans="1:32" s="51" customFormat="1" x14ac:dyDescent="0.25">
      <c r="A133" s="17">
        <v>129</v>
      </c>
      <c r="B133" s="17" t="s">
        <v>58</v>
      </c>
      <c r="C133" s="17" t="s">
        <v>59</v>
      </c>
      <c r="D133" s="17" t="s">
        <v>60</v>
      </c>
      <c r="E133" s="17" t="s">
        <v>60</v>
      </c>
      <c r="F133" s="52"/>
      <c r="G133" s="58" t="s">
        <v>108</v>
      </c>
      <c r="H133">
        <v>41.448877570000001</v>
      </c>
      <c r="I133">
        <v>2.180279203</v>
      </c>
      <c r="J133" s="52"/>
      <c r="K133" s="17" t="s">
        <v>66</v>
      </c>
      <c r="L133" s="52"/>
      <c r="M133" s="52"/>
      <c r="N133" s="52"/>
      <c r="O133" s="19" t="str">
        <f t="shared" si="3"/>
        <v>A_SP_BCN_27_231123</v>
      </c>
      <c r="P133" s="61">
        <v>45253</v>
      </c>
      <c r="Q133" s="55">
        <v>0.375</v>
      </c>
      <c r="R133" s="22"/>
      <c r="S133" s="53">
        <v>45254</v>
      </c>
      <c r="T133" s="55">
        <v>0.375</v>
      </c>
      <c r="U133" s="27"/>
      <c r="V133" s="25" t="s">
        <v>35</v>
      </c>
      <c r="W133" s="54"/>
      <c r="X133" s="17">
        <f t="shared" ref="X133:X196" si="4">S133-P133</f>
        <v>1</v>
      </c>
      <c r="Y133" s="27"/>
      <c r="Z133" s="52"/>
      <c r="AA133" s="52"/>
      <c r="AB133" s="52"/>
      <c r="AC133" s="52"/>
      <c r="AD133" s="52"/>
      <c r="AE133" s="52"/>
      <c r="AF133">
        <v>4</v>
      </c>
    </row>
    <row r="134" spans="1:32" s="51" customFormat="1" x14ac:dyDescent="0.25">
      <c r="A134" s="17">
        <v>130</v>
      </c>
      <c r="B134" s="17" t="s">
        <v>58</v>
      </c>
      <c r="C134" s="17" t="s">
        <v>59</v>
      </c>
      <c r="D134" s="17" t="s">
        <v>60</v>
      </c>
      <c r="E134" s="17" t="s">
        <v>60</v>
      </c>
      <c r="F134" s="52"/>
      <c r="G134" s="58" t="s">
        <v>108</v>
      </c>
      <c r="H134">
        <v>41.448877570000001</v>
      </c>
      <c r="I134">
        <v>2.180279203</v>
      </c>
      <c r="J134" s="52"/>
      <c r="K134" s="17" t="s">
        <v>66</v>
      </c>
      <c r="L134" s="52"/>
      <c r="M134" s="52"/>
      <c r="N134" s="52"/>
      <c r="O134" s="19" t="str">
        <f t="shared" ref="O134:O197" si="5">G134&amp;"_"&amp;TEXT(P134,"AAMMDD")</f>
        <v>A_SP_BCN_27_231127</v>
      </c>
      <c r="P134" s="61">
        <v>45257</v>
      </c>
      <c r="Q134" s="55">
        <v>0.375</v>
      </c>
      <c r="R134" s="22"/>
      <c r="S134" s="53">
        <v>45258</v>
      </c>
      <c r="T134" s="55">
        <v>0.375</v>
      </c>
      <c r="U134" s="27"/>
      <c r="V134" s="25" t="s">
        <v>35</v>
      </c>
      <c r="W134" s="54"/>
      <c r="X134" s="17">
        <f t="shared" si="4"/>
        <v>1</v>
      </c>
      <c r="Y134" s="27"/>
      <c r="Z134" s="52"/>
      <c r="AA134" s="52"/>
      <c r="AB134" s="52"/>
      <c r="AC134" s="52"/>
      <c r="AD134" s="52"/>
      <c r="AE134" s="52"/>
      <c r="AF134">
        <v>4</v>
      </c>
    </row>
    <row r="135" spans="1:32" s="51" customFormat="1" x14ac:dyDescent="0.25">
      <c r="A135" s="17">
        <v>131</v>
      </c>
      <c r="B135" s="17" t="s">
        <v>58</v>
      </c>
      <c r="C135" s="17" t="s">
        <v>59</v>
      </c>
      <c r="D135" s="17" t="s">
        <v>60</v>
      </c>
      <c r="E135" s="17" t="s">
        <v>60</v>
      </c>
      <c r="F135" s="52"/>
      <c r="G135" s="58" t="s">
        <v>108</v>
      </c>
      <c r="H135">
        <v>41.448877570000001</v>
      </c>
      <c r="I135">
        <v>2.180279203</v>
      </c>
      <c r="J135" s="52"/>
      <c r="K135" s="17" t="s">
        <v>66</v>
      </c>
      <c r="L135" s="52"/>
      <c r="M135" s="52"/>
      <c r="N135" s="52"/>
      <c r="O135" s="19" t="str">
        <f t="shared" si="5"/>
        <v>A_SP_BCN_27_231130</v>
      </c>
      <c r="P135" s="61">
        <v>45260</v>
      </c>
      <c r="Q135" s="55">
        <v>0.375</v>
      </c>
      <c r="R135" s="22"/>
      <c r="S135" s="53">
        <v>45261</v>
      </c>
      <c r="T135" s="55">
        <v>0.375</v>
      </c>
      <c r="U135" s="27"/>
      <c r="V135" s="25" t="s">
        <v>35</v>
      </c>
      <c r="W135" s="54"/>
      <c r="X135" s="17">
        <f t="shared" si="4"/>
        <v>1</v>
      </c>
      <c r="Y135" s="27"/>
      <c r="Z135" s="52"/>
      <c r="AA135" s="52"/>
      <c r="AB135" s="52"/>
      <c r="AC135" s="52"/>
      <c r="AD135" s="52"/>
      <c r="AE135" s="52"/>
      <c r="AF135">
        <v>4</v>
      </c>
    </row>
    <row r="136" spans="1:32" s="51" customFormat="1" x14ac:dyDescent="0.25">
      <c r="A136" s="17">
        <v>132</v>
      </c>
      <c r="B136" s="17" t="s">
        <v>58</v>
      </c>
      <c r="C136" s="17" t="s">
        <v>59</v>
      </c>
      <c r="D136" s="17" t="s">
        <v>60</v>
      </c>
      <c r="E136" s="17" t="s">
        <v>60</v>
      </c>
      <c r="F136" s="52"/>
      <c r="G136" s="58" t="s">
        <v>110</v>
      </c>
      <c r="H136">
        <v>41.460514080000003</v>
      </c>
      <c r="I136">
        <v>2.1699510970000002</v>
      </c>
      <c r="J136" s="52"/>
      <c r="K136" s="17" t="s">
        <v>66</v>
      </c>
      <c r="L136" s="52"/>
      <c r="M136" s="52"/>
      <c r="N136" s="52"/>
      <c r="O136" s="19" t="str">
        <f t="shared" si="5"/>
        <v>A_SP_BCN_28_231015</v>
      </c>
      <c r="P136" s="61">
        <v>45214</v>
      </c>
      <c r="Q136" s="62">
        <v>0.41666666666666669</v>
      </c>
      <c r="R136" s="22"/>
      <c r="S136" s="53">
        <v>45215</v>
      </c>
      <c r="T136" s="62">
        <v>0.41666666666666669</v>
      </c>
      <c r="U136" s="27"/>
      <c r="V136" s="52" t="s">
        <v>113</v>
      </c>
      <c r="W136" s="54"/>
      <c r="X136" s="17">
        <f t="shared" si="4"/>
        <v>1</v>
      </c>
      <c r="Y136" s="27"/>
      <c r="Z136" s="52"/>
      <c r="AA136" s="52"/>
      <c r="AB136" s="52"/>
      <c r="AC136" s="52"/>
      <c r="AD136" s="52"/>
      <c r="AE136" s="52"/>
      <c r="AF136" s="51">
        <v>1</v>
      </c>
    </row>
    <row r="137" spans="1:32" s="51" customFormat="1" x14ac:dyDescent="0.25">
      <c r="A137" s="17">
        <v>133</v>
      </c>
      <c r="B137" s="17" t="s">
        <v>58</v>
      </c>
      <c r="C137" s="17" t="s">
        <v>59</v>
      </c>
      <c r="D137" s="17" t="s">
        <v>60</v>
      </c>
      <c r="E137" s="17" t="s">
        <v>60</v>
      </c>
      <c r="F137" s="52"/>
      <c r="G137" s="58" t="s">
        <v>110</v>
      </c>
      <c r="H137">
        <v>41.460514080000003</v>
      </c>
      <c r="I137">
        <v>2.1699510970000002</v>
      </c>
      <c r="J137" s="52"/>
      <c r="K137" s="17" t="s">
        <v>66</v>
      </c>
      <c r="L137" s="52"/>
      <c r="M137" s="52"/>
      <c r="N137" s="52"/>
      <c r="O137" s="19" t="str">
        <f t="shared" si="5"/>
        <v>A_SP_BCN_28_231018</v>
      </c>
      <c r="P137" s="61">
        <v>45217</v>
      </c>
      <c r="Q137" s="62">
        <v>0.41666666666666669</v>
      </c>
      <c r="R137" s="22"/>
      <c r="S137" s="53">
        <v>45218</v>
      </c>
      <c r="T137" s="62">
        <v>0.41666666666666669</v>
      </c>
      <c r="U137" s="27"/>
      <c r="V137" s="25" t="s">
        <v>35</v>
      </c>
      <c r="W137" s="54"/>
      <c r="X137" s="17">
        <f t="shared" si="4"/>
        <v>1</v>
      </c>
      <c r="Y137" s="27"/>
      <c r="Z137" s="52"/>
      <c r="AA137" s="52"/>
      <c r="AB137" s="52"/>
      <c r="AC137" s="52"/>
      <c r="AD137" s="52"/>
      <c r="AE137" s="52"/>
      <c r="AF137">
        <v>4</v>
      </c>
    </row>
    <row r="138" spans="1:32" s="51" customFormat="1" x14ac:dyDescent="0.25">
      <c r="A138" s="17">
        <v>134</v>
      </c>
      <c r="B138" s="17" t="s">
        <v>58</v>
      </c>
      <c r="C138" s="17" t="s">
        <v>59</v>
      </c>
      <c r="D138" s="17" t="s">
        <v>60</v>
      </c>
      <c r="E138" s="17" t="s">
        <v>60</v>
      </c>
      <c r="F138" s="52"/>
      <c r="G138" s="58" t="s">
        <v>110</v>
      </c>
      <c r="H138">
        <v>41.460514080000003</v>
      </c>
      <c r="I138">
        <v>2.1699510970000002</v>
      </c>
      <c r="J138" s="52"/>
      <c r="K138" s="17" t="s">
        <v>66</v>
      </c>
      <c r="L138" s="52"/>
      <c r="M138" s="52"/>
      <c r="N138" s="52"/>
      <c r="O138" s="19" t="str">
        <f t="shared" si="5"/>
        <v>A_SP_BCN_28_231022</v>
      </c>
      <c r="P138" s="61">
        <v>45221</v>
      </c>
      <c r="Q138" s="62">
        <v>0.41666666666666669</v>
      </c>
      <c r="R138" s="22"/>
      <c r="S138" s="53">
        <v>45222</v>
      </c>
      <c r="T138" s="62">
        <v>0.41666666666666669</v>
      </c>
      <c r="U138" s="27"/>
      <c r="V138" s="25" t="s">
        <v>35</v>
      </c>
      <c r="W138" s="54"/>
      <c r="X138" s="17">
        <f t="shared" si="4"/>
        <v>1</v>
      </c>
      <c r="Y138" s="27"/>
      <c r="Z138" s="52"/>
      <c r="AA138" s="52"/>
      <c r="AB138" s="52"/>
      <c r="AC138" s="52"/>
      <c r="AD138" s="52"/>
      <c r="AE138" s="52"/>
      <c r="AF138">
        <v>4</v>
      </c>
    </row>
    <row r="139" spans="1:32" s="51" customFormat="1" x14ac:dyDescent="0.25">
      <c r="A139" s="17">
        <v>135</v>
      </c>
      <c r="B139" s="17" t="s">
        <v>58</v>
      </c>
      <c r="C139" s="17" t="s">
        <v>59</v>
      </c>
      <c r="D139" s="17" t="s">
        <v>60</v>
      </c>
      <c r="E139" s="17" t="s">
        <v>60</v>
      </c>
      <c r="F139" s="52"/>
      <c r="G139" s="58" t="s">
        <v>110</v>
      </c>
      <c r="H139">
        <v>41.460514080000003</v>
      </c>
      <c r="I139">
        <v>2.1699510970000002</v>
      </c>
      <c r="J139" s="52"/>
      <c r="K139" s="17" t="s">
        <v>66</v>
      </c>
      <c r="L139" s="52"/>
      <c r="M139" s="52"/>
      <c r="N139" s="52"/>
      <c r="O139" s="19" t="str">
        <f t="shared" si="5"/>
        <v>A_SP_BCN_28_231025</v>
      </c>
      <c r="P139" s="61">
        <v>45224</v>
      </c>
      <c r="Q139" s="62">
        <v>0.41666666666666669</v>
      </c>
      <c r="R139" s="22"/>
      <c r="S139" s="53">
        <v>45225</v>
      </c>
      <c r="T139" s="62">
        <v>0.41666666666666669</v>
      </c>
      <c r="U139" s="27"/>
      <c r="V139" s="25" t="s">
        <v>35</v>
      </c>
      <c r="W139" s="54"/>
      <c r="X139" s="17">
        <f t="shared" si="4"/>
        <v>1</v>
      </c>
      <c r="Y139" s="27"/>
      <c r="Z139" s="52"/>
      <c r="AA139" s="52"/>
      <c r="AB139" s="52"/>
      <c r="AC139" s="52"/>
      <c r="AD139" s="52"/>
      <c r="AE139" s="52"/>
      <c r="AF139">
        <v>4</v>
      </c>
    </row>
    <row r="140" spans="1:32" s="51" customFormat="1" x14ac:dyDescent="0.25">
      <c r="A140" s="17">
        <v>136</v>
      </c>
      <c r="B140" s="17" t="s">
        <v>58</v>
      </c>
      <c r="C140" s="17" t="s">
        <v>59</v>
      </c>
      <c r="D140" s="17" t="s">
        <v>60</v>
      </c>
      <c r="E140" s="17" t="s">
        <v>60</v>
      </c>
      <c r="F140" s="52"/>
      <c r="G140" s="58" t="s">
        <v>110</v>
      </c>
      <c r="H140">
        <v>41.460514080000003</v>
      </c>
      <c r="I140">
        <v>2.1699510970000002</v>
      </c>
      <c r="J140" s="52"/>
      <c r="K140" s="17" t="s">
        <v>66</v>
      </c>
      <c r="L140" s="52"/>
      <c r="M140" s="52"/>
      <c r="N140" s="52"/>
      <c r="O140" s="19" t="str">
        <f t="shared" si="5"/>
        <v>A_SP_BCN_28_231029</v>
      </c>
      <c r="P140" s="61">
        <v>45228</v>
      </c>
      <c r="Q140" s="62">
        <v>0.375</v>
      </c>
      <c r="R140" s="22"/>
      <c r="S140" s="53">
        <v>45244</v>
      </c>
      <c r="T140" s="55">
        <v>0.82291666666666663</v>
      </c>
      <c r="U140" s="27"/>
      <c r="V140" s="52"/>
      <c r="W140" s="54"/>
      <c r="X140" s="17">
        <f t="shared" si="4"/>
        <v>16</v>
      </c>
      <c r="Y140" s="27"/>
      <c r="Z140" s="52"/>
      <c r="AA140" s="52"/>
      <c r="AB140" s="52"/>
      <c r="AC140" s="52"/>
      <c r="AD140" s="52"/>
      <c r="AE140" s="52"/>
      <c r="AF140">
        <v>4</v>
      </c>
    </row>
    <row r="141" spans="1:32" s="51" customFormat="1" x14ac:dyDescent="0.25">
      <c r="A141" s="17">
        <v>137</v>
      </c>
      <c r="B141" s="17" t="s">
        <v>58</v>
      </c>
      <c r="C141" s="17" t="s">
        <v>59</v>
      </c>
      <c r="D141" s="17" t="s">
        <v>60</v>
      </c>
      <c r="E141" s="17" t="s">
        <v>60</v>
      </c>
      <c r="F141" s="52"/>
      <c r="G141" s="58" t="s">
        <v>110</v>
      </c>
      <c r="H141">
        <v>41.460514080000003</v>
      </c>
      <c r="I141">
        <v>2.1699510970000002</v>
      </c>
      <c r="J141" s="52"/>
      <c r="K141" s="17" t="s">
        <v>66</v>
      </c>
      <c r="L141" s="52"/>
      <c r="M141" s="52"/>
      <c r="N141" s="52"/>
      <c r="O141" s="19" t="str">
        <f t="shared" si="5"/>
        <v>A_SP_BCN_28_231115</v>
      </c>
      <c r="P141" s="61">
        <v>45245</v>
      </c>
      <c r="Q141" s="55">
        <v>0.375</v>
      </c>
      <c r="R141" s="22"/>
      <c r="S141" s="53">
        <v>45246</v>
      </c>
      <c r="T141" s="55">
        <v>0.375</v>
      </c>
      <c r="U141" s="27"/>
      <c r="V141" s="25" t="s">
        <v>35</v>
      </c>
      <c r="W141" s="54"/>
      <c r="X141" s="17">
        <f t="shared" si="4"/>
        <v>1</v>
      </c>
      <c r="Y141" s="27"/>
      <c r="Z141" s="52"/>
      <c r="AA141" s="52"/>
      <c r="AB141" s="52"/>
      <c r="AC141" s="52"/>
      <c r="AD141" s="52"/>
      <c r="AE141" s="52"/>
      <c r="AF141">
        <v>4</v>
      </c>
    </row>
    <row r="142" spans="1:32" s="51" customFormat="1" x14ac:dyDescent="0.25">
      <c r="A142" s="17">
        <v>138</v>
      </c>
      <c r="B142" s="17" t="s">
        <v>58</v>
      </c>
      <c r="C142" s="17" t="s">
        <v>59</v>
      </c>
      <c r="D142" s="17" t="s">
        <v>60</v>
      </c>
      <c r="E142" s="17" t="s">
        <v>60</v>
      </c>
      <c r="F142" s="52"/>
      <c r="G142" s="58" t="s">
        <v>110</v>
      </c>
      <c r="H142">
        <v>41.460514080000003</v>
      </c>
      <c r="I142">
        <v>2.1699510970000002</v>
      </c>
      <c r="J142" s="52"/>
      <c r="K142" s="17" t="s">
        <v>66</v>
      </c>
      <c r="L142" s="52"/>
      <c r="M142" s="52"/>
      <c r="N142" s="52"/>
      <c r="O142" s="19" t="str">
        <f t="shared" si="5"/>
        <v>A_SP_BCN_28_231120</v>
      </c>
      <c r="P142" s="61">
        <v>45250</v>
      </c>
      <c r="Q142" s="55">
        <v>0.8125</v>
      </c>
      <c r="R142" s="22"/>
      <c r="S142" s="53">
        <v>45251</v>
      </c>
      <c r="T142" s="55">
        <v>0.8125</v>
      </c>
      <c r="U142" s="27"/>
      <c r="V142" s="25" t="s">
        <v>35</v>
      </c>
      <c r="W142" s="54"/>
      <c r="X142" s="17">
        <f t="shared" si="4"/>
        <v>1</v>
      </c>
      <c r="Y142" s="27"/>
      <c r="Z142" s="52"/>
      <c r="AA142" s="52"/>
      <c r="AB142" s="52"/>
      <c r="AC142" s="52"/>
      <c r="AD142" s="52"/>
      <c r="AE142" s="52"/>
      <c r="AF142">
        <v>4</v>
      </c>
    </row>
    <row r="143" spans="1:32" s="51" customFormat="1" x14ac:dyDescent="0.25">
      <c r="A143" s="17">
        <v>139</v>
      </c>
      <c r="B143" s="17" t="s">
        <v>58</v>
      </c>
      <c r="C143" s="17" t="s">
        <v>59</v>
      </c>
      <c r="D143" s="17" t="s">
        <v>60</v>
      </c>
      <c r="E143" s="17" t="s">
        <v>60</v>
      </c>
      <c r="F143" s="52"/>
      <c r="G143" s="58" t="s">
        <v>110</v>
      </c>
      <c r="H143">
        <v>41.460514080000003</v>
      </c>
      <c r="I143">
        <v>2.1699510970000002</v>
      </c>
      <c r="J143" s="52"/>
      <c r="K143" s="17" t="s">
        <v>66</v>
      </c>
      <c r="L143" s="52"/>
      <c r="M143" s="52"/>
      <c r="N143" s="52"/>
      <c r="O143" s="19" t="str">
        <f t="shared" si="5"/>
        <v>A_SP_BCN_28_231122</v>
      </c>
      <c r="P143" s="61">
        <v>45252</v>
      </c>
      <c r="Q143" s="55">
        <v>0.375</v>
      </c>
      <c r="R143" s="22"/>
      <c r="S143" s="53">
        <v>45253</v>
      </c>
      <c r="T143" s="55">
        <v>0.375</v>
      </c>
      <c r="U143" s="27"/>
      <c r="V143" s="25" t="s">
        <v>35</v>
      </c>
      <c r="W143" s="54"/>
      <c r="X143" s="17">
        <f t="shared" si="4"/>
        <v>1</v>
      </c>
      <c r="Y143" s="27"/>
      <c r="Z143" s="52"/>
      <c r="AA143" s="52"/>
      <c r="AB143" s="52"/>
      <c r="AC143" s="52"/>
      <c r="AD143" s="52"/>
      <c r="AE143" s="52"/>
      <c r="AF143">
        <v>4</v>
      </c>
    </row>
    <row r="144" spans="1:32" s="51" customFormat="1" x14ac:dyDescent="0.25">
      <c r="A144" s="17">
        <v>140</v>
      </c>
      <c r="B144" s="17" t="s">
        <v>58</v>
      </c>
      <c r="C144" s="17" t="s">
        <v>59</v>
      </c>
      <c r="D144" s="17" t="s">
        <v>60</v>
      </c>
      <c r="E144" s="17" t="s">
        <v>60</v>
      </c>
      <c r="F144" s="52"/>
      <c r="G144" s="58" t="s">
        <v>110</v>
      </c>
      <c r="H144">
        <v>41.460514080000003</v>
      </c>
      <c r="I144">
        <v>2.1699510970000002</v>
      </c>
      <c r="J144" s="52"/>
      <c r="K144" s="17" t="s">
        <v>66</v>
      </c>
      <c r="L144" s="52"/>
      <c r="M144" s="52"/>
      <c r="N144" s="52"/>
      <c r="O144" s="19" t="str">
        <f t="shared" si="5"/>
        <v>A_SP_BCN_28_231127</v>
      </c>
      <c r="P144" s="61">
        <v>45257</v>
      </c>
      <c r="Q144" s="55">
        <v>0.71527777777777779</v>
      </c>
      <c r="R144" s="22"/>
      <c r="S144" s="53">
        <v>45258</v>
      </c>
      <c r="T144" s="55">
        <v>0.71527777777777779</v>
      </c>
      <c r="U144" s="27"/>
      <c r="V144" s="25" t="s">
        <v>35</v>
      </c>
      <c r="W144" s="54"/>
      <c r="X144" s="17">
        <f t="shared" si="4"/>
        <v>1</v>
      </c>
      <c r="Y144" s="27"/>
      <c r="Z144" s="52"/>
      <c r="AA144" s="52"/>
      <c r="AB144" s="52"/>
      <c r="AC144" s="52"/>
      <c r="AD144" s="52"/>
      <c r="AE144" s="52"/>
      <c r="AF144">
        <v>4</v>
      </c>
    </row>
    <row r="145" spans="1:32" s="51" customFormat="1" x14ac:dyDescent="0.25">
      <c r="A145" s="17">
        <v>141</v>
      </c>
      <c r="B145" s="17" t="s">
        <v>58</v>
      </c>
      <c r="C145" s="17" t="s">
        <v>59</v>
      </c>
      <c r="D145" s="17" t="s">
        <v>60</v>
      </c>
      <c r="E145" s="17" t="s">
        <v>60</v>
      </c>
      <c r="F145" s="52"/>
      <c r="G145" s="58" t="s">
        <v>110</v>
      </c>
      <c r="H145">
        <v>41.460514080000003</v>
      </c>
      <c r="I145">
        <v>2.1699510970000002</v>
      </c>
      <c r="J145" s="52"/>
      <c r="K145" s="17" t="s">
        <v>66</v>
      </c>
      <c r="L145" s="52"/>
      <c r="M145" s="52"/>
      <c r="N145" s="52"/>
      <c r="O145" s="19" t="str">
        <f t="shared" si="5"/>
        <v>A_SP_BCN_28_231130</v>
      </c>
      <c r="P145" s="61">
        <v>45260</v>
      </c>
      <c r="Q145" s="55">
        <v>0.375</v>
      </c>
      <c r="R145" s="22"/>
      <c r="S145" s="53">
        <v>45261</v>
      </c>
      <c r="T145" s="55">
        <v>0.375</v>
      </c>
      <c r="U145" s="27"/>
      <c r="V145" s="25" t="s">
        <v>35</v>
      </c>
      <c r="W145" s="54"/>
      <c r="X145" s="17">
        <f t="shared" si="4"/>
        <v>1</v>
      </c>
      <c r="Y145" s="27"/>
      <c r="Z145" s="52"/>
      <c r="AA145" s="52"/>
      <c r="AB145" s="52"/>
      <c r="AC145" s="52"/>
      <c r="AD145" s="52"/>
      <c r="AE145" s="52"/>
      <c r="AF145">
        <v>4</v>
      </c>
    </row>
    <row r="146" spans="1:32" s="51" customFormat="1" x14ac:dyDescent="0.25">
      <c r="A146" s="17">
        <v>142</v>
      </c>
      <c r="B146" s="17" t="s">
        <v>58</v>
      </c>
      <c r="C146" s="17" t="s">
        <v>59</v>
      </c>
      <c r="D146" s="17" t="s">
        <v>60</v>
      </c>
      <c r="E146" s="17" t="s">
        <v>60</v>
      </c>
      <c r="F146" s="52"/>
      <c r="G146" s="58" t="s">
        <v>114</v>
      </c>
      <c r="H146">
        <v>41.396274929999997</v>
      </c>
      <c r="I146">
        <v>2.1826391539999999</v>
      </c>
      <c r="J146" s="52"/>
      <c r="K146" s="17" t="s">
        <v>66</v>
      </c>
      <c r="L146" s="52"/>
      <c r="M146" s="52"/>
      <c r="N146" s="52"/>
      <c r="O146" s="19" t="str">
        <f t="shared" si="5"/>
        <v>A_SP_BCN_29_231008</v>
      </c>
      <c r="P146" s="61">
        <v>45207</v>
      </c>
      <c r="Q146" s="62">
        <v>0.41666666666666669</v>
      </c>
      <c r="R146" s="22"/>
      <c r="S146" s="53">
        <v>45208</v>
      </c>
      <c r="T146" s="62">
        <v>0.41666666666666669</v>
      </c>
      <c r="U146" s="27"/>
      <c r="V146" s="52" t="s">
        <v>115</v>
      </c>
      <c r="W146" s="54"/>
      <c r="X146" s="17">
        <f t="shared" si="4"/>
        <v>1</v>
      </c>
      <c r="Y146" s="27"/>
      <c r="Z146" s="52"/>
      <c r="AA146" s="52"/>
      <c r="AB146" s="52"/>
      <c r="AC146" s="52"/>
      <c r="AD146" s="52"/>
      <c r="AE146" s="52"/>
      <c r="AF146" s="51">
        <v>1</v>
      </c>
    </row>
    <row r="147" spans="1:32" s="51" customFormat="1" x14ac:dyDescent="0.25">
      <c r="A147" s="17">
        <v>143</v>
      </c>
      <c r="B147" s="17" t="s">
        <v>58</v>
      </c>
      <c r="C147" s="17" t="s">
        <v>59</v>
      </c>
      <c r="D147" s="17" t="s">
        <v>60</v>
      </c>
      <c r="E147" s="17" t="s">
        <v>60</v>
      </c>
      <c r="F147" s="52"/>
      <c r="G147" s="58" t="s">
        <v>114</v>
      </c>
      <c r="H147">
        <v>41.396274929999997</v>
      </c>
      <c r="I147">
        <v>2.1826391539999999</v>
      </c>
      <c r="J147" s="52"/>
      <c r="K147" s="17" t="s">
        <v>66</v>
      </c>
      <c r="L147" s="52"/>
      <c r="M147" s="52"/>
      <c r="N147" s="52"/>
      <c r="O147" s="19" t="str">
        <f t="shared" si="5"/>
        <v>A_SP_BCN_29_231010</v>
      </c>
      <c r="P147" s="61">
        <v>45209</v>
      </c>
      <c r="Q147" s="62">
        <v>0.41666666666666669</v>
      </c>
      <c r="R147" s="22"/>
      <c r="S147" s="53">
        <v>45210</v>
      </c>
      <c r="T147" s="62">
        <v>0.41666666666666669</v>
      </c>
      <c r="U147" s="27"/>
      <c r="V147" s="52" t="s">
        <v>115</v>
      </c>
      <c r="W147" s="54"/>
      <c r="X147" s="17">
        <f t="shared" si="4"/>
        <v>1</v>
      </c>
      <c r="Y147" s="27"/>
      <c r="Z147" s="52"/>
      <c r="AA147" s="52"/>
      <c r="AB147" s="52"/>
      <c r="AC147" s="52"/>
      <c r="AD147" s="52"/>
      <c r="AE147" s="52"/>
      <c r="AF147" s="51">
        <v>2</v>
      </c>
    </row>
    <row r="148" spans="1:32" s="51" customFormat="1" x14ac:dyDescent="0.25">
      <c r="A148" s="17">
        <v>144</v>
      </c>
      <c r="B148" s="17" t="s">
        <v>58</v>
      </c>
      <c r="C148" s="17" t="s">
        <v>59</v>
      </c>
      <c r="D148" s="17" t="s">
        <v>60</v>
      </c>
      <c r="E148" s="17" t="s">
        <v>60</v>
      </c>
      <c r="F148" s="52"/>
      <c r="G148" s="58" t="s">
        <v>114</v>
      </c>
      <c r="H148">
        <v>41.396274929999997</v>
      </c>
      <c r="I148">
        <v>2.1826391539999999</v>
      </c>
      <c r="J148" s="52"/>
      <c r="K148" s="17" t="s">
        <v>66</v>
      </c>
      <c r="L148" s="52"/>
      <c r="M148" s="52"/>
      <c r="N148" s="52"/>
      <c r="O148" s="19" t="str">
        <f t="shared" si="5"/>
        <v>A_SP_BCN_29_231015</v>
      </c>
      <c r="P148" s="61">
        <v>45214</v>
      </c>
      <c r="Q148" s="62">
        <v>0.41666666666666669</v>
      </c>
      <c r="R148" s="22"/>
      <c r="S148" s="53">
        <v>45215</v>
      </c>
      <c r="T148" s="62">
        <v>0.41666666666666669</v>
      </c>
      <c r="U148" s="27"/>
      <c r="V148" s="25" t="s">
        <v>35</v>
      </c>
      <c r="W148" s="54"/>
      <c r="X148" s="17">
        <f t="shared" si="4"/>
        <v>1</v>
      </c>
      <c r="Y148" s="27"/>
      <c r="Z148" s="52"/>
      <c r="AA148" s="52"/>
      <c r="AB148" s="52"/>
      <c r="AC148" s="52"/>
      <c r="AD148" s="52"/>
      <c r="AE148" s="52"/>
      <c r="AF148">
        <v>4</v>
      </c>
    </row>
    <row r="149" spans="1:32" s="51" customFormat="1" x14ac:dyDescent="0.25">
      <c r="A149" s="17">
        <v>145</v>
      </c>
      <c r="B149" s="17" t="s">
        <v>58</v>
      </c>
      <c r="C149" s="17" t="s">
        <v>59</v>
      </c>
      <c r="D149" s="17" t="s">
        <v>60</v>
      </c>
      <c r="E149" s="17" t="s">
        <v>60</v>
      </c>
      <c r="F149" s="52"/>
      <c r="G149" s="58" t="s">
        <v>114</v>
      </c>
      <c r="H149">
        <v>41.396274929999997</v>
      </c>
      <c r="I149">
        <v>2.1826391539999999</v>
      </c>
      <c r="J149" s="52"/>
      <c r="K149" s="17" t="s">
        <v>66</v>
      </c>
      <c r="L149" s="52"/>
      <c r="M149" s="52"/>
      <c r="N149" s="52"/>
      <c r="O149" s="19" t="str">
        <f t="shared" si="5"/>
        <v>A_SP_BCN_29_231018</v>
      </c>
      <c r="P149" s="61">
        <v>45217</v>
      </c>
      <c r="Q149" s="62">
        <v>0.41666666666666669</v>
      </c>
      <c r="R149" s="22"/>
      <c r="S149" s="53">
        <v>45218</v>
      </c>
      <c r="T149" s="62">
        <v>0.41666666666666669</v>
      </c>
      <c r="U149" s="27"/>
      <c r="V149" s="25" t="s">
        <v>35</v>
      </c>
      <c r="W149" s="54"/>
      <c r="X149" s="17">
        <f t="shared" si="4"/>
        <v>1</v>
      </c>
      <c r="Y149" s="27"/>
      <c r="Z149" s="52"/>
      <c r="AA149" s="52"/>
      <c r="AB149" s="52"/>
      <c r="AC149" s="52"/>
      <c r="AD149" s="52"/>
      <c r="AE149" s="52"/>
      <c r="AF149">
        <v>4</v>
      </c>
    </row>
    <row r="150" spans="1:32" s="51" customFormat="1" x14ac:dyDescent="0.25">
      <c r="A150" s="17">
        <v>146</v>
      </c>
      <c r="B150" s="17" t="s">
        <v>58</v>
      </c>
      <c r="C150" s="17" t="s">
        <v>59</v>
      </c>
      <c r="D150" s="17" t="s">
        <v>60</v>
      </c>
      <c r="E150" s="17" t="s">
        <v>60</v>
      </c>
      <c r="F150" s="52"/>
      <c r="G150" s="58" t="s">
        <v>114</v>
      </c>
      <c r="H150">
        <v>41.396274929999997</v>
      </c>
      <c r="I150">
        <v>2.1826391539999999</v>
      </c>
      <c r="J150" s="52"/>
      <c r="K150" s="17" t="s">
        <v>66</v>
      </c>
      <c r="L150" s="52"/>
      <c r="M150" s="52"/>
      <c r="N150" s="52"/>
      <c r="O150" s="19" t="str">
        <f t="shared" si="5"/>
        <v>A_SP_BCN_29_231022</v>
      </c>
      <c r="P150" s="61">
        <v>45221</v>
      </c>
      <c r="Q150" s="62">
        <v>0.41666666666666669</v>
      </c>
      <c r="R150" s="22"/>
      <c r="S150" s="53">
        <v>45222</v>
      </c>
      <c r="T150" s="62">
        <v>0.41666666666666669</v>
      </c>
      <c r="U150" s="27"/>
      <c r="V150" s="25" t="s">
        <v>35</v>
      </c>
      <c r="W150" s="54"/>
      <c r="X150" s="17">
        <f t="shared" si="4"/>
        <v>1</v>
      </c>
      <c r="Y150" s="27"/>
      <c r="Z150" s="52"/>
      <c r="AA150" s="52"/>
      <c r="AB150" s="52"/>
      <c r="AC150" s="52"/>
      <c r="AD150" s="52"/>
      <c r="AE150" s="52"/>
      <c r="AF150">
        <v>4</v>
      </c>
    </row>
    <row r="151" spans="1:32" s="51" customFormat="1" x14ac:dyDescent="0.25">
      <c r="A151" s="17">
        <v>147</v>
      </c>
      <c r="B151" s="17" t="s">
        <v>58</v>
      </c>
      <c r="C151" s="17" t="s">
        <v>59</v>
      </c>
      <c r="D151" s="17" t="s">
        <v>60</v>
      </c>
      <c r="E151" s="17" t="s">
        <v>60</v>
      </c>
      <c r="F151" s="52"/>
      <c r="G151" s="58" t="s">
        <v>114</v>
      </c>
      <c r="H151">
        <v>41.396274929999997</v>
      </c>
      <c r="I151">
        <v>2.1826391539999999</v>
      </c>
      <c r="J151" s="52"/>
      <c r="K151" s="17" t="s">
        <v>66</v>
      </c>
      <c r="L151" s="52"/>
      <c r="M151" s="52"/>
      <c r="N151" s="52"/>
      <c r="O151" s="19" t="str">
        <f t="shared" si="5"/>
        <v>A_SP_BCN_29_231025</v>
      </c>
      <c r="P151" s="61">
        <v>45224</v>
      </c>
      <c r="Q151" s="62">
        <v>0.41666666666666669</v>
      </c>
      <c r="R151" s="22"/>
      <c r="S151" s="53">
        <v>45225</v>
      </c>
      <c r="T151" s="62">
        <v>0.41666666666666669</v>
      </c>
      <c r="U151" s="27"/>
      <c r="V151" s="25" t="s">
        <v>35</v>
      </c>
      <c r="W151" s="54"/>
      <c r="X151" s="17">
        <f t="shared" si="4"/>
        <v>1</v>
      </c>
      <c r="Y151" s="27"/>
      <c r="Z151" s="52"/>
      <c r="AA151" s="52"/>
      <c r="AB151" s="52"/>
      <c r="AC151" s="52"/>
      <c r="AD151" s="52"/>
      <c r="AE151" s="52"/>
      <c r="AF151">
        <v>4</v>
      </c>
    </row>
    <row r="152" spans="1:32" s="51" customFormat="1" x14ac:dyDescent="0.25">
      <c r="A152" s="17">
        <v>148</v>
      </c>
      <c r="B152" s="17" t="s">
        <v>58</v>
      </c>
      <c r="C152" s="17" t="s">
        <v>59</v>
      </c>
      <c r="D152" s="17" t="s">
        <v>60</v>
      </c>
      <c r="E152" s="17" t="s">
        <v>60</v>
      </c>
      <c r="F152" s="52"/>
      <c r="G152" s="58" t="s">
        <v>114</v>
      </c>
      <c r="H152">
        <v>41.396274929999997</v>
      </c>
      <c r="I152">
        <v>2.1826391539999999</v>
      </c>
      <c r="J152" s="52"/>
      <c r="K152" s="17" t="s">
        <v>66</v>
      </c>
      <c r="L152" s="52"/>
      <c r="M152" s="52"/>
      <c r="N152" s="52"/>
      <c r="O152" s="19" t="str">
        <f t="shared" si="5"/>
        <v>A_SP_BCN_29_231029</v>
      </c>
      <c r="P152" s="61">
        <v>45228</v>
      </c>
      <c r="Q152" s="62">
        <v>0.375</v>
      </c>
      <c r="R152" s="22"/>
      <c r="S152" s="53">
        <v>45229</v>
      </c>
      <c r="T152" s="55">
        <v>0.375</v>
      </c>
      <c r="U152" s="27"/>
      <c r="V152" s="25" t="s">
        <v>35</v>
      </c>
      <c r="W152" s="54"/>
      <c r="X152" s="17">
        <f t="shared" si="4"/>
        <v>1</v>
      </c>
      <c r="Y152" s="27"/>
      <c r="Z152" s="52"/>
      <c r="AA152" s="52"/>
      <c r="AB152" s="52"/>
      <c r="AC152" s="52"/>
      <c r="AD152" s="52"/>
      <c r="AE152" s="52"/>
      <c r="AF152">
        <v>4</v>
      </c>
    </row>
    <row r="153" spans="1:32" s="51" customFormat="1" x14ac:dyDescent="0.25">
      <c r="A153" s="17">
        <v>149</v>
      </c>
      <c r="B153" s="17" t="s">
        <v>58</v>
      </c>
      <c r="C153" s="17" t="s">
        <v>59</v>
      </c>
      <c r="D153" s="17" t="s">
        <v>60</v>
      </c>
      <c r="E153" s="17" t="s">
        <v>60</v>
      </c>
      <c r="F153" s="52"/>
      <c r="G153" s="58" t="s">
        <v>114</v>
      </c>
      <c r="H153">
        <v>41.396274929999997</v>
      </c>
      <c r="I153">
        <v>2.1826391539999999</v>
      </c>
      <c r="J153" s="52"/>
      <c r="K153" s="17" t="s">
        <v>66</v>
      </c>
      <c r="L153" s="52"/>
      <c r="M153" s="52"/>
      <c r="N153" s="52"/>
      <c r="O153" s="19" t="str">
        <f t="shared" si="5"/>
        <v>A_SP_BCN_29_231030</v>
      </c>
      <c r="P153" s="53">
        <v>45229</v>
      </c>
      <c r="Q153" s="62">
        <v>0.65972222222222221</v>
      </c>
      <c r="R153" s="22"/>
      <c r="S153" s="53">
        <v>45244</v>
      </c>
      <c r="T153" s="55">
        <v>0.77083333333333337</v>
      </c>
      <c r="U153" s="27"/>
      <c r="V153" s="25" t="s">
        <v>35</v>
      </c>
      <c r="W153" s="54"/>
      <c r="X153" s="17">
        <f t="shared" si="4"/>
        <v>15</v>
      </c>
      <c r="Y153" s="27"/>
      <c r="Z153" s="52"/>
      <c r="AA153" s="52"/>
      <c r="AB153" s="52"/>
      <c r="AC153" s="52"/>
      <c r="AD153" s="52"/>
      <c r="AE153" s="52"/>
      <c r="AF153">
        <v>4</v>
      </c>
    </row>
    <row r="154" spans="1:32" s="51" customFormat="1" x14ac:dyDescent="0.25">
      <c r="A154" s="17">
        <v>150</v>
      </c>
      <c r="B154" s="17" t="s">
        <v>58</v>
      </c>
      <c r="C154" s="17" t="s">
        <v>59</v>
      </c>
      <c r="D154" s="17" t="s">
        <v>60</v>
      </c>
      <c r="E154" s="17" t="s">
        <v>60</v>
      </c>
      <c r="F154" s="52"/>
      <c r="G154" s="58" t="s">
        <v>114</v>
      </c>
      <c r="H154">
        <v>41.396274929999997</v>
      </c>
      <c r="I154">
        <v>2.1826391539999999</v>
      </c>
      <c r="J154" s="52"/>
      <c r="K154" s="17" t="s">
        <v>66</v>
      </c>
      <c r="L154" s="52"/>
      <c r="M154" s="52"/>
      <c r="N154" s="52"/>
      <c r="O154" s="19" t="str">
        <f t="shared" si="5"/>
        <v>A_SP_BCN_29_231116</v>
      </c>
      <c r="P154" s="61">
        <v>45246</v>
      </c>
      <c r="Q154" s="55">
        <v>0.375</v>
      </c>
      <c r="R154" s="22"/>
      <c r="S154" s="53">
        <v>45247</v>
      </c>
      <c r="T154" s="55">
        <v>0.375</v>
      </c>
      <c r="U154" s="27"/>
      <c r="V154" s="25" t="s">
        <v>35</v>
      </c>
      <c r="W154" s="54"/>
      <c r="X154" s="17">
        <f t="shared" si="4"/>
        <v>1</v>
      </c>
      <c r="Y154" s="27"/>
      <c r="Z154" s="52"/>
      <c r="AA154" s="52"/>
      <c r="AB154" s="52"/>
      <c r="AC154" s="52"/>
      <c r="AD154" s="52"/>
      <c r="AE154" s="52"/>
      <c r="AF154">
        <v>4</v>
      </c>
    </row>
    <row r="155" spans="1:32" s="51" customFormat="1" x14ac:dyDescent="0.25">
      <c r="A155" s="17">
        <v>151</v>
      </c>
      <c r="B155" s="17" t="s">
        <v>58</v>
      </c>
      <c r="C155" s="17" t="s">
        <v>59</v>
      </c>
      <c r="D155" s="17" t="s">
        <v>60</v>
      </c>
      <c r="E155" s="17" t="s">
        <v>60</v>
      </c>
      <c r="F155" s="52"/>
      <c r="G155" s="58" t="s">
        <v>114</v>
      </c>
      <c r="H155">
        <v>41.396274929999997</v>
      </c>
      <c r="I155">
        <v>2.1826391539999999</v>
      </c>
      <c r="J155" s="52"/>
      <c r="K155" s="17" t="s">
        <v>66</v>
      </c>
      <c r="L155" s="52"/>
      <c r="M155" s="52"/>
      <c r="N155" s="52"/>
      <c r="O155" s="19" t="str">
        <f t="shared" si="5"/>
        <v>A_SP_BCN_29_231120</v>
      </c>
      <c r="P155" s="61">
        <v>45250</v>
      </c>
      <c r="Q155" s="55">
        <v>0.375</v>
      </c>
      <c r="R155" s="22"/>
      <c r="S155" s="53">
        <v>45251</v>
      </c>
      <c r="T155" s="55">
        <v>0.375</v>
      </c>
      <c r="U155" s="27"/>
      <c r="V155" s="25" t="s">
        <v>35</v>
      </c>
      <c r="W155" s="54"/>
      <c r="X155" s="17">
        <f t="shared" si="4"/>
        <v>1</v>
      </c>
      <c r="Y155" s="27"/>
      <c r="Z155" s="52"/>
      <c r="AA155" s="52"/>
      <c r="AB155" s="52"/>
      <c r="AC155" s="52"/>
      <c r="AD155" s="52"/>
      <c r="AE155" s="52"/>
      <c r="AF155">
        <v>4</v>
      </c>
    </row>
    <row r="156" spans="1:32" s="51" customFormat="1" x14ac:dyDescent="0.25">
      <c r="A156" s="17">
        <v>152</v>
      </c>
      <c r="B156" s="17" t="s">
        <v>58</v>
      </c>
      <c r="C156" s="17" t="s">
        <v>59</v>
      </c>
      <c r="D156" s="17" t="s">
        <v>60</v>
      </c>
      <c r="E156" s="17" t="s">
        <v>60</v>
      </c>
      <c r="F156" s="52"/>
      <c r="G156" s="58" t="s">
        <v>114</v>
      </c>
      <c r="H156">
        <v>41.396274929999997</v>
      </c>
      <c r="I156">
        <v>2.1826391539999999</v>
      </c>
      <c r="J156" s="52"/>
      <c r="K156" s="17" t="s">
        <v>66</v>
      </c>
      <c r="L156" s="52"/>
      <c r="M156" s="52"/>
      <c r="N156" s="52"/>
      <c r="O156" s="19" t="str">
        <f t="shared" si="5"/>
        <v>A_SP_BCN_29_231123</v>
      </c>
      <c r="P156" s="61">
        <v>45253</v>
      </c>
      <c r="Q156" s="55">
        <v>0.375</v>
      </c>
      <c r="R156" s="22"/>
      <c r="S156" s="53">
        <v>45254</v>
      </c>
      <c r="T156" s="55">
        <v>0.375</v>
      </c>
      <c r="U156" s="27"/>
      <c r="V156" s="52" t="s">
        <v>116</v>
      </c>
      <c r="W156" s="54"/>
      <c r="X156" s="17">
        <f t="shared" si="4"/>
        <v>1</v>
      </c>
      <c r="Y156" s="27"/>
      <c r="Z156" s="52"/>
      <c r="AA156" s="52"/>
      <c r="AB156" s="52"/>
      <c r="AC156" s="52"/>
      <c r="AD156" s="52"/>
      <c r="AE156" s="52"/>
      <c r="AF156" s="51">
        <v>2</v>
      </c>
    </row>
    <row r="157" spans="1:32" s="51" customFormat="1" x14ac:dyDescent="0.25">
      <c r="A157" s="17">
        <v>153</v>
      </c>
      <c r="B157" s="17" t="s">
        <v>58</v>
      </c>
      <c r="C157" s="17" t="s">
        <v>59</v>
      </c>
      <c r="D157" s="17" t="s">
        <v>60</v>
      </c>
      <c r="E157" s="17" t="s">
        <v>60</v>
      </c>
      <c r="F157" s="52"/>
      <c r="G157" s="58" t="s">
        <v>114</v>
      </c>
      <c r="H157">
        <v>41.396274929999997</v>
      </c>
      <c r="I157">
        <v>2.1826391539999999</v>
      </c>
      <c r="J157" s="52"/>
      <c r="K157" s="17" t="s">
        <v>66</v>
      </c>
      <c r="L157" s="52"/>
      <c r="M157" s="52"/>
      <c r="N157" s="52"/>
      <c r="O157" s="19" t="str">
        <f t="shared" si="5"/>
        <v>A_SP_BCN_29_231127</v>
      </c>
      <c r="P157" s="61">
        <v>45257</v>
      </c>
      <c r="Q157" s="55">
        <v>0.375</v>
      </c>
      <c r="R157" s="22"/>
      <c r="S157" s="53">
        <v>45258</v>
      </c>
      <c r="T157" s="55">
        <v>0.375</v>
      </c>
      <c r="U157" s="27"/>
      <c r="V157" s="25" t="s">
        <v>35</v>
      </c>
      <c r="W157" s="54"/>
      <c r="X157" s="17">
        <f t="shared" si="4"/>
        <v>1</v>
      </c>
      <c r="Y157" s="27"/>
      <c r="Z157" s="52"/>
      <c r="AA157" s="52"/>
      <c r="AB157" s="52"/>
      <c r="AC157" s="52"/>
      <c r="AD157" s="52"/>
      <c r="AE157" s="52"/>
      <c r="AF157">
        <v>4</v>
      </c>
    </row>
    <row r="158" spans="1:32" s="51" customFormat="1" x14ac:dyDescent="0.25">
      <c r="A158" s="17">
        <v>154</v>
      </c>
      <c r="B158" s="17" t="s">
        <v>58</v>
      </c>
      <c r="C158" s="17" t="s">
        <v>59</v>
      </c>
      <c r="D158" s="17" t="s">
        <v>60</v>
      </c>
      <c r="E158" s="17" t="s">
        <v>60</v>
      </c>
      <c r="F158" s="52"/>
      <c r="G158" s="58" t="s">
        <v>114</v>
      </c>
      <c r="H158">
        <v>41.396274929999997</v>
      </c>
      <c r="I158">
        <v>2.1826391539999999</v>
      </c>
      <c r="J158" s="52"/>
      <c r="K158" s="17" t="s">
        <v>66</v>
      </c>
      <c r="L158" s="52"/>
      <c r="M158" s="52"/>
      <c r="N158" s="52"/>
      <c r="O158" s="19" t="str">
        <f t="shared" si="5"/>
        <v>A_SP_BCN_29_231130</v>
      </c>
      <c r="P158" s="61">
        <v>45260</v>
      </c>
      <c r="Q158" s="55">
        <v>0.375</v>
      </c>
      <c r="R158" s="22"/>
      <c r="S158" s="53">
        <v>45261</v>
      </c>
      <c r="T158" s="55">
        <v>0.375</v>
      </c>
      <c r="U158" s="27"/>
      <c r="V158" s="25" t="s">
        <v>35</v>
      </c>
      <c r="W158" s="54"/>
      <c r="X158" s="17">
        <f t="shared" si="4"/>
        <v>1</v>
      </c>
      <c r="Y158" s="27"/>
      <c r="Z158" s="52"/>
      <c r="AA158" s="52"/>
      <c r="AB158" s="52"/>
      <c r="AC158" s="52"/>
      <c r="AD158" s="52"/>
      <c r="AE158" s="52"/>
      <c r="AF158">
        <v>4</v>
      </c>
    </row>
    <row r="159" spans="1:32" s="51" customFormat="1" x14ac:dyDescent="0.25">
      <c r="A159" s="17">
        <v>155</v>
      </c>
      <c r="B159" s="17" t="s">
        <v>58</v>
      </c>
      <c r="C159" s="17" t="s">
        <v>59</v>
      </c>
      <c r="D159" s="17" t="s">
        <v>60</v>
      </c>
      <c r="E159" s="17" t="s">
        <v>60</v>
      </c>
      <c r="F159" s="52"/>
      <c r="G159" s="58" t="s">
        <v>117</v>
      </c>
      <c r="H159">
        <v>41.403502850000002</v>
      </c>
      <c r="I159">
        <v>2.1312860389999999</v>
      </c>
      <c r="J159" s="52"/>
      <c r="K159" s="17" t="s">
        <v>66</v>
      </c>
      <c r="L159" s="52"/>
      <c r="M159" s="52"/>
      <c r="N159" s="52"/>
      <c r="O159" s="19" t="str">
        <f t="shared" si="5"/>
        <v>A_SP_BCN_30_231012</v>
      </c>
      <c r="P159" s="61">
        <v>45211</v>
      </c>
      <c r="Q159" s="62">
        <v>0.41666666666666669</v>
      </c>
      <c r="R159" s="22"/>
      <c r="S159" s="53">
        <v>45212</v>
      </c>
      <c r="T159" s="55">
        <v>0.41666666666666669</v>
      </c>
      <c r="U159" s="27"/>
      <c r="V159" s="52" t="s">
        <v>116</v>
      </c>
      <c r="W159" s="54"/>
      <c r="X159" s="17">
        <f t="shared" si="4"/>
        <v>1</v>
      </c>
      <c r="Y159" s="27"/>
      <c r="Z159" s="52"/>
      <c r="AA159" s="52"/>
      <c r="AB159" s="52"/>
      <c r="AC159" s="52"/>
      <c r="AD159" s="52"/>
      <c r="AE159" s="52"/>
      <c r="AF159" s="51">
        <v>2</v>
      </c>
    </row>
    <row r="160" spans="1:32" s="51" customFormat="1" x14ac:dyDescent="0.25">
      <c r="A160" s="17">
        <v>156</v>
      </c>
      <c r="B160" s="17" t="s">
        <v>58</v>
      </c>
      <c r="C160" s="17" t="s">
        <v>59</v>
      </c>
      <c r="D160" s="17" t="s">
        <v>60</v>
      </c>
      <c r="E160" s="17" t="s">
        <v>60</v>
      </c>
      <c r="F160" s="52"/>
      <c r="G160" s="58" t="s">
        <v>117</v>
      </c>
      <c r="H160">
        <v>41.403502850000002</v>
      </c>
      <c r="I160">
        <v>2.1312860389999999</v>
      </c>
      <c r="J160" s="52"/>
      <c r="K160" s="17" t="s">
        <v>66</v>
      </c>
      <c r="L160" s="52"/>
      <c r="M160" s="52"/>
      <c r="N160" s="52"/>
      <c r="O160" s="19" t="str">
        <f t="shared" si="5"/>
        <v>A_SP_BCN_30_231016</v>
      </c>
      <c r="P160" s="61">
        <v>45215</v>
      </c>
      <c r="Q160" s="62">
        <v>0.41666666666666669</v>
      </c>
      <c r="R160" s="22"/>
      <c r="S160" s="53">
        <v>45216</v>
      </c>
      <c r="T160" s="55">
        <v>0.41666666666666669</v>
      </c>
      <c r="U160" s="27"/>
      <c r="V160" s="25" t="s">
        <v>35</v>
      </c>
      <c r="W160" s="54"/>
      <c r="X160" s="17">
        <f t="shared" si="4"/>
        <v>1</v>
      </c>
      <c r="Y160" s="27"/>
      <c r="Z160" s="52"/>
      <c r="AA160" s="52"/>
      <c r="AB160" s="52"/>
      <c r="AC160" s="52"/>
      <c r="AD160" s="52"/>
      <c r="AE160" s="52"/>
      <c r="AF160">
        <v>4</v>
      </c>
    </row>
    <row r="161" spans="1:32" s="51" customFormat="1" x14ac:dyDescent="0.25">
      <c r="A161" s="17">
        <v>157</v>
      </c>
      <c r="B161" s="17" t="s">
        <v>58</v>
      </c>
      <c r="C161" s="17" t="s">
        <v>59</v>
      </c>
      <c r="D161" s="17" t="s">
        <v>60</v>
      </c>
      <c r="E161" s="17" t="s">
        <v>60</v>
      </c>
      <c r="F161" s="52"/>
      <c r="G161" s="58" t="s">
        <v>117</v>
      </c>
      <c r="H161">
        <v>41.403502850000002</v>
      </c>
      <c r="I161">
        <v>2.1312860389999999</v>
      </c>
      <c r="J161" s="52"/>
      <c r="K161" s="17" t="s">
        <v>66</v>
      </c>
      <c r="L161" s="52"/>
      <c r="M161" s="52"/>
      <c r="N161" s="52"/>
      <c r="O161" s="19" t="str">
        <f t="shared" si="5"/>
        <v>A_SP_BCN_30_231019</v>
      </c>
      <c r="P161" s="61">
        <v>45218</v>
      </c>
      <c r="Q161" s="62">
        <v>0.41666666666666669</v>
      </c>
      <c r="R161" s="22"/>
      <c r="S161" s="53">
        <v>45219</v>
      </c>
      <c r="T161" s="55">
        <v>0.41666666666666669</v>
      </c>
      <c r="U161" s="27"/>
      <c r="V161" s="25" t="s">
        <v>35</v>
      </c>
      <c r="W161" s="54"/>
      <c r="X161" s="17">
        <f t="shared" si="4"/>
        <v>1</v>
      </c>
      <c r="Y161" s="27"/>
      <c r="Z161" s="52"/>
      <c r="AA161" s="52"/>
      <c r="AB161" s="52"/>
      <c r="AC161" s="52"/>
      <c r="AD161" s="52"/>
      <c r="AE161" s="52"/>
      <c r="AF161">
        <v>4</v>
      </c>
    </row>
    <row r="162" spans="1:32" s="51" customFormat="1" x14ac:dyDescent="0.25">
      <c r="A162" s="17">
        <v>158</v>
      </c>
      <c r="B162" s="17" t="s">
        <v>58</v>
      </c>
      <c r="C162" s="17" t="s">
        <v>59</v>
      </c>
      <c r="D162" s="17" t="s">
        <v>60</v>
      </c>
      <c r="E162" s="17" t="s">
        <v>60</v>
      </c>
      <c r="F162" s="52"/>
      <c r="G162" s="58" t="s">
        <v>117</v>
      </c>
      <c r="H162">
        <v>41.403502850000002</v>
      </c>
      <c r="I162">
        <v>2.1312860389999999</v>
      </c>
      <c r="J162" s="52"/>
      <c r="K162" s="17" t="s">
        <v>66</v>
      </c>
      <c r="L162" s="52"/>
      <c r="M162" s="52"/>
      <c r="N162" s="52"/>
      <c r="O162" s="19" t="str">
        <f t="shared" si="5"/>
        <v>A_SP_BCN_30_231023</v>
      </c>
      <c r="P162" s="53">
        <v>45222</v>
      </c>
      <c r="Q162" s="62">
        <v>0.41666666666666669</v>
      </c>
      <c r="R162" s="27"/>
      <c r="S162" s="53">
        <v>45223</v>
      </c>
      <c r="T162" s="55">
        <v>0.41666666666666669</v>
      </c>
      <c r="U162" s="27"/>
      <c r="V162" s="25" t="s">
        <v>35</v>
      </c>
      <c r="W162" s="54"/>
      <c r="X162" s="17">
        <f t="shared" si="4"/>
        <v>1</v>
      </c>
      <c r="Y162" s="27"/>
      <c r="Z162" s="52"/>
      <c r="AA162" s="52"/>
      <c r="AB162" s="52"/>
      <c r="AC162" s="52"/>
      <c r="AD162" s="52"/>
      <c r="AE162" s="52"/>
      <c r="AF162">
        <v>4</v>
      </c>
    </row>
    <row r="163" spans="1:32" s="51" customFormat="1" x14ac:dyDescent="0.25">
      <c r="A163" s="17">
        <v>159</v>
      </c>
      <c r="B163" s="17" t="s">
        <v>58</v>
      </c>
      <c r="C163" s="17" t="s">
        <v>59</v>
      </c>
      <c r="D163" s="17" t="s">
        <v>60</v>
      </c>
      <c r="E163" s="17" t="s">
        <v>60</v>
      </c>
      <c r="F163" s="52"/>
      <c r="G163" s="58" t="s">
        <v>117</v>
      </c>
      <c r="H163">
        <v>41.403502850000002</v>
      </c>
      <c r="I163">
        <v>2.1312860389999999</v>
      </c>
      <c r="J163" s="52"/>
      <c r="K163" s="17" t="s">
        <v>66</v>
      </c>
      <c r="L163" s="52"/>
      <c r="M163" s="52"/>
      <c r="N163" s="52"/>
      <c r="O163" s="19" t="str">
        <f t="shared" si="5"/>
        <v>A_SP_BCN_30_231026</v>
      </c>
      <c r="P163" s="53">
        <v>45225</v>
      </c>
      <c r="Q163" s="62">
        <v>0.41666666666666669</v>
      </c>
      <c r="R163" s="27"/>
      <c r="S163" s="53">
        <v>45226</v>
      </c>
      <c r="T163" s="62">
        <v>0.41666666666666669</v>
      </c>
      <c r="U163" s="27"/>
      <c r="V163" s="25" t="s">
        <v>35</v>
      </c>
      <c r="W163" s="54"/>
      <c r="X163" s="17">
        <f t="shared" si="4"/>
        <v>1</v>
      </c>
      <c r="Y163" s="27"/>
      <c r="Z163" s="52"/>
      <c r="AA163" s="52"/>
      <c r="AB163" s="52"/>
      <c r="AC163" s="52"/>
      <c r="AD163" s="52"/>
      <c r="AE163" s="52"/>
      <c r="AF163">
        <v>4</v>
      </c>
    </row>
    <row r="164" spans="1:32" s="51" customFormat="1" x14ac:dyDescent="0.25">
      <c r="A164" s="17">
        <v>160</v>
      </c>
      <c r="B164" s="17" t="s">
        <v>58</v>
      </c>
      <c r="C164" s="17" t="s">
        <v>59</v>
      </c>
      <c r="D164" s="17" t="s">
        <v>60</v>
      </c>
      <c r="E164" s="17" t="s">
        <v>60</v>
      </c>
      <c r="F164" s="52"/>
      <c r="G164" s="58" t="s">
        <v>117</v>
      </c>
      <c r="H164">
        <v>41.403502850000002</v>
      </c>
      <c r="I164">
        <v>2.1312860389999999</v>
      </c>
      <c r="J164" s="52"/>
      <c r="K164" s="17" t="s">
        <v>66</v>
      </c>
      <c r="L164" s="52"/>
      <c r="M164" s="52"/>
      <c r="N164" s="52"/>
      <c r="O164" s="19" t="str">
        <f t="shared" si="5"/>
        <v>A_SP_BCN_30_231030</v>
      </c>
      <c r="P164" s="53">
        <v>45229</v>
      </c>
      <c r="Q164" s="55">
        <v>0.375</v>
      </c>
      <c r="R164" s="27"/>
      <c r="S164" s="53">
        <v>45230</v>
      </c>
      <c r="T164" s="55">
        <v>0.375</v>
      </c>
      <c r="U164" s="27"/>
      <c r="V164" s="25" t="s">
        <v>35</v>
      </c>
      <c r="W164" s="54"/>
      <c r="X164" s="17">
        <f t="shared" si="4"/>
        <v>1</v>
      </c>
      <c r="Y164" s="27"/>
      <c r="Z164" s="52"/>
      <c r="AA164" s="52"/>
      <c r="AB164" s="52"/>
      <c r="AC164" s="52"/>
      <c r="AD164" s="52"/>
      <c r="AE164" s="52"/>
      <c r="AF164">
        <v>4</v>
      </c>
    </row>
    <row r="165" spans="1:32" s="51" customFormat="1" x14ac:dyDescent="0.25">
      <c r="A165" s="17">
        <v>161</v>
      </c>
      <c r="B165" s="17" t="s">
        <v>58</v>
      </c>
      <c r="C165" s="17" t="s">
        <v>59</v>
      </c>
      <c r="D165" s="17" t="s">
        <v>60</v>
      </c>
      <c r="E165" s="17" t="s">
        <v>60</v>
      </c>
      <c r="F165" s="52"/>
      <c r="G165" s="58" t="s">
        <v>117</v>
      </c>
      <c r="H165">
        <v>41.403502850000002</v>
      </c>
      <c r="I165">
        <v>2.1312860389999999</v>
      </c>
      <c r="J165" s="52"/>
      <c r="K165" s="17" t="s">
        <v>66</v>
      </c>
      <c r="L165" s="52"/>
      <c r="M165" s="52"/>
      <c r="N165" s="52"/>
      <c r="O165" s="19" t="str">
        <f t="shared" si="5"/>
        <v>A_SP_BCN_30_231031</v>
      </c>
      <c r="P165" s="53">
        <v>45230</v>
      </c>
      <c r="Q165" s="55">
        <v>0.74652777777777779</v>
      </c>
      <c r="R165" s="27"/>
      <c r="S165" s="53">
        <v>45244</v>
      </c>
      <c r="T165" s="55">
        <v>0.53472222222222221</v>
      </c>
      <c r="U165" s="27"/>
      <c r="V165" s="25" t="s">
        <v>35</v>
      </c>
      <c r="W165" s="54"/>
      <c r="X165" s="17">
        <f t="shared" si="4"/>
        <v>14</v>
      </c>
      <c r="Y165" s="27"/>
      <c r="Z165" s="52"/>
      <c r="AA165" s="52"/>
      <c r="AB165" s="52"/>
      <c r="AC165" s="52"/>
      <c r="AD165" s="52"/>
      <c r="AE165" s="52"/>
      <c r="AF165">
        <v>4</v>
      </c>
    </row>
    <row r="166" spans="1:32" s="51" customFormat="1" x14ac:dyDescent="0.25">
      <c r="A166" s="17">
        <v>162</v>
      </c>
      <c r="B166" s="17" t="s">
        <v>58</v>
      </c>
      <c r="C166" s="17" t="s">
        <v>59</v>
      </c>
      <c r="D166" s="17" t="s">
        <v>60</v>
      </c>
      <c r="E166" s="17" t="s">
        <v>60</v>
      </c>
      <c r="F166" s="52"/>
      <c r="G166" s="58" t="s">
        <v>117</v>
      </c>
      <c r="H166">
        <v>41.403502850000002</v>
      </c>
      <c r="I166">
        <v>2.1312860389999999</v>
      </c>
      <c r="J166" s="52"/>
      <c r="K166" s="17" t="s">
        <v>66</v>
      </c>
      <c r="L166" s="52"/>
      <c r="M166" s="52"/>
      <c r="N166" s="52"/>
      <c r="O166" s="19" t="str">
        <f t="shared" si="5"/>
        <v>A_SP_BCN_30_231116</v>
      </c>
      <c r="P166" s="53">
        <v>45246</v>
      </c>
      <c r="Q166" s="55">
        <v>0.375</v>
      </c>
      <c r="R166" s="27"/>
      <c r="S166" s="53">
        <v>45247</v>
      </c>
      <c r="T166" s="55">
        <v>0.375</v>
      </c>
      <c r="U166" s="27"/>
      <c r="V166" s="25" t="s">
        <v>35</v>
      </c>
      <c r="W166" s="54"/>
      <c r="X166" s="17">
        <f t="shared" si="4"/>
        <v>1</v>
      </c>
      <c r="Y166" s="27"/>
      <c r="Z166" s="52"/>
      <c r="AA166" s="52"/>
      <c r="AB166" s="52"/>
      <c r="AC166" s="52"/>
      <c r="AD166" s="52"/>
      <c r="AE166" s="52"/>
      <c r="AF166">
        <v>4</v>
      </c>
    </row>
    <row r="167" spans="1:32" s="51" customFormat="1" x14ac:dyDescent="0.25">
      <c r="A167" s="17">
        <v>163</v>
      </c>
      <c r="B167" s="17" t="s">
        <v>58</v>
      </c>
      <c r="C167" s="17" t="s">
        <v>59</v>
      </c>
      <c r="D167" s="17" t="s">
        <v>60</v>
      </c>
      <c r="E167" s="17" t="s">
        <v>60</v>
      </c>
      <c r="F167" s="52"/>
      <c r="G167" s="58" t="s">
        <v>117</v>
      </c>
      <c r="H167">
        <v>41.403502850000002</v>
      </c>
      <c r="I167">
        <v>2.1312860389999999</v>
      </c>
      <c r="J167" s="52"/>
      <c r="K167" s="17" t="s">
        <v>66</v>
      </c>
      <c r="L167" s="52"/>
      <c r="M167" s="52"/>
      <c r="N167" s="52"/>
      <c r="O167" s="19" t="str">
        <f t="shared" si="5"/>
        <v>A_SP_BCN_30_231119</v>
      </c>
      <c r="P167" s="53">
        <v>45249</v>
      </c>
      <c r="Q167" s="55">
        <v>0.375</v>
      </c>
      <c r="R167" s="27"/>
      <c r="S167" s="53">
        <v>45250</v>
      </c>
      <c r="T167" s="55">
        <v>0.375</v>
      </c>
      <c r="U167" s="27"/>
      <c r="V167" s="25" t="s">
        <v>35</v>
      </c>
      <c r="W167" s="54"/>
      <c r="X167" s="17">
        <f t="shared" si="4"/>
        <v>1</v>
      </c>
      <c r="Y167" s="27"/>
      <c r="Z167" s="52"/>
      <c r="AA167" s="52"/>
      <c r="AB167" s="52"/>
      <c r="AC167" s="52"/>
      <c r="AD167" s="52"/>
      <c r="AE167" s="52"/>
      <c r="AF167">
        <v>4</v>
      </c>
    </row>
    <row r="168" spans="1:32" s="51" customFormat="1" x14ac:dyDescent="0.25">
      <c r="A168" s="17">
        <v>164</v>
      </c>
      <c r="B168" s="17" t="s">
        <v>58</v>
      </c>
      <c r="C168" s="17" t="s">
        <v>59</v>
      </c>
      <c r="D168" s="17" t="s">
        <v>60</v>
      </c>
      <c r="E168" s="17" t="s">
        <v>60</v>
      </c>
      <c r="F168" s="52"/>
      <c r="G168" s="58" t="s">
        <v>117</v>
      </c>
      <c r="H168">
        <v>41.403502850000002</v>
      </c>
      <c r="I168">
        <v>2.1312860389999999</v>
      </c>
      <c r="J168" s="52"/>
      <c r="K168" s="17" t="s">
        <v>66</v>
      </c>
      <c r="L168" s="52"/>
      <c r="M168" s="52"/>
      <c r="N168" s="52"/>
      <c r="O168" s="19" t="str">
        <f t="shared" si="5"/>
        <v>A_SP_BCN_30_231122</v>
      </c>
      <c r="P168" s="53">
        <v>45252</v>
      </c>
      <c r="Q168" s="55">
        <v>0.375</v>
      </c>
      <c r="R168" s="27"/>
      <c r="S168" s="53">
        <v>45253</v>
      </c>
      <c r="T168" s="55">
        <v>0.375</v>
      </c>
      <c r="U168" s="27"/>
      <c r="V168" s="25" t="s">
        <v>35</v>
      </c>
      <c r="W168" s="54"/>
      <c r="X168" s="17">
        <f t="shared" si="4"/>
        <v>1</v>
      </c>
      <c r="Y168" s="27"/>
      <c r="Z168" s="52"/>
      <c r="AA168" s="52"/>
      <c r="AB168" s="52"/>
      <c r="AC168" s="52"/>
      <c r="AD168" s="52"/>
      <c r="AE168" s="52"/>
      <c r="AF168">
        <v>4</v>
      </c>
    </row>
    <row r="169" spans="1:32" s="51" customFormat="1" x14ac:dyDescent="0.25">
      <c r="A169" s="17">
        <v>165</v>
      </c>
      <c r="B169" s="17" t="s">
        <v>58</v>
      </c>
      <c r="C169" s="17" t="s">
        <v>59</v>
      </c>
      <c r="D169" s="17" t="s">
        <v>60</v>
      </c>
      <c r="E169" s="17" t="s">
        <v>60</v>
      </c>
      <c r="F169" s="52"/>
      <c r="G169" s="58" t="s">
        <v>117</v>
      </c>
      <c r="H169">
        <v>41.403502850000002</v>
      </c>
      <c r="I169">
        <v>2.1312860389999999</v>
      </c>
      <c r="J169" s="52"/>
      <c r="K169" s="17" t="s">
        <v>66</v>
      </c>
      <c r="L169" s="52"/>
      <c r="M169" s="52"/>
      <c r="N169" s="52"/>
      <c r="O169" s="19" t="str">
        <f t="shared" si="5"/>
        <v>A_SP_BCN_30_231126</v>
      </c>
      <c r="P169" s="53">
        <v>45256</v>
      </c>
      <c r="Q169" s="55">
        <v>0.375</v>
      </c>
      <c r="R169" s="27"/>
      <c r="S169" s="53">
        <v>45257</v>
      </c>
      <c r="T169" s="55">
        <v>0.375</v>
      </c>
      <c r="U169" s="27"/>
      <c r="V169" s="25" t="s">
        <v>35</v>
      </c>
      <c r="W169" s="54"/>
      <c r="X169" s="17">
        <f t="shared" si="4"/>
        <v>1</v>
      </c>
      <c r="Y169" s="27"/>
      <c r="Z169" s="52"/>
      <c r="AA169" s="52"/>
      <c r="AB169" s="52"/>
      <c r="AC169" s="52"/>
      <c r="AD169" s="52"/>
      <c r="AE169" s="52"/>
      <c r="AF169">
        <v>4</v>
      </c>
    </row>
    <row r="170" spans="1:32" s="51" customFormat="1" x14ac:dyDescent="0.25">
      <c r="A170" s="17">
        <v>166</v>
      </c>
      <c r="B170" s="17" t="s">
        <v>58</v>
      </c>
      <c r="C170" s="17" t="s">
        <v>59</v>
      </c>
      <c r="D170" s="17" t="s">
        <v>60</v>
      </c>
      <c r="E170" s="17" t="s">
        <v>60</v>
      </c>
      <c r="F170" s="52"/>
      <c r="G170" s="58" t="s">
        <v>117</v>
      </c>
      <c r="H170">
        <v>41.403502850000002</v>
      </c>
      <c r="I170">
        <v>2.1312860389999999</v>
      </c>
      <c r="J170" s="52"/>
      <c r="K170" s="17" t="s">
        <v>66</v>
      </c>
      <c r="L170" s="52"/>
      <c r="M170" s="52"/>
      <c r="N170" s="52"/>
      <c r="O170" s="19" t="str">
        <f t="shared" si="5"/>
        <v>A_SP_BCN_30_231130</v>
      </c>
      <c r="P170" s="61">
        <v>45260</v>
      </c>
      <c r="Q170" s="55">
        <v>0.375</v>
      </c>
      <c r="R170" s="22"/>
      <c r="S170" s="53">
        <v>45261</v>
      </c>
      <c r="T170" s="55">
        <v>0.375</v>
      </c>
      <c r="U170" s="27"/>
      <c r="V170" s="25" t="s">
        <v>35</v>
      </c>
      <c r="W170" s="54"/>
      <c r="X170" s="17">
        <f t="shared" si="4"/>
        <v>1</v>
      </c>
      <c r="Y170" s="27"/>
      <c r="Z170" s="52"/>
      <c r="AA170" s="52"/>
      <c r="AB170" s="52"/>
      <c r="AC170" s="52"/>
      <c r="AD170" s="52"/>
      <c r="AE170" s="52"/>
      <c r="AF170">
        <v>4</v>
      </c>
    </row>
    <row r="171" spans="1:32" s="51" customFormat="1" x14ac:dyDescent="0.25">
      <c r="A171" s="17">
        <v>167</v>
      </c>
      <c r="B171" s="17" t="s">
        <v>58</v>
      </c>
      <c r="C171" s="17" t="s">
        <v>59</v>
      </c>
      <c r="D171" s="17" t="s">
        <v>60</v>
      </c>
      <c r="E171" s="17" t="s">
        <v>60</v>
      </c>
      <c r="F171" s="52"/>
      <c r="G171" s="58" t="s">
        <v>118</v>
      </c>
      <c r="H171">
        <v>41.399253770000001</v>
      </c>
      <c r="I171">
        <v>2.1397962659999998</v>
      </c>
      <c r="J171" s="52"/>
      <c r="K171" s="17" t="s">
        <v>66</v>
      </c>
      <c r="L171" s="52"/>
      <c r="M171" s="52"/>
      <c r="N171" s="52"/>
      <c r="O171" s="19" t="str">
        <f t="shared" si="5"/>
        <v>A_SP_BCN_31_231009</v>
      </c>
      <c r="P171" s="61">
        <v>45208</v>
      </c>
      <c r="Q171" s="62">
        <v>0.41666666666666669</v>
      </c>
      <c r="R171" s="22"/>
      <c r="S171" s="53">
        <v>45209</v>
      </c>
      <c r="T171" s="55">
        <v>0.41666666666666669</v>
      </c>
      <c r="U171" s="59"/>
      <c r="V171" s="25" t="s">
        <v>35</v>
      </c>
      <c r="X171" s="17">
        <f t="shared" si="4"/>
        <v>1</v>
      </c>
      <c r="Y171" s="59"/>
      <c r="Z171" s="52"/>
      <c r="AA171" s="52"/>
      <c r="AB171" s="52"/>
      <c r="AC171" s="52"/>
      <c r="AD171" s="52"/>
      <c r="AE171" s="52"/>
      <c r="AF171">
        <v>4</v>
      </c>
    </row>
    <row r="172" spans="1:32" s="51" customFormat="1" x14ac:dyDescent="0.25">
      <c r="A172" s="17">
        <v>168</v>
      </c>
      <c r="B172" s="17" t="s">
        <v>58</v>
      </c>
      <c r="C172" s="17" t="s">
        <v>59</v>
      </c>
      <c r="D172" s="17" t="s">
        <v>60</v>
      </c>
      <c r="E172" s="17" t="s">
        <v>60</v>
      </c>
      <c r="F172" s="52"/>
      <c r="G172" s="58" t="s">
        <v>118</v>
      </c>
      <c r="H172">
        <v>41.399253770000001</v>
      </c>
      <c r="I172">
        <v>2.1397962659999998</v>
      </c>
      <c r="J172" s="52"/>
      <c r="K172" s="17" t="s">
        <v>66</v>
      </c>
      <c r="L172" s="52"/>
      <c r="M172" s="52"/>
      <c r="N172" s="52"/>
      <c r="O172" s="19" t="str">
        <f t="shared" si="5"/>
        <v>A_SP_BCN_31_231012</v>
      </c>
      <c r="P172" s="61">
        <v>45211</v>
      </c>
      <c r="Q172" s="62">
        <v>0.41666666666666669</v>
      </c>
      <c r="R172" s="22"/>
      <c r="S172" s="53">
        <v>45212</v>
      </c>
      <c r="T172" s="55">
        <v>0.41666666666666669</v>
      </c>
      <c r="U172" s="59"/>
      <c r="V172" s="25" t="s">
        <v>35</v>
      </c>
      <c r="X172" s="17">
        <f t="shared" si="4"/>
        <v>1</v>
      </c>
      <c r="Y172" s="59"/>
      <c r="Z172" s="52"/>
      <c r="AA172" s="52"/>
      <c r="AB172" s="52"/>
      <c r="AC172" s="52"/>
      <c r="AD172" s="52"/>
      <c r="AE172" s="52"/>
      <c r="AF172">
        <v>4</v>
      </c>
    </row>
    <row r="173" spans="1:32" s="51" customFormat="1" x14ac:dyDescent="0.25">
      <c r="A173" s="17">
        <v>169</v>
      </c>
      <c r="B173" s="17" t="s">
        <v>58</v>
      </c>
      <c r="C173" s="17" t="s">
        <v>59</v>
      </c>
      <c r="D173" s="17" t="s">
        <v>60</v>
      </c>
      <c r="E173" s="17" t="s">
        <v>60</v>
      </c>
      <c r="F173" s="52"/>
      <c r="G173" s="58" t="s">
        <v>118</v>
      </c>
      <c r="H173">
        <v>41.399253770000001</v>
      </c>
      <c r="I173">
        <v>2.1397962659999998</v>
      </c>
      <c r="J173" s="52"/>
      <c r="K173" s="17" t="s">
        <v>66</v>
      </c>
      <c r="L173" s="52"/>
      <c r="M173" s="52"/>
      <c r="N173" s="52"/>
      <c r="O173" s="19" t="str">
        <f t="shared" si="5"/>
        <v>A_SP_BCN_31_231016</v>
      </c>
      <c r="P173" s="61">
        <v>45215</v>
      </c>
      <c r="Q173" s="62">
        <v>0.41666666666666669</v>
      </c>
      <c r="R173" s="22"/>
      <c r="S173" s="53">
        <v>45216</v>
      </c>
      <c r="T173" s="55">
        <v>0.41666666666666669</v>
      </c>
      <c r="U173" s="27"/>
      <c r="V173" s="25" t="s">
        <v>35</v>
      </c>
      <c r="W173" s="54"/>
      <c r="X173" s="17">
        <f t="shared" si="4"/>
        <v>1</v>
      </c>
      <c r="Y173" s="27"/>
      <c r="Z173" s="52"/>
      <c r="AA173" s="52"/>
      <c r="AB173" s="52"/>
      <c r="AC173" s="52"/>
      <c r="AD173" s="52"/>
      <c r="AE173" s="52"/>
      <c r="AF173">
        <v>4</v>
      </c>
    </row>
    <row r="174" spans="1:32" s="51" customFormat="1" x14ac:dyDescent="0.25">
      <c r="A174" s="17">
        <v>170</v>
      </c>
      <c r="B174" s="17" t="s">
        <v>58</v>
      </c>
      <c r="C174" s="17" t="s">
        <v>59</v>
      </c>
      <c r="D174" s="17" t="s">
        <v>60</v>
      </c>
      <c r="E174" s="17" t="s">
        <v>60</v>
      </c>
      <c r="F174" s="52"/>
      <c r="G174" s="58" t="s">
        <v>118</v>
      </c>
      <c r="H174">
        <v>41.399253770000001</v>
      </c>
      <c r="I174">
        <v>2.1397962659999998</v>
      </c>
      <c r="J174" s="52"/>
      <c r="K174" s="17" t="s">
        <v>66</v>
      </c>
      <c r="L174" s="52"/>
      <c r="M174" s="52"/>
      <c r="N174" s="52"/>
      <c r="O174" s="19" t="str">
        <f t="shared" si="5"/>
        <v>A_SP_BCN_31_231019</v>
      </c>
      <c r="P174" s="61">
        <v>45218</v>
      </c>
      <c r="Q174" s="62">
        <v>0.41666666666666669</v>
      </c>
      <c r="R174" s="22"/>
      <c r="S174" s="53">
        <v>45219</v>
      </c>
      <c r="T174" s="55">
        <v>0.41666666666666669</v>
      </c>
      <c r="U174" s="27"/>
      <c r="V174" s="25" t="s">
        <v>35</v>
      </c>
      <c r="W174" s="54"/>
      <c r="X174" s="17">
        <f t="shared" si="4"/>
        <v>1</v>
      </c>
      <c r="Y174" s="27"/>
      <c r="Z174" s="52"/>
      <c r="AA174" s="52"/>
      <c r="AB174" s="52"/>
      <c r="AC174" s="52"/>
      <c r="AD174" s="52"/>
      <c r="AE174" s="52"/>
      <c r="AF174">
        <v>4</v>
      </c>
    </row>
    <row r="175" spans="1:32" s="51" customFormat="1" x14ac:dyDescent="0.25">
      <c r="A175" s="17">
        <v>171</v>
      </c>
      <c r="B175" s="17" t="s">
        <v>58</v>
      </c>
      <c r="C175" s="17" t="s">
        <v>59</v>
      </c>
      <c r="D175" s="17" t="s">
        <v>60</v>
      </c>
      <c r="E175" s="17" t="s">
        <v>60</v>
      </c>
      <c r="F175" s="52"/>
      <c r="G175" s="58" t="s">
        <v>118</v>
      </c>
      <c r="H175">
        <v>41.399253770000001</v>
      </c>
      <c r="I175">
        <v>2.1397962659999998</v>
      </c>
      <c r="J175" s="52"/>
      <c r="K175" s="17" t="s">
        <v>66</v>
      </c>
      <c r="L175" s="52"/>
      <c r="M175" s="52"/>
      <c r="N175" s="52"/>
      <c r="O175" s="19" t="str">
        <f t="shared" si="5"/>
        <v>A_SP_BCN_31_231023</v>
      </c>
      <c r="P175" s="53">
        <v>45222</v>
      </c>
      <c r="Q175" s="62">
        <v>0.41666666666666669</v>
      </c>
      <c r="R175" s="27"/>
      <c r="S175" s="53">
        <v>45223</v>
      </c>
      <c r="T175" s="55">
        <v>0.41666666666666669</v>
      </c>
      <c r="U175" s="27"/>
      <c r="V175" s="25" t="s">
        <v>35</v>
      </c>
      <c r="W175" s="54"/>
      <c r="X175" s="17">
        <f t="shared" si="4"/>
        <v>1</v>
      </c>
      <c r="Y175" s="27"/>
      <c r="Z175" s="52"/>
      <c r="AA175" s="52"/>
      <c r="AB175" s="52"/>
      <c r="AC175" s="52"/>
      <c r="AD175" s="52"/>
      <c r="AE175" s="52"/>
      <c r="AF175">
        <v>4</v>
      </c>
    </row>
    <row r="176" spans="1:32" s="51" customFormat="1" x14ac:dyDescent="0.25">
      <c r="A176" s="17">
        <v>172</v>
      </c>
      <c r="B176" s="17" t="s">
        <v>58</v>
      </c>
      <c r="C176" s="17" t="s">
        <v>59</v>
      </c>
      <c r="D176" s="17" t="s">
        <v>60</v>
      </c>
      <c r="E176" s="17" t="s">
        <v>60</v>
      </c>
      <c r="F176" s="52"/>
      <c r="G176" s="58" t="s">
        <v>118</v>
      </c>
      <c r="H176">
        <v>41.399253770000001</v>
      </c>
      <c r="I176">
        <v>2.1397962659999998</v>
      </c>
      <c r="J176" s="52"/>
      <c r="K176" s="17" t="s">
        <v>66</v>
      </c>
      <c r="L176" s="52"/>
      <c r="M176" s="52"/>
      <c r="N176" s="52"/>
      <c r="O176" s="19" t="str">
        <f t="shared" si="5"/>
        <v>A_SP_BCN_31_231026</v>
      </c>
      <c r="P176" s="53">
        <v>45225</v>
      </c>
      <c r="Q176" s="62">
        <v>0.41666666666666669</v>
      </c>
      <c r="R176" s="27"/>
      <c r="S176" s="53">
        <v>45226</v>
      </c>
      <c r="T176" s="62">
        <v>0.41666666666666669</v>
      </c>
      <c r="U176" s="27"/>
      <c r="V176" s="25" t="s">
        <v>35</v>
      </c>
      <c r="W176" s="54"/>
      <c r="X176" s="17">
        <f t="shared" si="4"/>
        <v>1</v>
      </c>
      <c r="Y176" s="27"/>
      <c r="Z176" s="52"/>
      <c r="AA176" s="52"/>
      <c r="AB176" s="52"/>
      <c r="AC176" s="52"/>
      <c r="AD176" s="52"/>
      <c r="AE176" s="52"/>
      <c r="AF176">
        <v>4</v>
      </c>
    </row>
    <row r="177" spans="1:32" s="51" customFormat="1" x14ac:dyDescent="0.25">
      <c r="A177" s="17">
        <v>173</v>
      </c>
      <c r="B177" s="17" t="s">
        <v>58</v>
      </c>
      <c r="C177" s="17" t="s">
        <v>59</v>
      </c>
      <c r="D177" s="17" t="s">
        <v>60</v>
      </c>
      <c r="E177" s="17" t="s">
        <v>60</v>
      </c>
      <c r="F177" s="52"/>
      <c r="G177" s="58" t="s">
        <v>118</v>
      </c>
      <c r="H177">
        <v>41.399253770000001</v>
      </c>
      <c r="I177">
        <v>2.1397962659999998</v>
      </c>
      <c r="J177" s="52"/>
      <c r="K177" s="17" t="s">
        <v>66</v>
      </c>
      <c r="L177" s="52"/>
      <c r="M177" s="52"/>
      <c r="N177" s="52"/>
      <c r="O177" s="19" t="str">
        <f t="shared" si="5"/>
        <v>A_SP_BCN_31_231030</v>
      </c>
      <c r="P177" s="53">
        <v>45229</v>
      </c>
      <c r="Q177" s="55">
        <v>0.375</v>
      </c>
      <c r="R177" s="27"/>
      <c r="S177" s="53">
        <v>45230</v>
      </c>
      <c r="T177" s="55">
        <v>0.375</v>
      </c>
      <c r="U177" s="27"/>
      <c r="V177" s="25" t="s">
        <v>35</v>
      </c>
      <c r="W177" s="54"/>
      <c r="X177" s="17">
        <f t="shared" si="4"/>
        <v>1</v>
      </c>
      <c r="Y177" s="27"/>
      <c r="Z177" s="52"/>
      <c r="AA177" s="52"/>
      <c r="AB177" s="52"/>
      <c r="AC177" s="52"/>
      <c r="AD177" s="52"/>
      <c r="AE177" s="52"/>
      <c r="AF177">
        <v>4</v>
      </c>
    </row>
    <row r="178" spans="1:32" s="51" customFormat="1" x14ac:dyDescent="0.25">
      <c r="A178" s="17">
        <v>174</v>
      </c>
      <c r="B178" s="17" t="s">
        <v>58</v>
      </c>
      <c r="C178" s="17" t="s">
        <v>59</v>
      </c>
      <c r="D178" s="17" t="s">
        <v>60</v>
      </c>
      <c r="E178" s="17" t="s">
        <v>60</v>
      </c>
      <c r="F178" s="52"/>
      <c r="G178" s="58" t="s">
        <v>118</v>
      </c>
      <c r="H178">
        <v>41.399253770000001</v>
      </c>
      <c r="I178">
        <v>2.1397962659999998</v>
      </c>
      <c r="J178" s="52"/>
      <c r="K178" s="17" t="s">
        <v>66</v>
      </c>
      <c r="L178" s="52"/>
      <c r="M178" s="52"/>
      <c r="N178" s="52"/>
      <c r="O178" s="19" t="str">
        <f t="shared" si="5"/>
        <v>A_SP_BCN_31_231031</v>
      </c>
      <c r="P178" s="53">
        <v>45230</v>
      </c>
      <c r="Q178" s="55">
        <v>0.71527777777777779</v>
      </c>
      <c r="R178" s="27"/>
      <c r="S178" s="53">
        <v>45244</v>
      </c>
      <c r="T178" s="55">
        <v>0.55902777777777779</v>
      </c>
      <c r="U178" s="27"/>
      <c r="V178" s="25" t="s">
        <v>35</v>
      </c>
      <c r="W178" s="54"/>
      <c r="X178" s="17">
        <f t="shared" si="4"/>
        <v>14</v>
      </c>
      <c r="Y178" s="27"/>
      <c r="Z178" s="52"/>
      <c r="AA178" s="52"/>
      <c r="AB178" s="52"/>
      <c r="AC178" s="52"/>
      <c r="AD178" s="52"/>
      <c r="AE178" s="52"/>
      <c r="AF178">
        <v>4</v>
      </c>
    </row>
    <row r="179" spans="1:32" s="51" customFormat="1" x14ac:dyDescent="0.25">
      <c r="A179" s="17">
        <v>175</v>
      </c>
      <c r="B179" s="17" t="s">
        <v>58</v>
      </c>
      <c r="C179" s="17" t="s">
        <v>59</v>
      </c>
      <c r="D179" s="17" t="s">
        <v>60</v>
      </c>
      <c r="E179" s="17" t="s">
        <v>60</v>
      </c>
      <c r="F179" s="52"/>
      <c r="G179" s="58" t="s">
        <v>118</v>
      </c>
      <c r="H179">
        <v>41.399253770000001</v>
      </c>
      <c r="I179">
        <v>2.1397962659999998</v>
      </c>
      <c r="J179" s="52"/>
      <c r="K179" s="17" t="s">
        <v>66</v>
      </c>
      <c r="L179" s="52"/>
      <c r="M179" s="52"/>
      <c r="N179" s="52"/>
      <c r="O179" s="19" t="str">
        <f t="shared" si="5"/>
        <v>A_SP_BCN_31_231116</v>
      </c>
      <c r="P179" s="53">
        <v>45246</v>
      </c>
      <c r="Q179" s="55">
        <v>0.375</v>
      </c>
      <c r="R179" s="27"/>
      <c r="S179" s="53">
        <v>45247</v>
      </c>
      <c r="T179" s="55">
        <v>0.375</v>
      </c>
      <c r="U179" s="27"/>
      <c r="V179" s="25" t="s">
        <v>35</v>
      </c>
      <c r="W179" s="54"/>
      <c r="X179" s="17">
        <f t="shared" si="4"/>
        <v>1</v>
      </c>
      <c r="Y179" s="27"/>
      <c r="Z179" s="52"/>
      <c r="AA179" s="52"/>
      <c r="AB179" s="52"/>
      <c r="AC179" s="52"/>
      <c r="AD179" s="52"/>
      <c r="AE179" s="52"/>
      <c r="AF179">
        <v>4</v>
      </c>
    </row>
    <row r="180" spans="1:32" s="51" customFormat="1" x14ac:dyDescent="0.25">
      <c r="A180" s="17">
        <v>176</v>
      </c>
      <c r="B180" s="17" t="s">
        <v>58</v>
      </c>
      <c r="C180" s="17" t="s">
        <v>59</v>
      </c>
      <c r="D180" s="17" t="s">
        <v>60</v>
      </c>
      <c r="E180" s="17" t="s">
        <v>60</v>
      </c>
      <c r="F180" s="52"/>
      <c r="G180" s="58" t="s">
        <v>118</v>
      </c>
      <c r="H180">
        <v>41.399253770000001</v>
      </c>
      <c r="I180">
        <v>2.1397962659999998</v>
      </c>
      <c r="J180" s="52"/>
      <c r="K180" s="17" t="s">
        <v>66</v>
      </c>
      <c r="L180" s="52"/>
      <c r="M180" s="52"/>
      <c r="N180" s="52"/>
      <c r="O180" s="19" t="str">
        <f t="shared" si="5"/>
        <v>A_SP_BCN_31_231119</v>
      </c>
      <c r="P180" s="53">
        <v>45249</v>
      </c>
      <c r="Q180" s="55">
        <v>0.375</v>
      </c>
      <c r="R180" s="27"/>
      <c r="S180" s="53">
        <v>45250</v>
      </c>
      <c r="T180" s="55">
        <v>0.375</v>
      </c>
      <c r="U180" s="27"/>
      <c r="V180" s="25" t="s">
        <v>35</v>
      </c>
      <c r="W180" s="54"/>
      <c r="X180" s="17">
        <f t="shared" si="4"/>
        <v>1</v>
      </c>
      <c r="Y180" s="27"/>
      <c r="Z180" s="52"/>
      <c r="AA180" s="52"/>
      <c r="AB180" s="52"/>
      <c r="AC180" s="52"/>
      <c r="AD180" s="52"/>
      <c r="AE180" s="52"/>
      <c r="AF180">
        <v>4</v>
      </c>
    </row>
    <row r="181" spans="1:32" s="51" customFormat="1" x14ac:dyDescent="0.25">
      <c r="A181" s="17">
        <v>177</v>
      </c>
      <c r="B181" s="17" t="s">
        <v>58</v>
      </c>
      <c r="C181" s="17" t="s">
        <v>59</v>
      </c>
      <c r="D181" s="17" t="s">
        <v>60</v>
      </c>
      <c r="E181" s="17" t="s">
        <v>60</v>
      </c>
      <c r="F181" s="52"/>
      <c r="G181" s="58" t="s">
        <v>118</v>
      </c>
      <c r="H181">
        <v>41.399253770000001</v>
      </c>
      <c r="I181">
        <v>2.1397962659999998</v>
      </c>
      <c r="J181" s="52"/>
      <c r="K181" s="17" t="s">
        <v>66</v>
      </c>
      <c r="L181" s="52"/>
      <c r="M181" s="52"/>
      <c r="N181" s="52"/>
      <c r="O181" s="19" t="str">
        <f t="shared" si="5"/>
        <v>A_SP_BCN_31_231122</v>
      </c>
      <c r="P181" s="53">
        <v>45252</v>
      </c>
      <c r="Q181" s="55">
        <v>0.375</v>
      </c>
      <c r="R181" s="27"/>
      <c r="S181" s="53">
        <v>45253</v>
      </c>
      <c r="T181" s="55">
        <v>0.375</v>
      </c>
      <c r="U181" s="27"/>
      <c r="V181" s="25" t="s">
        <v>35</v>
      </c>
      <c r="W181" s="54"/>
      <c r="X181" s="17">
        <f t="shared" si="4"/>
        <v>1</v>
      </c>
      <c r="Y181" s="27"/>
      <c r="Z181" s="52"/>
      <c r="AA181" s="52"/>
      <c r="AB181" s="52"/>
      <c r="AC181" s="52"/>
      <c r="AD181" s="52"/>
      <c r="AE181" s="52"/>
      <c r="AF181">
        <v>4</v>
      </c>
    </row>
    <row r="182" spans="1:32" s="51" customFormat="1" x14ac:dyDescent="0.25">
      <c r="A182" s="17">
        <v>178</v>
      </c>
      <c r="B182" s="17" t="s">
        <v>58</v>
      </c>
      <c r="C182" s="17" t="s">
        <v>59</v>
      </c>
      <c r="D182" s="17" t="s">
        <v>60</v>
      </c>
      <c r="E182" s="17" t="s">
        <v>60</v>
      </c>
      <c r="F182" s="52"/>
      <c r="G182" s="58" t="s">
        <v>118</v>
      </c>
      <c r="H182">
        <v>41.399253770000001</v>
      </c>
      <c r="I182">
        <v>2.1397962659999998</v>
      </c>
      <c r="J182" s="52"/>
      <c r="K182" s="17" t="s">
        <v>66</v>
      </c>
      <c r="L182" s="52"/>
      <c r="M182" s="52"/>
      <c r="N182" s="52"/>
      <c r="O182" s="19" t="str">
        <f t="shared" si="5"/>
        <v>A_SP_BCN_31_231126</v>
      </c>
      <c r="P182" s="53">
        <v>45256</v>
      </c>
      <c r="Q182" s="55">
        <v>0.375</v>
      </c>
      <c r="R182" s="27"/>
      <c r="S182" s="53">
        <v>45257</v>
      </c>
      <c r="T182" s="55">
        <v>0.375</v>
      </c>
      <c r="U182" s="27"/>
      <c r="V182" s="25" t="s">
        <v>35</v>
      </c>
      <c r="W182" s="54"/>
      <c r="X182" s="17">
        <f t="shared" si="4"/>
        <v>1</v>
      </c>
      <c r="Y182" s="27"/>
      <c r="Z182" s="52"/>
      <c r="AA182" s="52"/>
      <c r="AB182" s="52"/>
      <c r="AC182" s="52"/>
      <c r="AD182" s="52"/>
      <c r="AE182" s="52"/>
      <c r="AF182">
        <v>4</v>
      </c>
    </row>
    <row r="183" spans="1:32" s="51" customFormat="1" x14ac:dyDescent="0.25">
      <c r="A183" s="17">
        <v>179</v>
      </c>
      <c r="B183" s="17" t="s">
        <v>58</v>
      </c>
      <c r="C183" s="17" t="s">
        <v>59</v>
      </c>
      <c r="D183" s="17" t="s">
        <v>60</v>
      </c>
      <c r="E183" s="17" t="s">
        <v>60</v>
      </c>
      <c r="F183" s="52"/>
      <c r="G183" s="58" t="s">
        <v>118</v>
      </c>
      <c r="H183">
        <v>41.399253770000001</v>
      </c>
      <c r="I183">
        <v>2.1397962659999998</v>
      </c>
      <c r="J183" s="52"/>
      <c r="K183" s="17" t="s">
        <v>66</v>
      </c>
      <c r="L183" s="52"/>
      <c r="M183" s="52"/>
      <c r="N183" s="52"/>
      <c r="O183" s="19" t="str">
        <f t="shared" si="5"/>
        <v>A_SP_BCN_31_231130</v>
      </c>
      <c r="P183" s="61">
        <v>45260</v>
      </c>
      <c r="Q183" s="55">
        <v>0.375</v>
      </c>
      <c r="R183" s="22"/>
      <c r="S183" s="53">
        <v>45261</v>
      </c>
      <c r="T183" s="55">
        <v>0.375</v>
      </c>
      <c r="U183" s="27"/>
      <c r="V183" s="25" t="s">
        <v>35</v>
      </c>
      <c r="W183" s="54"/>
      <c r="X183" s="17">
        <f t="shared" si="4"/>
        <v>1</v>
      </c>
      <c r="Y183" s="27"/>
      <c r="Z183" s="52"/>
      <c r="AA183" s="52"/>
      <c r="AB183" s="52"/>
      <c r="AC183" s="52"/>
      <c r="AD183" s="52"/>
      <c r="AE183" s="52"/>
      <c r="AF183">
        <v>4</v>
      </c>
    </row>
    <row r="184" spans="1:32" s="51" customFormat="1" ht="15.75" customHeight="1" x14ac:dyDescent="0.25">
      <c r="A184" s="17">
        <v>180</v>
      </c>
      <c r="B184" s="17" t="s">
        <v>58</v>
      </c>
      <c r="C184" s="17" t="s">
        <v>59</v>
      </c>
      <c r="D184" s="17" t="s">
        <v>60</v>
      </c>
      <c r="E184" s="17" t="s">
        <v>60</v>
      </c>
      <c r="F184" s="52"/>
      <c r="G184" s="58" t="s">
        <v>119</v>
      </c>
      <c r="H184">
        <v>41.397249360000004</v>
      </c>
      <c r="I184">
        <v>2.1194138310000001</v>
      </c>
      <c r="J184" s="52"/>
      <c r="K184" s="17" t="s">
        <v>66</v>
      </c>
      <c r="L184" s="52"/>
      <c r="M184" s="52"/>
      <c r="N184" s="52"/>
      <c r="O184" s="19" t="str">
        <f t="shared" si="5"/>
        <v>A_SP_BCN_32_231009</v>
      </c>
      <c r="P184" s="61">
        <v>45208</v>
      </c>
      <c r="Q184" s="62">
        <v>0.41666666666666669</v>
      </c>
      <c r="R184" s="22"/>
      <c r="S184" s="53">
        <v>45209</v>
      </c>
      <c r="T184" s="55">
        <v>0.41666666666666669</v>
      </c>
      <c r="U184" s="27"/>
      <c r="V184" s="52" t="s">
        <v>115</v>
      </c>
      <c r="W184" s="54"/>
      <c r="X184" s="17">
        <f t="shared" si="4"/>
        <v>1</v>
      </c>
      <c r="Y184" s="27"/>
      <c r="Z184" s="52"/>
      <c r="AA184" s="52"/>
      <c r="AB184" s="52"/>
      <c r="AC184" s="52"/>
      <c r="AD184" s="52"/>
      <c r="AE184" s="52"/>
      <c r="AF184" s="51">
        <v>2</v>
      </c>
    </row>
    <row r="185" spans="1:32" s="51" customFormat="1" x14ac:dyDescent="0.25">
      <c r="A185" s="17">
        <v>181</v>
      </c>
      <c r="B185" s="17" t="s">
        <v>58</v>
      </c>
      <c r="C185" s="17" t="s">
        <v>59</v>
      </c>
      <c r="D185" s="17" t="s">
        <v>60</v>
      </c>
      <c r="E185" s="17" t="s">
        <v>60</v>
      </c>
      <c r="F185" s="52"/>
      <c r="G185" s="58" t="s">
        <v>119</v>
      </c>
      <c r="H185">
        <v>41.397249360000004</v>
      </c>
      <c r="I185">
        <v>2.1194138310000001</v>
      </c>
      <c r="J185" s="52"/>
      <c r="K185" s="17" t="s">
        <v>66</v>
      </c>
      <c r="L185" s="52"/>
      <c r="M185" s="52"/>
      <c r="N185" s="52"/>
      <c r="O185" s="19" t="str">
        <f t="shared" si="5"/>
        <v>A_SP_BCN_32_231012</v>
      </c>
      <c r="P185" s="61">
        <v>45211</v>
      </c>
      <c r="Q185" s="62">
        <v>0.41666666666666669</v>
      </c>
      <c r="R185" s="22"/>
      <c r="S185" s="53">
        <v>45212</v>
      </c>
      <c r="T185" s="55">
        <v>0.41666666666666669</v>
      </c>
      <c r="U185" s="27"/>
      <c r="V185" s="52" t="s">
        <v>115</v>
      </c>
      <c r="W185" s="54"/>
      <c r="X185" s="17">
        <f t="shared" si="4"/>
        <v>1</v>
      </c>
      <c r="Y185" s="27"/>
      <c r="Z185" s="52"/>
      <c r="AA185" s="52"/>
      <c r="AB185" s="52"/>
      <c r="AC185" s="52"/>
      <c r="AD185" s="52"/>
      <c r="AE185" s="52"/>
      <c r="AF185" s="51">
        <v>2</v>
      </c>
    </row>
    <row r="186" spans="1:32" s="51" customFormat="1" x14ac:dyDescent="0.25">
      <c r="A186" s="17">
        <v>182</v>
      </c>
      <c r="B186" s="17" t="s">
        <v>58</v>
      </c>
      <c r="C186" s="17" t="s">
        <v>59</v>
      </c>
      <c r="D186" s="17" t="s">
        <v>60</v>
      </c>
      <c r="E186" s="17" t="s">
        <v>60</v>
      </c>
      <c r="F186" s="52"/>
      <c r="G186" s="58" t="s">
        <v>119</v>
      </c>
      <c r="H186">
        <v>41.397249360000004</v>
      </c>
      <c r="I186">
        <v>2.1194138310000001</v>
      </c>
      <c r="J186" s="52"/>
      <c r="K186" s="17" t="s">
        <v>66</v>
      </c>
      <c r="L186" s="52"/>
      <c r="M186" s="52"/>
      <c r="N186" s="52"/>
      <c r="O186" s="19" t="str">
        <f t="shared" si="5"/>
        <v>A_SP_BCN_32_231016</v>
      </c>
      <c r="P186" s="61">
        <v>45215</v>
      </c>
      <c r="Q186" s="62">
        <v>0.41666666666666669</v>
      </c>
      <c r="R186" s="22"/>
      <c r="S186" s="53">
        <v>45216</v>
      </c>
      <c r="T186" s="55">
        <v>0.41666666666666669</v>
      </c>
      <c r="U186" s="27"/>
      <c r="V186" s="25" t="s">
        <v>35</v>
      </c>
      <c r="W186" s="54"/>
      <c r="X186" s="17">
        <f t="shared" si="4"/>
        <v>1</v>
      </c>
      <c r="Y186" s="27"/>
      <c r="Z186" s="52"/>
      <c r="AA186" s="52"/>
      <c r="AB186" s="52"/>
      <c r="AC186" s="52"/>
      <c r="AD186" s="52"/>
      <c r="AE186" s="52"/>
      <c r="AF186">
        <v>4</v>
      </c>
    </row>
    <row r="187" spans="1:32" s="51" customFormat="1" x14ac:dyDescent="0.25">
      <c r="A187" s="17">
        <v>183</v>
      </c>
      <c r="B187" s="17" t="s">
        <v>58</v>
      </c>
      <c r="C187" s="17" t="s">
        <v>59</v>
      </c>
      <c r="D187" s="17" t="s">
        <v>60</v>
      </c>
      <c r="E187" s="17" t="s">
        <v>60</v>
      </c>
      <c r="F187" s="52"/>
      <c r="G187" s="58" t="s">
        <v>119</v>
      </c>
      <c r="H187">
        <v>41.397249360000004</v>
      </c>
      <c r="I187">
        <v>2.1194138310000001</v>
      </c>
      <c r="J187" s="52"/>
      <c r="K187" s="17" t="s">
        <v>66</v>
      </c>
      <c r="L187" s="52"/>
      <c r="M187" s="52"/>
      <c r="N187" s="52"/>
      <c r="O187" s="19" t="str">
        <f t="shared" si="5"/>
        <v>A_SP_BCN_32_231019</v>
      </c>
      <c r="P187" s="61">
        <v>45218</v>
      </c>
      <c r="Q187" s="62">
        <v>0.41666666666666669</v>
      </c>
      <c r="R187" s="22"/>
      <c r="S187" s="53">
        <v>45219</v>
      </c>
      <c r="T187" s="55">
        <v>0.41666666666666669</v>
      </c>
      <c r="U187" s="27"/>
      <c r="V187" s="25" t="s">
        <v>35</v>
      </c>
      <c r="W187" s="54"/>
      <c r="X187" s="17">
        <f t="shared" si="4"/>
        <v>1</v>
      </c>
      <c r="Y187" s="27"/>
      <c r="Z187" s="52"/>
      <c r="AA187" s="52"/>
      <c r="AB187" s="52"/>
      <c r="AC187" s="52"/>
      <c r="AD187" s="52"/>
      <c r="AE187" s="52"/>
      <c r="AF187">
        <v>4</v>
      </c>
    </row>
    <row r="188" spans="1:32" s="51" customFormat="1" x14ac:dyDescent="0.25">
      <c r="A188" s="17">
        <v>184</v>
      </c>
      <c r="B188" s="17" t="s">
        <v>58</v>
      </c>
      <c r="C188" s="17" t="s">
        <v>59</v>
      </c>
      <c r="D188" s="17" t="s">
        <v>60</v>
      </c>
      <c r="E188" s="17" t="s">
        <v>60</v>
      </c>
      <c r="F188" s="52"/>
      <c r="G188" s="58" t="s">
        <v>119</v>
      </c>
      <c r="H188">
        <v>41.397249360000004</v>
      </c>
      <c r="I188">
        <v>2.1194138310000001</v>
      </c>
      <c r="J188" s="52"/>
      <c r="K188" s="17" t="s">
        <v>66</v>
      </c>
      <c r="L188" s="52"/>
      <c r="M188" s="52"/>
      <c r="N188" s="52"/>
      <c r="O188" s="19" t="str">
        <f t="shared" si="5"/>
        <v>A_SP_BCN_32_231023</v>
      </c>
      <c r="P188" s="53">
        <v>45222</v>
      </c>
      <c r="Q188" s="62">
        <v>0.41666666666666669</v>
      </c>
      <c r="R188" s="27"/>
      <c r="S188" s="53">
        <v>45223</v>
      </c>
      <c r="T188" s="55">
        <v>0.41666666666666669</v>
      </c>
      <c r="U188" s="27"/>
      <c r="V188" s="25" t="s">
        <v>35</v>
      </c>
      <c r="W188" s="54"/>
      <c r="X188" s="17">
        <f t="shared" si="4"/>
        <v>1</v>
      </c>
      <c r="Y188" s="27"/>
      <c r="Z188" s="52"/>
      <c r="AA188" s="52"/>
      <c r="AB188" s="52"/>
      <c r="AC188" s="52"/>
      <c r="AD188" s="52"/>
      <c r="AE188" s="52"/>
      <c r="AF188">
        <v>4</v>
      </c>
    </row>
    <row r="189" spans="1:32" s="51" customFormat="1" x14ac:dyDescent="0.25">
      <c r="A189" s="17">
        <v>185</v>
      </c>
      <c r="B189" s="17" t="s">
        <v>58</v>
      </c>
      <c r="C189" s="17" t="s">
        <v>59</v>
      </c>
      <c r="D189" s="17" t="s">
        <v>60</v>
      </c>
      <c r="E189" s="17" t="s">
        <v>60</v>
      </c>
      <c r="F189" s="52"/>
      <c r="G189" s="58" t="s">
        <v>119</v>
      </c>
      <c r="H189">
        <v>41.397249360000004</v>
      </c>
      <c r="I189">
        <v>2.1194138310000001</v>
      </c>
      <c r="J189" s="52"/>
      <c r="K189" s="17" t="s">
        <v>66</v>
      </c>
      <c r="L189" s="52"/>
      <c r="M189" s="52"/>
      <c r="N189" s="52"/>
      <c r="O189" s="19" t="str">
        <f t="shared" si="5"/>
        <v>A_SP_BCN_32_231026</v>
      </c>
      <c r="P189" s="53">
        <v>45225</v>
      </c>
      <c r="Q189" s="62">
        <v>0.41666666666666669</v>
      </c>
      <c r="R189" s="27"/>
      <c r="S189" s="53">
        <v>45226</v>
      </c>
      <c r="T189" s="62">
        <v>0.41666666666666669</v>
      </c>
      <c r="U189" s="27"/>
      <c r="V189" s="25" t="s">
        <v>35</v>
      </c>
      <c r="W189" s="54"/>
      <c r="X189" s="17">
        <f t="shared" si="4"/>
        <v>1</v>
      </c>
      <c r="Y189" s="27"/>
      <c r="Z189" s="52"/>
      <c r="AA189" s="52"/>
      <c r="AB189" s="52"/>
      <c r="AC189" s="52"/>
      <c r="AD189" s="52"/>
      <c r="AE189" s="52"/>
      <c r="AF189">
        <v>4</v>
      </c>
    </row>
    <row r="190" spans="1:32" s="51" customFormat="1" x14ac:dyDescent="0.25">
      <c r="A190" s="17">
        <v>186</v>
      </c>
      <c r="B190" s="17" t="s">
        <v>58</v>
      </c>
      <c r="C190" s="17" t="s">
        <v>59</v>
      </c>
      <c r="D190" s="17" t="s">
        <v>60</v>
      </c>
      <c r="E190" s="17" t="s">
        <v>60</v>
      </c>
      <c r="F190" s="52"/>
      <c r="G190" s="58" t="s">
        <v>119</v>
      </c>
      <c r="H190">
        <v>41.397249360000004</v>
      </c>
      <c r="I190">
        <v>2.1194138310000001</v>
      </c>
      <c r="J190" s="52"/>
      <c r="K190" s="17" t="s">
        <v>66</v>
      </c>
      <c r="L190" s="52"/>
      <c r="M190" s="52"/>
      <c r="N190" s="52"/>
      <c r="O190" s="19" t="str">
        <f t="shared" si="5"/>
        <v>A_SP_BCN_32_231030</v>
      </c>
      <c r="P190" s="53">
        <v>45229</v>
      </c>
      <c r="Q190" s="55">
        <v>0.375</v>
      </c>
      <c r="R190" s="27"/>
      <c r="S190" s="53">
        <v>45230</v>
      </c>
      <c r="T190" s="55">
        <v>0.375</v>
      </c>
      <c r="U190" s="27"/>
      <c r="V190" s="25" t="s">
        <v>35</v>
      </c>
      <c r="W190" s="54"/>
      <c r="X190" s="17">
        <f t="shared" si="4"/>
        <v>1</v>
      </c>
      <c r="Y190" s="27"/>
      <c r="Z190" s="52"/>
      <c r="AA190" s="52"/>
      <c r="AB190" s="52"/>
      <c r="AC190" s="52"/>
      <c r="AD190" s="52"/>
      <c r="AE190" s="52"/>
      <c r="AF190">
        <v>4</v>
      </c>
    </row>
    <row r="191" spans="1:32" s="51" customFormat="1" x14ac:dyDescent="0.25">
      <c r="A191" s="17">
        <v>187</v>
      </c>
      <c r="B191" s="17" t="s">
        <v>58</v>
      </c>
      <c r="C191" s="17" t="s">
        <v>59</v>
      </c>
      <c r="D191" s="17" t="s">
        <v>60</v>
      </c>
      <c r="E191" s="17" t="s">
        <v>60</v>
      </c>
      <c r="F191" s="52"/>
      <c r="G191" s="58" t="s">
        <v>119</v>
      </c>
      <c r="H191">
        <v>41.397249360000004</v>
      </c>
      <c r="I191">
        <v>2.1194138310000001</v>
      </c>
      <c r="J191" s="52"/>
      <c r="K191" s="17" t="s">
        <v>66</v>
      </c>
      <c r="L191" s="52"/>
      <c r="M191" s="52"/>
      <c r="N191" s="52"/>
      <c r="O191" s="19" t="str">
        <f t="shared" si="5"/>
        <v>A_SP_BCN_32_231031</v>
      </c>
      <c r="P191" s="53">
        <v>45230</v>
      </c>
      <c r="Q191" s="55">
        <v>0.79861111111111116</v>
      </c>
      <c r="R191" s="27"/>
      <c r="S191" s="53">
        <v>45244</v>
      </c>
      <c r="T191" s="55">
        <v>0.69791666666666663</v>
      </c>
      <c r="U191" s="27"/>
      <c r="V191" s="52" t="s">
        <v>120</v>
      </c>
      <c r="W191" s="54"/>
      <c r="X191" s="17">
        <f t="shared" si="4"/>
        <v>14</v>
      </c>
      <c r="Y191" s="27"/>
      <c r="Z191" s="52"/>
      <c r="AA191" s="52"/>
      <c r="AB191" s="52"/>
      <c r="AC191" s="52"/>
      <c r="AD191" s="52"/>
      <c r="AE191" s="52"/>
      <c r="AF191" s="51">
        <v>2</v>
      </c>
    </row>
    <row r="192" spans="1:32" s="51" customFormat="1" x14ac:dyDescent="0.25">
      <c r="A192" s="17">
        <v>188</v>
      </c>
      <c r="B192" s="17" t="s">
        <v>58</v>
      </c>
      <c r="C192" s="17" t="s">
        <v>59</v>
      </c>
      <c r="D192" s="17" t="s">
        <v>60</v>
      </c>
      <c r="E192" s="17" t="s">
        <v>60</v>
      </c>
      <c r="F192" s="52"/>
      <c r="G192" s="58" t="s">
        <v>119</v>
      </c>
      <c r="H192">
        <v>41.397249360000004</v>
      </c>
      <c r="I192">
        <v>2.1194138310000001</v>
      </c>
      <c r="J192" s="52"/>
      <c r="K192" s="17" t="s">
        <v>66</v>
      </c>
      <c r="L192" s="52"/>
      <c r="M192" s="52"/>
      <c r="N192" s="52"/>
      <c r="O192" s="19" t="str">
        <f t="shared" si="5"/>
        <v>A_SP_BCN_32_231116</v>
      </c>
      <c r="P192" s="53">
        <v>45246</v>
      </c>
      <c r="Q192" s="55">
        <v>0.375</v>
      </c>
      <c r="R192" s="27"/>
      <c r="S192" s="53">
        <v>45247</v>
      </c>
      <c r="T192" s="55">
        <v>0.375</v>
      </c>
      <c r="U192" s="27"/>
      <c r="V192" s="25" t="s">
        <v>35</v>
      </c>
      <c r="W192" s="54"/>
      <c r="X192" s="17">
        <f t="shared" si="4"/>
        <v>1</v>
      </c>
      <c r="Y192" s="27"/>
      <c r="Z192" s="52"/>
      <c r="AA192" s="52"/>
      <c r="AB192" s="52"/>
      <c r="AC192" s="52"/>
      <c r="AD192" s="52"/>
      <c r="AE192" s="52"/>
      <c r="AF192">
        <v>4</v>
      </c>
    </row>
    <row r="193" spans="1:32" s="51" customFormat="1" x14ac:dyDescent="0.25">
      <c r="A193" s="17">
        <v>189</v>
      </c>
      <c r="B193" s="17" t="s">
        <v>58</v>
      </c>
      <c r="C193" s="17" t="s">
        <v>59</v>
      </c>
      <c r="D193" s="17" t="s">
        <v>60</v>
      </c>
      <c r="E193" s="17" t="s">
        <v>60</v>
      </c>
      <c r="F193" s="52"/>
      <c r="G193" s="58" t="s">
        <v>119</v>
      </c>
      <c r="H193">
        <v>41.397249360000004</v>
      </c>
      <c r="I193">
        <v>2.1194138310000001</v>
      </c>
      <c r="J193" s="52"/>
      <c r="K193" s="17" t="s">
        <v>66</v>
      </c>
      <c r="L193" s="52"/>
      <c r="M193" s="52"/>
      <c r="N193" s="52"/>
      <c r="O193" s="19" t="str">
        <f t="shared" si="5"/>
        <v>A_SP_BCN_32_231119</v>
      </c>
      <c r="P193" s="53">
        <v>45249</v>
      </c>
      <c r="Q193" s="55">
        <v>0.375</v>
      </c>
      <c r="R193" s="27"/>
      <c r="S193" s="53">
        <v>45250</v>
      </c>
      <c r="T193" s="55">
        <v>0.375</v>
      </c>
      <c r="U193" s="27"/>
      <c r="V193" s="25" t="s">
        <v>35</v>
      </c>
      <c r="W193" s="54"/>
      <c r="X193" s="17">
        <f t="shared" si="4"/>
        <v>1</v>
      </c>
      <c r="Y193" s="27"/>
      <c r="Z193" s="52"/>
      <c r="AA193" s="52"/>
      <c r="AB193" s="52"/>
      <c r="AC193" s="52"/>
      <c r="AD193" s="52"/>
      <c r="AE193" s="52"/>
      <c r="AF193">
        <v>4</v>
      </c>
    </row>
    <row r="194" spans="1:32" s="51" customFormat="1" x14ac:dyDescent="0.25">
      <c r="A194" s="17">
        <v>190</v>
      </c>
      <c r="B194" s="17" t="s">
        <v>58</v>
      </c>
      <c r="C194" s="17" t="s">
        <v>59</v>
      </c>
      <c r="D194" s="17" t="s">
        <v>60</v>
      </c>
      <c r="E194" s="17" t="s">
        <v>60</v>
      </c>
      <c r="F194" s="52"/>
      <c r="G194" s="58" t="s">
        <v>119</v>
      </c>
      <c r="H194">
        <v>41.397249360000004</v>
      </c>
      <c r="I194">
        <v>2.1194138310000001</v>
      </c>
      <c r="J194" s="52"/>
      <c r="K194" s="17" t="s">
        <v>66</v>
      </c>
      <c r="L194" s="52"/>
      <c r="M194" s="52"/>
      <c r="N194" s="52"/>
      <c r="O194" s="19" t="str">
        <f t="shared" si="5"/>
        <v>A_SP_BCN_32_231122</v>
      </c>
      <c r="P194" s="53">
        <v>45252</v>
      </c>
      <c r="Q194" s="55">
        <v>0.375</v>
      </c>
      <c r="R194" s="27"/>
      <c r="S194" s="53">
        <v>45253</v>
      </c>
      <c r="T194" s="55">
        <v>0.375</v>
      </c>
      <c r="U194" s="27"/>
      <c r="V194" s="52" t="s">
        <v>121</v>
      </c>
      <c r="W194" s="54"/>
      <c r="X194" s="17">
        <f t="shared" si="4"/>
        <v>1</v>
      </c>
      <c r="Y194" s="27"/>
      <c r="Z194" s="52"/>
      <c r="AA194" s="52"/>
      <c r="AB194" s="52"/>
      <c r="AC194" s="52"/>
      <c r="AD194" s="52"/>
      <c r="AE194" s="52"/>
      <c r="AF194" s="51">
        <v>1</v>
      </c>
    </row>
    <row r="195" spans="1:32" s="51" customFormat="1" x14ac:dyDescent="0.25">
      <c r="A195" s="17">
        <v>191</v>
      </c>
      <c r="B195" s="17" t="s">
        <v>58</v>
      </c>
      <c r="C195" s="17" t="s">
        <v>59</v>
      </c>
      <c r="D195" s="17" t="s">
        <v>60</v>
      </c>
      <c r="E195" s="17" t="s">
        <v>60</v>
      </c>
      <c r="F195" s="52"/>
      <c r="G195" s="58" t="s">
        <v>119</v>
      </c>
      <c r="H195">
        <v>41.397249360000004</v>
      </c>
      <c r="I195">
        <v>2.1194138310000001</v>
      </c>
      <c r="J195" s="52"/>
      <c r="K195" s="17" t="s">
        <v>66</v>
      </c>
      <c r="L195" s="52"/>
      <c r="M195" s="52"/>
      <c r="N195" s="52"/>
      <c r="O195" s="19" t="str">
        <f t="shared" si="5"/>
        <v>A_SP_BCN_32_231126</v>
      </c>
      <c r="P195" s="53">
        <v>45256</v>
      </c>
      <c r="Q195" s="55">
        <v>0.375</v>
      </c>
      <c r="R195" s="27"/>
      <c r="S195" s="53">
        <v>45257</v>
      </c>
      <c r="T195" s="55">
        <v>0.375</v>
      </c>
      <c r="U195" s="27"/>
      <c r="V195" s="25" t="s">
        <v>35</v>
      </c>
      <c r="W195" s="54"/>
      <c r="X195" s="17">
        <f t="shared" si="4"/>
        <v>1</v>
      </c>
      <c r="Y195" s="27"/>
      <c r="Z195" s="52"/>
      <c r="AA195" s="52"/>
      <c r="AB195" s="52"/>
      <c r="AC195" s="52"/>
      <c r="AD195" s="52"/>
      <c r="AE195" s="52"/>
      <c r="AF195">
        <v>4</v>
      </c>
    </row>
    <row r="196" spans="1:32" s="51" customFormat="1" x14ac:dyDescent="0.25">
      <c r="A196" s="17">
        <v>192</v>
      </c>
      <c r="B196" s="17" t="s">
        <v>58</v>
      </c>
      <c r="C196" s="17" t="s">
        <v>59</v>
      </c>
      <c r="D196" s="17" t="s">
        <v>60</v>
      </c>
      <c r="E196" s="17" t="s">
        <v>60</v>
      </c>
      <c r="F196" s="52"/>
      <c r="G196" s="58" t="s">
        <v>119</v>
      </c>
      <c r="H196">
        <v>41.397249360000004</v>
      </c>
      <c r="I196">
        <v>2.1194138310000001</v>
      </c>
      <c r="J196" s="52"/>
      <c r="K196" s="17" t="s">
        <v>66</v>
      </c>
      <c r="L196" s="52"/>
      <c r="M196" s="52"/>
      <c r="N196" s="52"/>
      <c r="O196" s="19" t="str">
        <f t="shared" si="5"/>
        <v>A_SP_BCN_32_231130</v>
      </c>
      <c r="P196" s="61">
        <v>45260</v>
      </c>
      <c r="Q196" s="55">
        <v>0.375</v>
      </c>
      <c r="R196" s="22"/>
      <c r="S196" s="53">
        <v>45261</v>
      </c>
      <c r="T196" s="55">
        <v>0.375</v>
      </c>
      <c r="U196" s="27"/>
      <c r="V196" s="25" t="s">
        <v>35</v>
      </c>
      <c r="W196" s="54"/>
      <c r="X196" s="17">
        <f t="shared" si="4"/>
        <v>1</v>
      </c>
      <c r="Y196" s="27"/>
      <c r="Z196" s="52"/>
      <c r="AA196" s="52"/>
      <c r="AB196" s="52"/>
      <c r="AC196" s="52"/>
      <c r="AD196" s="52"/>
      <c r="AE196" s="52"/>
      <c r="AF196">
        <v>4</v>
      </c>
    </row>
    <row r="197" spans="1:32" s="51" customFormat="1" x14ac:dyDescent="0.25">
      <c r="A197" s="17">
        <v>193</v>
      </c>
      <c r="B197" s="17" t="s">
        <v>58</v>
      </c>
      <c r="C197" s="17" t="s">
        <v>59</v>
      </c>
      <c r="D197" s="17" t="s">
        <v>60</v>
      </c>
      <c r="E197" s="17" t="s">
        <v>60</v>
      </c>
      <c r="F197" s="52"/>
      <c r="G197" s="58" t="s">
        <v>122</v>
      </c>
      <c r="H197">
        <v>41.403499750000002</v>
      </c>
      <c r="I197">
        <v>2.129506981</v>
      </c>
      <c r="J197" s="52"/>
      <c r="K197" s="17" t="s">
        <v>66</v>
      </c>
      <c r="L197" s="52"/>
      <c r="M197" s="52"/>
      <c r="N197" s="52"/>
      <c r="O197" s="19" t="str">
        <f t="shared" si="5"/>
        <v>A_SP_BCN_33_231009</v>
      </c>
      <c r="P197" s="61">
        <v>45208</v>
      </c>
      <c r="Q197" s="62">
        <v>0.41666666666666669</v>
      </c>
      <c r="R197" s="22"/>
      <c r="S197" s="53">
        <v>45209</v>
      </c>
      <c r="T197" s="55">
        <v>0.41666666666666669</v>
      </c>
      <c r="U197" s="27"/>
      <c r="V197" s="25" t="s">
        <v>35</v>
      </c>
      <c r="W197" s="54"/>
      <c r="X197" s="17">
        <f t="shared" ref="X197:X234" si="6">S197-P197</f>
        <v>1</v>
      </c>
      <c r="Y197" s="27"/>
      <c r="Z197" s="52"/>
      <c r="AA197" s="52"/>
      <c r="AB197" s="52"/>
      <c r="AC197" s="52"/>
      <c r="AD197" s="52"/>
      <c r="AE197" s="52"/>
      <c r="AF197">
        <v>4</v>
      </c>
    </row>
    <row r="198" spans="1:32" s="51" customFormat="1" x14ac:dyDescent="0.25">
      <c r="A198" s="17">
        <v>194</v>
      </c>
      <c r="B198" s="17" t="s">
        <v>58</v>
      </c>
      <c r="C198" s="17" t="s">
        <v>59</v>
      </c>
      <c r="D198" s="17" t="s">
        <v>60</v>
      </c>
      <c r="E198" s="17" t="s">
        <v>60</v>
      </c>
      <c r="F198" s="52"/>
      <c r="G198" s="58" t="s">
        <v>122</v>
      </c>
      <c r="H198">
        <v>41.403499750000002</v>
      </c>
      <c r="I198">
        <v>2.129506981</v>
      </c>
      <c r="J198" s="52"/>
      <c r="K198" s="17" t="s">
        <v>66</v>
      </c>
      <c r="L198" s="52"/>
      <c r="M198" s="52"/>
      <c r="N198" s="52"/>
      <c r="O198" s="19" t="str">
        <f t="shared" ref="O198:O234" si="7">G198&amp;"_"&amp;TEXT(P198,"AAMMDD")</f>
        <v>A_SP_BCN_33_231012</v>
      </c>
      <c r="P198" s="61">
        <v>45211</v>
      </c>
      <c r="Q198" s="62">
        <v>0.41666666666666669</v>
      </c>
      <c r="R198" s="22"/>
      <c r="S198" s="53">
        <v>45212</v>
      </c>
      <c r="T198" s="55">
        <v>0.41666666666666669</v>
      </c>
      <c r="U198" s="27"/>
      <c r="V198" s="25" t="s">
        <v>35</v>
      </c>
      <c r="W198" s="54"/>
      <c r="X198" s="17">
        <f t="shared" si="6"/>
        <v>1</v>
      </c>
      <c r="Y198" s="27"/>
      <c r="Z198" s="52"/>
      <c r="AA198" s="52"/>
      <c r="AB198" s="52"/>
      <c r="AC198" s="52"/>
      <c r="AD198" s="52"/>
      <c r="AE198" s="52"/>
      <c r="AF198">
        <v>4</v>
      </c>
    </row>
    <row r="199" spans="1:32" s="51" customFormat="1" x14ac:dyDescent="0.25">
      <c r="A199" s="17">
        <v>195</v>
      </c>
      <c r="B199" s="17" t="s">
        <v>58</v>
      </c>
      <c r="C199" s="17" t="s">
        <v>59</v>
      </c>
      <c r="D199" s="17" t="s">
        <v>60</v>
      </c>
      <c r="E199" s="17" t="s">
        <v>60</v>
      </c>
      <c r="F199" s="52"/>
      <c r="G199" s="58" t="s">
        <v>122</v>
      </c>
      <c r="H199">
        <v>41.403499750000002</v>
      </c>
      <c r="I199">
        <v>2.129506981</v>
      </c>
      <c r="J199" s="52"/>
      <c r="K199" s="17" t="s">
        <v>66</v>
      </c>
      <c r="L199" s="52"/>
      <c r="M199" s="52"/>
      <c r="N199" s="52"/>
      <c r="O199" s="19" t="str">
        <f t="shared" si="7"/>
        <v>A_SP_BCN_33_231016</v>
      </c>
      <c r="P199" s="61">
        <v>45215</v>
      </c>
      <c r="Q199" s="62">
        <v>0.41666666666666669</v>
      </c>
      <c r="R199" s="22"/>
      <c r="S199" s="53">
        <v>45216</v>
      </c>
      <c r="T199" s="55">
        <v>0.41666666666666669</v>
      </c>
      <c r="U199" s="27"/>
      <c r="V199" s="25" t="s">
        <v>35</v>
      </c>
      <c r="W199" s="54"/>
      <c r="X199" s="17">
        <f t="shared" si="6"/>
        <v>1</v>
      </c>
      <c r="Y199" s="27"/>
      <c r="Z199" s="52"/>
      <c r="AA199" s="52"/>
      <c r="AB199" s="52"/>
      <c r="AC199" s="52"/>
      <c r="AD199" s="52"/>
      <c r="AE199" s="52"/>
      <c r="AF199">
        <v>4</v>
      </c>
    </row>
    <row r="200" spans="1:32" s="51" customFormat="1" x14ac:dyDescent="0.25">
      <c r="A200" s="17">
        <v>196</v>
      </c>
      <c r="B200" s="17" t="s">
        <v>58</v>
      </c>
      <c r="C200" s="17" t="s">
        <v>59</v>
      </c>
      <c r="D200" s="17" t="s">
        <v>60</v>
      </c>
      <c r="E200" s="17" t="s">
        <v>60</v>
      </c>
      <c r="F200" s="52"/>
      <c r="G200" s="58" t="s">
        <v>122</v>
      </c>
      <c r="H200">
        <v>41.403499750000002</v>
      </c>
      <c r="I200">
        <v>2.129506981</v>
      </c>
      <c r="J200" s="52"/>
      <c r="K200" s="17" t="s">
        <v>66</v>
      </c>
      <c r="L200" s="52"/>
      <c r="M200" s="52"/>
      <c r="N200" s="52"/>
      <c r="O200" s="19" t="str">
        <f t="shared" si="7"/>
        <v>A_SP_BCN_33_231019</v>
      </c>
      <c r="P200" s="61">
        <v>45218</v>
      </c>
      <c r="Q200" s="62">
        <v>0.41666666666666669</v>
      </c>
      <c r="R200" s="22"/>
      <c r="S200" s="53">
        <v>45219</v>
      </c>
      <c r="T200" s="55">
        <v>0.41666666666666669</v>
      </c>
      <c r="U200" s="27"/>
      <c r="V200" s="25" t="s">
        <v>35</v>
      </c>
      <c r="W200" s="54"/>
      <c r="X200" s="17">
        <f t="shared" si="6"/>
        <v>1</v>
      </c>
      <c r="Y200" s="27"/>
      <c r="Z200" s="52"/>
      <c r="AA200" s="52"/>
      <c r="AB200" s="52"/>
      <c r="AC200" s="52"/>
      <c r="AD200" s="52"/>
      <c r="AE200" s="52"/>
      <c r="AF200">
        <v>4</v>
      </c>
    </row>
    <row r="201" spans="1:32" s="51" customFormat="1" x14ac:dyDescent="0.25">
      <c r="A201" s="17">
        <v>197</v>
      </c>
      <c r="B201" s="17" t="s">
        <v>58</v>
      </c>
      <c r="C201" s="17" t="s">
        <v>59</v>
      </c>
      <c r="D201" s="17" t="s">
        <v>60</v>
      </c>
      <c r="E201" s="17" t="s">
        <v>60</v>
      </c>
      <c r="F201" s="52"/>
      <c r="G201" s="58" t="s">
        <v>122</v>
      </c>
      <c r="H201">
        <v>41.403499750000002</v>
      </c>
      <c r="I201">
        <v>2.129506981</v>
      </c>
      <c r="J201" s="52"/>
      <c r="K201" s="17" t="s">
        <v>66</v>
      </c>
      <c r="L201" s="52"/>
      <c r="M201" s="52"/>
      <c r="N201" s="52"/>
      <c r="O201" s="19" t="str">
        <f t="shared" si="7"/>
        <v>A_SP_BCN_33_231023</v>
      </c>
      <c r="P201" s="53">
        <v>45222</v>
      </c>
      <c r="Q201" s="62">
        <v>0.41666666666666669</v>
      </c>
      <c r="R201" s="27"/>
      <c r="S201" s="53">
        <v>45223</v>
      </c>
      <c r="T201" s="55">
        <v>0.41666666666666669</v>
      </c>
      <c r="U201" s="27"/>
      <c r="V201" s="25" t="s">
        <v>35</v>
      </c>
      <c r="W201" s="54"/>
      <c r="X201" s="17">
        <f t="shared" si="6"/>
        <v>1</v>
      </c>
      <c r="Y201" s="27"/>
      <c r="Z201" s="52"/>
      <c r="AA201" s="52"/>
      <c r="AB201" s="52"/>
      <c r="AC201" s="52"/>
      <c r="AD201" s="52"/>
      <c r="AE201" s="52"/>
      <c r="AF201">
        <v>4</v>
      </c>
    </row>
    <row r="202" spans="1:32" s="51" customFormat="1" x14ac:dyDescent="0.25">
      <c r="A202" s="17">
        <v>198</v>
      </c>
      <c r="B202" s="17" t="s">
        <v>58</v>
      </c>
      <c r="C202" s="17" t="s">
        <v>59</v>
      </c>
      <c r="D202" s="17" t="s">
        <v>60</v>
      </c>
      <c r="E202" s="17" t="s">
        <v>60</v>
      </c>
      <c r="F202" s="52"/>
      <c r="G202" s="58" t="s">
        <v>122</v>
      </c>
      <c r="H202">
        <v>41.403499750000002</v>
      </c>
      <c r="I202">
        <v>2.129506981</v>
      </c>
      <c r="J202" s="52"/>
      <c r="K202" s="17" t="s">
        <v>66</v>
      </c>
      <c r="L202" s="52"/>
      <c r="M202" s="52"/>
      <c r="N202" s="52"/>
      <c r="O202" s="19" t="str">
        <f t="shared" si="7"/>
        <v>A_SP_BCN_33_231026</v>
      </c>
      <c r="P202" s="53">
        <v>45225</v>
      </c>
      <c r="Q202" s="62">
        <v>0.41666666666666669</v>
      </c>
      <c r="R202" s="27"/>
      <c r="S202" s="53">
        <v>45226</v>
      </c>
      <c r="T202" s="62">
        <v>0.41666666666666669</v>
      </c>
      <c r="U202" s="27"/>
      <c r="V202" s="25" t="s">
        <v>35</v>
      </c>
      <c r="W202" s="54"/>
      <c r="X202" s="17">
        <f t="shared" si="6"/>
        <v>1</v>
      </c>
      <c r="Y202" s="27"/>
      <c r="Z202" s="52"/>
      <c r="AA202" s="52"/>
      <c r="AB202" s="52"/>
      <c r="AC202" s="52"/>
      <c r="AD202" s="52"/>
      <c r="AE202" s="52"/>
      <c r="AF202">
        <v>4</v>
      </c>
    </row>
    <row r="203" spans="1:32" s="51" customFormat="1" x14ac:dyDescent="0.25">
      <c r="A203" s="17">
        <v>199</v>
      </c>
      <c r="B203" s="17" t="s">
        <v>58</v>
      </c>
      <c r="C203" s="17" t="s">
        <v>59</v>
      </c>
      <c r="D203" s="17" t="s">
        <v>60</v>
      </c>
      <c r="E203" s="17" t="s">
        <v>60</v>
      </c>
      <c r="F203" s="52"/>
      <c r="G203" s="58" t="s">
        <v>122</v>
      </c>
      <c r="H203">
        <v>41.403499750000002</v>
      </c>
      <c r="I203">
        <v>2.129506981</v>
      </c>
      <c r="J203" s="52"/>
      <c r="K203" s="17" t="s">
        <v>66</v>
      </c>
      <c r="L203" s="52"/>
      <c r="M203" s="52"/>
      <c r="N203" s="52"/>
      <c r="O203" s="19" t="str">
        <f t="shared" si="7"/>
        <v>A_SP_BCN_33_231030</v>
      </c>
      <c r="P203" s="53">
        <v>45229</v>
      </c>
      <c r="Q203" s="55">
        <v>0.375</v>
      </c>
      <c r="R203" s="27"/>
      <c r="S203" s="53">
        <v>45230</v>
      </c>
      <c r="T203" s="55">
        <v>0.375</v>
      </c>
      <c r="U203" s="27"/>
      <c r="V203" s="25" t="s">
        <v>35</v>
      </c>
      <c r="W203" s="54"/>
      <c r="X203" s="17">
        <f t="shared" si="6"/>
        <v>1</v>
      </c>
      <c r="Y203" s="27"/>
      <c r="Z203" s="52"/>
      <c r="AA203" s="52"/>
      <c r="AB203" s="52"/>
      <c r="AC203" s="52"/>
      <c r="AD203" s="52"/>
      <c r="AE203" s="52"/>
      <c r="AF203">
        <v>4</v>
      </c>
    </row>
    <row r="204" spans="1:32" s="51" customFormat="1" x14ac:dyDescent="0.25">
      <c r="A204" s="17">
        <v>200</v>
      </c>
      <c r="B204" s="17" t="s">
        <v>58</v>
      </c>
      <c r="C204" s="17" t="s">
        <v>59</v>
      </c>
      <c r="D204" s="17" t="s">
        <v>60</v>
      </c>
      <c r="E204" s="17" t="s">
        <v>60</v>
      </c>
      <c r="F204" s="52"/>
      <c r="G204" s="58" t="s">
        <v>122</v>
      </c>
      <c r="H204">
        <v>41.403499750000002</v>
      </c>
      <c r="I204">
        <v>2.129506981</v>
      </c>
      <c r="J204" s="52"/>
      <c r="K204" s="17" t="s">
        <v>66</v>
      </c>
      <c r="L204" s="52"/>
      <c r="M204" s="52"/>
      <c r="N204" s="52"/>
      <c r="O204" s="19" t="str">
        <f t="shared" si="7"/>
        <v>A_SP_BCN_33_231031</v>
      </c>
      <c r="P204" s="53">
        <v>45230</v>
      </c>
      <c r="Q204" s="55">
        <v>0.57638888888888895</v>
      </c>
      <c r="R204" s="27"/>
      <c r="S204" s="53">
        <v>45244</v>
      </c>
      <c r="T204" s="55">
        <v>0.52777777777777779</v>
      </c>
      <c r="U204" s="27"/>
      <c r="V204" s="25" t="s">
        <v>35</v>
      </c>
      <c r="W204" s="54"/>
      <c r="X204" s="17">
        <f t="shared" si="6"/>
        <v>14</v>
      </c>
      <c r="Y204" s="27"/>
      <c r="Z204" s="52"/>
      <c r="AA204" s="52"/>
      <c r="AB204" s="52"/>
      <c r="AC204" s="52"/>
      <c r="AD204" s="52"/>
      <c r="AE204" s="52"/>
      <c r="AF204">
        <v>4</v>
      </c>
    </row>
    <row r="205" spans="1:32" s="51" customFormat="1" x14ac:dyDescent="0.25">
      <c r="A205" s="17">
        <v>201</v>
      </c>
      <c r="B205" s="17" t="s">
        <v>58</v>
      </c>
      <c r="C205" s="17" t="s">
        <v>59</v>
      </c>
      <c r="D205" s="17" t="s">
        <v>60</v>
      </c>
      <c r="E205" s="17" t="s">
        <v>60</v>
      </c>
      <c r="F205" s="52"/>
      <c r="G205" s="58" t="s">
        <v>122</v>
      </c>
      <c r="H205">
        <v>41.403499750000002</v>
      </c>
      <c r="I205">
        <v>2.129506981</v>
      </c>
      <c r="J205" s="52"/>
      <c r="K205" s="17" t="s">
        <v>66</v>
      </c>
      <c r="L205" s="52"/>
      <c r="M205" s="52"/>
      <c r="N205" s="52"/>
      <c r="O205" s="19" t="str">
        <f t="shared" si="7"/>
        <v>A_SP_BCN_33_231116</v>
      </c>
      <c r="P205" s="53">
        <v>45246</v>
      </c>
      <c r="Q205" s="55">
        <v>0.375</v>
      </c>
      <c r="R205" s="27"/>
      <c r="S205" s="53">
        <v>45247</v>
      </c>
      <c r="T205" s="55">
        <v>0.375</v>
      </c>
      <c r="U205" s="27"/>
      <c r="V205" s="25" t="s">
        <v>35</v>
      </c>
      <c r="W205" s="54"/>
      <c r="X205" s="17">
        <f t="shared" si="6"/>
        <v>1</v>
      </c>
      <c r="Y205" s="27"/>
      <c r="Z205" s="52"/>
      <c r="AA205" s="52"/>
      <c r="AB205" s="52"/>
      <c r="AC205" s="52"/>
      <c r="AD205" s="52"/>
      <c r="AE205" s="52"/>
      <c r="AF205">
        <v>4</v>
      </c>
    </row>
    <row r="206" spans="1:32" s="51" customFormat="1" x14ac:dyDescent="0.25">
      <c r="A206" s="17">
        <v>202</v>
      </c>
      <c r="B206" s="17" t="s">
        <v>58</v>
      </c>
      <c r="C206" s="17" t="s">
        <v>59</v>
      </c>
      <c r="D206" s="17" t="s">
        <v>60</v>
      </c>
      <c r="E206" s="17" t="s">
        <v>60</v>
      </c>
      <c r="F206" s="52"/>
      <c r="G206" s="58" t="s">
        <v>122</v>
      </c>
      <c r="H206">
        <v>41.403499750000002</v>
      </c>
      <c r="I206">
        <v>2.129506981</v>
      </c>
      <c r="J206" s="52"/>
      <c r="K206" s="17" t="s">
        <v>66</v>
      </c>
      <c r="L206" s="52"/>
      <c r="M206" s="52"/>
      <c r="N206" s="52"/>
      <c r="O206" s="19" t="str">
        <f t="shared" si="7"/>
        <v>A_SP_BCN_33_231119</v>
      </c>
      <c r="P206" s="53">
        <v>45249</v>
      </c>
      <c r="Q206" s="55">
        <v>0.375</v>
      </c>
      <c r="R206" s="27"/>
      <c r="S206" s="53">
        <v>45250</v>
      </c>
      <c r="T206" s="55">
        <v>0.375</v>
      </c>
      <c r="U206" s="27"/>
      <c r="V206" s="52" t="s">
        <v>115</v>
      </c>
      <c r="W206" s="54"/>
      <c r="X206" s="17">
        <f t="shared" si="6"/>
        <v>1</v>
      </c>
      <c r="Y206" s="27"/>
      <c r="Z206" s="52"/>
      <c r="AA206" s="52"/>
      <c r="AB206" s="52"/>
      <c r="AC206" s="52"/>
      <c r="AD206" s="52"/>
      <c r="AE206" s="52"/>
      <c r="AF206" s="51">
        <v>2</v>
      </c>
    </row>
    <row r="207" spans="1:32" s="51" customFormat="1" x14ac:dyDescent="0.25">
      <c r="A207" s="17">
        <v>203</v>
      </c>
      <c r="B207" s="17" t="s">
        <v>58</v>
      </c>
      <c r="C207" s="17" t="s">
        <v>59</v>
      </c>
      <c r="D207" s="17" t="s">
        <v>60</v>
      </c>
      <c r="E207" s="17" t="s">
        <v>60</v>
      </c>
      <c r="F207" s="52"/>
      <c r="G207" s="58" t="s">
        <v>122</v>
      </c>
      <c r="H207">
        <v>41.403499750000002</v>
      </c>
      <c r="I207">
        <v>2.129506981</v>
      </c>
      <c r="J207" s="52"/>
      <c r="K207" s="17" t="s">
        <v>66</v>
      </c>
      <c r="L207" s="52"/>
      <c r="M207" s="52"/>
      <c r="N207" s="52"/>
      <c r="O207" s="19" t="str">
        <f t="shared" si="7"/>
        <v>A_SP_BCN_33_231122</v>
      </c>
      <c r="P207" s="53">
        <v>45252</v>
      </c>
      <c r="Q207" s="55">
        <v>0.375</v>
      </c>
      <c r="R207" s="27"/>
      <c r="S207" s="53">
        <v>45253</v>
      </c>
      <c r="T207" s="55">
        <v>0.375</v>
      </c>
      <c r="U207" s="27"/>
      <c r="V207" s="25" t="s">
        <v>35</v>
      </c>
      <c r="W207" s="54"/>
      <c r="X207" s="17">
        <f t="shared" si="6"/>
        <v>1</v>
      </c>
      <c r="Y207" s="27"/>
      <c r="Z207" s="52"/>
      <c r="AA207" s="52"/>
      <c r="AB207" s="52"/>
      <c r="AC207" s="52"/>
      <c r="AD207" s="52"/>
      <c r="AE207" s="52"/>
      <c r="AF207">
        <v>4</v>
      </c>
    </row>
    <row r="208" spans="1:32" s="51" customFormat="1" x14ac:dyDescent="0.25">
      <c r="A208" s="17">
        <v>204</v>
      </c>
      <c r="B208" s="17" t="s">
        <v>58</v>
      </c>
      <c r="C208" s="17" t="s">
        <v>59</v>
      </c>
      <c r="D208" s="17" t="s">
        <v>60</v>
      </c>
      <c r="E208" s="17" t="s">
        <v>60</v>
      </c>
      <c r="F208" s="52"/>
      <c r="G208" s="58" t="s">
        <v>122</v>
      </c>
      <c r="H208">
        <v>41.403499750000002</v>
      </c>
      <c r="I208">
        <v>2.129506981</v>
      </c>
      <c r="J208" s="52"/>
      <c r="K208" s="17" t="s">
        <v>66</v>
      </c>
      <c r="L208" s="52"/>
      <c r="M208" s="52"/>
      <c r="N208" s="52"/>
      <c r="O208" s="19" t="str">
        <f t="shared" si="7"/>
        <v>A_SP_BCN_33_231126</v>
      </c>
      <c r="P208" s="53">
        <v>45256</v>
      </c>
      <c r="Q208" s="55">
        <v>0.375</v>
      </c>
      <c r="R208" s="27"/>
      <c r="S208" s="53">
        <v>45257</v>
      </c>
      <c r="T208" s="55">
        <v>0.375</v>
      </c>
      <c r="U208" s="27"/>
      <c r="V208" s="25" t="s">
        <v>35</v>
      </c>
      <c r="W208" s="54"/>
      <c r="X208" s="17">
        <f t="shared" si="6"/>
        <v>1</v>
      </c>
      <c r="Y208" s="27"/>
      <c r="Z208" s="52"/>
      <c r="AA208" s="52"/>
      <c r="AB208" s="52"/>
      <c r="AC208" s="52"/>
      <c r="AD208" s="52"/>
      <c r="AE208" s="52"/>
      <c r="AF208">
        <v>4</v>
      </c>
    </row>
    <row r="209" spans="1:32" s="51" customFormat="1" x14ac:dyDescent="0.25">
      <c r="A209" s="17">
        <v>205</v>
      </c>
      <c r="B209" s="17" t="s">
        <v>58</v>
      </c>
      <c r="C209" s="17" t="s">
        <v>59</v>
      </c>
      <c r="D209" s="17" t="s">
        <v>60</v>
      </c>
      <c r="E209" s="17" t="s">
        <v>60</v>
      </c>
      <c r="F209" s="52"/>
      <c r="G209" s="58" t="s">
        <v>122</v>
      </c>
      <c r="H209">
        <v>41.403499750000002</v>
      </c>
      <c r="I209">
        <v>2.129506981</v>
      </c>
      <c r="J209" s="52"/>
      <c r="K209" s="17" t="s">
        <v>66</v>
      </c>
      <c r="L209" s="52"/>
      <c r="M209" s="52"/>
      <c r="N209" s="52"/>
      <c r="O209" s="19" t="str">
        <f t="shared" si="7"/>
        <v>A_SP_BCN_33_231130</v>
      </c>
      <c r="P209" s="61">
        <v>45260</v>
      </c>
      <c r="Q209" s="55">
        <v>0.375</v>
      </c>
      <c r="R209" s="22"/>
      <c r="S209" s="53">
        <v>45261</v>
      </c>
      <c r="T209" s="55">
        <v>0.375</v>
      </c>
      <c r="U209" s="27"/>
      <c r="V209" s="25" t="s">
        <v>35</v>
      </c>
      <c r="W209" s="54"/>
      <c r="X209" s="17">
        <f t="shared" si="6"/>
        <v>1</v>
      </c>
      <c r="Y209" s="27"/>
      <c r="Z209" s="52"/>
      <c r="AA209" s="52"/>
      <c r="AB209" s="52"/>
      <c r="AC209" s="52"/>
      <c r="AD209" s="52"/>
      <c r="AE209" s="52"/>
      <c r="AF209">
        <v>4</v>
      </c>
    </row>
    <row r="210" spans="1:32" s="51" customFormat="1" x14ac:dyDescent="0.25">
      <c r="A210" s="17">
        <v>206</v>
      </c>
      <c r="B210" s="17" t="s">
        <v>58</v>
      </c>
      <c r="C210" s="17" t="s">
        <v>59</v>
      </c>
      <c r="D210" s="17" t="s">
        <v>60</v>
      </c>
      <c r="E210" s="52" t="s">
        <v>130</v>
      </c>
      <c r="F210" s="52"/>
      <c r="G210" s="58" t="s">
        <v>123</v>
      </c>
      <c r="H210">
        <v>41.56</v>
      </c>
      <c r="I210">
        <v>2.08</v>
      </c>
      <c r="J210" s="52"/>
      <c r="K210" s="17" t="s">
        <v>66</v>
      </c>
      <c r="L210" s="52"/>
      <c r="M210" s="52"/>
      <c r="N210" s="52"/>
      <c r="O210" s="19" t="str">
        <f t="shared" si="7"/>
        <v>V5_230919</v>
      </c>
      <c r="P210" s="53">
        <v>45188</v>
      </c>
      <c r="Q210" s="52"/>
      <c r="R210" s="27"/>
      <c r="S210" s="53">
        <v>45189</v>
      </c>
      <c r="T210" s="52"/>
      <c r="U210" s="27"/>
      <c r="V210" s="25" t="s">
        <v>35</v>
      </c>
      <c r="W210" s="54"/>
      <c r="X210" s="17">
        <f t="shared" si="6"/>
        <v>1</v>
      </c>
      <c r="Y210" s="27"/>
      <c r="Z210" s="52"/>
      <c r="AA210" s="52"/>
      <c r="AB210" s="52"/>
      <c r="AC210" s="52"/>
      <c r="AD210" s="52"/>
      <c r="AE210" s="52"/>
      <c r="AF210">
        <v>4</v>
      </c>
    </row>
    <row r="211" spans="1:32" s="51" customFormat="1" x14ac:dyDescent="0.25">
      <c r="A211" s="17">
        <v>207</v>
      </c>
      <c r="B211" s="17" t="s">
        <v>58</v>
      </c>
      <c r="C211" s="17" t="s">
        <v>59</v>
      </c>
      <c r="D211" s="17" t="s">
        <v>60</v>
      </c>
      <c r="E211" s="52" t="s">
        <v>130</v>
      </c>
      <c r="F211" s="52"/>
      <c r="G211" s="58" t="s">
        <v>123</v>
      </c>
      <c r="H211">
        <v>41.56</v>
      </c>
      <c r="I211">
        <v>2.08</v>
      </c>
      <c r="J211" s="52"/>
      <c r="K211" s="17" t="s">
        <v>66</v>
      </c>
      <c r="L211" s="52"/>
      <c r="M211" s="52"/>
      <c r="N211" s="52"/>
      <c r="O211" s="19" t="str">
        <f t="shared" si="7"/>
        <v>V5_230926</v>
      </c>
      <c r="P211" s="53">
        <v>45195</v>
      </c>
      <c r="Q211" s="52"/>
      <c r="R211" s="27"/>
      <c r="S211" s="53">
        <v>45196</v>
      </c>
      <c r="T211" s="52"/>
      <c r="U211" s="27"/>
      <c r="V211" s="25" t="s">
        <v>35</v>
      </c>
      <c r="W211" s="54"/>
      <c r="X211" s="17">
        <f t="shared" si="6"/>
        <v>1</v>
      </c>
      <c r="Y211" s="27"/>
      <c r="Z211" s="52"/>
      <c r="AA211" s="52"/>
      <c r="AB211" s="52"/>
      <c r="AC211" s="52"/>
      <c r="AD211" s="52"/>
      <c r="AE211" s="52"/>
      <c r="AF211">
        <v>4</v>
      </c>
    </row>
    <row r="212" spans="1:32" s="51" customFormat="1" x14ac:dyDescent="0.25">
      <c r="A212" s="17">
        <v>208</v>
      </c>
      <c r="B212" s="17" t="s">
        <v>58</v>
      </c>
      <c r="C212" s="17" t="s">
        <v>59</v>
      </c>
      <c r="D212" s="17" t="s">
        <v>60</v>
      </c>
      <c r="E212" s="52" t="s">
        <v>130</v>
      </c>
      <c r="F212" s="52"/>
      <c r="G212" s="58" t="s">
        <v>123</v>
      </c>
      <c r="H212">
        <v>41.56</v>
      </c>
      <c r="I212">
        <v>2.08</v>
      </c>
      <c r="J212" s="52"/>
      <c r="K212" s="17" t="s">
        <v>66</v>
      </c>
      <c r="L212" s="52"/>
      <c r="M212" s="52"/>
      <c r="N212" s="52"/>
      <c r="O212" s="19" t="str">
        <f t="shared" si="7"/>
        <v>V5_231003</v>
      </c>
      <c r="P212" s="53">
        <v>45202</v>
      </c>
      <c r="Q212" s="52"/>
      <c r="R212" s="27"/>
      <c r="S212" s="53">
        <v>45203</v>
      </c>
      <c r="T212" s="52"/>
      <c r="U212" s="27"/>
      <c r="V212" s="25" t="s">
        <v>35</v>
      </c>
      <c r="W212" s="54"/>
      <c r="X212" s="17">
        <f t="shared" si="6"/>
        <v>1</v>
      </c>
      <c r="Y212" s="27"/>
      <c r="Z212" s="52"/>
      <c r="AA212" s="52"/>
      <c r="AB212" s="52"/>
      <c r="AC212" s="52"/>
      <c r="AD212" s="52"/>
      <c r="AE212" s="52"/>
      <c r="AF212">
        <v>4</v>
      </c>
    </row>
    <row r="213" spans="1:32" s="51" customFormat="1" x14ac:dyDescent="0.25">
      <c r="A213" s="17">
        <v>209</v>
      </c>
      <c r="B213" s="17" t="s">
        <v>58</v>
      </c>
      <c r="C213" s="17" t="s">
        <v>59</v>
      </c>
      <c r="D213" s="17" t="s">
        <v>60</v>
      </c>
      <c r="E213" s="52" t="s">
        <v>130</v>
      </c>
      <c r="F213" s="52"/>
      <c r="G213" s="58" t="s">
        <v>123</v>
      </c>
      <c r="H213">
        <v>41.56</v>
      </c>
      <c r="I213">
        <v>2.08</v>
      </c>
      <c r="J213" s="52"/>
      <c r="K213" s="17" t="s">
        <v>66</v>
      </c>
      <c r="L213" s="52"/>
      <c r="M213" s="52"/>
      <c r="N213" s="52"/>
      <c r="O213" s="19" t="str">
        <f t="shared" si="7"/>
        <v>V5_231010</v>
      </c>
      <c r="P213" s="53">
        <v>45209</v>
      </c>
      <c r="Q213" s="52"/>
      <c r="R213" s="27"/>
      <c r="S213" s="53">
        <v>45210</v>
      </c>
      <c r="T213" s="52"/>
      <c r="U213" s="27"/>
      <c r="V213" s="25" t="s">
        <v>35</v>
      </c>
      <c r="W213" s="54"/>
      <c r="X213" s="17">
        <f t="shared" si="6"/>
        <v>1</v>
      </c>
      <c r="Y213" s="27"/>
      <c r="Z213" s="52"/>
      <c r="AA213" s="52"/>
      <c r="AB213" s="52"/>
      <c r="AC213" s="52"/>
      <c r="AD213" s="52"/>
      <c r="AE213" s="52"/>
      <c r="AF213">
        <v>4</v>
      </c>
    </row>
    <row r="214" spans="1:32" s="51" customFormat="1" x14ac:dyDescent="0.25">
      <c r="A214" s="17">
        <v>210</v>
      </c>
      <c r="B214" s="17" t="s">
        <v>58</v>
      </c>
      <c r="C214" s="17" t="s">
        <v>59</v>
      </c>
      <c r="D214" s="17" t="s">
        <v>60</v>
      </c>
      <c r="E214" s="52" t="s">
        <v>130</v>
      </c>
      <c r="F214" s="52"/>
      <c r="G214" s="58" t="s">
        <v>123</v>
      </c>
      <c r="H214">
        <v>41.56</v>
      </c>
      <c r="I214">
        <v>2.08</v>
      </c>
      <c r="J214" s="52"/>
      <c r="K214" s="17" t="s">
        <v>66</v>
      </c>
      <c r="L214" s="52"/>
      <c r="M214" s="52"/>
      <c r="N214" s="52"/>
      <c r="O214" s="19" t="str">
        <f t="shared" si="7"/>
        <v>V5_231019</v>
      </c>
      <c r="P214" s="53">
        <v>45218</v>
      </c>
      <c r="Q214" s="52"/>
      <c r="R214" s="27"/>
      <c r="S214" s="53">
        <v>45219</v>
      </c>
      <c r="T214" s="52"/>
      <c r="U214" s="27"/>
      <c r="V214" s="25" t="s">
        <v>35</v>
      </c>
      <c r="W214" s="54"/>
      <c r="X214" s="17">
        <f t="shared" si="6"/>
        <v>1</v>
      </c>
      <c r="Y214" s="27"/>
      <c r="Z214" s="52"/>
      <c r="AA214" s="52"/>
      <c r="AB214" s="52"/>
      <c r="AC214" s="52"/>
      <c r="AD214" s="52"/>
      <c r="AE214" s="52"/>
      <c r="AF214">
        <v>4</v>
      </c>
    </row>
    <row r="215" spans="1:32" s="51" customFormat="1" x14ac:dyDescent="0.25">
      <c r="A215" s="17">
        <v>211</v>
      </c>
      <c r="B215" s="17" t="s">
        <v>58</v>
      </c>
      <c r="C215" s="17" t="s">
        <v>59</v>
      </c>
      <c r="D215" s="17" t="s">
        <v>60</v>
      </c>
      <c r="E215" s="52" t="s">
        <v>130</v>
      </c>
      <c r="F215" s="52"/>
      <c r="G215" s="58" t="s">
        <v>123</v>
      </c>
      <c r="H215">
        <v>41.56</v>
      </c>
      <c r="I215">
        <v>2.08</v>
      </c>
      <c r="J215" s="52"/>
      <c r="K215" s="17" t="s">
        <v>66</v>
      </c>
      <c r="L215" s="52"/>
      <c r="M215" s="52"/>
      <c r="N215" s="52"/>
      <c r="O215" s="19" t="str">
        <f t="shared" si="7"/>
        <v>V5_231026</v>
      </c>
      <c r="P215" s="53">
        <v>45225</v>
      </c>
      <c r="Q215" s="52"/>
      <c r="R215" s="27"/>
      <c r="S215" s="53">
        <v>45226</v>
      </c>
      <c r="T215" s="52"/>
      <c r="U215" s="27"/>
      <c r="V215" s="25" t="s">
        <v>35</v>
      </c>
      <c r="W215" s="54"/>
      <c r="X215" s="17">
        <f t="shared" si="6"/>
        <v>1</v>
      </c>
      <c r="Y215" s="27"/>
      <c r="Z215" s="52"/>
      <c r="AA215" s="52"/>
      <c r="AB215" s="52"/>
      <c r="AC215" s="52"/>
      <c r="AD215" s="52"/>
      <c r="AE215" s="52"/>
      <c r="AF215">
        <v>4</v>
      </c>
    </row>
    <row r="216" spans="1:32" s="51" customFormat="1" x14ac:dyDescent="0.25">
      <c r="A216" s="17">
        <v>212</v>
      </c>
      <c r="B216" s="17" t="s">
        <v>58</v>
      </c>
      <c r="C216" s="17" t="s">
        <v>59</v>
      </c>
      <c r="D216" s="17" t="s">
        <v>60</v>
      </c>
      <c r="E216" s="52" t="s">
        <v>130</v>
      </c>
      <c r="F216" s="52"/>
      <c r="G216" s="54" t="s">
        <v>124</v>
      </c>
      <c r="H216">
        <v>41.56</v>
      </c>
      <c r="I216">
        <v>2.08</v>
      </c>
      <c r="J216" s="52"/>
      <c r="K216" s="17" t="s">
        <v>66</v>
      </c>
      <c r="L216" s="52"/>
      <c r="M216" s="52"/>
      <c r="N216" s="52"/>
      <c r="O216" s="19" t="str">
        <f t="shared" si="7"/>
        <v>V6_230919</v>
      </c>
      <c r="P216" s="53">
        <v>45188</v>
      </c>
      <c r="Q216" s="52"/>
      <c r="R216" s="27"/>
      <c r="S216" s="53">
        <v>45189</v>
      </c>
      <c r="T216" s="52"/>
      <c r="U216" s="27"/>
      <c r="V216" s="25" t="s">
        <v>35</v>
      </c>
      <c r="W216" s="54"/>
      <c r="X216" s="17">
        <f t="shared" si="6"/>
        <v>1</v>
      </c>
      <c r="Y216" s="27"/>
      <c r="Z216" s="52"/>
      <c r="AA216" s="52"/>
      <c r="AB216" s="52"/>
      <c r="AC216" s="52"/>
      <c r="AD216" s="52"/>
      <c r="AE216" s="52"/>
      <c r="AF216">
        <v>4</v>
      </c>
    </row>
    <row r="217" spans="1:32" s="51" customFormat="1" x14ac:dyDescent="0.25">
      <c r="A217" s="17">
        <v>213</v>
      </c>
      <c r="B217" s="17" t="s">
        <v>58</v>
      </c>
      <c r="C217" s="17" t="s">
        <v>59</v>
      </c>
      <c r="D217" s="17" t="s">
        <v>60</v>
      </c>
      <c r="E217" s="52" t="s">
        <v>130</v>
      </c>
      <c r="F217" s="52"/>
      <c r="G217" s="54" t="s">
        <v>124</v>
      </c>
      <c r="H217">
        <v>41.56</v>
      </c>
      <c r="I217">
        <v>2.08</v>
      </c>
      <c r="J217" s="52"/>
      <c r="K217" s="17" t="s">
        <v>66</v>
      </c>
      <c r="L217" s="52"/>
      <c r="M217" s="52"/>
      <c r="N217" s="52"/>
      <c r="O217" s="19" t="str">
        <f t="shared" si="7"/>
        <v>V6_230926</v>
      </c>
      <c r="P217" s="53">
        <v>45195</v>
      </c>
      <c r="Q217" s="52"/>
      <c r="R217" s="27"/>
      <c r="S217" s="53">
        <v>45196</v>
      </c>
      <c r="T217" s="52"/>
      <c r="U217" s="27"/>
      <c r="V217" s="25" t="s">
        <v>35</v>
      </c>
      <c r="W217" s="54"/>
      <c r="X217" s="17">
        <f t="shared" si="6"/>
        <v>1</v>
      </c>
      <c r="Y217" s="27"/>
      <c r="Z217" s="52"/>
      <c r="AA217" s="52"/>
      <c r="AB217" s="52"/>
      <c r="AC217" s="52"/>
      <c r="AD217" s="52"/>
      <c r="AE217" s="52"/>
      <c r="AF217">
        <v>4</v>
      </c>
    </row>
    <row r="218" spans="1:32" s="51" customFormat="1" x14ac:dyDescent="0.25">
      <c r="A218" s="17">
        <v>214</v>
      </c>
      <c r="B218" s="17" t="s">
        <v>58</v>
      </c>
      <c r="C218" s="17" t="s">
        <v>59</v>
      </c>
      <c r="D218" s="17" t="s">
        <v>60</v>
      </c>
      <c r="E218" s="52" t="s">
        <v>130</v>
      </c>
      <c r="F218" s="52"/>
      <c r="G218" s="54" t="s">
        <v>124</v>
      </c>
      <c r="H218">
        <v>41.56</v>
      </c>
      <c r="I218">
        <v>2.08</v>
      </c>
      <c r="J218" s="52"/>
      <c r="K218" s="17" t="s">
        <v>66</v>
      </c>
      <c r="L218" s="52"/>
      <c r="M218" s="52"/>
      <c r="N218" s="52"/>
      <c r="O218" s="19" t="str">
        <f t="shared" si="7"/>
        <v>V6_231003</v>
      </c>
      <c r="P218" s="53">
        <v>45202</v>
      </c>
      <c r="Q218" s="52"/>
      <c r="R218" s="27"/>
      <c r="S218" s="53">
        <v>45203</v>
      </c>
      <c r="T218" s="52"/>
      <c r="U218" s="27"/>
      <c r="V218" s="25" t="s">
        <v>35</v>
      </c>
      <c r="W218" s="54"/>
      <c r="X218" s="17">
        <f t="shared" si="6"/>
        <v>1</v>
      </c>
      <c r="Y218" s="27"/>
      <c r="Z218" s="52"/>
      <c r="AA218" s="52"/>
      <c r="AB218" s="52"/>
      <c r="AC218" s="52"/>
      <c r="AD218" s="52"/>
      <c r="AE218" s="52"/>
      <c r="AF218">
        <v>4</v>
      </c>
    </row>
    <row r="219" spans="1:32" s="51" customFormat="1" x14ac:dyDescent="0.25">
      <c r="A219" s="17">
        <v>215</v>
      </c>
      <c r="B219" s="17" t="s">
        <v>58</v>
      </c>
      <c r="C219" s="17" t="s">
        <v>59</v>
      </c>
      <c r="D219" s="17" t="s">
        <v>60</v>
      </c>
      <c r="E219" s="52" t="s">
        <v>130</v>
      </c>
      <c r="F219" s="52"/>
      <c r="G219" s="54" t="s">
        <v>124</v>
      </c>
      <c r="H219">
        <v>41.56</v>
      </c>
      <c r="I219">
        <v>2.08</v>
      </c>
      <c r="J219" s="52"/>
      <c r="K219" s="17" t="s">
        <v>66</v>
      </c>
      <c r="L219" s="52"/>
      <c r="M219" s="52"/>
      <c r="N219" s="52"/>
      <c r="O219" s="19" t="str">
        <f t="shared" si="7"/>
        <v>V6_231010</v>
      </c>
      <c r="P219" s="53">
        <v>45209</v>
      </c>
      <c r="Q219" s="52"/>
      <c r="R219" s="27"/>
      <c r="S219" s="53">
        <v>45210</v>
      </c>
      <c r="T219" s="52"/>
      <c r="U219" s="27"/>
      <c r="V219" s="25" t="s">
        <v>35</v>
      </c>
      <c r="W219" s="54"/>
      <c r="X219" s="17">
        <f t="shared" si="6"/>
        <v>1</v>
      </c>
      <c r="Y219" s="27"/>
      <c r="Z219" s="52"/>
      <c r="AA219" s="52"/>
      <c r="AB219" s="52"/>
      <c r="AC219" s="52"/>
      <c r="AD219" s="52"/>
      <c r="AE219" s="52"/>
      <c r="AF219">
        <v>4</v>
      </c>
    </row>
    <row r="220" spans="1:32" s="51" customFormat="1" x14ac:dyDescent="0.25">
      <c r="A220" s="17">
        <v>216</v>
      </c>
      <c r="B220" s="17" t="s">
        <v>58</v>
      </c>
      <c r="C220" s="17" t="s">
        <v>59</v>
      </c>
      <c r="D220" s="17" t="s">
        <v>60</v>
      </c>
      <c r="E220" s="52" t="s">
        <v>130</v>
      </c>
      <c r="F220" s="52"/>
      <c r="G220" s="54" t="s">
        <v>124</v>
      </c>
      <c r="H220">
        <v>41.56</v>
      </c>
      <c r="I220">
        <v>2.08</v>
      </c>
      <c r="J220" s="52"/>
      <c r="K220" s="17" t="s">
        <v>66</v>
      </c>
      <c r="L220" s="52"/>
      <c r="M220" s="52"/>
      <c r="N220" s="52"/>
      <c r="O220" s="19" t="str">
        <f t="shared" si="7"/>
        <v>V6_231019</v>
      </c>
      <c r="P220" s="53">
        <v>45218</v>
      </c>
      <c r="Q220" s="52"/>
      <c r="R220" s="27"/>
      <c r="S220" s="53">
        <v>45219</v>
      </c>
      <c r="T220" s="52"/>
      <c r="U220" s="27"/>
      <c r="V220" s="25" t="s">
        <v>35</v>
      </c>
      <c r="W220" s="54"/>
      <c r="X220" s="17">
        <f t="shared" si="6"/>
        <v>1</v>
      </c>
      <c r="Y220" s="27"/>
      <c r="Z220" s="52"/>
      <c r="AA220" s="52"/>
      <c r="AB220" s="52"/>
      <c r="AC220" s="52"/>
      <c r="AD220" s="52"/>
      <c r="AE220" s="52"/>
      <c r="AF220">
        <v>4</v>
      </c>
    </row>
    <row r="221" spans="1:32" s="51" customFormat="1" x14ac:dyDescent="0.25">
      <c r="A221" s="17">
        <v>217</v>
      </c>
      <c r="B221" s="17" t="s">
        <v>58</v>
      </c>
      <c r="C221" s="17" t="s">
        <v>59</v>
      </c>
      <c r="D221" s="17" t="s">
        <v>60</v>
      </c>
      <c r="E221" s="52" t="s">
        <v>130</v>
      </c>
      <c r="F221" s="52"/>
      <c r="G221" s="54" t="s">
        <v>124</v>
      </c>
      <c r="H221">
        <v>41.56</v>
      </c>
      <c r="I221">
        <v>2.08</v>
      </c>
      <c r="J221" s="52"/>
      <c r="K221" s="17" t="s">
        <v>66</v>
      </c>
      <c r="L221" s="52"/>
      <c r="M221" s="52"/>
      <c r="N221" s="52"/>
      <c r="O221" s="19" t="str">
        <f t="shared" si="7"/>
        <v>V6_231026</v>
      </c>
      <c r="P221" s="53">
        <v>45225</v>
      </c>
      <c r="Q221" s="52"/>
      <c r="R221" s="27"/>
      <c r="S221" s="53">
        <v>45226</v>
      </c>
      <c r="T221" s="52"/>
      <c r="U221" s="27"/>
      <c r="V221" s="25" t="s">
        <v>35</v>
      </c>
      <c r="W221" s="54"/>
      <c r="X221" s="17">
        <f t="shared" si="6"/>
        <v>1</v>
      </c>
      <c r="Y221" s="27"/>
      <c r="Z221" s="52"/>
      <c r="AA221" s="52"/>
      <c r="AB221" s="52"/>
      <c r="AC221" s="52"/>
      <c r="AD221" s="52"/>
      <c r="AE221" s="52"/>
      <c r="AF221">
        <v>4</v>
      </c>
    </row>
    <row r="222" spans="1:32" s="51" customFormat="1" x14ac:dyDescent="0.25">
      <c r="A222" s="17">
        <v>218</v>
      </c>
      <c r="B222" s="17" t="s">
        <v>58</v>
      </c>
      <c r="C222" s="17" t="s">
        <v>59</v>
      </c>
      <c r="D222" s="17" t="s">
        <v>60</v>
      </c>
      <c r="E222" s="52" t="s">
        <v>131</v>
      </c>
      <c r="F222" s="52"/>
      <c r="G222" s="54" t="s">
        <v>125</v>
      </c>
      <c r="H222">
        <v>41.54</v>
      </c>
      <c r="I222">
        <v>2.31</v>
      </c>
      <c r="J222" s="52"/>
      <c r="K222" s="17" t="s">
        <v>66</v>
      </c>
      <c r="L222" s="52"/>
      <c r="M222" s="52"/>
      <c r="N222" s="52"/>
      <c r="O222" s="19" t="str">
        <f t="shared" si="7"/>
        <v>V7_230918</v>
      </c>
      <c r="P222" s="53">
        <v>45187</v>
      </c>
      <c r="Q222" s="52"/>
      <c r="R222" s="27"/>
      <c r="S222" s="53">
        <v>45188</v>
      </c>
      <c r="T222" s="52"/>
      <c r="U222" s="27"/>
      <c r="V222" s="25" t="s">
        <v>35</v>
      </c>
      <c r="W222" s="54"/>
      <c r="X222" s="17">
        <f t="shared" si="6"/>
        <v>1</v>
      </c>
      <c r="Y222" s="27"/>
      <c r="Z222" s="52"/>
      <c r="AA222" s="52"/>
      <c r="AB222" s="52"/>
      <c r="AC222" s="52"/>
      <c r="AD222" s="52"/>
      <c r="AE222" s="52"/>
      <c r="AF222">
        <v>4</v>
      </c>
    </row>
    <row r="223" spans="1:32" s="51" customFormat="1" x14ac:dyDescent="0.25">
      <c r="A223" s="17">
        <v>219</v>
      </c>
      <c r="B223" s="17" t="s">
        <v>58</v>
      </c>
      <c r="C223" s="17" t="s">
        <v>59</v>
      </c>
      <c r="D223" s="17" t="s">
        <v>60</v>
      </c>
      <c r="E223" s="52" t="s">
        <v>131</v>
      </c>
      <c r="F223" s="52"/>
      <c r="G223" s="54" t="s">
        <v>125</v>
      </c>
      <c r="H223">
        <v>41.54</v>
      </c>
      <c r="I223">
        <v>2.31</v>
      </c>
      <c r="J223" s="52"/>
      <c r="K223" s="17" t="s">
        <v>66</v>
      </c>
      <c r="L223" s="52"/>
      <c r="M223" s="52"/>
      <c r="N223" s="52"/>
      <c r="O223" s="19" t="str">
        <f t="shared" si="7"/>
        <v>V7_230926</v>
      </c>
      <c r="P223" s="53">
        <v>45195</v>
      </c>
      <c r="Q223" s="52"/>
      <c r="R223" s="27"/>
      <c r="S223" s="53">
        <v>45196</v>
      </c>
      <c r="T223" s="52"/>
      <c r="U223" s="27"/>
      <c r="V223" s="25" t="s">
        <v>35</v>
      </c>
      <c r="W223" s="54"/>
      <c r="X223" s="17">
        <f t="shared" si="6"/>
        <v>1</v>
      </c>
      <c r="Y223" s="27"/>
      <c r="Z223" s="52"/>
      <c r="AA223" s="52"/>
      <c r="AB223" s="52"/>
      <c r="AC223" s="52"/>
      <c r="AD223" s="52"/>
      <c r="AE223" s="52"/>
      <c r="AF223">
        <v>4</v>
      </c>
    </row>
    <row r="224" spans="1:32" s="51" customFormat="1" x14ac:dyDescent="0.25">
      <c r="A224" s="17">
        <v>220</v>
      </c>
      <c r="B224" s="17" t="s">
        <v>58</v>
      </c>
      <c r="C224" s="17" t="s">
        <v>59</v>
      </c>
      <c r="D224" s="17" t="s">
        <v>60</v>
      </c>
      <c r="E224" s="52" t="s">
        <v>131</v>
      </c>
      <c r="F224" s="52"/>
      <c r="G224" s="54" t="s">
        <v>125</v>
      </c>
      <c r="H224">
        <v>41.54</v>
      </c>
      <c r="I224">
        <v>2.31</v>
      </c>
      <c r="J224" s="52"/>
      <c r="K224" s="17" t="s">
        <v>66</v>
      </c>
      <c r="L224" s="52"/>
      <c r="M224" s="52"/>
      <c r="N224" s="52"/>
      <c r="O224" s="19" t="str">
        <f t="shared" si="7"/>
        <v>V7_231003</v>
      </c>
      <c r="P224" s="53">
        <v>45202</v>
      </c>
      <c r="Q224" s="52"/>
      <c r="R224" s="27"/>
      <c r="S224" s="53">
        <v>45203</v>
      </c>
      <c r="T224" s="52"/>
      <c r="U224" s="27"/>
      <c r="V224" s="25" t="s">
        <v>35</v>
      </c>
      <c r="W224" s="54"/>
      <c r="X224" s="17">
        <f t="shared" si="6"/>
        <v>1</v>
      </c>
      <c r="Y224" s="27"/>
      <c r="Z224" s="52"/>
      <c r="AA224" s="52"/>
      <c r="AB224" s="52"/>
      <c r="AC224" s="52"/>
      <c r="AD224" s="52"/>
      <c r="AE224" s="52"/>
      <c r="AF224">
        <v>4</v>
      </c>
    </row>
    <row r="225" spans="1:32" s="51" customFormat="1" x14ac:dyDescent="0.25">
      <c r="A225" s="17">
        <v>221</v>
      </c>
      <c r="B225" s="17" t="s">
        <v>58</v>
      </c>
      <c r="C225" s="17" t="s">
        <v>59</v>
      </c>
      <c r="D225" s="17" t="s">
        <v>60</v>
      </c>
      <c r="E225" s="52" t="s">
        <v>131</v>
      </c>
      <c r="F225" s="52"/>
      <c r="G225" s="54" t="s">
        <v>125</v>
      </c>
      <c r="H225">
        <v>41.54</v>
      </c>
      <c r="I225">
        <v>2.31</v>
      </c>
      <c r="J225" s="52"/>
      <c r="K225" s="17" t="s">
        <v>66</v>
      </c>
      <c r="L225" s="52"/>
      <c r="M225" s="52"/>
      <c r="N225" s="52"/>
      <c r="O225" s="19" t="str">
        <f t="shared" si="7"/>
        <v>V7_231010</v>
      </c>
      <c r="P225" s="53">
        <v>45209</v>
      </c>
      <c r="Q225" s="52"/>
      <c r="R225" s="27"/>
      <c r="S225" s="53">
        <v>45210</v>
      </c>
      <c r="T225" s="52"/>
      <c r="U225" s="27"/>
      <c r="V225" s="25" t="s">
        <v>35</v>
      </c>
      <c r="W225" s="54"/>
      <c r="X225" s="17">
        <f t="shared" si="6"/>
        <v>1</v>
      </c>
      <c r="Y225" s="27"/>
      <c r="Z225" s="52"/>
      <c r="AA225" s="52"/>
      <c r="AB225" s="52"/>
      <c r="AC225" s="52"/>
      <c r="AD225" s="52"/>
      <c r="AE225" s="52"/>
      <c r="AF225">
        <v>4</v>
      </c>
    </row>
    <row r="226" spans="1:32" s="51" customFormat="1" x14ac:dyDescent="0.25">
      <c r="A226" s="17">
        <v>222</v>
      </c>
      <c r="B226" s="17" t="s">
        <v>58</v>
      </c>
      <c r="C226" s="17" t="s">
        <v>59</v>
      </c>
      <c r="D226" s="17" t="s">
        <v>60</v>
      </c>
      <c r="E226" s="52" t="s">
        <v>131</v>
      </c>
      <c r="F226" s="52"/>
      <c r="G226" s="54" t="s">
        <v>125</v>
      </c>
      <c r="H226">
        <v>41.54</v>
      </c>
      <c r="I226">
        <v>2.31</v>
      </c>
      <c r="J226" s="52"/>
      <c r="K226" s="17" t="s">
        <v>66</v>
      </c>
      <c r="L226" s="52"/>
      <c r="M226" s="52"/>
      <c r="N226" s="52"/>
      <c r="O226" s="19" t="str">
        <f t="shared" si="7"/>
        <v>V7_231016</v>
      </c>
      <c r="P226" s="53">
        <v>45215</v>
      </c>
      <c r="Q226" s="52"/>
      <c r="R226" s="27"/>
      <c r="S226" s="53">
        <v>45216</v>
      </c>
      <c r="T226" s="52"/>
      <c r="U226" s="27"/>
      <c r="V226" s="25" t="s">
        <v>35</v>
      </c>
      <c r="W226" s="54"/>
      <c r="X226" s="17">
        <f t="shared" si="6"/>
        <v>1</v>
      </c>
      <c r="Y226" s="27"/>
      <c r="Z226" s="52"/>
      <c r="AA226" s="52"/>
      <c r="AB226" s="52"/>
      <c r="AC226" s="52"/>
      <c r="AD226" s="52"/>
      <c r="AE226" s="52"/>
      <c r="AF226">
        <v>4</v>
      </c>
    </row>
    <row r="227" spans="1:32" s="51" customFormat="1" x14ac:dyDescent="0.25">
      <c r="A227" s="17">
        <v>223</v>
      </c>
      <c r="B227" s="17" t="s">
        <v>58</v>
      </c>
      <c r="C227" s="17" t="s">
        <v>59</v>
      </c>
      <c r="D227" s="17" t="s">
        <v>60</v>
      </c>
      <c r="E227" s="52" t="s">
        <v>131</v>
      </c>
      <c r="F227" s="52"/>
      <c r="G227" s="54" t="s">
        <v>125</v>
      </c>
      <c r="H227">
        <v>41.54</v>
      </c>
      <c r="I227">
        <v>2.31</v>
      </c>
      <c r="J227" s="52"/>
      <c r="K227" s="17" t="s">
        <v>66</v>
      </c>
      <c r="L227" s="52"/>
      <c r="M227" s="52"/>
      <c r="N227" s="52"/>
      <c r="O227" s="19" t="str">
        <f t="shared" si="7"/>
        <v>V7_231023</v>
      </c>
      <c r="P227" s="53">
        <v>45222</v>
      </c>
      <c r="Q227" s="52"/>
      <c r="R227" s="27"/>
      <c r="S227" s="53">
        <v>45223</v>
      </c>
      <c r="T227" s="52"/>
      <c r="U227" s="27"/>
      <c r="V227" s="25" t="s">
        <v>35</v>
      </c>
      <c r="W227" s="54"/>
      <c r="X227" s="17">
        <f t="shared" si="6"/>
        <v>1</v>
      </c>
      <c r="Y227" s="27"/>
      <c r="Z227" s="52"/>
      <c r="AA227" s="52"/>
      <c r="AB227" s="52"/>
      <c r="AC227" s="52"/>
      <c r="AD227" s="52"/>
      <c r="AE227" s="52"/>
      <c r="AF227">
        <v>4</v>
      </c>
    </row>
    <row r="228" spans="1:32" s="51" customFormat="1" x14ac:dyDescent="0.25">
      <c r="A228" s="17">
        <v>224</v>
      </c>
      <c r="B228" s="17" t="s">
        <v>58</v>
      </c>
      <c r="C228" s="17" t="s">
        <v>59</v>
      </c>
      <c r="D228" s="17" t="s">
        <v>60</v>
      </c>
      <c r="E228" s="52" t="s">
        <v>131</v>
      </c>
      <c r="F228" s="52"/>
      <c r="G228" s="58" t="s">
        <v>126</v>
      </c>
      <c r="H228">
        <v>41.55</v>
      </c>
      <c r="I228">
        <v>2.31</v>
      </c>
      <c r="J228" s="52"/>
      <c r="K228" s="17" t="s">
        <v>66</v>
      </c>
      <c r="L228" s="52"/>
      <c r="M228" s="52"/>
      <c r="N228" s="52"/>
      <c r="O228" s="19" t="str">
        <f t="shared" si="7"/>
        <v>V8_230918</v>
      </c>
      <c r="P228" s="53">
        <v>45187</v>
      </c>
      <c r="Q228" s="52"/>
      <c r="R228" s="27"/>
      <c r="S228" s="53">
        <v>45188</v>
      </c>
      <c r="T228" s="52"/>
      <c r="U228" s="27"/>
      <c r="V228" s="25" t="s">
        <v>35</v>
      </c>
      <c r="W228" s="54"/>
      <c r="X228" s="17">
        <f t="shared" si="6"/>
        <v>1</v>
      </c>
      <c r="Y228" s="27"/>
      <c r="Z228" s="52"/>
      <c r="AA228" s="52"/>
      <c r="AB228" s="52"/>
      <c r="AC228" s="52"/>
      <c r="AD228" s="52"/>
      <c r="AE228" s="52"/>
      <c r="AF228">
        <v>4</v>
      </c>
    </row>
    <row r="229" spans="1:32" s="51" customFormat="1" x14ac:dyDescent="0.25">
      <c r="A229" s="17">
        <v>225</v>
      </c>
      <c r="B229" s="17" t="s">
        <v>58</v>
      </c>
      <c r="C229" s="17" t="s">
        <v>59</v>
      </c>
      <c r="D229" s="17" t="s">
        <v>60</v>
      </c>
      <c r="E229" s="52" t="s">
        <v>60</v>
      </c>
      <c r="F229" s="52"/>
      <c r="G229" s="58" t="s">
        <v>127</v>
      </c>
      <c r="H229">
        <v>41.46</v>
      </c>
      <c r="I229">
        <v>2.0499999999999998</v>
      </c>
      <c r="J229" s="52"/>
      <c r="K229" s="17" t="s">
        <v>66</v>
      </c>
      <c r="L229" s="52"/>
      <c r="M229" s="52"/>
      <c r="N229" s="52"/>
      <c r="O229" s="19" t="str">
        <f t="shared" si="7"/>
        <v>V9_230919</v>
      </c>
      <c r="P229" s="53">
        <v>45188</v>
      </c>
      <c r="Q229" s="52"/>
      <c r="R229" s="27"/>
      <c r="S229" s="53">
        <v>45189</v>
      </c>
      <c r="T229" s="52"/>
      <c r="U229" s="27"/>
      <c r="V229" s="25" t="s">
        <v>35</v>
      </c>
      <c r="W229" s="54"/>
      <c r="X229" s="17">
        <f t="shared" si="6"/>
        <v>1</v>
      </c>
      <c r="Y229" s="27"/>
      <c r="Z229" s="52"/>
      <c r="AA229" s="52"/>
      <c r="AB229" s="52"/>
      <c r="AC229" s="52"/>
      <c r="AD229" s="52"/>
      <c r="AE229" s="52"/>
      <c r="AF229">
        <v>4</v>
      </c>
    </row>
    <row r="230" spans="1:32" s="51" customFormat="1" x14ac:dyDescent="0.25">
      <c r="A230" s="17">
        <v>226</v>
      </c>
      <c r="B230" s="17" t="s">
        <v>58</v>
      </c>
      <c r="C230" s="17" t="s">
        <v>59</v>
      </c>
      <c r="D230" s="17" t="s">
        <v>60</v>
      </c>
      <c r="E230" s="52" t="s">
        <v>60</v>
      </c>
      <c r="F230" s="52"/>
      <c r="G230" s="58" t="s">
        <v>127</v>
      </c>
      <c r="H230">
        <v>41.46</v>
      </c>
      <c r="I230">
        <v>2.0499999999999998</v>
      </c>
      <c r="J230" s="52"/>
      <c r="K230" s="17" t="s">
        <v>66</v>
      </c>
      <c r="L230" s="52"/>
      <c r="M230" s="52"/>
      <c r="N230" s="52"/>
      <c r="O230" s="19" t="str">
        <f t="shared" si="7"/>
        <v>V9_230928</v>
      </c>
      <c r="P230" s="53">
        <v>45197</v>
      </c>
      <c r="Q230" s="52"/>
      <c r="R230" s="27"/>
      <c r="S230" s="53">
        <v>45198</v>
      </c>
      <c r="T230" s="52"/>
      <c r="U230" s="27"/>
      <c r="V230" s="25" t="s">
        <v>35</v>
      </c>
      <c r="W230" s="54"/>
      <c r="X230" s="17">
        <f t="shared" si="6"/>
        <v>1</v>
      </c>
      <c r="Y230" s="27"/>
      <c r="Z230" s="52"/>
      <c r="AA230" s="52"/>
      <c r="AB230" s="52"/>
      <c r="AC230" s="52"/>
      <c r="AD230" s="52"/>
      <c r="AE230" s="52"/>
      <c r="AF230">
        <v>4</v>
      </c>
    </row>
    <row r="231" spans="1:32" s="51" customFormat="1" x14ac:dyDescent="0.25">
      <c r="A231" s="17">
        <v>227</v>
      </c>
      <c r="B231" s="17" t="s">
        <v>58</v>
      </c>
      <c r="C231" s="17" t="s">
        <v>59</v>
      </c>
      <c r="D231" s="17" t="s">
        <v>60</v>
      </c>
      <c r="E231" s="52" t="s">
        <v>60</v>
      </c>
      <c r="F231" s="52"/>
      <c r="G231" s="58" t="s">
        <v>127</v>
      </c>
      <c r="H231">
        <v>41.46</v>
      </c>
      <c r="I231">
        <v>2.0499999999999998</v>
      </c>
      <c r="J231" s="52"/>
      <c r="K231" s="17" t="s">
        <v>66</v>
      </c>
      <c r="L231" s="52"/>
      <c r="M231" s="52"/>
      <c r="N231" s="52"/>
      <c r="O231" s="19" t="str">
        <f t="shared" si="7"/>
        <v>V9_231003</v>
      </c>
      <c r="P231" s="53">
        <v>45202</v>
      </c>
      <c r="Q231" s="52"/>
      <c r="R231" s="27"/>
      <c r="S231" s="53">
        <v>45203</v>
      </c>
      <c r="T231" s="52"/>
      <c r="U231" s="27"/>
      <c r="V231" s="25" t="s">
        <v>35</v>
      </c>
      <c r="W231" s="54"/>
      <c r="X231" s="17">
        <f t="shared" si="6"/>
        <v>1</v>
      </c>
      <c r="Y231" s="27"/>
      <c r="Z231" s="52"/>
      <c r="AA231" s="52"/>
      <c r="AB231" s="52"/>
      <c r="AC231" s="52"/>
      <c r="AD231" s="52"/>
      <c r="AE231" s="52"/>
      <c r="AF231">
        <v>4</v>
      </c>
    </row>
    <row r="232" spans="1:32" s="51" customFormat="1" x14ac:dyDescent="0.25">
      <c r="A232" s="17">
        <v>228</v>
      </c>
      <c r="B232" s="17" t="s">
        <v>58</v>
      </c>
      <c r="C232" s="17" t="s">
        <v>59</v>
      </c>
      <c r="D232" s="17" t="s">
        <v>60</v>
      </c>
      <c r="E232" s="52" t="s">
        <v>60</v>
      </c>
      <c r="F232" s="52"/>
      <c r="G232" s="58" t="s">
        <v>127</v>
      </c>
      <c r="H232">
        <v>41.46</v>
      </c>
      <c r="I232">
        <v>2.0499999999999998</v>
      </c>
      <c r="J232" s="52"/>
      <c r="K232" s="17" t="s">
        <v>66</v>
      </c>
      <c r="L232" s="52"/>
      <c r="M232" s="52"/>
      <c r="N232" s="52"/>
      <c r="O232" s="19" t="str">
        <f t="shared" si="7"/>
        <v>V9_231010</v>
      </c>
      <c r="P232" s="53">
        <v>45209</v>
      </c>
      <c r="Q232" s="52"/>
      <c r="R232" s="27"/>
      <c r="S232" s="53">
        <v>45210</v>
      </c>
      <c r="T232" s="52"/>
      <c r="U232" s="27"/>
      <c r="V232" s="25" t="s">
        <v>35</v>
      </c>
      <c r="W232" s="54"/>
      <c r="X232" s="17">
        <f t="shared" si="6"/>
        <v>1</v>
      </c>
      <c r="Y232" s="27"/>
      <c r="Z232" s="52"/>
      <c r="AA232" s="52"/>
      <c r="AB232" s="52"/>
      <c r="AC232" s="52"/>
      <c r="AD232" s="52"/>
      <c r="AE232" s="52"/>
      <c r="AF232">
        <v>4</v>
      </c>
    </row>
    <row r="233" spans="1:32" s="51" customFormat="1" x14ac:dyDescent="0.25">
      <c r="A233" s="17">
        <v>229</v>
      </c>
      <c r="B233" s="17" t="s">
        <v>58</v>
      </c>
      <c r="C233" s="17" t="s">
        <v>59</v>
      </c>
      <c r="D233" s="17" t="s">
        <v>60</v>
      </c>
      <c r="E233" s="52" t="s">
        <v>60</v>
      </c>
      <c r="F233" s="52"/>
      <c r="G233" s="58" t="s">
        <v>128</v>
      </c>
      <c r="H233" s="56">
        <v>41.41</v>
      </c>
      <c r="I233" s="56">
        <v>2.15</v>
      </c>
      <c r="J233" s="52"/>
      <c r="K233" s="17" t="s">
        <v>66</v>
      </c>
      <c r="L233" s="52"/>
      <c r="M233" s="52"/>
      <c r="N233" s="52"/>
      <c r="O233" s="19" t="str">
        <f t="shared" si="7"/>
        <v>V10_230928</v>
      </c>
      <c r="P233" s="53">
        <v>45197</v>
      </c>
      <c r="Q233" s="52"/>
      <c r="R233" s="27"/>
      <c r="S233" s="53">
        <v>45198</v>
      </c>
      <c r="T233" s="52"/>
      <c r="U233" s="27"/>
      <c r="V233" s="25" t="s">
        <v>35</v>
      </c>
      <c r="W233" s="54"/>
      <c r="X233" s="17">
        <f t="shared" si="6"/>
        <v>1</v>
      </c>
      <c r="Y233" s="27"/>
      <c r="Z233" s="52"/>
      <c r="AA233" s="52"/>
      <c r="AB233" s="52"/>
      <c r="AC233" s="52"/>
      <c r="AD233" s="52"/>
      <c r="AE233" s="52"/>
      <c r="AF233">
        <v>4</v>
      </c>
    </row>
    <row r="234" spans="1:32" s="51" customFormat="1" x14ac:dyDescent="0.25">
      <c r="A234" s="17">
        <v>230</v>
      </c>
      <c r="B234" s="17" t="s">
        <v>58</v>
      </c>
      <c r="C234" s="17" t="s">
        <v>59</v>
      </c>
      <c r="D234" s="17" t="s">
        <v>60</v>
      </c>
      <c r="E234" s="52" t="s">
        <v>60</v>
      </c>
      <c r="F234" s="52"/>
      <c r="G234" s="58" t="s">
        <v>129</v>
      </c>
      <c r="H234" s="56">
        <v>41.41</v>
      </c>
      <c r="I234" s="56">
        <v>2.17</v>
      </c>
      <c r="J234" s="52"/>
      <c r="K234" s="17" t="s">
        <v>132</v>
      </c>
      <c r="L234" s="52"/>
      <c r="M234" s="52"/>
      <c r="N234" s="52"/>
      <c r="O234" s="19" t="str">
        <f t="shared" si="7"/>
        <v>V11_231101</v>
      </c>
      <c r="P234" s="53">
        <v>45231</v>
      </c>
      <c r="Q234" s="52"/>
      <c r="R234" s="27"/>
      <c r="S234" s="53">
        <v>45232</v>
      </c>
      <c r="T234" s="52"/>
      <c r="U234" s="27"/>
      <c r="V234" s="25" t="s">
        <v>35</v>
      </c>
      <c r="W234" s="54"/>
      <c r="X234" s="17">
        <f t="shared" si="6"/>
        <v>1</v>
      </c>
      <c r="Y234" s="27"/>
      <c r="Z234" s="52"/>
      <c r="AA234" s="52"/>
      <c r="AB234" s="52"/>
      <c r="AC234" s="52"/>
      <c r="AD234" s="52"/>
      <c r="AE234" s="52"/>
      <c r="AF234">
        <v>4</v>
      </c>
    </row>
    <row r="235" spans="1:32" s="51" customFormat="1" x14ac:dyDescent="0.25"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T235" s="52"/>
      <c r="U235" s="52"/>
      <c r="V235" s="52"/>
      <c r="W235" s="54"/>
      <c r="X235" s="52"/>
      <c r="Y235" s="52"/>
      <c r="Z235" s="52"/>
      <c r="AA235" s="52"/>
      <c r="AB235" s="52"/>
      <c r="AC235" s="52"/>
      <c r="AD235" s="52"/>
      <c r="AE235" s="52"/>
      <c r="AF235"/>
    </row>
    <row r="236" spans="1:32" s="51" customFormat="1" x14ac:dyDescent="0.25"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3"/>
      <c r="Q236" s="52"/>
      <c r="R236" s="52"/>
      <c r="S236" s="53"/>
      <c r="T236" s="52"/>
      <c r="U236" s="52"/>
      <c r="V236" s="52"/>
      <c r="W236" s="54"/>
      <c r="X236" s="52"/>
      <c r="Y236" s="52"/>
      <c r="Z236" s="52"/>
      <c r="AA236" s="52"/>
      <c r="AB236" s="52"/>
      <c r="AC236" s="52"/>
      <c r="AD236" s="52"/>
      <c r="AE236" s="52"/>
    </row>
    <row r="237" spans="1:32" s="51" customFormat="1" x14ac:dyDescent="0.25"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3"/>
      <c r="Q237" s="52"/>
      <c r="R237" s="52"/>
      <c r="S237" s="53"/>
      <c r="T237" s="52"/>
      <c r="U237" s="52"/>
      <c r="V237" s="52"/>
      <c r="W237" s="54"/>
      <c r="X237" s="52"/>
      <c r="Y237" s="52"/>
      <c r="Z237" s="52"/>
      <c r="AA237" s="52"/>
      <c r="AB237" s="52"/>
      <c r="AC237" s="52"/>
      <c r="AD237" s="52"/>
      <c r="AE237" s="52"/>
    </row>
    <row r="238" spans="1:32" s="51" customFormat="1" x14ac:dyDescent="0.25"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52"/>
      <c r="R238" s="52"/>
      <c r="S238" s="53"/>
      <c r="T238" s="52"/>
      <c r="U238" s="52"/>
      <c r="V238" s="52"/>
      <c r="W238" s="54"/>
      <c r="X238" s="52"/>
      <c r="Y238" s="52"/>
      <c r="Z238" s="52"/>
      <c r="AA238" s="52"/>
      <c r="AB238" s="52"/>
      <c r="AC238" s="52"/>
      <c r="AD238" s="52"/>
      <c r="AE238" s="52"/>
    </row>
    <row r="239" spans="1:32" s="51" customFormat="1" x14ac:dyDescent="0.25"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3"/>
      <c r="Q239" s="52"/>
      <c r="R239" s="52"/>
      <c r="S239" s="53"/>
      <c r="T239" s="52"/>
      <c r="U239" s="52"/>
      <c r="V239" s="52"/>
      <c r="W239" s="54"/>
      <c r="X239" s="52"/>
      <c r="Y239" s="52"/>
      <c r="Z239" s="52"/>
      <c r="AA239" s="52"/>
      <c r="AB239" s="52"/>
      <c r="AC239" s="52"/>
      <c r="AD239" s="52"/>
      <c r="AE239" s="52"/>
    </row>
    <row r="240" spans="1:32" s="51" customFormat="1" x14ac:dyDescent="0.25"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3"/>
      <c r="Q240" s="52"/>
      <c r="R240" s="52"/>
      <c r="S240" s="53"/>
      <c r="T240" s="52"/>
      <c r="U240" s="52"/>
      <c r="V240" s="52"/>
      <c r="W240" s="54"/>
      <c r="X240" s="52"/>
      <c r="Y240" s="52"/>
      <c r="Z240" s="52"/>
      <c r="AA240" s="52"/>
      <c r="AB240" s="52"/>
      <c r="AC240" s="52"/>
      <c r="AD240" s="52"/>
      <c r="AE240" s="52"/>
    </row>
    <row r="241" spans="3:31" s="51" customFormat="1" x14ac:dyDescent="0.25"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3"/>
      <c r="Q241" s="52"/>
      <c r="R241" s="52"/>
      <c r="S241" s="53"/>
      <c r="T241" s="52"/>
      <c r="U241" s="52"/>
      <c r="V241" s="52"/>
      <c r="W241" s="54"/>
      <c r="X241" s="52"/>
      <c r="Y241" s="52"/>
      <c r="Z241" s="52"/>
      <c r="AA241" s="52"/>
      <c r="AB241" s="52"/>
      <c r="AC241" s="52"/>
      <c r="AD241" s="52"/>
      <c r="AE241" s="52"/>
    </row>
    <row r="242" spans="3:31" s="51" customFormat="1" x14ac:dyDescent="0.25"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3"/>
      <c r="Q242" s="52"/>
      <c r="R242" s="52"/>
      <c r="S242" s="53"/>
      <c r="T242" s="52"/>
      <c r="U242" s="52"/>
      <c r="V242" s="52"/>
      <c r="W242" s="54"/>
      <c r="X242" s="52"/>
      <c r="Y242" s="52"/>
      <c r="Z242" s="52"/>
      <c r="AA242" s="52"/>
      <c r="AB242" s="52"/>
      <c r="AC242" s="52"/>
      <c r="AD242" s="52"/>
      <c r="AE242" s="52"/>
    </row>
    <row r="243" spans="3:31" s="51" customFormat="1" x14ac:dyDescent="0.25"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3"/>
      <c r="Q243" s="52"/>
      <c r="R243" s="52"/>
      <c r="S243" s="53"/>
      <c r="T243" s="52"/>
      <c r="U243" s="52"/>
      <c r="V243" s="52"/>
      <c r="W243" s="54"/>
      <c r="X243" s="52"/>
      <c r="Y243" s="52"/>
      <c r="Z243" s="52"/>
      <c r="AA243" s="52"/>
      <c r="AB243" s="52"/>
      <c r="AC243" s="52"/>
      <c r="AD243" s="52"/>
      <c r="AE243" s="52"/>
    </row>
    <row r="244" spans="3:31" s="51" customFormat="1" x14ac:dyDescent="0.25"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3"/>
      <c r="Q244" s="52"/>
      <c r="R244" s="52"/>
      <c r="S244" s="53"/>
      <c r="T244" s="52"/>
      <c r="U244" s="52"/>
      <c r="V244" s="52"/>
      <c r="W244" s="54"/>
      <c r="X244" s="52"/>
      <c r="Y244" s="52"/>
      <c r="Z244" s="52"/>
      <c r="AA244" s="52"/>
      <c r="AB244" s="52"/>
      <c r="AC244" s="52"/>
      <c r="AD244" s="52"/>
      <c r="AE244" s="52"/>
    </row>
    <row r="245" spans="3:31" s="51" customFormat="1" x14ac:dyDescent="0.25"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3"/>
      <c r="Q245" s="52"/>
      <c r="R245" s="52"/>
      <c r="S245" s="53"/>
      <c r="T245" s="52"/>
      <c r="U245" s="52"/>
      <c r="V245" s="52"/>
      <c r="W245" s="54"/>
      <c r="X245" s="52"/>
      <c r="Y245" s="52"/>
      <c r="Z245" s="52"/>
      <c r="AA245" s="52"/>
      <c r="AB245" s="52"/>
      <c r="AC245" s="52"/>
      <c r="AD245" s="52"/>
      <c r="AE245" s="52"/>
    </row>
    <row r="246" spans="3:31" s="51" customFormat="1" x14ac:dyDescent="0.25"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3"/>
      <c r="Q246" s="52"/>
      <c r="R246" s="52"/>
      <c r="S246" s="53"/>
      <c r="T246" s="52"/>
      <c r="U246" s="52"/>
      <c r="V246" s="52"/>
      <c r="W246" s="54"/>
      <c r="X246" s="52"/>
      <c r="Y246" s="52"/>
      <c r="Z246" s="52"/>
      <c r="AA246" s="52"/>
      <c r="AB246" s="52"/>
      <c r="AC246" s="52"/>
      <c r="AD246" s="52"/>
      <c r="AE246" s="52"/>
    </row>
    <row r="247" spans="3:31" s="51" customFormat="1" x14ac:dyDescent="0.25"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3"/>
      <c r="Q247" s="52"/>
      <c r="R247" s="52"/>
      <c r="S247" s="53"/>
      <c r="T247" s="52"/>
      <c r="U247" s="52"/>
      <c r="V247" s="52"/>
      <c r="W247" s="54"/>
      <c r="X247" s="52"/>
      <c r="Y247" s="52"/>
      <c r="Z247" s="52"/>
      <c r="AA247" s="52"/>
      <c r="AB247" s="52"/>
      <c r="AC247" s="52"/>
      <c r="AD247" s="52"/>
      <c r="AE247" s="52"/>
    </row>
    <row r="248" spans="3:31" s="51" customFormat="1" x14ac:dyDescent="0.25"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3"/>
      <c r="Q248" s="52"/>
      <c r="R248" s="52"/>
      <c r="S248" s="53"/>
      <c r="T248" s="52"/>
      <c r="U248" s="52"/>
      <c r="V248" s="52"/>
      <c r="W248" s="54"/>
      <c r="X248" s="52"/>
      <c r="Y248" s="52"/>
      <c r="Z248" s="52"/>
      <c r="AA248" s="52"/>
      <c r="AB248" s="52"/>
      <c r="AC248" s="52"/>
      <c r="AD248" s="52"/>
      <c r="AE248" s="52"/>
    </row>
    <row r="249" spans="3:31" s="51" customFormat="1" x14ac:dyDescent="0.25"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3"/>
      <c r="Q249" s="52"/>
      <c r="R249" s="52"/>
      <c r="S249" s="53"/>
      <c r="T249" s="52"/>
      <c r="U249" s="52"/>
      <c r="V249" s="52"/>
      <c r="W249" s="54"/>
      <c r="X249" s="52"/>
      <c r="Y249" s="52"/>
      <c r="Z249" s="52"/>
      <c r="AA249" s="52"/>
      <c r="AB249" s="52"/>
      <c r="AC249" s="52"/>
      <c r="AD249" s="52"/>
      <c r="AE249" s="52"/>
    </row>
    <row r="250" spans="3:31" s="51" customFormat="1" x14ac:dyDescent="0.25"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3"/>
      <c r="Q250" s="52"/>
      <c r="R250" s="52"/>
      <c r="S250" s="53"/>
      <c r="T250" s="52"/>
      <c r="U250" s="52"/>
      <c r="V250" s="52"/>
      <c r="W250" s="54"/>
      <c r="X250" s="52"/>
      <c r="Y250" s="52"/>
      <c r="Z250" s="52"/>
      <c r="AA250" s="52"/>
      <c r="AB250" s="52"/>
      <c r="AC250" s="52"/>
      <c r="AD250" s="52"/>
      <c r="AE250" s="52"/>
    </row>
    <row r="251" spans="3:31" s="51" customFormat="1" x14ac:dyDescent="0.25"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3"/>
      <c r="Q251" s="52"/>
      <c r="R251" s="52"/>
      <c r="S251" s="53"/>
      <c r="T251" s="52"/>
      <c r="U251" s="52"/>
      <c r="V251" s="52"/>
      <c r="W251" s="54"/>
      <c r="X251" s="52"/>
      <c r="Y251" s="52"/>
      <c r="Z251" s="52"/>
      <c r="AA251" s="52"/>
      <c r="AB251" s="52"/>
      <c r="AC251" s="52"/>
      <c r="AD251" s="52"/>
      <c r="AE251" s="52"/>
    </row>
    <row r="252" spans="3:31" s="51" customFormat="1" x14ac:dyDescent="0.25"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3"/>
      <c r="Q252" s="52"/>
      <c r="R252" s="52"/>
      <c r="S252" s="53"/>
      <c r="T252" s="52"/>
      <c r="U252" s="52"/>
      <c r="V252" s="52"/>
      <c r="W252" s="54"/>
      <c r="X252" s="52"/>
      <c r="Y252" s="52"/>
      <c r="Z252" s="52"/>
      <c r="AA252" s="52"/>
      <c r="AB252" s="52"/>
      <c r="AC252" s="52"/>
      <c r="AD252" s="52"/>
      <c r="AE252" s="52"/>
    </row>
    <row r="253" spans="3:31" s="51" customFormat="1" x14ac:dyDescent="0.25"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3"/>
      <c r="Q253" s="52"/>
      <c r="R253" s="52"/>
      <c r="S253" s="53"/>
      <c r="T253" s="52"/>
      <c r="U253" s="52"/>
      <c r="V253" s="52"/>
      <c r="W253" s="54"/>
      <c r="X253" s="52"/>
      <c r="Y253" s="52"/>
      <c r="Z253" s="52"/>
      <c r="AA253" s="52"/>
      <c r="AB253" s="52"/>
      <c r="AC253" s="52"/>
      <c r="AD253" s="52"/>
      <c r="AE253" s="52"/>
    </row>
    <row r="254" spans="3:31" s="51" customFormat="1" x14ac:dyDescent="0.25"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3"/>
      <c r="Q254" s="52"/>
      <c r="R254" s="52"/>
      <c r="S254" s="53"/>
      <c r="T254" s="52"/>
      <c r="U254" s="52"/>
      <c r="V254" s="52"/>
      <c r="W254" s="54"/>
      <c r="X254" s="52"/>
      <c r="Y254" s="52"/>
      <c r="Z254" s="52"/>
      <c r="AA254" s="52"/>
      <c r="AB254" s="52"/>
      <c r="AC254" s="52"/>
      <c r="AD254" s="52"/>
      <c r="AE254" s="52"/>
    </row>
    <row r="255" spans="3:31" s="51" customFormat="1" x14ac:dyDescent="0.25"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3"/>
      <c r="Q255" s="52"/>
      <c r="R255" s="52"/>
      <c r="S255" s="53"/>
      <c r="T255" s="52"/>
      <c r="U255" s="52"/>
      <c r="V255" s="52"/>
      <c r="W255" s="54"/>
      <c r="X255" s="52"/>
      <c r="Y255" s="52"/>
      <c r="Z255" s="52"/>
      <c r="AA255" s="52"/>
      <c r="AB255" s="52"/>
      <c r="AC255" s="52"/>
      <c r="AD255" s="52"/>
      <c r="AE255" s="52"/>
    </row>
    <row r="256" spans="3:31" s="51" customFormat="1" x14ac:dyDescent="0.25"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3"/>
      <c r="Q256" s="52"/>
      <c r="R256" s="52"/>
      <c r="S256" s="53"/>
      <c r="T256" s="52"/>
      <c r="U256" s="52"/>
      <c r="V256" s="52"/>
      <c r="W256" s="54"/>
      <c r="X256" s="52"/>
      <c r="Y256" s="52"/>
      <c r="Z256" s="52"/>
      <c r="AA256" s="52"/>
      <c r="AB256" s="52"/>
      <c r="AC256" s="52"/>
      <c r="AD256" s="52"/>
      <c r="AE256" s="52"/>
    </row>
    <row r="257" spans="3:31" s="51" customFormat="1" x14ac:dyDescent="0.25"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3"/>
      <c r="Q257" s="52"/>
      <c r="R257" s="52"/>
      <c r="S257" s="53"/>
      <c r="T257" s="52"/>
      <c r="U257" s="52"/>
      <c r="V257" s="52"/>
      <c r="W257" s="54"/>
      <c r="X257" s="52"/>
      <c r="Y257" s="52"/>
      <c r="Z257" s="52"/>
      <c r="AA257" s="52"/>
      <c r="AB257" s="52"/>
      <c r="AC257" s="52"/>
      <c r="AD257" s="52"/>
      <c r="AE257" s="52"/>
    </row>
    <row r="258" spans="3:31" s="51" customFormat="1" x14ac:dyDescent="0.25"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3"/>
      <c r="Q258" s="52"/>
      <c r="R258" s="52"/>
      <c r="S258" s="53"/>
      <c r="T258" s="52"/>
      <c r="U258" s="52"/>
      <c r="V258" s="52"/>
      <c r="W258" s="54"/>
      <c r="X258" s="52"/>
      <c r="Y258" s="52"/>
      <c r="Z258" s="52"/>
      <c r="AA258" s="52"/>
      <c r="AB258" s="52"/>
      <c r="AC258" s="52"/>
      <c r="AD258" s="52"/>
      <c r="AE258" s="52"/>
    </row>
    <row r="259" spans="3:31" s="51" customFormat="1" x14ac:dyDescent="0.25"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3"/>
      <c r="Q259" s="52"/>
      <c r="R259" s="52"/>
      <c r="S259" s="53"/>
      <c r="T259" s="52"/>
      <c r="U259" s="52"/>
      <c r="V259" s="52"/>
      <c r="W259" s="54"/>
      <c r="X259" s="52"/>
      <c r="Y259" s="52"/>
      <c r="Z259" s="52"/>
      <c r="AA259" s="52"/>
      <c r="AB259" s="52"/>
      <c r="AC259" s="52"/>
      <c r="AD259" s="52"/>
      <c r="AE259" s="52"/>
    </row>
    <row r="260" spans="3:31" s="51" customFormat="1" x14ac:dyDescent="0.25"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3"/>
      <c r="Q260" s="52"/>
      <c r="R260" s="52"/>
      <c r="S260" s="53"/>
      <c r="T260" s="52"/>
      <c r="U260" s="52"/>
      <c r="V260" s="52"/>
      <c r="W260" s="54"/>
      <c r="X260" s="52"/>
      <c r="Y260" s="52"/>
      <c r="Z260" s="52"/>
      <c r="AA260" s="52"/>
      <c r="AB260" s="52"/>
      <c r="AC260" s="52"/>
      <c r="AD260" s="52"/>
      <c r="AE260" s="52"/>
    </row>
    <row r="261" spans="3:31" s="51" customFormat="1" x14ac:dyDescent="0.25"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3"/>
      <c r="Q261" s="52"/>
      <c r="R261" s="52"/>
      <c r="S261" s="53"/>
      <c r="T261" s="52"/>
      <c r="U261" s="52"/>
      <c r="V261" s="52"/>
      <c r="W261" s="54"/>
      <c r="X261" s="52"/>
      <c r="Y261" s="52"/>
      <c r="Z261" s="52"/>
      <c r="AA261" s="52"/>
      <c r="AB261" s="52"/>
      <c r="AC261" s="52"/>
      <c r="AD261" s="52"/>
      <c r="AE261" s="52"/>
    </row>
    <row r="262" spans="3:31" s="51" customFormat="1" x14ac:dyDescent="0.25"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3"/>
      <c r="Q262" s="52"/>
      <c r="R262" s="52"/>
      <c r="S262" s="53"/>
      <c r="T262" s="52"/>
      <c r="U262" s="52"/>
      <c r="V262" s="52"/>
      <c r="W262" s="54"/>
      <c r="X262" s="52"/>
      <c r="Y262" s="52"/>
      <c r="Z262" s="52"/>
      <c r="AA262" s="52"/>
      <c r="AB262" s="52"/>
      <c r="AC262" s="52"/>
      <c r="AD262" s="52"/>
      <c r="AE262" s="52"/>
    </row>
    <row r="263" spans="3:31" s="51" customFormat="1" x14ac:dyDescent="0.25"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3"/>
      <c r="Q263" s="52"/>
      <c r="R263" s="52"/>
      <c r="S263" s="53"/>
      <c r="T263" s="52"/>
      <c r="U263" s="52"/>
      <c r="V263" s="52"/>
      <c r="W263" s="54"/>
      <c r="X263" s="52"/>
      <c r="Y263" s="52"/>
      <c r="Z263" s="52"/>
      <c r="AA263" s="52"/>
      <c r="AB263" s="52"/>
      <c r="AC263" s="52"/>
      <c r="AD263" s="52"/>
      <c r="AE263" s="52"/>
    </row>
    <row r="264" spans="3:31" s="51" customFormat="1" x14ac:dyDescent="0.25"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3"/>
      <c r="Q264" s="52"/>
      <c r="R264" s="52"/>
      <c r="S264" s="53"/>
      <c r="T264" s="52"/>
      <c r="U264" s="52"/>
      <c r="V264" s="52"/>
      <c r="W264" s="54"/>
      <c r="X264" s="52"/>
      <c r="Y264" s="52"/>
      <c r="Z264" s="52"/>
      <c r="AA264" s="52"/>
      <c r="AB264" s="52"/>
      <c r="AC264" s="52"/>
      <c r="AD264" s="52"/>
      <c r="AE264" s="52"/>
    </row>
    <row r="265" spans="3:31" s="51" customFormat="1" x14ac:dyDescent="0.25"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3"/>
      <c r="Q265" s="52"/>
      <c r="R265" s="52"/>
      <c r="S265" s="53"/>
      <c r="T265" s="52"/>
      <c r="U265" s="52"/>
      <c r="V265" s="52"/>
      <c r="W265" s="54"/>
      <c r="X265" s="52"/>
      <c r="Y265" s="52"/>
      <c r="Z265" s="52"/>
      <c r="AA265" s="52"/>
      <c r="AB265" s="52"/>
      <c r="AC265" s="52"/>
      <c r="AD265" s="52"/>
      <c r="AE265" s="52"/>
    </row>
    <row r="266" spans="3:31" s="51" customFormat="1" x14ac:dyDescent="0.25"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3"/>
      <c r="Q266" s="52"/>
      <c r="R266" s="52"/>
      <c r="S266" s="53"/>
      <c r="T266" s="52"/>
      <c r="U266" s="52"/>
      <c r="V266" s="52"/>
      <c r="W266" s="54"/>
      <c r="X266" s="52"/>
      <c r="Y266" s="52"/>
      <c r="Z266" s="52"/>
      <c r="AA266" s="52"/>
      <c r="AB266" s="52"/>
      <c r="AC266" s="52"/>
      <c r="AD266" s="52"/>
      <c r="AE266" s="52"/>
    </row>
    <row r="267" spans="3:31" s="51" customFormat="1" x14ac:dyDescent="0.25"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3"/>
      <c r="Q267" s="52"/>
      <c r="R267" s="52"/>
      <c r="S267" s="53"/>
      <c r="T267" s="52"/>
      <c r="U267" s="52"/>
      <c r="V267" s="52"/>
      <c r="W267" s="54"/>
      <c r="X267" s="52"/>
      <c r="Y267" s="52"/>
      <c r="Z267" s="52"/>
      <c r="AA267" s="52"/>
      <c r="AB267" s="52"/>
      <c r="AC267" s="52"/>
      <c r="AD267" s="52"/>
      <c r="AE267" s="52"/>
    </row>
    <row r="268" spans="3:31" s="51" customFormat="1" x14ac:dyDescent="0.25"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3"/>
      <c r="Q268" s="52"/>
      <c r="R268" s="52"/>
      <c r="S268" s="53"/>
      <c r="T268" s="52"/>
      <c r="U268" s="52"/>
      <c r="V268" s="52"/>
      <c r="W268" s="54"/>
      <c r="X268" s="52"/>
      <c r="Y268" s="52"/>
      <c r="Z268" s="52"/>
      <c r="AA268" s="52"/>
      <c r="AB268" s="52"/>
      <c r="AC268" s="52"/>
      <c r="AD268" s="52"/>
      <c r="AE268" s="52"/>
    </row>
    <row r="269" spans="3:31" s="51" customFormat="1" x14ac:dyDescent="0.25"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3"/>
      <c r="Q269" s="52"/>
      <c r="R269" s="52"/>
      <c r="S269" s="53"/>
      <c r="T269" s="52"/>
      <c r="U269" s="52"/>
      <c r="V269" s="52"/>
      <c r="W269" s="54"/>
      <c r="X269" s="52"/>
      <c r="Y269" s="52"/>
      <c r="Z269" s="52"/>
      <c r="AA269" s="52"/>
      <c r="AB269" s="52"/>
      <c r="AC269" s="52"/>
      <c r="AD269" s="52"/>
      <c r="AE269" s="52"/>
    </row>
    <row r="270" spans="3:31" s="51" customFormat="1" x14ac:dyDescent="0.25"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3"/>
      <c r="Q270" s="52"/>
      <c r="R270" s="52"/>
      <c r="S270" s="53"/>
      <c r="T270" s="52"/>
      <c r="U270" s="52"/>
      <c r="V270" s="52"/>
      <c r="W270" s="54"/>
      <c r="X270" s="52"/>
      <c r="Y270" s="52"/>
      <c r="Z270" s="52"/>
      <c r="AA270" s="52"/>
      <c r="AB270" s="52"/>
      <c r="AC270" s="52"/>
      <c r="AD270" s="52"/>
      <c r="AE270" s="52"/>
    </row>
    <row r="271" spans="3:31" s="51" customFormat="1" x14ac:dyDescent="0.25"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3"/>
      <c r="Q271" s="52"/>
      <c r="R271" s="52"/>
      <c r="S271" s="53"/>
      <c r="T271" s="52"/>
      <c r="U271" s="52"/>
      <c r="V271" s="52"/>
      <c r="W271" s="54"/>
      <c r="X271" s="52"/>
      <c r="Y271" s="52"/>
      <c r="Z271" s="52"/>
      <c r="AA271" s="52"/>
      <c r="AB271" s="52"/>
      <c r="AC271" s="52"/>
      <c r="AD271" s="52"/>
      <c r="AE271" s="52"/>
    </row>
    <row r="272" spans="3:31" s="51" customFormat="1" x14ac:dyDescent="0.25"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3"/>
      <c r="Q272" s="52"/>
      <c r="R272" s="52"/>
      <c r="S272" s="53"/>
      <c r="T272" s="52"/>
      <c r="U272" s="52"/>
      <c r="V272" s="52"/>
      <c r="W272" s="54"/>
      <c r="X272" s="52"/>
      <c r="Y272" s="52"/>
      <c r="Z272" s="52"/>
      <c r="AA272" s="52"/>
      <c r="AB272" s="52"/>
      <c r="AC272" s="52"/>
      <c r="AD272" s="52"/>
      <c r="AE272" s="52"/>
    </row>
    <row r="273" spans="3:31" s="51" customFormat="1" x14ac:dyDescent="0.25"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3"/>
      <c r="Q273" s="52"/>
      <c r="R273" s="52"/>
      <c r="S273" s="53"/>
      <c r="T273" s="52"/>
      <c r="U273" s="52"/>
      <c r="V273" s="52"/>
      <c r="W273" s="54"/>
      <c r="X273" s="52"/>
      <c r="Y273" s="52"/>
      <c r="Z273" s="52"/>
      <c r="AA273" s="52"/>
      <c r="AB273" s="52"/>
      <c r="AC273" s="52"/>
      <c r="AD273" s="52"/>
      <c r="AE273" s="52"/>
    </row>
    <row r="274" spans="3:31" s="51" customFormat="1" x14ac:dyDescent="0.25"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3"/>
      <c r="Q274" s="52"/>
      <c r="R274" s="52"/>
      <c r="S274" s="53"/>
      <c r="T274" s="52"/>
      <c r="U274" s="52"/>
      <c r="V274" s="52"/>
      <c r="W274" s="54"/>
      <c r="X274" s="52"/>
      <c r="Y274" s="52"/>
      <c r="Z274" s="52"/>
      <c r="AA274" s="52"/>
      <c r="AB274" s="52"/>
      <c r="AC274" s="52"/>
      <c r="AD274" s="52"/>
      <c r="AE274" s="52"/>
    </row>
    <row r="275" spans="3:31" s="51" customFormat="1" x14ac:dyDescent="0.25"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3"/>
      <c r="Q275" s="52"/>
      <c r="R275" s="52"/>
      <c r="S275" s="53"/>
      <c r="T275" s="52"/>
      <c r="U275" s="52"/>
      <c r="V275" s="52"/>
      <c r="W275" s="54"/>
      <c r="X275" s="52"/>
      <c r="Y275" s="52"/>
      <c r="Z275" s="52"/>
      <c r="AA275" s="52"/>
      <c r="AB275" s="52"/>
      <c r="AC275" s="52"/>
      <c r="AD275" s="52"/>
      <c r="AE275" s="52"/>
    </row>
    <row r="276" spans="3:31" s="51" customFormat="1" x14ac:dyDescent="0.25"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3"/>
      <c r="Q276" s="52"/>
      <c r="R276" s="52"/>
      <c r="S276" s="53"/>
      <c r="T276" s="52"/>
      <c r="U276" s="52"/>
      <c r="V276" s="52"/>
      <c r="W276" s="54"/>
      <c r="X276" s="52"/>
      <c r="Y276" s="52"/>
      <c r="Z276" s="52"/>
      <c r="AA276" s="52"/>
      <c r="AB276" s="52"/>
      <c r="AC276" s="52"/>
      <c r="AD276" s="52"/>
      <c r="AE276" s="52"/>
    </row>
    <row r="277" spans="3:31" s="51" customFormat="1" x14ac:dyDescent="0.25"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3"/>
      <c r="Q277" s="52"/>
      <c r="R277" s="52"/>
      <c r="S277" s="53"/>
      <c r="T277" s="52"/>
      <c r="U277" s="52"/>
      <c r="V277" s="52"/>
      <c r="W277" s="54"/>
      <c r="X277" s="52"/>
      <c r="Y277" s="52"/>
      <c r="Z277" s="52"/>
      <c r="AA277" s="52"/>
      <c r="AB277" s="52"/>
      <c r="AC277" s="52"/>
      <c r="AD277" s="52"/>
      <c r="AE277" s="52"/>
    </row>
    <row r="278" spans="3:31" s="51" customFormat="1" x14ac:dyDescent="0.25"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3"/>
      <c r="Q278" s="52"/>
      <c r="R278" s="52"/>
      <c r="S278" s="53"/>
      <c r="T278" s="52"/>
      <c r="U278" s="52"/>
      <c r="V278" s="52"/>
      <c r="W278" s="54"/>
      <c r="X278" s="52"/>
      <c r="Y278" s="52"/>
      <c r="Z278" s="52"/>
      <c r="AA278" s="52"/>
      <c r="AB278" s="52"/>
      <c r="AC278" s="52"/>
      <c r="AD278" s="52"/>
      <c r="AE278" s="52"/>
    </row>
    <row r="279" spans="3:31" s="51" customFormat="1" x14ac:dyDescent="0.25"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3"/>
      <c r="Q279" s="52"/>
      <c r="R279" s="52"/>
      <c r="S279" s="53"/>
      <c r="T279" s="52"/>
      <c r="U279" s="52"/>
      <c r="V279" s="52"/>
      <c r="W279" s="54"/>
      <c r="X279" s="52"/>
      <c r="Y279" s="52"/>
      <c r="Z279" s="52"/>
      <c r="AA279" s="52"/>
      <c r="AB279" s="52"/>
      <c r="AC279" s="52"/>
      <c r="AD279" s="52"/>
      <c r="AE279" s="52"/>
    </row>
    <row r="280" spans="3:31" s="51" customFormat="1" x14ac:dyDescent="0.25"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3"/>
      <c r="Q280" s="52"/>
      <c r="R280" s="52"/>
      <c r="S280" s="53"/>
      <c r="T280" s="52"/>
      <c r="U280" s="52"/>
      <c r="V280" s="52"/>
      <c r="W280" s="54"/>
      <c r="X280" s="52"/>
      <c r="Y280" s="52"/>
      <c r="Z280" s="52"/>
      <c r="AA280" s="52"/>
      <c r="AB280" s="52"/>
      <c r="AC280" s="52"/>
      <c r="AD280" s="52"/>
      <c r="AE280" s="52"/>
    </row>
    <row r="281" spans="3:31" s="51" customFormat="1" x14ac:dyDescent="0.25"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3"/>
      <c r="Q281" s="52"/>
      <c r="R281" s="52"/>
      <c r="S281" s="53"/>
      <c r="T281" s="52"/>
      <c r="U281" s="52"/>
      <c r="V281" s="52"/>
      <c r="W281" s="54"/>
      <c r="X281" s="52"/>
      <c r="Y281" s="52"/>
      <c r="Z281" s="52"/>
      <c r="AA281" s="52"/>
      <c r="AB281" s="52"/>
      <c r="AC281" s="52"/>
      <c r="AD281" s="52"/>
      <c r="AE281" s="52"/>
    </row>
    <row r="282" spans="3:31" s="51" customFormat="1" x14ac:dyDescent="0.25"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3"/>
      <c r="Q282" s="52"/>
      <c r="R282" s="52"/>
      <c r="S282" s="53"/>
      <c r="T282" s="52"/>
      <c r="U282" s="52"/>
      <c r="V282" s="52"/>
      <c r="W282" s="54"/>
      <c r="X282" s="52"/>
      <c r="Y282" s="52"/>
      <c r="Z282" s="52"/>
      <c r="AA282" s="52"/>
      <c r="AB282" s="52"/>
      <c r="AC282" s="52"/>
      <c r="AD282" s="52"/>
      <c r="AE282" s="52"/>
    </row>
    <row r="283" spans="3:31" s="51" customFormat="1" x14ac:dyDescent="0.25"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3"/>
      <c r="Q283" s="52"/>
      <c r="R283" s="52"/>
      <c r="S283" s="53"/>
      <c r="T283" s="52"/>
      <c r="U283" s="52"/>
      <c r="V283" s="52"/>
      <c r="W283" s="54"/>
      <c r="X283" s="52"/>
      <c r="Y283" s="52"/>
      <c r="Z283" s="52"/>
      <c r="AA283" s="52"/>
      <c r="AB283" s="52"/>
      <c r="AC283" s="52"/>
      <c r="AD283" s="52"/>
      <c r="AE283" s="52"/>
    </row>
    <row r="284" spans="3:31" s="51" customFormat="1" x14ac:dyDescent="0.25"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3"/>
      <c r="Q284" s="52"/>
      <c r="R284" s="52"/>
      <c r="S284" s="53"/>
      <c r="T284" s="52"/>
      <c r="U284" s="52"/>
      <c r="V284" s="52"/>
      <c r="W284" s="54"/>
      <c r="X284" s="52"/>
      <c r="Y284" s="52"/>
      <c r="Z284" s="52"/>
      <c r="AA284" s="52"/>
      <c r="AB284" s="52"/>
      <c r="AC284" s="52"/>
      <c r="AD284" s="52"/>
      <c r="AE284" s="52"/>
    </row>
    <row r="285" spans="3:31" s="51" customFormat="1" x14ac:dyDescent="0.25"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3"/>
      <c r="Q285" s="52"/>
      <c r="R285" s="52"/>
      <c r="S285" s="53"/>
      <c r="T285" s="52"/>
      <c r="U285" s="52"/>
      <c r="V285" s="52"/>
      <c r="W285" s="54"/>
      <c r="X285" s="52"/>
      <c r="Y285" s="52"/>
      <c r="Z285" s="52"/>
      <c r="AA285" s="52"/>
      <c r="AB285" s="52"/>
      <c r="AC285" s="52"/>
      <c r="AD285" s="52"/>
      <c r="AE285" s="52"/>
    </row>
    <row r="286" spans="3:31" s="51" customFormat="1" x14ac:dyDescent="0.25"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3"/>
      <c r="Q286" s="52"/>
      <c r="R286" s="52"/>
      <c r="S286" s="53"/>
      <c r="T286" s="52"/>
      <c r="U286" s="52"/>
      <c r="V286" s="52"/>
      <c r="W286" s="54"/>
      <c r="X286" s="52"/>
      <c r="Y286" s="52"/>
      <c r="Z286" s="52"/>
      <c r="AA286" s="52"/>
      <c r="AB286" s="52"/>
      <c r="AC286" s="52"/>
      <c r="AD286" s="52"/>
      <c r="AE286" s="52"/>
    </row>
    <row r="287" spans="3:31" s="51" customFormat="1" x14ac:dyDescent="0.25"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3"/>
      <c r="Q287" s="52"/>
      <c r="R287" s="52"/>
      <c r="S287" s="53"/>
      <c r="T287" s="52"/>
      <c r="U287" s="52"/>
      <c r="V287" s="52"/>
      <c r="W287" s="54"/>
      <c r="X287" s="52"/>
      <c r="Y287" s="52"/>
      <c r="Z287" s="52"/>
      <c r="AA287" s="52"/>
      <c r="AB287" s="52"/>
      <c r="AC287" s="52"/>
      <c r="AD287" s="52"/>
      <c r="AE287" s="52"/>
    </row>
    <row r="288" spans="3:31" s="51" customFormat="1" x14ac:dyDescent="0.25"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3"/>
      <c r="Q288" s="52"/>
      <c r="R288" s="52"/>
      <c r="S288" s="53"/>
      <c r="T288" s="52"/>
      <c r="U288" s="52"/>
      <c r="V288" s="52"/>
      <c r="W288" s="54"/>
      <c r="X288" s="52"/>
      <c r="Y288" s="52"/>
      <c r="Z288" s="52"/>
      <c r="AA288" s="52"/>
      <c r="AB288" s="52"/>
      <c r="AC288" s="52"/>
      <c r="AD288" s="52"/>
      <c r="AE288" s="52"/>
    </row>
    <row r="289" spans="3:31" s="51" customFormat="1" x14ac:dyDescent="0.25"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3"/>
      <c r="Q289" s="52"/>
      <c r="R289" s="52"/>
      <c r="S289" s="53"/>
      <c r="T289" s="52"/>
      <c r="U289" s="52"/>
      <c r="V289" s="52"/>
      <c r="W289" s="54"/>
      <c r="X289" s="52"/>
      <c r="Y289" s="52"/>
      <c r="Z289" s="52"/>
      <c r="AA289" s="52"/>
      <c r="AB289" s="52"/>
      <c r="AC289" s="52"/>
      <c r="AD289" s="52"/>
      <c r="AE289" s="52"/>
    </row>
    <row r="290" spans="3:31" s="51" customFormat="1" x14ac:dyDescent="0.25"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3"/>
      <c r="Q290" s="52"/>
      <c r="R290" s="52"/>
      <c r="S290" s="53"/>
      <c r="T290" s="52"/>
      <c r="U290" s="52"/>
      <c r="V290" s="52"/>
      <c r="W290" s="54"/>
      <c r="X290" s="52"/>
      <c r="Y290" s="52"/>
      <c r="Z290" s="52"/>
      <c r="AA290" s="52"/>
      <c r="AB290" s="52"/>
      <c r="AC290" s="52"/>
      <c r="AD290" s="52"/>
      <c r="AE290" s="52"/>
    </row>
    <row r="291" spans="3:31" s="51" customFormat="1" x14ac:dyDescent="0.25"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3"/>
      <c r="Q291" s="52"/>
      <c r="R291" s="52"/>
      <c r="S291" s="53"/>
      <c r="T291" s="52"/>
      <c r="U291" s="52"/>
      <c r="V291" s="52"/>
      <c r="W291" s="54"/>
      <c r="X291" s="52"/>
      <c r="Y291" s="52"/>
      <c r="Z291" s="52"/>
      <c r="AA291" s="52"/>
      <c r="AB291" s="52"/>
      <c r="AC291" s="52"/>
      <c r="AD291" s="52"/>
      <c r="AE291" s="52"/>
    </row>
    <row r="292" spans="3:31" s="51" customFormat="1" x14ac:dyDescent="0.25"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3"/>
      <c r="Q292" s="52"/>
      <c r="R292" s="52"/>
      <c r="S292" s="53"/>
      <c r="T292" s="52"/>
      <c r="U292" s="52"/>
      <c r="V292" s="52"/>
      <c r="W292" s="54"/>
      <c r="X292" s="52"/>
      <c r="Y292" s="52"/>
      <c r="Z292" s="52"/>
      <c r="AA292" s="52"/>
      <c r="AB292" s="52"/>
      <c r="AC292" s="52"/>
      <c r="AD292" s="52"/>
      <c r="AE292" s="52"/>
    </row>
    <row r="293" spans="3:31" s="51" customFormat="1" x14ac:dyDescent="0.25"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3"/>
      <c r="Q293" s="52"/>
      <c r="R293" s="52"/>
      <c r="S293" s="53"/>
      <c r="T293" s="52"/>
      <c r="U293" s="52"/>
      <c r="V293" s="52"/>
      <c r="W293" s="54"/>
      <c r="X293" s="52"/>
      <c r="Y293" s="52"/>
      <c r="Z293" s="52"/>
      <c r="AA293" s="52"/>
      <c r="AB293" s="52"/>
      <c r="AC293" s="52"/>
      <c r="AD293" s="52"/>
      <c r="AE293" s="52"/>
    </row>
    <row r="294" spans="3:31" s="51" customFormat="1" x14ac:dyDescent="0.25"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3"/>
      <c r="Q294" s="52"/>
      <c r="R294" s="52"/>
      <c r="S294" s="53"/>
      <c r="T294" s="52"/>
      <c r="U294" s="52"/>
      <c r="V294" s="52"/>
      <c r="W294" s="54"/>
      <c r="X294" s="52"/>
      <c r="Y294" s="52"/>
      <c r="Z294" s="52"/>
      <c r="AA294" s="52"/>
      <c r="AB294" s="52"/>
      <c r="AC294" s="52"/>
      <c r="AD294" s="52"/>
      <c r="AE294" s="52"/>
    </row>
    <row r="295" spans="3:31" s="51" customFormat="1" x14ac:dyDescent="0.25"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3"/>
      <c r="Q295" s="52"/>
      <c r="R295" s="52"/>
      <c r="S295" s="53"/>
      <c r="T295" s="52"/>
      <c r="U295" s="52"/>
      <c r="V295" s="52"/>
      <c r="W295" s="54"/>
      <c r="X295" s="52"/>
      <c r="Y295" s="52"/>
      <c r="Z295" s="52"/>
      <c r="AA295" s="52"/>
      <c r="AB295" s="52"/>
      <c r="AC295" s="52"/>
      <c r="AD295" s="52"/>
      <c r="AE295" s="52"/>
    </row>
    <row r="296" spans="3:31" s="51" customFormat="1" x14ac:dyDescent="0.25"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3"/>
      <c r="Q296" s="52"/>
      <c r="R296" s="52"/>
      <c r="S296" s="53"/>
      <c r="T296" s="52"/>
      <c r="U296" s="52"/>
      <c r="V296" s="52"/>
      <c r="W296" s="54"/>
      <c r="X296" s="52"/>
      <c r="Y296" s="52"/>
      <c r="Z296" s="52"/>
      <c r="AA296" s="52"/>
      <c r="AB296" s="52"/>
      <c r="AC296" s="52"/>
      <c r="AD296" s="52"/>
      <c r="AE296" s="52"/>
    </row>
    <row r="297" spans="3:31" s="51" customFormat="1" x14ac:dyDescent="0.25"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3"/>
      <c r="Q297" s="52"/>
      <c r="R297" s="52"/>
      <c r="S297" s="53"/>
      <c r="T297" s="52"/>
      <c r="U297" s="52"/>
      <c r="V297" s="52"/>
      <c r="W297" s="54"/>
      <c r="X297" s="52"/>
      <c r="Y297" s="52"/>
      <c r="Z297" s="52"/>
      <c r="AA297" s="52"/>
      <c r="AB297" s="52"/>
      <c r="AC297" s="52"/>
      <c r="AD297" s="52"/>
      <c r="AE297" s="52"/>
    </row>
    <row r="298" spans="3:31" s="51" customFormat="1" x14ac:dyDescent="0.25"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3"/>
      <c r="Q298" s="52"/>
      <c r="R298" s="52"/>
      <c r="S298" s="53"/>
      <c r="T298" s="52"/>
      <c r="U298" s="52"/>
      <c r="V298" s="52"/>
      <c r="W298" s="54"/>
      <c r="X298" s="52"/>
      <c r="Y298" s="52"/>
      <c r="Z298" s="52"/>
      <c r="AA298" s="52"/>
      <c r="AB298" s="52"/>
      <c r="AC298" s="52"/>
      <c r="AD298" s="52"/>
      <c r="AE298" s="52"/>
    </row>
    <row r="299" spans="3:31" s="51" customFormat="1" x14ac:dyDescent="0.25"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3"/>
      <c r="Q299" s="52"/>
      <c r="R299" s="52"/>
      <c r="S299" s="53"/>
      <c r="T299" s="52"/>
      <c r="U299" s="52"/>
      <c r="V299" s="52"/>
      <c r="W299" s="54"/>
      <c r="X299" s="52"/>
      <c r="Y299" s="52"/>
      <c r="Z299" s="52"/>
      <c r="AA299" s="52"/>
      <c r="AB299" s="52"/>
      <c r="AC299" s="52"/>
      <c r="AD299" s="52"/>
      <c r="AE299" s="52"/>
    </row>
    <row r="300" spans="3:31" s="51" customFormat="1" x14ac:dyDescent="0.25"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3"/>
      <c r="Q300" s="52"/>
      <c r="R300" s="52"/>
      <c r="S300" s="53"/>
      <c r="T300" s="52"/>
      <c r="U300" s="52"/>
      <c r="V300" s="52"/>
      <c r="W300" s="54"/>
      <c r="X300" s="52"/>
      <c r="Y300" s="52"/>
      <c r="Z300" s="52"/>
      <c r="AA300" s="52"/>
      <c r="AB300" s="52"/>
      <c r="AC300" s="52"/>
      <c r="AD300" s="52"/>
      <c r="AE300" s="52"/>
    </row>
    <row r="301" spans="3:31" s="51" customFormat="1" x14ac:dyDescent="0.25"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3"/>
      <c r="Q301" s="52"/>
      <c r="R301" s="52"/>
      <c r="S301" s="53"/>
      <c r="T301" s="52"/>
      <c r="U301" s="52"/>
      <c r="V301" s="52"/>
      <c r="W301" s="54"/>
      <c r="X301" s="52"/>
      <c r="Y301" s="52"/>
      <c r="Z301" s="52"/>
      <c r="AA301" s="52"/>
      <c r="AB301" s="52"/>
      <c r="AC301" s="52"/>
      <c r="AD301" s="52"/>
      <c r="AE301" s="52"/>
    </row>
    <row r="302" spans="3:31" s="51" customFormat="1" x14ac:dyDescent="0.25"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3"/>
      <c r="Q302" s="52"/>
      <c r="R302" s="52"/>
      <c r="S302" s="53"/>
      <c r="T302" s="52"/>
      <c r="U302" s="52"/>
      <c r="V302" s="52"/>
      <c r="W302" s="54"/>
      <c r="X302" s="52"/>
      <c r="Y302" s="52"/>
      <c r="Z302" s="52"/>
      <c r="AA302" s="52"/>
      <c r="AB302" s="52"/>
      <c r="AC302" s="52"/>
      <c r="AD302" s="52"/>
      <c r="AE302" s="52"/>
    </row>
    <row r="303" spans="3:31" s="51" customFormat="1" x14ac:dyDescent="0.25"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3"/>
      <c r="Q303" s="52"/>
      <c r="R303" s="52"/>
      <c r="S303" s="53"/>
      <c r="T303" s="52"/>
      <c r="U303" s="52"/>
      <c r="V303" s="52"/>
      <c r="W303" s="54"/>
      <c r="X303" s="52"/>
      <c r="Y303" s="52"/>
      <c r="Z303" s="52"/>
      <c r="AA303" s="52"/>
      <c r="AB303" s="52"/>
      <c r="AC303" s="52"/>
      <c r="AD303" s="52"/>
      <c r="AE303" s="52"/>
    </row>
    <row r="304" spans="3:31" s="51" customFormat="1" x14ac:dyDescent="0.25"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3"/>
      <c r="Q304" s="52"/>
      <c r="R304" s="52"/>
      <c r="S304" s="53"/>
      <c r="T304" s="52"/>
      <c r="U304" s="52"/>
      <c r="V304" s="52"/>
      <c r="W304" s="54"/>
      <c r="X304" s="52"/>
      <c r="Y304" s="52"/>
      <c r="Z304" s="52"/>
      <c r="AA304" s="52"/>
      <c r="AB304" s="52"/>
      <c r="AC304" s="52"/>
      <c r="AD304" s="52"/>
      <c r="AE304" s="52"/>
    </row>
    <row r="305" spans="3:31" s="51" customFormat="1" x14ac:dyDescent="0.25"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3"/>
      <c r="Q305" s="52"/>
      <c r="R305" s="52"/>
      <c r="S305" s="53"/>
      <c r="T305" s="52"/>
      <c r="U305" s="52"/>
      <c r="V305" s="52"/>
      <c r="W305" s="54"/>
      <c r="X305" s="52"/>
      <c r="Y305" s="52"/>
      <c r="Z305" s="52"/>
      <c r="AA305" s="52"/>
      <c r="AB305" s="52"/>
      <c r="AC305" s="52"/>
      <c r="AD305" s="52"/>
      <c r="AE305" s="52"/>
    </row>
    <row r="306" spans="3:31" s="51" customFormat="1" x14ac:dyDescent="0.25"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3"/>
      <c r="Q306" s="52"/>
      <c r="R306" s="52"/>
      <c r="S306" s="53"/>
      <c r="T306" s="52"/>
      <c r="U306" s="52"/>
      <c r="V306" s="52"/>
      <c r="W306" s="54"/>
      <c r="X306" s="52"/>
      <c r="Y306" s="52"/>
      <c r="Z306" s="52"/>
      <c r="AA306" s="52"/>
      <c r="AB306" s="52"/>
      <c r="AC306" s="52"/>
      <c r="AD306" s="52"/>
      <c r="AE306" s="52"/>
    </row>
    <row r="307" spans="3:31" s="51" customFormat="1" x14ac:dyDescent="0.25"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3"/>
      <c r="Q307" s="52"/>
      <c r="R307" s="52"/>
      <c r="S307" s="53"/>
      <c r="T307" s="52"/>
      <c r="U307" s="52"/>
      <c r="V307" s="52"/>
      <c r="W307" s="54"/>
      <c r="X307" s="52"/>
      <c r="Y307" s="52"/>
      <c r="Z307" s="52"/>
      <c r="AA307" s="52"/>
      <c r="AB307" s="52"/>
      <c r="AC307" s="52"/>
      <c r="AD307" s="52"/>
      <c r="AE307" s="52"/>
    </row>
    <row r="308" spans="3:31" s="51" customFormat="1" x14ac:dyDescent="0.25"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3"/>
      <c r="Q308" s="52"/>
      <c r="R308" s="52"/>
      <c r="S308" s="53"/>
      <c r="T308" s="52"/>
      <c r="U308" s="52"/>
      <c r="V308" s="52"/>
      <c r="W308" s="54"/>
      <c r="X308" s="52"/>
      <c r="Y308" s="52"/>
      <c r="Z308" s="52"/>
      <c r="AA308" s="52"/>
      <c r="AB308" s="52"/>
      <c r="AC308" s="52"/>
      <c r="AD308" s="52"/>
      <c r="AE308" s="52"/>
    </row>
    <row r="309" spans="3:31" s="51" customFormat="1" x14ac:dyDescent="0.25"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3"/>
      <c r="Q309" s="52"/>
      <c r="R309" s="52"/>
      <c r="S309" s="53"/>
      <c r="T309" s="52"/>
      <c r="U309" s="52"/>
      <c r="V309" s="52"/>
      <c r="W309" s="54"/>
      <c r="X309" s="52"/>
      <c r="Y309" s="52"/>
      <c r="Z309" s="52"/>
      <c r="AA309" s="52"/>
      <c r="AB309" s="52"/>
      <c r="AC309" s="52"/>
      <c r="AD309" s="52"/>
      <c r="AE309" s="52"/>
    </row>
    <row r="310" spans="3:31" s="51" customFormat="1" x14ac:dyDescent="0.25"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3"/>
      <c r="Q310" s="52"/>
      <c r="R310" s="52"/>
      <c r="S310" s="53"/>
      <c r="T310" s="52"/>
      <c r="U310" s="52"/>
      <c r="V310" s="52"/>
      <c r="W310" s="54"/>
      <c r="X310" s="52"/>
      <c r="Y310" s="52"/>
      <c r="Z310" s="52"/>
      <c r="AA310" s="52"/>
      <c r="AB310" s="52"/>
      <c r="AC310" s="52"/>
      <c r="AD310" s="52"/>
      <c r="AE310" s="52"/>
    </row>
    <row r="311" spans="3:31" s="51" customFormat="1" x14ac:dyDescent="0.25"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3"/>
      <c r="Q311" s="52"/>
      <c r="R311" s="52"/>
      <c r="S311" s="53"/>
      <c r="T311" s="52"/>
      <c r="U311" s="52"/>
      <c r="V311" s="52"/>
      <c r="W311" s="54"/>
      <c r="X311" s="52"/>
      <c r="Y311" s="52"/>
      <c r="Z311" s="52"/>
      <c r="AA311" s="52"/>
      <c r="AB311" s="52"/>
      <c r="AC311" s="52"/>
      <c r="AD311" s="52"/>
      <c r="AE311" s="52"/>
    </row>
    <row r="312" spans="3:31" s="51" customFormat="1" x14ac:dyDescent="0.25"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3"/>
      <c r="Q312" s="52"/>
      <c r="R312" s="52"/>
      <c r="S312" s="53"/>
      <c r="T312" s="52"/>
      <c r="U312" s="52"/>
      <c r="V312" s="52"/>
      <c r="W312" s="54"/>
      <c r="X312" s="52"/>
      <c r="Y312" s="52"/>
      <c r="Z312" s="52"/>
      <c r="AA312" s="52"/>
      <c r="AB312" s="52"/>
      <c r="AC312" s="52"/>
      <c r="AD312" s="52"/>
      <c r="AE312" s="52"/>
    </row>
    <row r="313" spans="3:31" s="51" customFormat="1" x14ac:dyDescent="0.25"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3"/>
      <c r="Q313" s="52"/>
      <c r="R313" s="52"/>
      <c r="S313" s="53"/>
      <c r="T313" s="52"/>
      <c r="U313" s="52"/>
      <c r="V313" s="52"/>
      <c r="W313" s="54"/>
      <c r="X313" s="52"/>
      <c r="Y313" s="52"/>
      <c r="Z313" s="52"/>
      <c r="AA313" s="52"/>
      <c r="AB313" s="52"/>
      <c r="AC313" s="52"/>
      <c r="AD313" s="52"/>
      <c r="AE313" s="52"/>
    </row>
    <row r="314" spans="3:31" s="51" customFormat="1" x14ac:dyDescent="0.25"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3"/>
      <c r="Q314" s="52"/>
      <c r="R314" s="52"/>
      <c r="S314" s="53"/>
      <c r="T314" s="52"/>
      <c r="U314" s="52"/>
      <c r="V314" s="52"/>
      <c r="W314" s="54"/>
      <c r="X314" s="52"/>
      <c r="Y314" s="52"/>
      <c r="Z314" s="52"/>
      <c r="AA314" s="52"/>
      <c r="AB314" s="52"/>
      <c r="AC314" s="52"/>
      <c r="AD314" s="52"/>
      <c r="AE314" s="52"/>
    </row>
    <row r="315" spans="3:31" s="51" customFormat="1" x14ac:dyDescent="0.25"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3"/>
      <c r="Q315" s="52"/>
      <c r="R315" s="52"/>
      <c r="S315" s="53"/>
      <c r="T315" s="52"/>
      <c r="U315" s="52"/>
      <c r="V315" s="52"/>
      <c r="W315" s="54"/>
      <c r="X315" s="52"/>
      <c r="Y315" s="52"/>
      <c r="Z315" s="52"/>
      <c r="AA315" s="52"/>
      <c r="AB315" s="52"/>
      <c r="AC315" s="52"/>
      <c r="AD315" s="52"/>
      <c r="AE315" s="52"/>
    </row>
    <row r="316" spans="3:31" s="51" customFormat="1" x14ac:dyDescent="0.25"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3"/>
      <c r="Q316" s="52"/>
      <c r="R316" s="52"/>
      <c r="S316" s="53"/>
      <c r="T316" s="52"/>
      <c r="U316" s="52"/>
      <c r="V316" s="52"/>
      <c r="W316" s="54"/>
      <c r="X316" s="52"/>
      <c r="Y316" s="52"/>
      <c r="Z316" s="52"/>
      <c r="AA316" s="52"/>
      <c r="AB316" s="52"/>
      <c r="AC316" s="52"/>
      <c r="AD316" s="52"/>
      <c r="AE316" s="52"/>
    </row>
    <row r="317" spans="3:31" s="51" customFormat="1" x14ac:dyDescent="0.25"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3"/>
      <c r="Q317" s="52"/>
      <c r="R317" s="52"/>
      <c r="S317" s="53"/>
      <c r="T317" s="52"/>
      <c r="U317" s="52"/>
      <c r="V317" s="52"/>
      <c r="W317" s="54"/>
      <c r="X317" s="52"/>
      <c r="Y317" s="52"/>
      <c r="Z317" s="52"/>
      <c r="AA317" s="52"/>
      <c r="AB317" s="52"/>
      <c r="AC317" s="52"/>
      <c r="AD317" s="52"/>
      <c r="AE317" s="52"/>
    </row>
    <row r="318" spans="3:31" s="51" customFormat="1" x14ac:dyDescent="0.25"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3"/>
      <c r="Q318" s="52"/>
      <c r="R318" s="52"/>
      <c r="S318" s="53"/>
      <c r="T318" s="52"/>
      <c r="U318" s="52"/>
      <c r="V318" s="52"/>
      <c r="W318" s="54"/>
      <c r="X318" s="52"/>
      <c r="Y318" s="52"/>
      <c r="Z318" s="52"/>
      <c r="AA318" s="52"/>
      <c r="AB318" s="52"/>
      <c r="AC318" s="52"/>
      <c r="AD318" s="52"/>
      <c r="AE318" s="52"/>
    </row>
    <row r="319" spans="3:31" s="51" customFormat="1" x14ac:dyDescent="0.25"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3"/>
      <c r="Q319" s="52"/>
      <c r="R319" s="52"/>
      <c r="S319" s="53"/>
      <c r="T319" s="52"/>
      <c r="U319" s="52"/>
      <c r="V319" s="52"/>
      <c r="W319" s="54"/>
      <c r="X319" s="52"/>
      <c r="Y319" s="52"/>
      <c r="Z319" s="52"/>
      <c r="AA319" s="52"/>
      <c r="AB319" s="52"/>
      <c r="AC319" s="52"/>
      <c r="AD319" s="52"/>
      <c r="AE319" s="52"/>
    </row>
    <row r="320" spans="3:31" s="51" customFormat="1" x14ac:dyDescent="0.25"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3"/>
      <c r="Q320" s="52"/>
      <c r="R320" s="52"/>
      <c r="S320" s="53"/>
      <c r="T320" s="52"/>
      <c r="U320" s="52"/>
      <c r="V320" s="52"/>
      <c r="W320" s="54"/>
      <c r="X320" s="52"/>
      <c r="Y320" s="52"/>
      <c r="Z320" s="52"/>
      <c r="AA320" s="52"/>
      <c r="AB320" s="52"/>
      <c r="AC320" s="52"/>
      <c r="AD320" s="52"/>
      <c r="AE320" s="52"/>
    </row>
    <row r="321" spans="3:31" s="51" customFormat="1" x14ac:dyDescent="0.25"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3"/>
      <c r="Q321" s="52"/>
      <c r="R321" s="52"/>
      <c r="S321" s="53"/>
      <c r="T321" s="52"/>
      <c r="U321" s="52"/>
      <c r="V321" s="52"/>
      <c r="W321" s="54"/>
      <c r="X321" s="52"/>
      <c r="Y321" s="52"/>
      <c r="Z321" s="52"/>
      <c r="AA321" s="52"/>
      <c r="AB321" s="52"/>
      <c r="AC321" s="52"/>
      <c r="AD321" s="52"/>
      <c r="AE321" s="52"/>
    </row>
    <row r="322" spans="3:31" s="51" customFormat="1" x14ac:dyDescent="0.25"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3"/>
      <c r="Q322" s="52"/>
      <c r="R322" s="52"/>
      <c r="S322" s="53"/>
      <c r="T322" s="52"/>
      <c r="U322" s="52"/>
      <c r="V322" s="52"/>
      <c r="W322" s="54"/>
      <c r="X322" s="52"/>
      <c r="Y322" s="52"/>
      <c r="Z322" s="52"/>
      <c r="AA322" s="52"/>
      <c r="AB322" s="52"/>
      <c r="AC322" s="52"/>
      <c r="AD322" s="52"/>
      <c r="AE322" s="52"/>
    </row>
    <row r="323" spans="3:31" s="51" customFormat="1" x14ac:dyDescent="0.25"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3"/>
      <c r="Q323" s="52"/>
      <c r="R323" s="52"/>
      <c r="S323" s="53"/>
      <c r="T323" s="52"/>
      <c r="U323" s="52"/>
      <c r="V323" s="52"/>
      <c r="W323" s="54"/>
      <c r="X323" s="52"/>
      <c r="Y323" s="52"/>
      <c r="Z323" s="52"/>
      <c r="AA323" s="52"/>
      <c r="AB323" s="52"/>
      <c r="AC323" s="52"/>
      <c r="AD323" s="52"/>
      <c r="AE323" s="52"/>
    </row>
    <row r="324" spans="3:31" s="51" customFormat="1" x14ac:dyDescent="0.25"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3"/>
      <c r="Q324" s="52"/>
      <c r="R324" s="52"/>
      <c r="S324" s="53"/>
      <c r="T324" s="52"/>
      <c r="U324" s="52"/>
      <c r="V324" s="52"/>
      <c r="W324" s="54"/>
      <c r="X324" s="52"/>
      <c r="Y324" s="52"/>
      <c r="Z324" s="52"/>
      <c r="AA324" s="52"/>
      <c r="AB324" s="52"/>
      <c r="AC324" s="52"/>
      <c r="AD324" s="52"/>
      <c r="AE324" s="52"/>
    </row>
    <row r="325" spans="3:31" s="51" customFormat="1" x14ac:dyDescent="0.25"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3"/>
      <c r="Q325" s="52"/>
      <c r="R325" s="52"/>
      <c r="S325" s="53"/>
      <c r="T325" s="52"/>
      <c r="U325" s="52"/>
      <c r="V325" s="52"/>
      <c r="W325" s="54"/>
      <c r="X325" s="52"/>
      <c r="Y325" s="52"/>
      <c r="Z325" s="52"/>
      <c r="AA325" s="52"/>
      <c r="AB325" s="52"/>
      <c r="AC325" s="52"/>
      <c r="AD325" s="52"/>
      <c r="AE325" s="52"/>
    </row>
    <row r="326" spans="3:31" s="51" customFormat="1" x14ac:dyDescent="0.25"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3"/>
      <c r="Q326" s="52"/>
      <c r="R326" s="52"/>
      <c r="S326" s="53"/>
      <c r="T326" s="52"/>
      <c r="U326" s="52"/>
      <c r="V326" s="52"/>
      <c r="W326" s="54"/>
      <c r="X326" s="52"/>
      <c r="Y326" s="52"/>
      <c r="Z326" s="52"/>
      <c r="AA326" s="52"/>
      <c r="AB326" s="52"/>
      <c r="AC326" s="52"/>
      <c r="AD326" s="52"/>
      <c r="AE326" s="52"/>
    </row>
    <row r="327" spans="3:31" s="51" customFormat="1" x14ac:dyDescent="0.25"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3"/>
      <c r="Q327" s="52"/>
      <c r="R327" s="52"/>
      <c r="S327" s="53"/>
      <c r="T327" s="52"/>
      <c r="U327" s="52"/>
      <c r="V327" s="52"/>
      <c r="W327" s="54"/>
      <c r="X327" s="52"/>
      <c r="Y327" s="52"/>
      <c r="Z327" s="52"/>
      <c r="AA327" s="52"/>
      <c r="AB327" s="52"/>
      <c r="AC327" s="52"/>
      <c r="AD327" s="52"/>
      <c r="AE327" s="52"/>
    </row>
    <row r="328" spans="3:31" s="51" customFormat="1" x14ac:dyDescent="0.25"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3"/>
      <c r="Q328" s="52"/>
      <c r="R328" s="52"/>
      <c r="S328" s="53"/>
      <c r="T328" s="52"/>
      <c r="U328" s="52"/>
      <c r="V328" s="52"/>
      <c r="W328" s="54"/>
      <c r="X328" s="52"/>
      <c r="Y328" s="52"/>
      <c r="Z328" s="52"/>
      <c r="AA328" s="52"/>
      <c r="AB328" s="52"/>
      <c r="AC328" s="52"/>
      <c r="AD328" s="52"/>
      <c r="AE328" s="52"/>
    </row>
    <row r="329" spans="3:31" s="51" customFormat="1" x14ac:dyDescent="0.25"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3"/>
      <c r="Q329" s="52"/>
      <c r="R329" s="52"/>
      <c r="S329" s="53"/>
      <c r="T329" s="52"/>
      <c r="U329" s="52"/>
      <c r="V329" s="52"/>
      <c r="W329" s="54"/>
      <c r="X329" s="52"/>
      <c r="Y329" s="52"/>
      <c r="Z329" s="52"/>
      <c r="AA329" s="52"/>
      <c r="AB329" s="52"/>
      <c r="AC329" s="52"/>
      <c r="AD329" s="52"/>
      <c r="AE329" s="52"/>
    </row>
    <row r="330" spans="3:31" s="51" customFormat="1" x14ac:dyDescent="0.25"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3"/>
      <c r="Q330" s="52"/>
      <c r="R330" s="52"/>
      <c r="S330" s="53"/>
      <c r="T330" s="52"/>
      <c r="U330" s="52"/>
      <c r="V330" s="52"/>
      <c r="W330" s="54"/>
      <c r="X330" s="52"/>
      <c r="Y330" s="52"/>
      <c r="Z330" s="52"/>
      <c r="AA330" s="52"/>
      <c r="AB330" s="52"/>
      <c r="AC330" s="52"/>
      <c r="AD330" s="52"/>
      <c r="AE330" s="52"/>
    </row>
    <row r="331" spans="3:31" s="51" customFormat="1" x14ac:dyDescent="0.25"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3"/>
      <c r="Q331" s="52"/>
      <c r="R331" s="52"/>
      <c r="S331" s="53"/>
      <c r="T331" s="52"/>
      <c r="U331" s="52"/>
      <c r="V331" s="52"/>
      <c r="W331" s="54"/>
      <c r="X331" s="52"/>
      <c r="Y331" s="52"/>
      <c r="Z331" s="52"/>
      <c r="AA331" s="52"/>
      <c r="AB331" s="52"/>
      <c r="AC331" s="52"/>
      <c r="AD331" s="52"/>
      <c r="AE331" s="52"/>
    </row>
    <row r="332" spans="3:31" s="51" customFormat="1" x14ac:dyDescent="0.25"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3"/>
      <c r="Q332" s="52"/>
      <c r="R332" s="52"/>
      <c r="S332" s="53"/>
      <c r="T332" s="52"/>
      <c r="U332" s="52"/>
      <c r="V332" s="52"/>
      <c r="W332" s="54"/>
      <c r="X332" s="52"/>
      <c r="Y332" s="52"/>
      <c r="Z332" s="52"/>
      <c r="AA332" s="52"/>
      <c r="AB332" s="52"/>
      <c r="AC332" s="52"/>
      <c r="AD332" s="52"/>
      <c r="AE332" s="52"/>
    </row>
    <row r="333" spans="3:31" s="51" customFormat="1" x14ac:dyDescent="0.25"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3"/>
      <c r="Q333" s="52"/>
      <c r="R333" s="52"/>
      <c r="S333" s="53"/>
      <c r="T333" s="52"/>
      <c r="U333" s="52"/>
      <c r="V333" s="52"/>
      <c r="W333" s="54"/>
      <c r="X333" s="52"/>
      <c r="Y333" s="52"/>
      <c r="Z333" s="52"/>
      <c r="AA333" s="52"/>
      <c r="AB333" s="52"/>
      <c r="AC333" s="52"/>
      <c r="AD333" s="52"/>
      <c r="AE333" s="52"/>
    </row>
    <row r="334" spans="3:31" s="51" customFormat="1" x14ac:dyDescent="0.25"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3"/>
      <c r="Q334" s="52"/>
      <c r="R334" s="52"/>
      <c r="S334" s="53"/>
      <c r="T334" s="52"/>
      <c r="U334" s="52"/>
      <c r="V334" s="52"/>
      <c r="W334" s="54"/>
      <c r="X334" s="52"/>
      <c r="Y334" s="52"/>
      <c r="Z334" s="52"/>
      <c r="AA334" s="52"/>
      <c r="AB334" s="52"/>
      <c r="AC334" s="52"/>
      <c r="AD334" s="52"/>
      <c r="AE334" s="52"/>
    </row>
    <row r="335" spans="3:31" s="51" customFormat="1" x14ac:dyDescent="0.25"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3"/>
      <c r="Q335" s="52"/>
      <c r="R335" s="52"/>
      <c r="S335" s="53"/>
      <c r="T335" s="52"/>
      <c r="U335" s="52"/>
      <c r="V335" s="52"/>
      <c r="W335" s="54"/>
      <c r="X335" s="52"/>
      <c r="Y335" s="52"/>
      <c r="Z335" s="52"/>
      <c r="AA335" s="52"/>
      <c r="AB335" s="52"/>
      <c r="AC335" s="52"/>
      <c r="AD335" s="52"/>
      <c r="AE335" s="52"/>
    </row>
    <row r="336" spans="3:31" s="51" customFormat="1" x14ac:dyDescent="0.25"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3"/>
      <c r="Q336" s="52"/>
      <c r="R336" s="52"/>
      <c r="S336" s="53"/>
      <c r="T336" s="52"/>
      <c r="U336" s="52"/>
      <c r="V336" s="52"/>
      <c r="W336" s="54"/>
      <c r="X336" s="52"/>
      <c r="Y336" s="52"/>
      <c r="Z336" s="52"/>
      <c r="AA336" s="52"/>
      <c r="AB336" s="52"/>
      <c r="AC336" s="52"/>
      <c r="AD336" s="52"/>
      <c r="AE336" s="52"/>
    </row>
    <row r="337" spans="3:31" s="51" customFormat="1" x14ac:dyDescent="0.25"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3"/>
      <c r="Q337" s="52"/>
      <c r="R337" s="52"/>
      <c r="S337" s="53"/>
      <c r="T337" s="52"/>
      <c r="U337" s="52"/>
      <c r="V337" s="52"/>
      <c r="W337" s="54"/>
      <c r="X337" s="52"/>
      <c r="Y337" s="52"/>
      <c r="Z337" s="52"/>
      <c r="AA337" s="52"/>
      <c r="AB337" s="52"/>
      <c r="AC337" s="52"/>
      <c r="AD337" s="52"/>
      <c r="AE337" s="52"/>
    </row>
    <row r="338" spans="3:31" s="51" customFormat="1" x14ac:dyDescent="0.25"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3"/>
      <c r="Q338" s="52"/>
      <c r="R338" s="52"/>
      <c r="S338" s="53"/>
      <c r="T338" s="52"/>
      <c r="U338" s="52"/>
      <c r="V338" s="52"/>
      <c r="W338" s="54"/>
      <c r="X338" s="52"/>
      <c r="Y338" s="52"/>
      <c r="Z338" s="52"/>
      <c r="AA338" s="52"/>
      <c r="AB338" s="52"/>
      <c r="AC338" s="52"/>
      <c r="AD338" s="52"/>
      <c r="AE338" s="52"/>
    </row>
    <row r="339" spans="3:31" s="51" customFormat="1" x14ac:dyDescent="0.25"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3"/>
      <c r="Q339" s="52"/>
      <c r="R339" s="52"/>
      <c r="S339" s="53"/>
      <c r="T339" s="52"/>
      <c r="U339" s="52"/>
      <c r="V339" s="52"/>
      <c r="W339" s="54"/>
      <c r="X339" s="52"/>
      <c r="Y339" s="52"/>
      <c r="Z339" s="52"/>
      <c r="AA339" s="52"/>
      <c r="AB339" s="52"/>
      <c r="AC339" s="52"/>
      <c r="AD339" s="52"/>
      <c r="AE339" s="52"/>
    </row>
    <row r="340" spans="3:31" s="51" customFormat="1" x14ac:dyDescent="0.25"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3"/>
      <c r="Q340" s="52"/>
      <c r="R340" s="52"/>
      <c r="S340" s="53"/>
      <c r="T340" s="52"/>
      <c r="U340" s="52"/>
      <c r="V340" s="52"/>
      <c r="W340" s="54"/>
      <c r="X340" s="52"/>
      <c r="Y340" s="52"/>
      <c r="Z340" s="52"/>
      <c r="AA340" s="52"/>
      <c r="AB340" s="52"/>
      <c r="AC340" s="52"/>
      <c r="AD340" s="52"/>
      <c r="AE340" s="52"/>
    </row>
    <row r="341" spans="3:31" s="51" customFormat="1" x14ac:dyDescent="0.25"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3"/>
      <c r="Q341" s="52"/>
      <c r="R341" s="52"/>
      <c r="S341" s="53"/>
      <c r="T341" s="52"/>
      <c r="U341" s="52"/>
      <c r="V341" s="52"/>
      <c r="W341" s="54"/>
      <c r="X341" s="52"/>
      <c r="Y341" s="52"/>
      <c r="Z341" s="52"/>
      <c r="AA341" s="52"/>
      <c r="AB341" s="52"/>
      <c r="AC341" s="52"/>
      <c r="AD341" s="52"/>
      <c r="AE341" s="52"/>
    </row>
    <row r="342" spans="3:31" s="51" customFormat="1" x14ac:dyDescent="0.25"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3"/>
      <c r="Q342" s="52"/>
      <c r="R342" s="52"/>
      <c r="S342" s="53"/>
      <c r="T342" s="52"/>
      <c r="U342" s="52"/>
      <c r="V342" s="52"/>
      <c r="W342" s="54"/>
      <c r="X342" s="52"/>
      <c r="Y342" s="52"/>
      <c r="Z342" s="52"/>
      <c r="AA342" s="52"/>
      <c r="AB342" s="52"/>
      <c r="AC342" s="52"/>
      <c r="AD342" s="52"/>
      <c r="AE342" s="52"/>
    </row>
    <row r="343" spans="3:31" s="51" customFormat="1" x14ac:dyDescent="0.25"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3"/>
      <c r="Q343" s="52"/>
      <c r="R343" s="52"/>
      <c r="S343" s="53"/>
      <c r="T343" s="52"/>
      <c r="U343" s="52"/>
      <c r="V343" s="52"/>
      <c r="W343" s="54"/>
      <c r="X343" s="52"/>
      <c r="Y343" s="52"/>
      <c r="Z343" s="52"/>
      <c r="AA343" s="52"/>
      <c r="AB343" s="52"/>
      <c r="AC343" s="52"/>
      <c r="AD343" s="52"/>
      <c r="AE343" s="52"/>
    </row>
    <row r="344" spans="3:31" s="51" customFormat="1" x14ac:dyDescent="0.25"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3"/>
      <c r="Q344" s="52"/>
      <c r="R344" s="52"/>
      <c r="S344" s="53"/>
      <c r="T344" s="52"/>
      <c r="U344" s="52"/>
      <c r="V344" s="52"/>
      <c r="W344" s="54"/>
      <c r="X344" s="52"/>
      <c r="Y344" s="52"/>
      <c r="Z344" s="52"/>
      <c r="AA344" s="52"/>
      <c r="AB344" s="52"/>
      <c r="AC344" s="52"/>
      <c r="AD344" s="52"/>
      <c r="AE344" s="52"/>
    </row>
    <row r="345" spans="3:31" s="51" customFormat="1" x14ac:dyDescent="0.25"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3"/>
      <c r="Q345" s="52"/>
      <c r="R345" s="52"/>
      <c r="S345" s="53"/>
      <c r="T345" s="52"/>
      <c r="U345" s="52"/>
      <c r="V345" s="52"/>
      <c r="W345" s="54"/>
      <c r="X345" s="52"/>
      <c r="Y345" s="52"/>
      <c r="Z345" s="52"/>
      <c r="AA345" s="52"/>
      <c r="AB345" s="52"/>
      <c r="AC345" s="52"/>
      <c r="AD345" s="52"/>
      <c r="AE345" s="52"/>
    </row>
    <row r="346" spans="3:31" s="51" customFormat="1" x14ac:dyDescent="0.25"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3"/>
      <c r="Q346" s="52"/>
      <c r="R346" s="52"/>
      <c r="S346" s="53"/>
      <c r="T346" s="52"/>
      <c r="U346" s="52"/>
      <c r="V346" s="52"/>
      <c r="W346" s="54"/>
      <c r="X346" s="52"/>
      <c r="Y346" s="52"/>
      <c r="Z346" s="52"/>
      <c r="AA346" s="52"/>
      <c r="AB346" s="52"/>
      <c r="AC346" s="52"/>
      <c r="AD346" s="52"/>
      <c r="AE346" s="52"/>
    </row>
    <row r="347" spans="3:31" s="51" customFormat="1" x14ac:dyDescent="0.25"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3"/>
      <c r="Q347" s="52"/>
      <c r="R347" s="52"/>
      <c r="S347" s="53"/>
      <c r="T347" s="52"/>
      <c r="U347" s="52"/>
      <c r="V347" s="52"/>
      <c r="W347" s="54"/>
      <c r="X347" s="52"/>
      <c r="Y347" s="52"/>
      <c r="Z347" s="52"/>
      <c r="AA347" s="52"/>
      <c r="AB347" s="52"/>
      <c r="AC347" s="52"/>
      <c r="AD347" s="52"/>
      <c r="AE347" s="52"/>
    </row>
    <row r="348" spans="3:31" s="51" customFormat="1" x14ac:dyDescent="0.25"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3"/>
      <c r="Q348" s="52"/>
      <c r="R348" s="52"/>
      <c r="S348" s="53"/>
      <c r="T348" s="52"/>
      <c r="U348" s="52"/>
      <c r="V348" s="52"/>
      <c r="W348" s="54"/>
      <c r="X348" s="52"/>
      <c r="Y348" s="52"/>
      <c r="Z348" s="52"/>
      <c r="AA348" s="52"/>
      <c r="AB348" s="52"/>
      <c r="AC348" s="52"/>
      <c r="AD348" s="52"/>
      <c r="AE348" s="52"/>
    </row>
    <row r="349" spans="3:31" s="51" customFormat="1" x14ac:dyDescent="0.25"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3"/>
      <c r="Q349" s="52"/>
      <c r="R349" s="52"/>
      <c r="S349" s="53"/>
      <c r="T349" s="52"/>
      <c r="U349" s="52"/>
      <c r="V349" s="52"/>
      <c r="W349" s="54"/>
      <c r="X349" s="52"/>
      <c r="Y349" s="52"/>
      <c r="Z349" s="52"/>
      <c r="AA349" s="52"/>
      <c r="AB349" s="52"/>
      <c r="AC349" s="52"/>
      <c r="AD349" s="52"/>
      <c r="AE349" s="52"/>
    </row>
    <row r="350" spans="3:31" s="51" customFormat="1" x14ac:dyDescent="0.25"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3"/>
      <c r="Q350" s="52"/>
      <c r="R350" s="52"/>
      <c r="S350" s="53"/>
      <c r="T350" s="52"/>
      <c r="U350" s="52"/>
      <c r="V350" s="52"/>
      <c r="W350" s="54"/>
      <c r="X350" s="52"/>
      <c r="Y350" s="52"/>
      <c r="Z350" s="52"/>
      <c r="AA350" s="52"/>
      <c r="AB350" s="52"/>
      <c r="AC350" s="52"/>
      <c r="AD350" s="52"/>
      <c r="AE350" s="52"/>
    </row>
  </sheetData>
  <autoFilter ref="A4:AG4" xr:uid="{0CC73114-471D-42CA-A827-5EF0CC12CD59}"/>
  <mergeCells count="5">
    <mergeCell ref="A1:F2"/>
    <mergeCell ref="G1:W1"/>
    <mergeCell ref="Y1:AE2"/>
    <mergeCell ref="G2:N2"/>
    <mergeCell ref="O2:W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54D3-CA55-4D82-BB4C-D8A1E66599CA}">
  <dimension ref="A1:AG195"/>
  <sheetViews>
    <sheetView topLeftCell="B4" zoomScaleNormal="100" workbookViewId="0">
      <pane xSplit="6" ySplit="1" topLeftCell="H79" activePane="bottomRight" state="frozen"/>
      <selection activeCell="B4" sqref="B4"/>
      <selection pane="topRight" activeCell="H4" sqref="H4"/>
      <selection pane="bottomLeft" activeCell="B5" sqref="B5"/>
      <selection pane="bottomRight" activeCell="G74" sqref="G74"/>
    </sheetView>
  </sheetViews>
  <sheetFormatPr baseColWidth="10" defaultColWidth="8.85546875" defaultRowHeight="15" x14ac:dyDescent="0.25"/>
  <cols>
    <col min="2" max="2" width="14.28515625" bestFit="1" customWidth="1"/>
    <col min="3" max="3" width="8.140625" style="3" customWidth="1"/>
    <col min="4" max="4" width="11.7109375" style="3" customWidth="1"/>
    <col min="5" max="5" width="18" style="3" bestFit="1" customWidth="1"/>
    <col min="6" max="6" width="11.7109375" style="3" customWidth="1"/>
    <col min="7" max="10" width="13.42578125" style="3" customWidth="1"/>
    <col min="11" max="11" width="20.42578125" style="3" customWidth="1"/>
    <col min="12" max="12" width="14.7109375" style="3" customWidth="1"/>
    <col min="13" max="13" width="12.7109375" style="3" bestFit="1" customWidth="1"/>
    <col min="14" max="14" width="10.42578125" style="3" customWidth="1"/>
    <col min="15" max="15" width="20.42578125" style="3" customWidth="1"/>
    <col min="16" max="16" width="14.5703125" style="11" customWidth="1"/>
    <col min="17" max="17" width="10.28515625" style="3" customWidth="1"/>
    <col min="18" max="18" width="13.42578125" style="3" customWidth="1"/>
    <col min="19" max="19" width="13.42578125" style="11" customWidth="1"/>
    <col min="20" max="20" width="10.5703125" style="3" customWidth="1"/>
    <col min="21" max="21" width="14.28515625" style="3" customWidth="1"/>
    <col min="22" max="22" width="18.140625" style="3" customWidth="1"/>
    <col min="23" max="23" width="17.42578125" style="14" customWidth="1"/>
    <col min="24" max="24" width="12.28515625" style="3" customWidth="1"/>
    <col min="25" max="25" width="14.28515625" style="3" customWidth="1"/>
    <col min="26" max="26" width="20.140625" style="3" customWidth="1"/>
    <col min="27" max="27" width="27.140625" style="3" customWidth="1"/>
    <col min="28" max="29" width="11.140625" style="3" customWidth="1"/>
    <col min="30" max="30" width="10.85546875" style="3" customWidth="1"/>
    <col min="31" max="31" width="13.5703125" style="3" customWidth="1"/>
    <col min="32" max="32" width="12.5703125" customWidth="1"/>
  </cols>
  <sheetData>
    <row r="1" spans="1:33" ht="14.45" customHeight="1" x14ac:dyDescent="0.25">
      <c r="A1" s="36" t="s">
        <v>32</v>
      </c>
      <c r="B1" s="36"/>
      <c r="C1" s="36"/>
      <c r="D1" s="36"/>
      <c r="E1" s="36"/>
      <c r="F1" s="36"/>
      <c r="G1" s="38" t="s">
        <v>67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40"/>
      <c r="X1" s="12"/>
      <c r="Y1" s="41" t="s">
        <v>34</v>
      </c>
      <c r="Z1" s="42"/>
      <c r="AA1" s="42"/>
      <c r="AB1" s="42"/>
      <c r="AC1" s="42"/>
      <c r="AD1" s="42"/>
      <c r="AE1" s="43"/>
    </row>
    <row r="2" spans="1:33" ht="24" customHeight="1" x14ac:dyDescent="0.25">
      <c r="A2" s="37"/>
      <c r="B2" s="37"/>
      <c r="C2" s="37"/>
      <c r="D2" s="37"/>
      <c r="E2" s="37"/>
      <c r="F2" s="37"/>
      <c r="G2" s="47" t="s">
        <v>31</v>
      </c>
      <c r="H2" s="48"/>
      <c r="I2" s="48"/>
      <c r="J2" s="48"/>
      <c r="K2" s="48"/>
      <c r="L2" s="48"/>
      <c r="M2" s="48"/>
      <c r="N2" s="49"/>
      <c r="O2" s="38" t="s">
        <v>30</v>
      </c>
      <c r="P2" s="39"/>
      <c r="Q2" s="39"/>
      <c r="R2" s="39"/>
      <c r="S2" s="39"/>
      <c r="T2" s="39"/>
      <c r="U2" s="39"/>
      <c r="V2" s="39"/>
      <c r="W2" s="40"/>
      <c r="X2" s="13"/>
      <c r="Y2" s="44"/>
      <c r="Z2" s="45"/>
      <c r="AA2" s="45"/>
      <c r="AB2" s="45"/>
      <c r="AC2" s="45"/>
      <c r="AD2" s="45"/>
      <c r="AE2" s="46"/>
    </row>
    <row r="3" spans="1:33" ht="189" customHeight="1" x14ac:dyDescent="0.25">
      <c r="A3" s="8" t="s">
        <v>69</v>
      </c>
      <c r="B3" s="4" t="s">
        <v>16</v>
      </c>
      <c r="C3" s="8" t="s">
        <v>7</v>
      </c>
      <c r="D3" s="4" t="s">
        <v>6</v>
      </c>
      <c r="E3" s="4" t="s">
        <v>3</v>
      </c>
      <c r="F3" s="9" t="s">
        <v>17</v>
      </c>
      <c r="G3" s="6" t="s">
        <v>22</v>
      </c>
      <c r="H3" s="6" t="s">
        <v>0</v>
      </c>
      <c r="I3" s="6" t="s">
        <v>1</v>
      </c>
      <c r="J3" s="5" t="s">
        <v>2</v>
      </c>
      <c r="K3" s="6"/>
      <c r="L3" s="5" t="s">
        <v>28</v>
      </c>
      <c r="M3" s="6" t="s">
        <v>26</v>
      </c>
      <c r="N3" s="5" t="s">
        <v>20</v>
      </c>
      <c r="O3" s="6" t="s">
        <v>23</v>
      </c>
      <c r="P3" s="10" t="s">
        <v>5</v>
      </c>
      <c r="Q3" s="7" t="s">
        <v>10</v>
      </c>
      <c r="R3" s="7" t="s">
        <v>12</v>
      </c>
      <c r="S3" s="10" t="s">
        <v>4</v>
      </c>
      <c r="T3" s="7" t="s">
        <v>11</v>
      </c>
      <c r="U3" s="7" t="s">
        <v>13</v>
      </c>
      <c r="V3" s="7" t="s">
        <v>29</v>
      </c>
      <c r="W3" s="16" t="s">
        <v>21</v>
      </c>
      <c r="X3" s="7" t="s">
        <v>14</v>
      </c>
      <c r="Y3" s="2" t="s">
        <v>9</v>
      </c>
      <c r="Z3" s="1" t="s">
        <v>8</v>
      </c>
      <c r="AA3" s="2" t="s">
        <v>15</v>
      </c>
      <c r="AB3" s="2" t="s">
        <v>24</v>
      </c>
      <c r="AC3" s="2" t="s">
        <v>18</v>
      </c>
      <c r="AD3" s="2" t="s">
        <v>19</v>
      </c>
      <c r="AE3" s="2" t="s">
        <v>25</v>
      </c>
      <c r="AF3" s="2" t="s">
        <v>71</v>
      </c>
    </row>
    <row r="4" spans="1:33" ht="30" x14ac:dyDescent="0.25">
      <c r="A4" s="8"/>
      <c r="B4" s="4" t="s">
        <v>36</v>
      </c>
      <c r="C4" s="8" t="s">
        <v>37</v>
      </c>
      <c r="D4" s="4" t="s">
        <v>38</v>
      </c>
      <c r="E4" s="4" t="s">
        <v>39</v>
      </c>
      <c r="F4" s="9" t="s">
        <v>17</v>
      </c>
      <c r="G4" s="6" t="s">
        <v>40</v>
      </c>
      <c r="H4" s="6" t="s">
        <v>0</v>
      </c>
      <c r="I4" s="6" t="s">
        <v>1</v>
      </c>
      <c r="J4" s="5" t="s">
        <v>2</v>
      </c>
      <c r="K4" s="6"/>
      <c r="L4" s="5" t="s">
        <v>42</v>
      </c>
      <c r="M4" s="6" t="s">
        <v>43</v>
      </c>
      <c r="N4" s="5" t="s">
        <v>44</v>
      </c>
      <c r="O4" s="6" t="s">
        <v>45</v>
      </c>
      <c r="P4" s="10" t="s">
        <v>5</v>
      </c>
      <c r="Q4" s="7" t="s">
        <v>10</v>
      </c>
      <c r="R4" s="7" t="s">
        <v>46</v>
      </c>
      <c r="S4" s="10" t="s">
        <v>4</v>
      </c>
      <c r="T4" s="7" t="s">
        <v>11</v>
      </c>
      <c r="U4" s="7" t="s">
        <v>47</v>
      </c>
      <c r="V4" s="7" t="s">
        <v>48</v>
      </c>
      <c r="W4" s="16" t="s">
        <v>49</v>
      </c>
      <c r="X4" s="7" t="s">
        <v>50</v>
      </c>
      <c r="Y4" s="2" t="s">
        <v>51</v>
      </c>
      <c r="Z4" s="1" t="s">
        <v>52</v>
      </c>
      <c r="AA4" s="2" t="s">
        <v>53</v>
      </c>
      <c r="AB4" s="2" t="s">
        <v>54</v>
      </c>
      <c r="AC4" s="2" t="s">
        <v>55</v>
      </c>
      <c r="AD4" s="2" t="s">
        <v>56</v>
      </c>
      <c r="AE4" s="2" t="s">
        <v>57</v>
      </c>
      <c r="AF4" s="18" t="s">
        <v>70</v>
      </c>
    </row>
    <row r="5" spans="1:33" x14ac:dyDescent="0.25">
      <c r="A5" s="17">
        <v>14</v>
      </c>
      <c r="B5" s="17" t="s">
        <v>58</v>
      </c>
      <c r="C5" s="17" t="s">
        <v>59</v>
      </c>
      <c r="D5" s="17" t="s">
        <v>60</v>
      </c>
      <c r="E5" s="17" t="s">
        <v>60</v>
      </c>
      <c r="F5" s="50"/>
      <c r="G5" s="25" t="s">
        <v>62</v>
      </c>
      <c r="H5">
        <v>41.404924999999999</v>
      </c>
      <c r="I5">
        <v>2.1987909999999999</v>
      </c>
      <c r="J5">
        <v>4</v>
      </c>
      <c r="K5" s="17"/>
      <c r="L5" s="17" t="s">
        <v>33</v>
      </c>
      <c r="M5" s="17"/>
      <c r="N5" s="17"/>
      <c r="O5" s="19" t="str">
        <f>G5&amp;"_"&amp;TEXT(P5,"AAMMDD")</f>
        <v>A_SP_BCN_4_231009</v>
      </c>
      <c r="P5" s="53">
        <v>45208</v>
      </c>
      <c r="Q5" s="21"/>
      <c r="R5" s="22"/>
      <c r="S5" s="53"/>
      <c r="T5" s="62"/>
      <c r="U5" s="27"/>
      <c r="V5" s="25"/>
      <c r="W5" s="25"/>
      <c r="X5" s="17">
        <f>S5-P5</f>
        <v>-45208</v>
      </c>
      <c r="Y5" s="27"/>
      <c r="Z5" s="17"/>
      <c r="AA5" s="17"/>
      <c r="AB5" s="17"/>
      <c r="AC5" s="17"/>
      <c r="AD5" s="17"/>
      <c r="AE5" s="17"/>
      <c r="AG5" s="15"/>
    </row>
    <row r="6" spans="1:33" x14ac:dyDescent="0.25">
      <c r="A6" s="17">
        <v>15</v>
      </c>
      <c r="B6" s="17" t="s">
        <v>58</v>
      </c>
      <c r="C6" s="17" t="s">
        <v>59</v>
      </c>
      <c r="D6" s="17" t="s">
        <v>60</v>
      </c>
      <c r="E6" s="17" t="s">
        <v>60</v>
      </c>
      <c r="F6" s="50"/>
      <c r="G6" s="25" t="s">
        <v>62</v>
      </c>
      <c r="H6">
        <v>41.404924999999999</v>
      </c>
      <c r="I6">
        <v>2.1987909999999999</v>
      </c>
      <c r="J6">
        <v>4</v>
      </c>
      <c r="K6" s="17"/>
      <c r="L6" s="17" t="s">
        <v>33</v>
      </c>
      <c r="M6" s="17"/>
      <c r="N6" s="17"/>
      <c r="O6" s="19" t="str">
        <f>G6&amp;"_"&amp;TEXT(P6,"AAMMDD")</f>
        <v>A_SP_BCN_4_231011</v>
      </c>
      <c r="P6" s="53">
        <v>45210</v>
      </c>
      <c r="Q6" s="21"/>
      <c r="R6" s="22"/>
      <c r="S6" s="53"/>
      <c r="T6" s="62"/>
      <c r="U6" s="27"/>
      <c r="V6" s="25"/>
      <c r="W6" s="25"/>
      <c r="X6" s="17">
        <f>S6-P6</f>
        <v>-45210</v>
      </c>
      <c r="Y6" s="27"/>
      <c r="Z6" s="17"/>
      <c r="AA6" s="17"/>
      <c r="AB6" s="17"/>
      <c r="AC6" s="17"/>
      <c r="AD6" s="17"/>
      <c r="AE6" s="17"/>
      <c r="AG6" s="15"/>
    </row>
    <row r="7" spans="1:33" x14ac:dyDescent="0.25">
      <c r="A7" s="17">
        <v>16</v>
      </c>
      <c r="B7" s="17" t="s">
        <v>58</v>
      </c>
      <c r="C7" s="17" t="s">
        <v>59</v>
      </c>
      <c r="D7" s="17" t="s">
        <v>60</v>
      </c>
      <c r="E7" s="17" t="s">
        <v>60</v>
      </c>
      <c r="F7" s="50"/>
      <c r="G7" s="25" t="s">
        <v>62</v>
      </c>
      <c r="H7">
        <v>41.404924999999999</v>
      </c>
      <c r="I7">
        <v>2.1987909999999999</v>
      </c>
      <c r="J7">
        <v>4</v>
      </c>
      <c r="K7" s="17"/>
      <c r="L7" s="17" t="s">
        <v>33</v>
      </c>
      <c r="M7" s="17"/>
      <c r="N7" s="17"/>
      <c r="O7" s="19" t="str">
        <f>G7&amp;"_"&amp;TEXT(P7,"AAMMDD")</f>
        <v>A_SP_BCN_4_231016</v>
      </c>
      <c r="P7" s="53">
        <v>45215</v>
      </c>
      <c r="Q7" s="21"/>
      <c r="R7" s="22"/>
      <c r="S7" s="53"/>
      <c r="T7" s="62"/>
      <c r="U7" s="27"/>
      <c r="V7" s="25"/>
      <c r="W7" s="25"/>
      <c r="X7" s="17">
        <f>S7-P7</f>
        <v>-45215</v>
      </c>
      <c r="Y7" s="27"/>
      <c r="Z7" s="17"/>
      <c r="AA7" s="17"/>
      <c r="AB7" s="17"/>
      <c r="AC7" s="17"/>
      <c r="AD7" s="17"/>
      <c r="AE7" s="17"/>
    </row>
    <row r="8" spans="1:33" x14ac:dyDescent="0.25">
      <c r="A8" s="17">
        <v>17</v>
      </c>
      <c r="B8" s="17" t="s">
        <v>58</v>
      </c>
      <c r="C8" s="17" t="s">
        <v>59</v>
      </c>
      <c r="D8" s="17" t="s">
        <v>60</v>
      </c>
      <c r="E8" s="17" t="s">
        <v>60</v>
      </c>
      <c r="F8" s="50"/>
      <c r="G8" s="25" t="s">
        <v>62</v>
      </c>
      <c r="H8">
        <v>41.404924999999999</v>
      </c>
      <c r="I8">
        <v>2.1987909999999999</v>
      </c>
      <c r="J8">
        <v>4</v>
      </c>
      <c r="K8" s="17"/>
      <c r="L8" s="17" t="s">
        <v>33</v>
      </c>
      <c r="M8" s="17"/>
      <c r="N8" s="17"/>
      <c r="O8" s="19" t="str">
        <f>G8&amp;"_"&amp;TEXT(P8,"AAMMDD")</f>
        <v>A_SP_BCN_4_231019</v>
      </c>
      <c r="P8" s="53">
        <v>45218</v>
      </c>
      <c r="Q8" s="21"/>
      <c r="R8" s="22"/>
      <c r="S8" s="53"/>
      <c r="T8" s="62"/>
      <c r="U8" s="27"/>
      <c r="V8" s="25"/>
      <c r="W8" s="25"/>
      <c r="X8" s="17">
        <f>S8-P8</f>
        <v>-45218</v>
      </c>
      <c r="Y8" s="27"/>
      <c r="Z8" s="17"/>
      <c r="AA8" s="17"/>
      <c r="AB8" s="17"/>
      <c r="AC8" s="17"/>
      <c r="AD8" s="17"/>
      <c r="AE8" s="17"/>
    </row>
    <row r="9" spans="1:33" x14ac:dyDescent="0.25">
      <c r="A9" s="17">
        <v>18</v>
      </c>
      <c r="B9" s="17" t="s">
        <v>58</v>
      </c>
      <c r="C9" s="17" t="s">
        <v>59</v>
      </c>
      <c r="D9" s="17" t="s">
        <v>60</v>
      </c>
      <c r="E9" s="17" t="s">
        <v>60</v>
      </c>
      <c r="F9" s="50"/>
      <c r="G9" s="25" t="s">
        <v>62</v>
      </c>
      <c r="H9">
        <v>41.404924999999999</v>
      </c>
      <c r="I9">
        <v>2.1987909999999999</v>
      </c>
      <c r="J9">
        <v>4</v>
      </c>
      <c r="K9" s="17"/>
      <c r="L9" s="17" t="s">
        <v>33</v>
      </c>
      <c r="M9" s="17"/>
      <c r="N9" s="17"/>
      <c r="O9" s="19" t="str">
        <f>G9&amp;"_"&amp;TEXT(P9,"AAMMDD")</f>
        <v>A_SP_BCN_4_231023</v>
      </c>
      <c r="P9" s="53">
        <v>45222</v>
      </c>
      <c r="Q9" s="21"/>
      <c r="R9" s="22"/>
      <c r="S9" s="53"/>
      <c r="T9" s="62"/>
      <c r="U9" s="27"/>
      <c r="V9" s="25"/>
      <c r="W9" s="25"/>
      <c r="X9" s="17">
        <f>S9-P9</f>
        <v>-45222</v>
      </c>
      <c r="Y9" s="27"/>
      <c r="Z9" s="17"/>
      <c r="AA9" s="17"/>
      <c r="AB9" s="17"/>
      <c r="AC9" s="17"/>
      <c r="AD9" s="17"/>
      <c r="AE9" s="17"/>
    </row>
    <row r="10" spans="1:33" x14ac:dyDescent="0.25">
      <c r="A10" s="17">
        <v>19</v>
      </c>
      <c r="B10" s="17" t="s">
        <v>58</v>
      </c>
      <c r="C10" s="17" t="s">
        <v>59</v>
      </c>
      <c r="D10" s="17" t="s">
        <v>60</v>
      </c>
      <c r="E10" s="17" t="s">
        <v>60</v>
      </c>
      <c r="F10" s="50"/>
      <c r="G10" s="25" t="s">
        <v>62</v>
      </c>
      <c r="H10">
        <v>41.404924999999999</v>
      </c>
      <c r="I10">
        <v>2.1987909999999999</v>
      </c>
      <c r="J10">
        <v>4</v>
      </c>
      <c r="K10" s="17"/>
      <c r="L10" s="17" t="s">
        <v>33</v>
      </c>
      <c r="M10" s="17"/>
      <c r="N10" s="17"/>
      <c r="O10" s="19" t="str">
        <f>G10&amp;"_"&amp;TEXT(P10,"AAMMDD")</f>
        <v>A_SP_BCN_4_231026</v>
      </c>
      <c r="P10" s="53">
        <v>45225</v>
      </c>
      <c r="Q10" s="21"/>
      <c r="R10" s="22"/>
      <c r="S10" s="53"/>
      <c r="T10" s="62"/>
      <c r="U10" s="27"/>
      <c r="V10" s="25"/>
      <c r="W10" s="25"/>
      <c r="X10" s="17">
        <f>S10-P10</f>
        <v>-45225</v>
      </c>
      <c r="Y10" s="27"/>
      <c r="Z10" s="17"/>
      <c r="AA10" s="17"/>
      <c r="AB10" s="17"/>
      <c r="AC10" s="17"/>
      <c r="AD10" s="17"/>
      <c r="AE10" s="17"/>
    </row>
    <row r="11" spans="1:33" x14ac:dyDescent="0.25">
      <c r="A11" s="17">
        <v>20</v>
      </c>
      <c r="B11" s="17" t="s">
        <v>58</v>
      </c>
      <c r="C11" s="17" t="s">
        <v>59</v>
      </c>
      <c r="D11" s="17" t="s">
        <v>60</v>
      </c>
      <c r="E11" s="17" t="s">
        <v>60</v>
      </c>
      <c r="F11" s="50"/>
      <c r="G11" s="25" t="s">
        <v>62</v>
      </c>
      <c r="H11">
        <v>41.404924999999999</v>
      </c>
      <c r="I11">
        <v>2.1987909999999999</v>
      </c>
      <c r="J11">
        <v>4</v>
      </c>
      <c r="K11" s="17"/>
      <c r="L11" s="17" t="s">
        <v>33</v>
      </c>
      <c r="M11" s="17"/>
      <c r="N11" s="17"/>
      <c r="O11" s="19" t="str">
        <f>G11&amp;"_"&amp;TEXT(P11,"AAMMDD")</f>
        <v>A_SP_BCN_4_231030</v>
      </c>
      <c r="P11" s="53">
        <v>45229</v>
      </c>
      <c r="Q11" s="24"/>
      <c r="R11" s="22"/>
      <c r="S11" s="53"/>
      <c r="T11" s="55"/>
      <c r="U11" s="27"/>
      <c r="V11" s="25"/>
      <c r="W11" s="25"/>
      <c r="X11" s="17">
        <f>S11-P11</f>
        <v>-45229</v>
      </c>
      <c r="Y11" s="27"/>
      <c r="Z11" s="17"/>
      <c r="AA11" s="17"/>
      <c r="AB11" s="17"/>
      <c r="AC11" s="17"/>
      <c r="AD11" s="17"/>
      <c r="AE11" s="17"/>
    </row>
    <row r="12" spans="1:33" s="51" customFormat="1" x14ac:dyDescent="0.25">
      <c r="A12" s="17">
        <v>41</v>
      </c>
      <c r="B12" s="17" t="s">
        <v>58</v>
      </c>
      <c r="C12" s="17" t="s">
        <v>59</v>
      </c>
      <c r="D12" s="17" t="s">
        <v>60</v>
      </c>
      <c r="E12" s="17" t="s">
        <v>60</v>
      </c>
      <c r="F12" s="52"/>
      <c r="G12" s="58" t="s">
        <v>64</v>
      </c>
      <c r="H12">
        <v>41.368589</v>
      </c>
      <c r="I12">
        <v>2.1620900000000001</v>
      </c>
      <c r="J12">
        <v>95</v>
      </c>
      <c r="K12" s="17"/>
      <c r="L12" s="52"/>
      <c r="M12" s="52"/>
      <c r="N12" s="52"/>
      <c r="O12" s="19" t="str">
        <f>G12&amp;"_"&amp;TEXT(P12,"AAMMDD")</f>
        <v>A_SP_BCN_8_231010</v>
      </c>
      <c r="P12" s="53">
        <v>45209</v>
      </c>
      <c r="Q12" s="24"/>
      <c r="R12" s="22"/>
      <c r="S12" s="53"/>
      <c r="T12" s="55"/>
      <c r="U12" s="27"/>
      <c r="V12" s="25"/>
      <c r="W12" s="54"/>
      <c r="X12" s="17">
        <f>S12-P12</f>
        <v>-45209</v>
      </c>
      <c r="Y12" s="27"/>
      <c r="Z12" s="52"/>
      <c r="AA12" s="52"/>
      <c r="AB12" s="52"/>
      <c r="AC12" s="52"/>
      <c r="AD12" s="52"/>
      <c r="AE12" s="52"/>
      <c r="AF12"/>
    </row>
    <row r="13" spans="1:33" s="51" customFormat="1" x14ac:dyDescent="0.25">
      <c r="A13" s="17">
        <v>42</v>
      </c>
      <c r="B13" s="17" t="s">
        <v>58</v>
      </c>
      <c r="C13" s="17" t="s">
        <v>59</v>
      </c>
      <c r="D13" s="17" t="s">
        <v>60</v>
      </c>
      <c r="E13" s="17" t="s">
        <v>60</v>
      </c>
      <c r="F13" s="52"/>
      <c r="G13" s="58" t="s">
        <v>64</v>
      </c>
      <c r="H13">
        <v>41.368589</v>
      </c>
      <c r="I13">
        <v>2.1620900000000001</v>
      </c>
      <c r="J13">
        <v>95</v>
      </c>
      <c r="K13" s="17"/>
      <c r="L13" s="52"/>
      <c r="M13" s="52"/>
      <c r="N13" s="52"/>
      <c r="O13" s="19" t="str">
        <f>G13&amp;"_"&amp;TEXT(P13,"AAMMDD")</f>
        <v>A_SP_BCN_8_231013</v>
      </c>
      <c r="P13" s="53">
        <v>45212</v>
      </c>
      <c r="Q13" s="24"/>
      <c r="R13" s="22"/>
      <c r="S13" s="53"/>
      <c r="T13" s="55"/>
      <c r="U13" s="27"/>
      <c r="V13" s="25"/>
      <c r="W13" s="54"/>
      <c r="X13" s="17">
        <f>S13-P13</f>
        <v>-45212</v>
      </c>
      <c r="Y13" s="27"/>
      <c r="Z13" s="52"/>
      <c r="AA13" s="52"/>
      <c r="AB13" s="52"/>
      <c r="AC13" s="52"/>
      <c r="AD13" s="52"/>
      <c r="AE13" s="52"/>
      <c r="AF13"/>
    </row>
    <row r="14" spans="1:33" s="51" customFormat="1" x14ac:dyDescent="0.25">
      <c r="A14" s="17">
        <v>43</v>
      </c>
      <c r="B14" s="17" t="s">
        <v>58</v>
      </c>
      <c r="C14" s="17" t="s">
        <v>59</v>
      </c>
      <c r="D14" s="17" t="s">
        <v>60</v>
      </c>
      <c r="E14" s="17" t="s">
        <v>60</v>
      </c>
      <c r="F14" s="52"/>
      <c r="G14" s="58" t="s">
        <v>64</v>
      </c>
      <c r="H14">
        <v>41.368589</v>
      </c>
      <c r="I14">
        <v>2.1620900000000001</v>
      </c>
      <c r="J14">
        <v>95</v>
      </c>
      <c r="K14" s="17"/>
      <c r="L14" s="52"/>
      <c r="M14" s="52"/>
      <c r="N14" s="52"/>
      <c r="O14" s="19" t="str">
        <f>G14&amp;"_"&amp;TEXT(P14,"AAMMDD")</f>
        <v>A_SP_BCN_8_231017</v>
      </c>
      <c r="P14" s="53">
        <v>45216</v>
      </c>
      <c r="Q14" s="24"/>
      <c r="R14" s="22"/>
      <c r="S14" s="53"/>
      <c r="T14" s="55"/>
      <c r="U14" s="27"/>
      <c r="V14" s="25"/>
      <c r="W14" s="54"/>
      <c r="X14" s="17">
        <f>S14-P14</f>
        <v>-45216</v>
      </c>
      <c r="Y14" s="27"/>
      <c r="Z14" s="52"/>
      <c r="AA14" s="52"/>
      <c r="AB14" s="52"/>
      <c r="AC14" s="52"/>
      <c r="AD14" s="52"/>
      <c r="AE14" s="52"/>
      <c r="AF14"/>
    </row>
    <row r="15" spans="1:33" s="51" customFormat="1" x14ac:dyDescent="0.25">
      <c r="A15" s="17">
        <v>45</v>
      </c>
      <c r="B15" s="17" t="s">
        <v>58</v>
      </c>
      <c r="C15" s="17" t="s">
        <v>59</v>
      </c>
      <c r="D15" s="17" t="s">
        <v>60</v>
      </c>
      <c r="E15" s="17" t="s">
        <v>60</v>
      </c>
      <c r="F15" s="52"/>
      <c r="G15" s="58" t="s">
        <v>64</v>
      </c>
      <c r="H15">
        <v>41.368589</v>
      </c>
      <c r="I15">
        <v>2.1620900000000001</v>
      </c>
      <c r="J15">
        <v>95</v>
      </c>
      <c r="K15" s="17"/>
      <c r="L15" s="52"/>
      <c r="M15" s="52"/>
      <c r="N15" s="52"/>
      <c r="O15" s="19" t="str">
        <f>G15&amp;"_"&amp;TEXT(P15,"AAMMDD")</f>
        <v>A_SP_BCN_8_231024</v>
      </c>
      <c r="P15" s="53">
        <v>45223</v>
      </c>
      <c r="Q15" s="24"/>
      <c r="R15" s="27"/>
      <c r="S15" s="53"/>
      <c r="T15" s="55"/>
      <c r="U15" s="27"/>
      <c r="V15" s="25"/>
      <c r="W15" s="54"/>
      <c r="X15" s="17">
        <f>S15-P15</f>
        <v>-45223</v>
      </c>
      <c r="Y15" s="27"/>
      <c r="Z15" s="52"/>
      <c r="AA15" s="52"/>
      <c r="AB15" s="52"/>
      <c r="AC15" s="52"/>
      <c r="AD15" s="52"/>
      <c r="AE15" s="52"/>
      <c r="AF15"/>
    </row>
    <row r="16" spans="1:33" s="51" customFormat="1" x14ac:dyDescent="0.25">
      <c r="A16" s="17">
        <v>46</v>
      </c>
      <c r="B16" s="17" t="s">
        <v>58</v>
      </c>
      <c r="C16" s="17" t="s">
        <v>59</v>
      </c>
      <c r="D16" s="17" t="s">
        <v>60</v>
      </c>
      <c r="E16" s="17" t="s">
        <v>60</v>
      </c>
      <c r="F16" s="52"/>
      <c r="G16" s="58" t="s">
        <v>64</v>
      </c>
      <c r="H16">
        <v>41.368589</v>
      </c>
      <c r="I16">
        <v>2.1620900000000001</v>
      </c>
      <c r="J16">
        <v>95</v>
      </c>
      <c r="K16" s="17"/>
      <c r="L16" s="52"/>
      <c r="M16" s="52"/>
      <c r="N16" s="52"/>
      <c r="O16" s="19" t="str">
        <f>G16&amp;"_"&amp;TEXT(P16,"AAMMDD")</f>
        <v>A_SP_BCN_8_231027</v>
      </c>
      <c r="P16" s="53">
        <v>45226</v>
      </c>
      <c r="Q16" s="21"/>
      <c r="R16" s="27"/>
      <c r="S16" s="53"/>
      <c r="T16" s="62"/>
      <c r="U16" s="27"/>
      <c r="V16" s="25"/>
      <c r="W16" s="54"/>
      <c r="X16" s="17">
        <f>S16-P16</f>
        <v>-45226</v>
      </c>
      <c r="Y16" s="27"/>
      <c r="Z16" s="52"/>
      <c r="AA16" s="52"/>
      <c r="AB16" s="52"/>
      <c r="AC16" s="52"/>
      <c r="AD16" s="52"/>
      <c r="AE16" s="52"/>
      <c r="AF16"/>
    </row>
    <row r="17" spans="1:32" s="51" customFormat="1" x14ac:dyDescent="0.25">
      <c r="A17" s="17">
        <v>47</v>
      </c>
      <c r="B17" s="17" t="s">
        <v>58</v>
      </c>
      <c r="C17" s="17" t="s">
        <v>59</v>
      </c>
      <c r="D17" s="17" t="s">
        <v>60</v>
      </c>
      <c r="E17" s="17" t="s">
        <v>60</v>
      </c>
      <c r="F17" s="52"/>
      <c r="G17" s="58" t="s">
        <v>64</v>
      </c>
      <c r="H17">
        <v>41.368589</v>
      </c>
      <c r="I17">
        <v>2.1620900000000001</v>
      </c>
      <c r="J17">
        <v>95</v>
      </c>
      <c r="K17" s="17"/>
      <c r="L17" s="52"/>
      <c r="M17" s="52"/>
      <c r="N17" s="52"/>
      <c r="O17" s="19" t="str">
        <f>G17&amp;"_"&amp;TEXT(P17,"AAMMDD")</f>
        <v>A_SP_BCN_8_231031</v>
      </c>
      <c r="P17" s="53">
        <v>45230</v>
      </c>
      <c r="Q17" s="55"/>
      <c r="R17" s="27"/>
      <c r="S17" s="53"/>
      <c r="T17" s="55"/>
      <c r="U17" s="27"/>
      <c r="V17" s="25"/>
      <c r="W17" s="54"/>
      <c r="X17" s="17">
        <f>S17-P17</f>
        <v>-45230</v>
      </c>
      <c r="Y17" s="27"/>
      <c r="Z17" s="52"/>
      <c r="AA17" s="52"/>
      <c r="AB17" s="52"/>
      <c r="AC17" s="52"/>
      <c r="AD17" s="52"/>
      <c r="AE17" s="52"/>
    </row>
    <row r="18" spans="1:32" s="51" customFormat="1" x14ac:dyDescent="0.25">
      <c r="A18" s="17">
        <v>56</v>
      </c>
      <c r="B18" s="17" t="s">
        <v>58</v>
      </c>
      <c r="C18" s="17" t="s">
        <v>59</v>
      </c>
      <c r="D18" s="17" t="s">
        <v>60</v>
      </c>
      <c r="E18" s="17" t="s">
        <v>60</v>
      </c>
      <c r="F18" s="52"/>
      <c r="G18" s="58" t="s">
        <v>65</v>
      </c>
      <c r="H18">
        <v>41.393644999999999</v>
      </c>
      <c r="I18">
        <v>2.1216780000000002</v>
      </c>
      <c r="J18">
        <v>98</v>
      </c>
      <c r="K18" s="17"/>
      <c r="L18" s="52"/>
      <c r="M18" s="52"/>
      <c r="N18" s="52"/>
      <c r="O18" s="19" t="str">
        <f>G18&amp;"_"&amp;TEXT(P18,"AAMMDD")</f>
        <v>A_SP_BCN_9_231013</v>
      </c>
      <c r="P18" s="53">
        <v>45212</v>
      </c>
      <c r="Q18" s="24"/>
      <c r="R18" s="22"/>
      <c r="S18" s="53"/>
      <c r="T18" s="55"/>
      <c r="U18" s="27"/>
      <c r="V18" s="25"/>
      <c r="W18" s="54"/>
      <c r="X18" s="17">
        <f>S18-P18</f>
        <v>-45212</v>
      </c>
      <c r="Y18" s="27"/>
      <c r="Z18" s="52"/>
      <c r="AA18" s="52"/>
      <c r="AB18" s="52"/>
      <c r="AC18" s="52"/>
      <c r="AD18" s="52"/>
      <c r="AE18" s="52"/>
      <c r="AF18"/>
    </row>
    <row r="19" spans="1:32" s="51" customFormat="1" x14ac:dyDescent="0.25">
      <c r="A19" s="17">
        <v>57</v>
      </c>
      <c r="B19" s="17" t="s">
        <v>58</v>
      </c>
      <c r="C19" s="17" t="s">
        <v>59</v>
      </c>
      <c r="D19" s="17" t="s">
        <v>60</v>
      </c>
      <c r="E19" s="17" t="s">
        <v>60</v>
      </c>
      <c r="F19" s="52"/>
      <c r="G19" s="58" t="s">
        <v>65</v>
      </c>
      <c r="H19">
        <v>41.393644999999999</v>
      </c>
      <c r="I19">
        <v>2.1216780000000002</v>
      </c>
      <c r="J19">
        <v>98</v>
      </c>
      <c r="K19" s="17"/>
      <c r="L19" s="52"/>
      <c r="M19" s="52"/>
      <c r="N19" s="52"/>
      <c r="O19" s="19" t="str">
        <f>G19&amp;"_"&amp;TEXT(P19,"AAMMDD")</f>
        <v>A_SP_BCN_9_231017</v>
      </c>
      <c r="P19" s="53">
        <v>45216</v>
      </c>
      <c r="Q19" s="24"/>
      <c r="R19" s="22"/>
      <c r="S19" s="53"/>
      <c r="T19" s="55"/>
      <c r="U19" s="27"/>
      <c r="V19" s="25"/>
      <c r="W19" s="54"/>
      <c r="X19" s="17">
        <f>S19-P19</f>
        <v>-45216</v>
      </c>
      <c r="Y19" s="27"/>
      <c r="Z19" s="52"/>
      <c r="AA19" s="52"/>
      <c r="AB19" s="52"/>
      <c r="AC19" s="52"/>
      <c r="AD19" s="52"/>
      <c r="AE19" s="52"/>
      <c r="AF19"/>
    </row>
    <row r="20" spans="1:32" s="51" customFormat="1" x14ac:dyDescent="0.25">
      <c r="A20" s="17">
        <v>58</v>
      </c>
      <c r="B20" s="17" t="s">
        <v>58</v>
      </c>
      <c r="C20" s="17" t="s">
        <v>59</v>
      </c>
      <c r="D20" s="17" t="s">
        <v>60</v>
      </c>
      <c r="E20" s="17" t="s">
        <v>60</v>
      </c>
      <c r="F20" s="52"/>
      <c r="G20" s="58" t="s">
        <v>65</v>
      </c>
      <c r="H20">
        <v>41.393644999999999</v>
      </c>
      <c r="I20">
        <v>2.1216780000000002</v>
      </c>
      <c r="J20">
        <v>98</v>
      </c>
      <c r="K20" s="17"/>
      <c r="L20" s="52"/>
      <c r="M20" s="52"/>
      <c r="N20" s="52"/>
      <c r="O20" s="19" t="str">
        <f>G20&amp;"_"&amp;TEXT(P20,"AAMMDD")</f>
        <v>A_SP_BCN_9_231020</v>
      </c>
      <c r="P20" s="53">
        <v>45219</v>
      </c>
      <c r="Q20" s="24"/>
      <c r="R20" s="22"/>
      <c r="S20" s="53"/>
      <c r="T20" s="55"/>
      <c r="U20" s="27"/>
      <c r="V20" s="25"/>
      <c r="W20" s="54"/>
      <c r="X20" s="17">
        <f>S20-P20</f>
        <v>-45219</v>
      </c>
      <c r="Y20" s="27"/>
      <c r="Z20" s="52"/>
      <c r="AA20" s="52"/>
      <c r="AB20" s="52"/>
      <c r="AC20" s="52"/>
      <c r="AD20" s="52"/>
      <c r="AE20" s="52"/>
      <c r="AF20"/>
    </row>
    <row r="21" spans="1:32" s="51" customFormat="1" x14ac:dyDescent="0.25">
      <c r="A21" s="17">
        <v>59</v>
      </c>
      <c r="B21" s="17" t="s">
        <v>58</v>
      </c>
      <c r="C21" s="17" t="s">
        <v>59</v>
      </c>
      <c r="D21" s="17" t="s">
        <v>60</v>
      </c>
      <c r="E21" s="17" t="s">
        <v>60</v>
      </c>
      <c r="F21" s="52"/>
      <c r="G21" s="58" t="s">
        <v>65</v>
      </c>
      <c r="H21">
        <v>41.393644999999999</v>
      </c>
      <c r="I21">
        <v>2.1216780000000002</v>
      </c>
      <c r="J21">
        <v>98</v>
      </c>
      <c r="K21" s="17"/>
      <c r="L21" s="52"/>
      <c r="M21" s="52"/>
      <c r="N21" s="52"/>
      <c r="O21" s="19" t="str">
        <f>G21&amp;"_"&amp;TEXT(P21,"AAMMDD")</f>
        <v>A_SP_BCN_9_231024</v>
      </c>
      <c r="P21" s="53">
        <v>45223</v>
      </c>
      <c r="Q21" s="24"/>
      <c r="R21" s="27"/>
      <c r="S21" s="53"/>
      <c r="T21" s="55"/>
      <c r="U21" s="27"/>
      <c r="V21" s="25"/>
      <c r="W21" s="54"/>
      <c r="X21" s="17">
        <f>S21-P21</f>
        <v>-45223</v>
      </c>
      <c r="Y21" s="27"/>
      <c r="Z21" s="52"/>
      <c r="AA21" s="52"/>
      <c r="AB21" s="52"/>
      <c r="AC21" s="52"/>
      <c r="AD21" s="52"/>
      <c r="AE21" s="52"/>
      <c r="AF21"/>
    </row>
    <row r="22" spans="1:32" s="51" customFormat="1" x14ac:dyDescent="0.25">
      <c r="A22" s="17">
        <v>70</v>
      </c>
      <c r="B22" s="17" t="s">
        <v>58</v>
      </c>
      <c r="C22" s="17" t="s">
        <v>59</v>
      </c>
      <c r="D22" s="17" t="s">
        <v>60</v>
      </c>
      <c r="E22" s="17" t="s">
        <v>60</v>
      </c>
      <c r="F22" s="52"/>
      <c r="G22" s="58" t="s">
        <v>99</v>
      </c>
      <c r="H22">
        <v>41.398387</v>
      </c>
      <c r="I22">
        <v>2.1244429999999999</v>
      </c>
      <c r="J22">
        <v>106</v>
      </c>
      <c r="K22" s="17"/>
      <c r="L22" s="52"/>
      <c r="M22" s="52"/>
      <c r="N22" s="52"/>
      <c r="O22" s="19" t="str">
        <f>G22&amp;"_"&amp;TEXT(P22,"AAMMDD")</f>
        <v>A_SP_BCN_16_231013</v>
      </c>
      <c r="P22" s="53">
        <v>45212</v>
      </c>
      <c r="Q22" s="24"/>
      <c r="R22" s="22"/>
      <c r="S22" s="53"/>
      <c r="T22" s="55"/>
      <c r="U22" s="27"/>
      <c r="V22" s="25"/>
      <c r="W22" s="54"/>
      <c r="X22" s="17">
        <f>S22-P22</f>
        <v>-45212</v>
      </c>
      <c r="Y22" s="27"/>
      <c r="Z22" s="52"/>
      <c r="AA22" s="52"/>
      <c r="AB22" s="52"/>
      <c r="AC22" s="52"/>
      <c r="AD22" s="52"/>
      <c r="AE22" s="52"/>
      <c r="AF22"/>
    </row>
    <row r="23" spans="1:32" s="51" customFormat="1" x14ac:dyDescent="0.25">
      <c r="A23" s="17">
        <v>82</v>
      </c>
      <c r="B23" s="17" t="s">
        <v>58</v>
      </c>
      <c r="C23" s="17" t="s">
        <v>59</v>
      </c>
      <c r="D23" s="17" t="s">
        <v>60</v>
      </c>
      <c r="E23" s="17" t="s">
        <v>60</v>
      </c>
      <c r="F23" s="52"/>
      <c r="G23" s="58" t="s">
        <v>101</v>
      </c>
      <c r="H23">
        <v>41.417256000000002</v>
      </c>
      <c r="I23">
        <v>2.1455709999999999</v>
      </c>
      <c r="J23">
        <v>186</v>
      </c>
      <c r="K23" s="17"/>
      <c r="L23" s="52"/>
      <c r="M23" s="52"/>
      <c r="N23" s="52"/>
      <c r="O23" s="19" t="str">
        <f>G23&amp;"_"&amp;TEXT(P23,"AAMMDD")</f>
        <v>A_SP_BCN_17_231009</v>
      </c>
      <c r="P23" s="53">
        <v>45208</v>
      </c>
      <c r="Q23" s="21"/>
      <c r="R23" s="22"/>
      <c r="S23" s="53"/>
      <c r="T23" s="62"/>
      <c r="U23" s="27"/>
      <c r="V23" s="25"/>
      <c r="W23" s="54"/>
      <c r="X23" s="17">
        <f>S23-P23</f>
        <v>-45208</v>
      </c>
      <c r="Y23" s="27"/>
      <c r="Z23" s="52"/>
      <c r="AA23" s="52"/>
      <c r="AB23" s="52"/>
      <c r="AC23" s="52"/>
      <c r="AD23" s="52"/>
      <c r="AE23" s="52"/>
      <c r="AF23"/>
    </row>
    <row r="24" spans="1:32" s="51" customFormat="1" x14ac:dyDescent="0.25">
      <c r="A24" s="17">
        <v>83</v>
      </c>
      <c r="B24" s="17" t="s">
        <v>58</v>
      </c>
      <c r="C24" s="17" t="s">
        <v>59</v>
      </c>
      <c r="D24" s="17" t="s">
        <v>60</v>
      </c>
      <c r="E24" s="17" t="s">
        <v>60</v>
      </c>
      <c r="F24" s="52"/>
      <c r="G24" s="58" t="s">
        <v>101</v>
      </c>
      <c r="H24">
        <v>41.417256000000002</v>
      </c>
      <c r="I24">
        <v>2.1455709999999999</v>
      </c>
      <c r="J24">
        <v>186</v>
      </c>
      <c r="K24" s="17"/>
      <c r="L24" s="52"/>
      <c r="M24" s="52"/>
      <c r="N24" s="52"/>
      <c r="O24" s="19" t="str">
        <f>G24&amp;"_"&amp;TEXT(P24,"AAMMDD")</f>
        <v>A_SP_BCN_17_231011</v>
      </c>
      <c r="P24" s="53">
        <v>45210</v>
      </c>
      <c r="Q24" s="21"/>
      <c r="R24" s="22"/>
      <c r="S24" s="53"/>
      <c r="T24" s="62"/>
      <c r="U24" s="27"/>
      <c r="V24" s="52"/>
      <c r="W24" s="54"/>
      <c r="X24" s="17">
        <f>S24-P24</f>
        <v>-45210</v>
      </c>
      <c r="Y24" s="27"/>
      <c r="Z24" s="52"/>
      <c r="AA24" s="52"/>
      <c r="AB24" s="52"/>
      <c r="AC24" s="52"/>
      <c r="AD24" s="52"/>
      <c r="AE24" s="52"/>
    </row>
    <row r="25" spans="1:32" s="51" customFormat="1" x14ac:dyDescent="0.25">
      <c r="A25" s="17">
        <v>84</v>
      </c>
      <c r="B25" s="17" t="s">
        <v>58</v>
      </c>
      <c r="C25" s="17" t="s">
        <v>59</v>
      </c>
      <c r="D25" s="17" t="s">
        <v>60</v>
      </c>
      <c r="E25" s="17" t="s">
        <v>60</v>
      </c>
      <c r="F25" s="52"/>
      <c r="G25" s="58" t="s">
        <v>101</v>
      </c>
      <c r="H25">
        <v>41.417256000000002</v>
      </c>
      <c r="I25">
        <v>2.1455709999999999</v>
      </c>
      <c r="J25">
        <v>186</v>
      </c>
      <c r="K25" s="17"/>
      <c r="L25" s="52"/>
      <c r="M25" s="52"/>
      <c r="N25" s="52"/>
      <c r="O25" s="19" t="str">
        <f>G25&amp;"_"&amp;TEXT(P25,"AAMMDD")</f>
        <v>A_SP_BCN_17_231016</v>
      </c>
      <c r="P25" s="53">
        <v>45215</v>
      </c>
      <c r="Q25" s="21"/>
      <c r="R25" s="22"/>
      <c r="S25" s="53"/>
      <c r="T25" s="62"/>
      <c r="U25" s="27"/>
      <c r="V25" s="25"/>
      <c r="W25" s="54"/>
      <c r="X25" s="17">
        <f>S25-P25</f>
        <v>-45215</v>
      </c>
      <c r="Y25" s="27"/>
      <c r="Z25" s="52"/>
      <c r="AA25" s="52"/>
      <c r="AB25" s="52"/>
      <c r="AC25" s="52"/>
      <c r="AD25" s="52"/>
      <c r="AE25" s="52"/>
      <c r="AF25"/>
    </row>
    <row r="26" spans="1:32" s="51" customFormat="1" x14ac:dyDescent="0.25">
      <c r="A26" s="17">
        <v>85</v>
      </c>
      <c r="B26" s="17" t="s">
        <v>58</v>
      </c>
      <c r="C26" s="17" t="s">
        <v>59</v>
      </c>
      <c r="D26" s="17" t="s">
        <v>60</v>
      </c>
      <c r="E26" s="17" t="s">
        <v>60</v>
      </c>
      <c r="F26" s="52"/>
      <c r="G26" s="58" t="s">
        <v>101</v>
      </c>
      <c r="H26">
        <v>41.417256000000002</v>
      </c>
      <c r="I26">
        <v>2.1455709999999999</v>
      </c>
      <c r="J26">
        <v>186</v>
      </c>
      <c r="K26" s="17"/>
      <c r="L26" s="52"/>
      <c r="M26" s="52"/>
      <c r="N26" s="52"/>
      <c r="O26" s="19" t="str">
        <f>G26&amp;"_"&amp;TEXT(P26,"AAMMDD")</f>
        <v>A_SP_BCN_17_231019</v>
      </c>
      <c r="P26" s="53">
        <v>45218</v>
      </c>
      <c r="Q26" s="21"/>
      <c r="R26" s="22"/>
      <c r="S26" s="53"/>
      <c r="T26" s="62"/>
      <c r="U26" s="27"/>
      <c r="V26" s="25"/>
      <c r="W26" s="54"/>
      <c r="X26" s="17">
        <f>S26-P26</f>
        <v>-45218</v>
      </c>
      <c r="Y26" s="27"/>
      <c r="Z26" s="52"/>
      <c r="AA26" s="52"/>
      <c r="AB26" s="52"/>
      <c r="AC26" s="52"/>
      <c r="AD26" s="52"/>
      <c r="AE26" s="52"/>
      <c r="AF26"/>
    </row>
    <row r="27" spans="1:32" s="51" customFormat="1" x14ac:dyDescent="0.25">
      <c r="A27" s="17">
        <v>86</v>
      </c>
      <c r="B27" s="17" t="s">
        <v>58</v>
      </c>
      <c r="C27" s="17" t="s">
        <v>59</v>
      </c>
      <c r="D27" s="17" t="s">
        <v>60</v>
      </c>
      <c r="E27" s="17" t="s">
        <v>60</v>
      </c>
      <c r="F27" s="52"/>
      <c r="G27" s="58" t="s">
        <v>101</v>
      </c>
      <c r="H27">
        <v>41.417256000000002</v>
      </c>
      <c r="I27">
        <v>2.1455709999999999</v>
      </c>
      <c r="J27">
        <v>186</v>
      </c>
      <c r="K27" s="17"/>
      <c r="L27" s="52"/>
      <c r="M27" s="52"/>
      <c r="N27" s="52"/>
      <c r="O27" s="19" t="str">
        <f>G27&amp;"_"&amp;TEXT(P27,"AAMMDD")</f>
        <v>A_SP_BCN_17_231023</v>
      </c>
      <c r="P27" s="53">
        <v>45222</v>
      </c>
      <c r="Q27" s="21"/>
      <c r="R27" s="22"/>
      <c r="S27" s="53"/>
      <c r="T27" s="62"/>
      <c r="U27" s="27"/>
      <c r="V27" s="25"/>
      <c r="W27" s="54"/>
      <c r="X27" s="17">
        <f>S27-P27</f>
        <v>-45222</v>
      </c>
      <c r="Y27" s="27"/>
      <c r="Z27" s="52"/>
      <c r="AA27" s="52"/>
      <c r="AB27" s="52"/>
      <c r="AC27" s="52"/>
      <c r="AD27" s="52"/>
      <c r="AE27" s="52"/>
      <c r="AF27"/>
    </row>
    <row r="28" spans="1:32" s="51" customFormat="1" x14ac:dyDescent="0.25">
      <c r="A28" s="17">
        <v>87</v>
      </c>
      <c r="B28" s="17" t="s">
        <v>58</v>
      </c>
      <c r="C28" s="17" t="s">
        <v>59</v>
      </c>
      <c r="D28" s="17" t="s">
        <v>60</v>
      </c>
      <c r="E28" s="17" t="s">
        <v>60</v>
      </c>
      <c r="F28" s="52"/>
      <c r="G28" s="58" t="s">
        <v>101</v>
      </c>
      <c r="H28">
        <v>41.417256000000002</v>
      </c>
      <c r="I28">
        <v>2.1455709999999999</v>
      </c>
      <c r="J28">
        <v>186</v>
      </c>
      <c r="K28" s="17"/>
      <c r="L28" s="52"/>
      <c r="M28" s="52"/>
      <c r="N28" s="52"/>
      <c r="O28" s="19" t="str">
        <f>G28&amp;"_"&amp;TEXT(P28,"AAMMDD")</f>
        <v>A_SP_BCN_17_231026</v>
      </c>
      <c r="P28" s="53">
        <v>45225</v>
      </c>
      <c r="Q28" s="21"/>
      <c r="R28" s="22"/>
      <c r="S28" s="53"/>
      <c r="T28" s="62"/>
      <c r="U28" s="27"/>
      <c r="V28" s="25"/>
      <c r="W28" s="54"/>
      <c r="X28" s="17">
        <f>S28-P28</f>
        <v>-45225</v>
      </c>
      <c r="Y28" s="27"/>
      <c r="Z28" s="52"/>
      <c r="AA28" s="52"/>
      <c r="AB28" s="52"/>
      <c r="AC28" s="52"/>
      <c r="AD28" s="52"/>
      <c r="AE28" s="52"/>
      <c r="AF28"/>
    </row>
    <row r="29" spans="1:32" s="51" customFormat="1" x14ac:dyDescent="0.25">
      <c r="A29" s="17">
        <v>88</v>
      </c>
      <c r="B29" s="17" t="s">
        <v>58</v>
      </c>
      <c r="C29" s="17" t="s">
        <v>59</v>
      </c>
      <c r="D29" s="17" t="s">
        <v>60</v>
      </c>
      <c r="E29" s="17" t="s">
        <v>60</v>
      </c>
      <c r="F29" s="52"/>
      <c r="G29" s="58" t="s">
        <v>101</v>
      </c>
      <c r="H29">
        <v>41.417256000000002</v>
      </c>
      <c r="I29">
        <v>2.1455709999999999</v>
      </c>
      <c r="J29">
        <v>186</v>
      </c>
      <c r="K29" s="17"/>
      <c r="L29" s="52"/>
      <c r="M29" s="52"/>
      <c r="N29" s="52"/>
      <c r="O29" s="19" t="str">
        <f>G29&amp;"_"&amp;TEXT(P29,"AAMMDD")</f>
        <v>A_SP_BCN_17_231030</v>
      </c>
      <c r="P29" s="53">
        <v>45229</v>
      </c>
      <c r="Q29" s="24"/>
      <c r="R29" s="22"/>
      <c r="S29" s="53"/>
      <c r="T29" s="55"/>
      <c r="U29" s="27"/>
      <c r="V29" s="25"/>
      <c r="W29" s="54"/>
      <c r="X29" s="17">
        <f>S29-P29</f>
        <v>-45229</v>
      </c>
      <c r="Y29" s="27"/>
      <c r="Z29" s="52"/>
      <c r="AA29" s="52"/>
      <c r="AB29" s="52"/>
      <c r="AC29" s="52"/>
      <c r="AD29" s="52"/>
      <c r="AE29" s="52"/>
      <c r="AF29"/>
    </row>
    <row r="30" spans="1:32" s="51" customFormat="1" x14ac:dyDescent="0.25">
      <c r="A30" s="17">
        <v>123</v>
      </c>
      <c r="B30" s="17" t="s">
        <v>58</v>
      </c>
      <c r="C30" s="17" t="s">
        <v>59</v>
      </c>
      <c r="D30" s="17" t="s">
        <v>60</v>
      </c>
      <c r="E30" s="17" t="s">
        <v>60</v>
      </c>
      <c r="F30" s="52"/>
      <c r="G30" s="58" t="s">
        <v>108</v>
      </c>
      <c r="H30">
        <v>41.448877570000001</v>
      </c>
      <c r="I30">
        <v>2.180279203</v>
      </c>
      <c r="J30" s="52"/>
      <c r="K30" s="17"/>
      <c r="L30" s="52"/>
      <c r="M30" s="52"/>
      <c r="N30" s="52"/>
      <c r="O30" s="19" t="str">
        <f>G30&amp;"_"&amp;TEXT(P30,"AAMMDD")</f>
        <v>A_SP_BCN_27_231023</v>
      </c>
      <c r="P30" s="53">
        <v>45222</v>
      </c>
      <c r="Q30" s="21"/>
      <c r="R30" s="22"/>
      <c r="S30" s="53"/>
      <c r="T30" s="62"/>
      <c r="U30" s="27"/>
      <c r="V30" s="52"/>
      <c r="W30" s="54"/>
      <c r="X30" s="17">
        <f>S30-P30</f>
        <v>-45222</v>
      </c>
      <c r="Y30" s="27"/>
      <c r="Z30" s="52"/>
      <c r="AA30" s="52"/>
      <c r="AB30" s="52"/>
      <c r="AC30" s="52"/>
      <c r="AD30" s="52"/>
      <c r="AE30" s="52"/>
    </row>
    <row r="31" spans="1:32" s="51" customFormat="1" x14ac:dyDescent="0.25">
      <c r="A31" s="17"/>
      <c r="B31" s="17" t="s">
        <v>58</v>
      </c>
      <c r="C31" s="17" t="s">
        <v>59</v>
      </c>
      <c r="D31" s="17" t="s">
        <v>60</v>
      </c>
      <c r="E31" s="17" t="s">
        <v>60</v>
      </c>
      <c r="F31" s="52"/>
      <c r="G31" s="58" t="s">
        <v>110</v>
      </c>
      <c r="H31">
        <v>41.460514080000003</v>
      </c>
      <c r="I31">
        <v>2.1699510970000002</v>
      </c>
      <c r="J31" s="52"/>
      <c r="K31" s="17"/>
      <c r="L31" s="52"/>
      <c r="M31" s="52"/>
      <c r="N31" s="52"/>
      <c r="O31" s="19" t="str">
        <f t="shared" ref="O31:O34" si="0">G31&amp;"_"&amp;TEXT(P31,"AAMMDD")</f>
        <v>A_SP_BCN_28_231012</v>
      </c>
      <c r="P31" s="53">
        <v>45211</v>
      </c>
      <c r="Q31" s="21"/>
      <c r="R31" s="22"/>
      <c r="S31" s="53"/>
      <c r="T31" s="62"/>
      <c r="U31" s="27"/>
      <c r="V31" s="52"/>
      <c r="W31" s="54"/>
      <c r="X31" s="17"/>
      <c r="Y31" s="27"/>
      <c r="Z31" s="52"/>
      <c r="AA31" s="52"/>
      <c r="AB31" s="52"/>
      <c r="AC31" s="52"/>
      <c r="AD31" s="52"/>
      <c r="AE31" s="52"/>
    </row>
    <row r="32" spans="1:32" s="51" customFormat="1" x14ac:dyDescent="0.25">
      <c r="A32" s="17">
        <v>132</v>
      </c>
      <c r="B32" s="17" t="s">
        <v>58</v>
      </c>
      <c r="C32" s="17" t="s">
        <v>59</v>
      </c>
      <c r="D32" s="17" t="s">
        <v>60</v>
      </c>
      <c r="E32" s="17" t="s">
        <v>60</v>
      </c>
      <c r="F32" s="52"/>
      <c r="G32" s="58" t="s">
        <v>110</v>
      </c>
      <c r="H32">
        <v>41.460514080000003</v>
      </c>
      <c r="I32">
        <v>2.1699510970000002</v>
      </c>
      <c r="J32" s="52"/>
      <c r="K32" s="17"/>
      <c r="L32" s="52"/>
      <c r="M32" s="52"/>
      <c r="N32" s="52"/>
      <c r="O32" s="19" t="str">
        <f t="shared" si="0"/>
        <v>A_SP_BCN_28_231016</v>
      </c>
      <c r="P32" s="53">
        <v>45215</v>
      </c>
      <c r="Q32" s="21"/>
      <c r="R32" s="22"/>
      <c r="S32" s="53"/>
      <c r="T32" s="62"/>
      <c r="U32" s="27"/>
      <c r="V32" s="52"/>
      <c r="W32" s="54"/>
      <c r="X32" s="17">
        <f>S32-P32</f>
        <v>-45215</v>
      </c>
      <c r="Y32" s="27"/>
      <c r="Z32" s="52"/>
      <c r="AA32" s="52"/>
      <c r="AB32" s="52"/>
      <c r="AC32" s="52"/>
      <c r="AD32" s="52"/>
      <c r="AE32" s="52"/>
    </row>
    <row r="33" spans="1:32" s="51" customFormat="1" x14ac:dyDescent="0.25">
      <c r="A33" s="17">
        <v>133</v>
      </c>
      <c r="B33" s="17" t="s">
        <v>58</v>
      </c>
      <c r="C33" s="17" t="s">
        <v>59</v>
      </c>
      <c r="D33" s="17" t="s">
        <v>60</v>
      </c>
      <c r="E33" s="17" t="s">
        <v>60</v>
      </c>
      <c r="F33" s="52"/>
      <c r="G33" s="58" t="s">
        <v>110</v>
      </c>
      <c r="H33">
        <v>41.460514080000003</v>
      </c>
      <c r="I33">
        <v>2.1699510970000002</v>
      </c>
      <c r="J33" s="52"/>
      <c r="K33" s="17"/>
      <c r="L33" s="52"/>
      <c r="M33" s="52"/>
      <c r="N33" s="52"/>
      <c r="O33" s="19" t="str">
        <f t="shared" si="0"/>
        <v>A_SP_BCN_28_231019</v>
      </c>
      <c r="P33" s="53">
        <v>45218</v>
      </c>
      <c r="Q33" s="21"/>
      <c r="R33" s="22"/>
      <c r="S33" s="53"/>
      <c r="T33" s="62"/>
      <c r="U33" s="27"/>
      <c r="V33" s="25"/>
      <c r="W33" s="54"/>
      <c r="X33" s="17">
        <f>S33-P33</f>
        <v>-45218</v>
      </c>
      <c r="Y33" s="27"/>
      <c r="Z33" s="52"/>
      <c r="AA33" s="52"/>
      <c r="AB33" s="52"/>
      <c r="AC33" s="52"/>
      <c r="AD33" s="52"/>
      <c r="AE33" s="52"/>
      <c r="AF33"/>
    </row>
    <row r="34" spans="1:32" s="51" customFormat="1" x14ac:dyDescent="0.25">
      <c r="A34" s="17"/>
      <c r="B34" s="17" t="s">
        <v>58</v>
      </c>
      <c r="C34" s="17" t="s">
        <v>59</v>
      </c>
      <c r="D34" s="17" t="s">
        <v>60</v>
      </c>
      <c r="E34" s="17" t="s">
        <v>60</v>
      </c>
      <c r="F34" s="52"/>
      <c r="G34" s="58" t="s">
        <v>110</v>
      </c>
      <c r="H34">
        <v>41.460514080000003</v>
      </c>
      <c r="I34">
        <v>2.1699510970000002</v>
      </c>
      <c r="J34" s="52"/>
      <c r="K34" s="17"/>
      <c r="L34" s="52"/>
      <c r="M34" s="52"/>
      <c r="N34" s="52"/>
      <c r="O34" s="19" t="str">
        <f t="shared" si="0"/>
        <v>A_SP_BCN_28_231024</v>
      </c>
      <c r="P34" s="53">
        <v>45223</v>
      </c>
      <c r="Q34" s="21"/>
      <c r="R34" s="22"/>
      <c r="S34" s="53"/>
      <c r="T34" s="62"/>
      <c r="U34" s="27"/>
      <c r="V34" s="25"/>
      <c r="W34" s="54"/>
      <c r="X34" s="17"/>
      <c r="Y34" s="27"/>
      <c r="Z34" s="52"/>
      <c r="AA34" s="52"/>
      <c r="AB34" s="52"/>
      <c r="AC34" s="52"/>
      <c r="AD34" s="52"/>
      <c r="AE34" s="52"/>
      <c r="AF34"/>
    </row>
    <row r="35" spans="1:32" s="51" customFormat="1" x14ac:dyDescent="0.25">
      <c r="A35" s="17">
        <v>142</v>
      </c>
      <c r="B35" s="17" t="s">
        <v>58</v>
      </c>
      <c r="C35" s="17" t="s">
        <v>59</v>
      </c>
      <c r="D35" s="17" t="s">
        <v>60</v>
      </c>
      <c r="E35" s="17" t="s">
        <v>60</v>
      </c>
      <c r="F35" s="52"/>
      <c r="G35" s="58" t="s">
        <v>114</v>
      </c>
      <c r="H35">
        <v>41.396274929999997</v>
      </c>
      <c r="I35">
        <v>2.1826391539999999</v>
      </c>
      <c r="J35" s="52"/>
      <c r="K35" s="17"/>
      <c r="L35" s="52"/>
      <c r="M35" s="52"/>
      <c r="N35" s="52"/>
      <c r="O35" s="19" t="str">
        <f>G35&amp;"_"&amp;TEXT(P35,"AAMMDD")</f>
        <v>A_SP_BCN_29_231009</v>
      </c>
      <c r="P35" s="53">
        <v>45208</v>
      </c>
      <c r="Q35" s="21"/>
      <c r="R35" s="22"/>
      <c r="S35" s="53"/>
      <c r="T35" s="62"/>
      <c r="U35" s="27"/>
      <c r="V35" s="52"/>
      <c r="W35" s="54"/>
      <c r="X35" s="17">
        <f>S35-P35</f>
        <v>-45208</v>
      </c>
      <c r="Y35" s="27"/>
      <c r="Z35" s="52"/>
      <c r="AA35" s="52"/>
      <c r="AB35" s="52"/>
      <c r="AC35" s="52"/>
      <c r="AD35" s="52"/>
      <c r="AE35" s="52"/>
    </row>
    <row r="36" spans="1:32" s="51" customFormat="1" x14ac:dyDescent="0.25">
      <c r="A36" s="17">
        <v>143</v>
      </c>
      <c r="B36" s="17" t="s">
        <v>58</v>
      </c>
      <c r="C36" s="17" t="s">
        <v>59</v>
      </c>
      <c r="D36" s="17" t="s">
        <v>60</v>
      </c>
      <c r="E36" s="17" t="s">
        <v>60</v>
      </c>
      <c r="F36" s="52"/>
      <c r="G36" s="58" t="s">
        <v>114</v>
      </c>
      <c r="H36">
        <v>41.396274929999997</v>
      </c>
      <c r="I36">
        <v>2.1826391539999999</v>
      </c>
      <c r="J36" s="52"/>
      <c r="K36" s="17"/>
      <c r="L36" s="52"/>
      <c r="M36" s="52"/>
      <c r="N36" s="52"/>
      <c r="O36" s="19" t="str">
        <f>G36&amp;"_"&amp;TEXT(P36,"AAMMDD")</f>
        <v>A_SP_BCN_29_231011</v>
      </c>
      <c r="P36" s="53">
        <v>45210</v>
      </c>
      <c r="Q36" s="21"/>
      <c r="R36" s="22"/>
      <c r="S36" s="53"/>
      <c r="T36" s="62"/>
      <c r="U36" s="27"/>
      <c r="V36" s="52"/>
      <c r="W36" s="54"/>
      <c r="X36" s="17">
        <f>S36-P36</f>
        <v>-45210</v>
      </c>
      <c r="Y36" s="27"/>
      <c r="Z36" s="52"/>
      <c r="AA36" s="52"/>
      <c r="AB36" s="52"/>
      <c r="AC36" s="52"/>
      <c r="AD36" s="52"/>
      <c r="AE36" s="52"/>
    </row>
    <row r="37" spans="1:32" s="51" customFormat="1" x14ac:dyDescent="0.25">
      <c r="A37" s="17">
        <v>145</v>
      </c>
      <c r="B37" s="17" t="s">
        <v>58</v>
      </c>
      <c r="C37" s="17" t="s">
        <v>59</v>
      </c>
      <c r="D37" s="17" t="s">
        <v>60</v>
      </c>
      <c r="E37" s="17" t="s">
        <v>60</v>
      </c>
      <c r="F37" s="52"/>
      <c r="G37" s="58" t="s">
        <v>114</v>
      </c>
      <c r="H37">
        <v>41.396274929999997</v>
      </c>
      <c r="I37">
        <v>2.1826391539999999</v>
      </c>
      <c r="J37" s="52"/>
      <c r="K37" s="17"/>
      <c r="L37" s="52"/>
      <c r="M37" s="52"/>
      <c r="N37" s="52"/>
      <c r="O37" s="19" t="str">
        <f>G37&amp;"_"&amp;TEXT(P37,"AAMMDD")</f>
        <v>A_SP_BCN_29_231019</v>
      </c>
      <c r="P37" s="53">
        <v>45218</v>
      </c>
      <c r="Q37" s="21"/>
      <c r="R37" s="22"/>
      <c r="S37" s="53"/>
      <c r="T37" s="62"/>
      <c r="U37" s="27"/>
      <c r="V37" s="25"/>
      <c r="W37" s="54"/>
      <c r="X37" s="17">
        <f>S37-P37</f>
        <v>-45218</v>
      </c>
      <c r="Y37" s="27"/>
      <c r="Z37" s="52"/>
      <c r="AA37" s="52"/>
      <c r="AB37" s="52"/>
      <c r="AC37" s="52"/>
      <c r="AD37" s="52"/>
      <c r="AE37" s="52"/>
      <c r="AF37"/>
    </row>
    <row r="38" spans="1:32" s="51" customFormat="1" x14ac:dyDescent="0.25">
      <c r="A38" s="17">
        <v>146</v>
      </c>
      <c r="B38" s="17" t="s">
        <v>58</v>
      </c>
      <c r="C38" s="17" t="s">
        <v>59</v>
      </c>
      <c r="D38" s="17" t="s">
        <v>60</v>
      </c>
      <c r="E38" s="17" t="s">
        <v>60</v>
      </c>
      <c r="F38" s="52"/>
      <c r="G38" s="58" t="s">
        <v>114</v>
      </c>
      <c r="H38">
        <v>41.396274929999997</v>
      </c>
      <c r="I38">
        <v>2.1826391539999999</v>
      </c>
      <c r="J38" s="52"/>
      <c r="K38" s="17"/>
      <c r="L38" s="52"/>
      <c r="M38" s="52"/>
      <c r="N38" s="52"/>
      <c r="O38" s="19" t="str">
        <f>G38&amp;"_"&amp;TEXT(P38,"AAMMDD")</f>
        <v>A_SP_BCN_29_231023</v>
      </c>
      <c r="P38" s="53">
        <v>45222</v>
      </c>
      <c r="Q38" s="21"/>
      <c r="R38" s="22"/>
      <c r="S38" s="53"/>
      <c r="T38" s="62"/>
      <c r="U38" s="27"/>
      <c r="V38" s="25"/>
      <c r="W38" s="54"/>
      <c r="X38" s="17">
        <f>S38-P38</f>
        <v>-45222</v>
      </c>
      <c r="Y38" s="27"/>
      <c r="Z38" s="52"/>
      <c r="AA38" s="52"/>
      <c r="AB38" s="52"/>
      <c r="AC38" s="52"/>
      <c r="AD38" s="52"/>
      <c r="AE38" s="52"/>
      <c r="AF38"/>
    </row>
    <row r="39" spans="1:32" s="51" customFormat="1" x14ac:dyDescent="0.25">
      <c r="A39" s="17">
        <v>147</v>
      </c>
      <c r="B39" s="17" t="s">
        <v>58</v>
      </c>
      <c r="C39" s="17" t="s">
        <v>59</v>
      </c>
      <c r="D39" s="17" t="s">
        <v>60</v>
      </c>
      <c r="E39" s="17" t="s">
        <v>60</v>
      </c>
      <c r="F39" s="52"/>
      <c r="G39" s="58" t="s">
        <v>114</v>
      </c>
      <c r="H39">
        <v>41.396274929999997</v>
      </c>
      <c r="I39">
        <v>2.1826391539999999</v>
      </c>
      <c r="J39" s="52"/>
      <c r="K39" s="17"/>
      <c r="L39" s="52"/>
      <c r="M39" s="52"/>
      <c r="N39" s="52"/>
      <c r="O39" s="19" t="str">
        <f>G39&amp;"_"&amp;TEXT(P39,"AAMMDD")</f>
        <v>A_SP_BCN_29_231026</v>
      </c>
      <c r="P39" s="53">
        <v>45225</v>
      </c>
      <c r="Q39" s="21"/>
      <c r="R39" s="22"/>
      <c r="S39" s="53"/>
      <c r="T39" s="62"/>
      <c r="U39" s="27"/>
      <c r="V39" s="25"/>
      <c r="W39" s="54"/>
      <c r="X39" s="17">
        <f>S39-P39</f>
        <v>-45225</v>
      </c>
      <c r="Y39" s="27"/>
      <c r="Z39" s="52"/>
      <c r="AA39" s="52"/>
      <c r="AB39" s="52"/>
      <c r="AC39" s="52"/>
      <c r="AD39" s="52"/>
      <c r="AE39" s="52"/>
      <c r="AF39"/>
    </row>
    <row r="40" spans="1:32" s="51" customFormat="1" x14ac:dyDescent="0.25">
      <c r="A40" s="17">
        <v>148</v>
      </c>
      <c r="B40" s="17" t="s">
        <v>58</v>
      </c>
      <c r="C40" s="17" t="s">
        <v>59</v>
      </c>
      <c r="D40" s="17" t="s">
        <v>60</v>
      </c>
      <c r="E40" s="17" t="s">
        <v>60</v>
      </c>
      <c r="F40" s="52"/>
      <c r="G40" s="58" t="s">
        <v>114</v>
      </c>
      <c r="H40">
        <v>41.396274929999997</v>
      </c>
      <c r="I40">
        <v>2.1826391539999999</v>
      </c>
      <c r="J40" s="52"/>
      <c r="K40" s="17"/>
      <c r="L40" s="52"/>
      <c r="M40" s="52"/>
      <c r="N40" s="52"/>
      <c r="O40" s="19" t="str">
        <f>G40&amp;"_"&amp;TEXT(P40,"AAMMDD")</f>
        <v>A_SP_BCN_29_231030</v>
      </c>
      <c r="P40" s="53">
        <v>45229</v>
      </c>
      <c r="Q40" s="24"/>
      <c r="R40" s="22"/>
      <c r="S40" s="53"/>
      <c r="T40" s="55"/>
      <c r="U40" s="27"/>
      <c r="V40" s="25"/>
      <c r="W40" s="54"/>
      <c r="X40" s="17">
        <f>S40-P40</f>
        <v>-45229</v>
      </c>
      <c r="Y40" s="27"/>
      <c r="Z40" s="52"/>
      <c r="AA40" s="52"/>
      <c r="AB40" s="52"/>
      <c r="AC40" s="52"/>
      <c r="AD40" s="52"/>
      <c r="AE40" s="52"/>
      <c r="AF40"/>
    </row>
    <row r="41" spans="1:32" s="51" customFormat="1" x14ac:dyDescent="0.25">
      <c r="A41" s="17">
        <v>155</v>
      </c>
      <c r="B41" s="17" t="s">
        <v>58</v>
      </c>
      <c r="C41" s="17" t="s">
        <v>59</v>
      </c>
      <c r="D41" s="17" t="s">
        <v>60</v>
      </c>
      <c r="E41" s="17" t="s">
        <v>60</v>
      </c>
      <c r="F41" s="52"/>
      <c r="G41" s="58" t="s">
        <v>117</v>
      </c>
      <c r="H41">
        <v>41.403502850000002</v>
      </c>
      <c r="I41">
        <v>2.1312860389999999</v>
      </c>
      <c r="J41" s="52"/>
      <c r="K41" s="17"/>
      <c r="L41" s="52"/>
      <c r="M41" s="52"/>
      <c r="N41" s="52"/>
      <c r="O41" s="19" t="str">
        <f>G41&amp;"_"&amp;TEXT(P41,"AAMMDD")</f>
        <v>A_SP_BCN_30_231013</v>
      </c>
      <c r="P41" s="53">
        <v>45212</v>
      </c>
      <c r="Q41" s="24"/>
      <c r="R41" s="22"/>
      <c r="S41" s="53"/>
      <c r="T41" s="55"/>
      <c r="U41" s="27"/>
      <c r="V41" s="52"/>
      <c r="W41" s="54"/>
      <c r="X41" s="17">
        <f>S41-P41</f>
        <v>-45212</v>
      </c>
      <c r="Y41" s="27"/>
      <c r="Z41" s="52"/>
      <c r="AA41" s="52"/>
      <c r="AB41" s="52"/>
      <c r="AC41" s="52"/>
      <c r="AD41" s="52"/>
      <c r="AE41" s="52"/>
    </row>
    <row r="42" spans="1:32" s="51" customFormat="1" x14ac:dyDescent="0.25">
      <c r="A42" s="17">
        <v>156</v>
      </c>
      <c r="B42" s="17" t="s">
        <v>58</v>
      </c>
      <c r="C42" s="17" t="s">
        <v>59</v>
      </c>
      <c r="D42" s="17" t="s">
        <v>60</v>
      </c>
      <c r="E42" s="17" t="s">
        <v>60</v>
      </c>
      <c r="F42" s="52"/>
      <c r="G42" s="58" t="s">
        <v>117</v>
      </c>
      <c r="H42">
        <v>41.403502850000002</v>
      </c>
      <c r="I42">
        <v>2.1312860389999999</v>
      </c>
      <c r="J42" s="52"/>
      <c r="K42" s="17"/>
      <c r="L42" s="52"/>
      <c r="M42" s="52"/>
      <c r="N42" s="52"/>
      <c r="O42" s="19" t="str">
        <f>G42&amp;"_"&amp;TEXT(P42,"AAMMDD")</f>
        <v>A_SP_BCN_30_231017</v>
      </c>
      <c r="P42" s="53">
        <v>45216</v>
      </c>
      <c r="Q42" s="24"/>
      <c r="R42" s="22"/>
      <c r="S42" s="53"/>
      <c r="T42" s="55"/>
      <c r="U42" s="27"/>
      <c r="V42" s="25"/>
      <c r="W42" s="54"/>
      <c r="X42" s="17">
        <f>S42-P42</f>
        <v>-45216</v>
      </c>
      <c r="Y42" s="27"/>
      <c r="Z42" s="52"/>
      <c r="AA42" s="52"/>
      <c r="AB42" s="52"/>
      <c r="AC42" s="52"/>
      <c r="AD42" s="52"/>
      <c r="AE42" s="52"/>
      <c r="AF42"/>
    </row>
    <row r="43" spans="1:32" s="51" customFormat="1" x14ac:dyDescent="0.25">
      <c r="A43" s="17">
        <v>157</v>
      </c>
      <c r="B43" s="17" t="s">
        <v>58</v>
      </c>
      <c r="C43" s="17" t="s">
        <v>59</v>
      </c>
      <c r="D43" s="17" t="s">
        <v>60</v>
      </c>
      <c r="E43" s="17" t="s">
        <v>60</v>
      </c>
      <c r="F43" s="52"/>
      <c r="G43" s="58" t="s">
        <v>117</v>
      </c>
      <c r="H43">
        <v>41.403502850000002</v>
      </c>
      <c r="I43">
        <v>2.1312860389999999</v>
      </c>
      <c r="J43" s="52"/>
      <c r="K43" s="17"/>
      <c r="L43" s="52"/>
      <c r="M43" s="52"/>
      <c r="N43" s="52"/>
      <c r="O43" s="19" t="str">
        <f>G43&amp;"_"&amp;TEXT(P43,"AAMMDD")</f>
        <v>A_SP_BCN_30_231020</v>
      </c>
      <c r="P43" s="53">
        <v>45219</v>
      </c>
      <c r="Q43" s="24"/>
      <c r="R43" s="22"/>
      <c r="S43" s="53"/>
      <c r="T43" s="55"/>
      <c r="U43" s="27"/>
      <c r="V43" s="25"/>
      <c r="W43" s="54"/>
      <c r="X43" s="17">
        <f>S43-P43</f>
        <v>-45219</v>
      </c>
      <c r="Y43" s="27"/>
      <c r="Z43" s="52"/>
      <c r="AA43" s="52"/>
      <c r="AB43" s="52"/>
      <c r="AC43" s="52"/>
      <c r="AD43" s="52"/>
      <c r="AE43" s="52"/>
      <c r="AF43"/>
    </row>
    <row r="44" spans="1:32" s="51" customFormat="1" x14ac:dyDescent="0.25">
      <c r="A44" s="17">
        <v>158</v>
      </c>
      <c r="B44" s="17" t="s">
        <v>58</v>
      </c>
      <c r="C44" s="17" t="s">
        <v>59</v>
      </c>
      <c r="D44" s="17" t="s">
        <v>60</v>
      </c>
      <c r="E44" s="17" t="s">
        <v>60</v>
      </c>
      <c r="F44" s="52"/>
      <c r="G44" s="58" t="s">
        <v>117</v>
      </c>
      <c r="H44">
        <v>41.403502850000002</v>
      </c>
      <c r="I44">
        <v>2.1312860389999999</v>
      </c>
      <c r="J44" s="52"/>
      <c r="K44" s="17"/>
      <c r="L44" s="52"/>
      <c r="M44" s="52"/>
      <c r="N44" s="52"/>
      <c r="O44" s="19" t="str">
        <f>G44&amp;"_"&amp;TEXT(P44,"AAMMDD")</f>
        <v>A_SP_BCN_30_231024</v>
      </c>
      <c r="P44" s="53">
        <v>45223</v>
      </c>
      <c r="Q44" s="24"/>
      <c r="R44" s="27"/>
      <c r="S44" s="53"/>
      <c r="T44" s="55"/>
      <c r="U44" s="27"/>
      <c r="V44" s="25"/>
      <c r="W44" s="54"/>
      <c r="X44" s="17">
        <f>S44-P44</f>
        <v>-45223</v>
      </c>
      <c r="Y44" s="27"/>
      <c r="Z44" s="52"/>
      <c r="AA44" s="52"/>
      <c r="AB44" s="52"/>
      <c r="AC44" s="52"/>
      <c r="AD44" s="52"/>
      <c r="AE44" s="52"/>
      <c r="AF44"/>
    </row>
    <row r="45" spans="1:32" s="51" customFormat="1" x14ac:dyDescent="0.25">
      <c r="A45" s="17">
        <v>159</v>
      </c>
      <c r="B45" s="17" t="s">
        <v>58</v>
      </c>
      <c r="C45" s="17" t="s">
        <v>59</v>
      </c>
      <c r="D45" s="17" t="s">
        <v>60</v>
      </c>
      <c r="E45" s="17" t="s">
        <v>60</v>
      </c>
      <c r="F45" s="52"/>
      <c r="G45" s="58" t="s">
        <v>117</v>
      </c>
      <c r="H45">
        <v>41.403502850000002</v>
      </c>
      <c r="I45">
        <v>2.1312860389999999</v>
      </c>
      <c r="J45" s="52"/>
      <c r="K45" s="17"/>
      <c r="L45" s="52"/>
      <c r="M45" s="52"/>
      <c r="N45" s="52"/>
      <c r="O45" s="19" t="str">
        <f>G45&amp;"_"&amp;TEXT(P45,"AAMMDD")</f>
        <v>A_SP_BCN_30_231027</v>
      </c>
      <c r="P45" s="53">
        <v>45226</v>
      </c>
      <c r="Q45" s="21"/>
      <c r="R45" s="27"/>
      <c r="S45" s="53"/>
      <c r="T45" s="62"/>
      <c r="U45" s="27"/>
      <c r="V45" s="25"/>
      <c r="W45" s="54"/>
      <c r="X45" s="17">
        <f>S45-P45</f>
        <v>-45226</v>
      </c>
      <c r="Y45" s="27"/>
      <c r="Z45" s="52"/>
      <c r="AA45" s="52"/>
      <c r="AB45" s="52"/>
      <c r="AC45" s="52"/>
      <c r="AD45" s="52"/>
      <c r="AE45" s="52"/>
      <c r="AF45"/>
    </row>
    <row r="46" spans="1:32" s="51" customFormat="1" x14ac:dyDescent="0.25">
      <c r="A46" s="17">
        <v>160</v>
      </c>
      <c r="B46" s="17" t="s">
        <v>58</v>
      </c>
      <c r="C46" s="17" t="s">
        <v>59</v>
      </c>
      <c r="D46" s="17" t="s">
        <v>60</v>
      </c>
      <c r="E46" s="17" t="s">
        <v>60</v>
      </c>
      <c r="F46" s="52"/>
      <c r="G46" s="58" t="s">
        <v>117</v>
      </c>
      <c r="H46">
        <v>41.403502850000002</v>
      </c>
      <c r="I46">
        <v>2.1312860389999999</v>
      </c>
      <c r="J46" s="52"/>
      <c r="K46" s="17"/>
      <c r="L46" s="52"/>
      <c r="M46" s="52"/>
      <c r="N46" s="52"/>
      <c r="O46" s="19" t="str">
        <f>G46&amp;"_"&amp;TEXT(P46,"AAMMDD")</f>
        <v>A_SP_BCN_30_231031</v>
      </c>
      <c r="P46" s="53">
        <v>45230</v>
      </c>
      <c r="Q46" s="55"/>
      <c r="R46" s="27"/>
      <c r="S46" s="53"/>
      <c r="T46" s="55"/>
      <c r="U46" s="27"/>
      <c r="V46" s="25"/>
      <c r="W46" s="54"/>
      <c r="X46" s="17">
        <f>S46-P46</f>
        <v>-45230</v>
      </c>
      <c r="Y46" s="27"/>
      <c r="Z46" s="52"/>
      <c r="AA46" s="52"/>
      <c r="AB46" s="52"/>
      <c r="AC46" s="52"/>
      <c r="AD46" s="52"/>
      <c r="AE46" s="52"/>
      <c r="AF46"/>
    </row>
    <row r="47" spans="1:32" s="51" customFormat="1" x14ac:dyDescent="0.25">
      <c r="A47" s="17">
        <v>168</v>
      </c>
      <c r="B47" s="17" t="s">
        <v>58</v>
      </c>
      <c r="C47" s="17" t="s">
        <v>59</v>
      </c>
      <c r="D47" s="17" t="s">
        <v>60</v>
      </c>
      <c r="E47" s="17" t="s">
        <v>60</v>
      </c>
      <c r="F47" s="52"/>
      <c r="G47" s="58" t="s">
        <v>118</v>
      </c>
      <c r="H47">
        <v>41.399253770000001</v>
      </c>
      <c r="I47">
        <v>2.1397962659999998</v>
      </c>
      <c r="J47" s="52"/>
      <c r="K47" s="17"/>
      <c r="L47" s="52"/>
      <c r="M47" s="52"/>
      <c r="N47" s="52"/>
      <c r="O47" s="19" t="str">
        <f>G47&amp;"_"&amp;TEXT(P47,"AAMMDD")</f>
        <v>A_SP_BCN_31_231013</v>
      </c>
      <c r="P47" s="53">
        <v>45212</v>
      </c>
      <c r="Q47" s="24"/>
      <c r="R47" s="22"/>
      <c r="S47" s="53"/>
      <c r="T47" s="55"/>
      <c r="U47" s="59"/>
      <c r="V47" s="25"/>
      <c r="X47" s="17">
        <f>S47-P47</f>
        <v>-45212</v>
      </c>
      <c r="Y47" s="59"/>
      <c r="Z47" s="52"/>
      <c r="AA47" s="52"/>
      <c r="AB47" s="52"/>
      <c r="AC47" s="52"/>
      <c r="AD47" s="52"/>
      <c r="AE47" s="52"/>
      <c r="AF47"/>
    </row>
    <row r="48" spans="1:32" s="51" customFormat="1" ht="15.75" customHeight="1" x14ac:dyDescent="0.25">
      <c r="A48" s="17">
        <v>180</v>
      </c>
      <c r="B48" s="17" t="s">
        <v>58</v>
      </c>
      <c r="C48" s="17" t="s">
        <v>59</v>
      </c>
      <c r="D48" s="17" t="s">
        <v>60</v>
      </c>
      <c r="E48" s="17" t="s">
        <v>60</v>
      </c>
      <c r="F48" s="52"/>
      <c r="G48" s="58" t="s">
        <v>119</v>
      </c>
      <c r="H48">
        <v>41.397249360000004</v>
      </c>
      <c r="I48">
        <v>2.1194138310000001</v>
      </c>
      <c r="J48" s="52"/>
      <c r="K48" s="17"/>
      <c r="L48" s="52"/>
      <c r="M48" s="52"/>
      <c r="N48" s="52"/>
      <c r="O48" s="19" t="str">
        <f>G48&amp;"_"&amp;TEXT(P48,"AAMMDD")</f>
        <v>A_SP_BCN_32_231010</v>
      </c>
      <c r="P48" s="53">
        <v>45209</v>
      </c>
      <c r="Q48" s="24"/>
      <c r="R48" s="22"/>
      <c r="S48" s="53"/>
      <c r="T48" s="55"/>
      <c r="U48" s="27"/>
      <c r="V48" s="52"/>
      <c r="W48" s="54"/>
      <c r="X48" s="17">
        <f>S48-P48</f>
        <v>-45209</v>
      </c>
      <c r="Y48" s="27"/>
      <c r="Z48" s="52"/>
      <c r="AA48" s="52"/>
      <c r="AB48" s="52"/>
      <c r="AC48" s="52"/>
      <c r="AD48" s="52"/>
      <c r="AE48" s="52"/>
    </row>
    <row r="49" spans="1:32" s="51" customFormat="1" x14ac:dyDescent="0.25">
      <c r="A49" s="17">
        <v>193</v>
      </c>
      <c r="B49" s="17" t="s">
        <v>58</v>
      </c>
      <c r="C49" s="17" t="s">
        <v>59</v>
      </c>
      <c r="D49" s="17" t="s">
        <v>60</v>
      </c>
      <c r="E49" s="17" t="s">
        <v>60</v>
      </c>
      <c r="F49" s="52"/>
      <c r="G49" s="58" t="s">
        <v>122</v>
      </c>
      <c r="H49">
        <v>41.403499750000002</v>
      </c>
      <c r="I49">
        <v>2.129506981</v>
      </c>
      <c r="J49" s="52"/>
      <c r="K49" s="17"/>
      <c r="L49" s="52"/>
      <c r="M49" s="52"/>
      <c r="N49" s="52"/>
      <c r="O49" s="19" t="str">
        <f>G49&amp;"_"&amp;TEXT(P49,"AAMMDD")</f>
        <v>A_SP_BCN_33_231010</v>
      </c>
      <c r="P49" s="53">
        <v>45209</v>
      </c>
      <c r="Q49" s="24"/>
      <c r="R49" s="22"/>
      <c r="S49" s="53"/>
      <c r="T49" s="55"/>
      <c r="U49" s="27"/>
      <c r="V49" s="25"/>
      <c r="W49" s="54"/>
      <c r="X49" s="17">
        <f>S49-P49</f>
        <v>-45209</v>
      </c>
      <c r="Y49" s="27"/>
      <c r="Z49" s="52"/>
      <c r="AA49" s="52"/>
      <c r="AB49" s="52"/>
      <c r="AC49" s="52"/>
      <c r="AD49" s="52"/>
      <c r="AE49" s="52"/>
      <c r="AF49"/>
    </row>
    <row r="50" spans="1:32" s="51" customFormat="1" x14ac:dyDescent="0.25">
      <c r="A50" s="17">
        <v>194</v>
      </c>
      <c r="B50" s="17" t="s">
        <v>58</v>
      </c>
      <c r="C50" s="17" t="s">
        <v>59</v>
      </c>
      <c r="D50" s="17" t="s">
        <v>60</v>
      </c>
      <c r="E50" s="17" t="s">
        <v>60</v>
      </c>
      <c r="F50" s="52"/>
      <c r="G50" s="58" t="s">
        <v>122</v>
      </c>
      <c r="H50">
        <v>41.403499750000002</v>
      </c>
      <c r="I50">
        <v>2.129506981</v>
      </c>
      <c r="J50" s="52"/>
      <c r="K50" s="17"/>
      <c r="L50" s="52"/>
      <c r="M50" s="52"/>
      <c r="N50" s="52"/>
      <c r="O50" s="19" t="str">
        <f>G50&amp;"_"&amp;TEXT(P50,"AAMMDD")</f>
        <v>A_SP_BCN_33_231013</v>
      </c>
      <c r="P50" s="53">
        <v>45212</v>
      </c>
      <c r="Q50" s="24"/>
      <c r="R50" s="22"/>
      <c r="S50" s="53"/>
      <c r="T50" s="55"/>
      <c r="U50" s="27"/>
      <c r="V50" s="25"/>
      <c r="W50" s="54"/>
      <c r="X50" s="17">
        <f>S50-P50</f>
        <v>-45212</v>
      </c>
      <c r="Y50" s="27"/>
      <c r="Z50" s="52"/>
      <c r="AA50" s="52"/>
      <c r="AB50" s="52"/>
      <c r="AC50" s="52"/>
      <c r="AD50" s="52"/>
      <c r="AE50" s="52"/>
      <c r="AF50"/>
    </row>
    <row r="51" spans="1:32" s="51" customFormat="1" x14ac:dyDescent="0.25">
      <c r="A51" s="17">
        <v>195</v>
      </c>
      <c r="B51" s="17" t="s">
        <v>58</v>
      </c>
      <c r="C51" s="17" t="s">
        <v>59</v>
      </c>
      <c r="D51" s="17" t="s">
        <v>60</v>
      </c>
      <c r="E51" s="17" t="s">
        <v>60</v>
      </c>
      <c r="F51" s="52"/>
      <c r="G51" s="58" t="s">
        <v>122</v>
      </c>
      <c r="H51">
        <v>41.403499750000002</v>
      </c>
      <c r="I51">
        <v>2.129506981</v>
      </c>
      <c r="J51" s="52"/>
      <c r="K51" s="17"/>
      <c r="L51" s="52"/>
      <c r="M51" s="52"/>
      <c r="N51" s="52"/>
      <c r="O51" s="19" t="str">
        <f>G51&amp;"_"&amp;TEXT(P51,"AAMMDD")</f>
        <v>A_SP_BCN_33_231017</v>
      </c>
      <c r="P51" s="53">
        <v>45216</v>
      </c>
      <c r="Q51" s="24"/>
      <c r="R51" s="22"/>
      <c r="S51" s="53"/>
      <c r="T51" s="55"/>
      <c r="U51" s="27"/>
      <c r="V51" s="25"/>
      <c r="W51" s="54"/>
      <c r="X51" s="17">
        <f>S51-P51</f>
        <v>-45216</v>
      </c>
      <c r="Y51" s="27"/>
      <c r="Z51" s="52"/>
      <c r="AA51" s="52"/>
      <c r="AB51" s="52"/>
      <c r="AC51" s="52"/>
      <c r="AD51" s="52"/>
      <c r="AE51" s="52"/>
      <c r="AF51"/>
    </row>
    <row r="52" spans="1:32" s="51" customFormat="1" x14ac:dyDescent="0.25">
      <c r="A52" s="17">
        <v>197</v>
      </c>
      <c r="B52" s="17" t="s">
        <v>58</v>
      </c>
      <c r="C52" s="17" t="s">
        <v>59</v>
      </c>
      <c r="D52" s="17" t="s">
        <v>60</v>
      </c>
      <c r="E52" s="17" t="s">
        <v>60</v>
      </c>
      <c r="F52" s="52"/>
      <c r="G52" s="58" t="s">
        <v>122</v>
      </c>
      <c r="H52">
        <v>41.403499750000002</v>
      </c>
      <c r="I52">
        <v>2.129506981</v>
      </c>
      <c r="J52" s="52"/>
      <c r="K52" s="17"/>
      <c r="L52" s="52"/>
      <c r="M52" s="52"/>
      <c r="N52" s="52"/>
      <c r="O52" s="19" t="str">
        <f>G52&amp;"_"&amp;TEXT(P52,"AAMMDD")</f>
        <v>A_SP_BCN_33_231024</v>
      </c>
      <c r="P52" s="53">
        <v>45223</v>
      </c>
      <c r="Q52" s="24"/>
      <c r="R52" s="27"/>
      <c r="S52" s="53"/>
      <c r="T52" s="55"/>
      <c r="U52" s="27"/>
      <c r="V52" s="25"/>
      <c r="W52" s="54"/>
      <c r="X52" s="17">
        <f>S52-P52</f>
        <v>-45223</v>
      </c>
      <c r="Y52" s="27"/>
      <c r="Z52" s="52"/>
      <c r="AA52" s="52"/>
      <c r="AB52" s="52"/>
      <c r="AC52" s="52"/>
      <c r="AD52" s="52"/>
      <c r="AE52" s="52"/>
      <c r="AF52"/>
    </row>
    <row r="53" spans="1:32" s="51" customFormat="1" x14ac:dyDescent="0.25">
      <c r="A53" s="17">
        <v>198</v>
      </c>
      <c r="B53" s="17" t="s">
        <v>58</v>
      </c>
      <c r="C53" s="17" t="s">
        <v>59</v>
      </c>
      <c r="D53" s="17" t="s">
        <v>60</v>
      </c>
      <c r="E53" s="17" t="s">
        <v>60</v>
      </c>
      <c r="F53" s="52"/>
      <c r="G53" s="58" t="s">
        <v>122</v>
      </c>
      <c r="H53">
        <v>41.403499750000002</v>
      </c>
      <c r="I53">
        <v>2.129506981</v>
      </c>
      <c r="J53" s="52"/>
      <c r="K53" s="17"/>
      <c r="L53" s="52"/>
      <c r="M53" s="52"/>
      <c r="N53" s="52"/>
      <c r="O53" s="19" t="str">
        <f>G53&amp;"_"&amp;TEXT(P53,"AAMMDD")</f>
        <v>A_SP_BCN_33_231027</v>
      </c>
      <c r="P53" s="53">
        <v>45226</v>
      </c>
      <c r="Q53" s="21"/>
      <c r="R53" s="27"/>
      <c r="S53" s="53"/>
      <c r="T53" s="62"/>
      <c r="U53" s="27"/>
      <c r="V53" s="25"/>
      <c r="W53" s="54"/>
      <c r="X53" s="17">
        <f>S53-P53</f>
        <v>-45226</v>
      </c>
      <c r="Y53" s="27"/>
      <c r="Z53" s="52"/>
      <c r="AA53" s="52"/>
      <c r="AB53" s="52"/>
      <c r="AC53" s="52"/>
      <c r="AD53" s="52"/>
      <c r="AE53" s="52"/>
      <c r="AF53"/>
    </row>
    <row r="54" spans="1:32" s="51" customFormat="1" x14ac:dyDescent="0.25">
      <c r="A54" s="17">
        <v>199</v>
      </c>
      <c r="B54" s="17" t="s">
        <v>58</v>
      </c>
      <c r="C54" s="17" t="s">
        <v>59</v>
      </c>
      <c r="D54" s="17" t="s">
        <v>60</v>
      </c>
      <c r="E54" s="17" t="s">
        <v>60</v>
      </c>
      <c r="F54" s="52"/>
      <c r="G54" s="58" t="s">
        <v>122</v>
      </c>
      <c r="H54">
        <v>41.403499750000002</v>
      </c>
      <c r="I54">
        <v>2.129506981</v>
      </c>
      <c r="J54" s="52"/>
      <c r="K54" s="17"/>
      <c r="L54" s="52"/>
      <c r="M54" s="52"/>
      <c r="N54" s="52"/>
      <c r="O54" s="19" t="str">
        <f>G54&amp;"_"&amp;TEXT(P54,"AAMMDD")</f>
        <v>A_SP_BCN_33_231031</v>
      </c>
      <c r="P54" s="53">
        <v>45230</v>
      </c>
      <c r="Q54" s="55"/>
      <c r="R54" s="27"/>
      <c r="S54" s="53"/>
      <c r="T54" s="55"/>
      <c r="U54" s="27"/>
      <c r="V54" s="25"/>
      <c r="W54" s="54"/>
      <c r="X54" s="17">
        <f>S54-P54</f>
        <v>-45230</v>
      </c>
      <c r="Y54" s="27"/>
      <c r="Z54" s="52"/>
      <c r="AA54" s="52"/>
      <c r="AB54" s="52"/>
      <c r="AC54" s="52"/>
      <c r="AD54" s="52"/>
      <c r="AE54" s="52"/>
      <c r="AF54"/>
    </row>
    <row r="55" spans="1:32" s="51" customFormat="1" x14ac:dyDescent="0.25">
      <c r="A55" s="17">
        <v>201</v>
      </c>
      <c r="B55" s="17" t="s">
        <v>58</v>
      </c>
      <c r="C55" s="17" t="s">
        <v>59</v>
      </c>
      <c r="D55" s="17" t="s">
        <v>60</v>
      </c>
      <c r="E55" s="17" t="s">
        <v>60</v>
      </c>
      <c r="F55" s="52"/>
      <c r="G55" s="58" t="s">
        <v>122</v>
      </c>
      <c r="H55">
        <v>41.403499750000002</v>
      </c>
      <c r="I55">
        <v>2.129506981</v>
      </c>
      <c r="J55" s="52"/>
      <c r="K55" s="17"/>
      <c r="L55" s="52"/>
      <c r="M55" s="52"/>
      <c r="N55" s="52"/>
      <c r="O55" s="19" t="str">
        <f>G55&amp;"_"&amp;TEXT(P55,"AAMMDD")</f>
        <v>A_SP_BCN_33_231117</v>
      </c>
      <c r="P55" s="53">
        <v>45247</v>
      </c>
      <c r="Q55" s="55"/>
      <c r="R55" s="27"/>
      <c r="S55" s="53"/>
      <c r="T55" s="55"/>
      <c r="U55" s="27"/>
      <c r="V55" s="25"/>
      <c r="W55" s="54"/>
      <c r="X55" s="17">
        <f>S55-P55</f>
        <v>-45247</v>
      </c>
      <c r="Y55" s="27"/>
      <c r="Z55" s="52"/>
      <c r="AA55" s="52"/>
      <c r="AB55" s="52"/>
      <c r="AC55" s="52"/>
      <c r="AD55" s="52"/>
      <c r="AE55" s="52"/>
      <c r="AF55"/>
    </row>
    <row r="56" spans="1:32" s="51" customFormat="1" x14ac:dyDescent="0.25">
      <c r="A56" s="17">
        <v>206</v>
      </c>
      <c r="B56" s="17" t="s">
        <v>58</v>
      </c>
      <c r="C56" s="17" t="s">
        <v>59</v>
      </c>
      <c r="D56" s="17" t="s">
        <v>60</v>
      </c>
      <c r="E56" s="52" t="s">
        <v>130</v>
      </c>
      <c r="F56" s="52"/>
      <c r="G56" s="58" t="s">
        <v>123</v>
      </c>
      <c r="H56">
        <v>41.56</v>
      </c>
      <c r="I56">
        <v>2.08</v>
      </c>
      <c r="J56" s="52"/>
      <c r="K56" s="17"/>
      <c r="L56" s="52"/>
      <c r="M56" s="52"/>
      <c r="N56" s="52"/>
      <c r="O56" s="19" t="str">
        <f>G56&amp;"_"&amp;TEXT(P56,"AAMMDD")</f>
        <v>V5_230920</v>
      </c>
      <c r="P56" s="53">
        <v>45189</v>
      </c>
      <c r="Q56" s="52"/>
      <c r="R56" s="27"/>
      <c r="S56" s="53"/>
      <c r="T56" s="52"/>
      <c r="U56" s="27"/>
      <c r="V56" s="25"/>
      <c r="W56" s="54"/>
      <c r="X56" s="17">
        <f>S56-P56</f>
        <v>-45189</v>
      </c>
      <c r="Y56" s="27"/>
      <c r="Z56" s="52"/>
      <c r="AA56" s="52"/>
      <c r="AB56" s="52"/>
      <c r="AC56" s="52"/>
      <c r="AD56" s="52"/>
      <c r="AE56" s="52"/>
      <c r="AF56"/>
    </row>
    <row r="57" spans="1:32" s="51" customFormat="1" x14ac:dyDescent="0.25">
      <c r="A57" s="17">
        <v>207</v>
      </c>
      <c r="B57" s="17" t="s">
        <v>58</v>
      </c>
      <c r="C57" s="17" t="s">
        <v>59</v>
      </c>
      <c r="D57" s="17" t="s">
        <v>60</v>
      </c>
      <c r="E57" s="52" t="s">
        <v>130</v>
      </c>
      <c r="F57" s="52"/>
      <c r="G57" s="58" t="s">
        <v>123</v>
      </c>
      <c r="H57">
        <v>41.56</v>
      </c>
      <c r="I57">
        <v>2.08</v>
      </c>
      <c r="J57" s="52"/>
      <c r="K57" s="17"/>
      <c r="L57" s="52"/>
      <c r="M57" s="52"/>
      <c r="N57" s="52"/>
      <c r="O57" s="19" t="str">
        <f>G57&amp;"_"&amp;TEXT(P57,"AAMMDD")</f>
        <v>V5_230927</v>
      </c>
      <c r="P57" s="53">
        <v>45196</v>
      </c>
      <c r="Q57" s="52"/>
      <c r="R57" s="27"/>
      <c r="S57" s="53"/>
      <c r="T57" s="52"/>
      <c r="U57" s="27"/>
      <c r="V57" s="25"/>
      <c r="W57" s="54"/>
      <c r="X57" s="17">
        <f>S57-P57</f>
        <v>-45196</v>
      </c>
      <c r="Y57" s="27"/>
      <c r="Z57" s="52"/>
      <c r="AA57" s="52"/>
      <c r="AB57" s="52"/>
      <c r="AC57" s="52"/>
      <c r="AD57" s="52"/>
      <c r="AE57" s="52"/>
      <c r="AF57"/>
    </row>
    <row r="58" spans="1:32" s="51" customFormat="1" x14ac:dyDescent="0.25">
      <c r="A58" s="17">
        <v>208</v>
      </c>
      <c r="B58" s="17" t="s">
        <v>58</v>
      </c>
      <c r="C58" s="17" t="s">
        <v>59</v>
      </c>
      <c r="D58" s="17" t="s">
        <v>60</v>
      </c>
      <c r="E58" s="52" t="s">
        <v>130</v>
      </c>
      <c r="F58" s="52"/>
      <c r="G58" s="58" t="s">
        <v>123</v>
      </c>
      <c r="H58">
        <v>41.56</v>
      </c>
      <c r="I58">
        <v>2.08</v>
      </c>
      <c r="J58" s="52"/>
      <c r="K58" s="17"/>
      <c r="L58" s="52"/>
      <c r="M58" s="52"/>
      <c r="N58" s="52"/>
      <c r="O58" s="19" t="str">
        <f>G58&amp;"_"&amp;TEXT(P58,"AAMMDD")</f>
        <v>V5_231004</v>
      </c>
      <c r="P58" s="53">
        <v>45203</v>
      </c>
      <c r="Q58" s="52"/>
      <c r="R58" s="27"/>
      <c r="S58" s="53"/>
      <c r="T58" s="52"/>
      <c r="U58" s="27"/>
      <c r="V58" s="25"/>
      <c r="W58" s="54"/>
      <c r="X58" s="17">
        <f>S58-P58</f>
        <v>-45203</v>
      </c>
      <c r="Y58" s="27"/>
      <c r="Z58" s="52"/>
      <c r="AA58" s="52"/>
      <c r="AB58" s="52"/>
      <c r="AC58" s="52"/>
      <c r="AD58" s="52"/>
      <c r="AE58" s="52"/>
      <c r="AF58"/>
    </row>
    <row r="59" spans="1:32" s="51" customFormat="1" x14ac:dyDescent="0.25">
      <c r="A59" s="17">
        <v>209</v>
      </c>
      <c r="B59" s="17" t="s">
        <v>58</v>
      </c>
      <c r="C59" s="17" t="s">
        <v>59</v>
      </c>
      <c r="D59" s="17" t="s">
        <v>60</v>
      </c>
      <c r="E59" s="52" t="s">
        <v>130</v>
      </c>
      <c r="F59" s="52"/>
      <c r="G59" s="58" t="s">
        <v>123</v>
      </c>
      <c r="H59">
        <v>41.56</v>
      </c>
      <c r="I59">
        <v>2.08</v>
      </c>
      <c r="J59" s="52"/>
      <c r="K59" s="17"/>
      <c r="L59" s="52"/>
      <c r="M59" s="52"/>
      <c r="N59" s="52"/>
      <c r="O59" s="19" t="str">
        <f>G59&amp;"_"&amp;TEXT(P59,"AAMMDD")</f>
        <v>V5_231010</v>
      </c>
      <c r="P59" s="53">
        <v>45209</v>
      </c>
      <c r="Q59" s="52"/>
      <c r="R59" s="27"/>
      <c r="S59" s="53"/>
      <c r="T59" s="52"/>
      <c r="U59" s="27"/>
      <c r="V59" s="25"/>
      <c r="W59" s="54"/>
      <c r="X59" s="17">
        <f>S59-P59</f>
        <v>-45209</v>
      </c>
      <c r="Y59" s="27"/>
      <c r="Z59" s="52"/>
      <c r="AA59" s="52"/>
      <c r="AB59" s="52"/>
      <c r="AC59" s="52"/>
      <c r="AD59" s="52"/>
      <c r="AE59" s="52"/>
      <c r="AF59"/>
    </row>
    <row r="60" spans="1:32" s="51" customFormat="1" x14ac:dyDescent="0.25">
      <c r="A60" s="17">
        <v>210</v>
      </c>
      <c r="B60" s="17" t="s">
        <v>58</v>
      </c>
      <c r="C60" s="17" t="s">
        <v>59</v>
      </c>
      <c r="D60" s="17" t="s">
        <v>60</v>
      </c>
      <c r="E60" s="52" t="s">
        <v>130</v>
      </c>
      <c r="F60" s="52"/>
      <c r="G60" s="58" t="s">
        <v>123</v>
      </c>
      <c r="H60">
        <v>41.56</v>
      </c>
      <c r="I60">
        <v>2.08</v>
      </c>
      <c r="J60" s="52"/>
      <c r="K60" s="17"/>
      <c r="L60" s="52"/>
      <c r="M60" s="52"/>
      <c r="N60" s="52"/>
      <c r="O60" s="19" t="str">
        <f>G60&amp;"_"&amp;TEXT(P60,"AAMMDD")</f>
        <v>V5_231020</v>
      </c>
      <c r="P60" s="53">
        <v>45219</v>
      </c>
      <c r="Q60" s="52"/>
      <c r="R60" s="27"/>
      <c r="S60" s="53"/>
      <c r="T60" s="52"/>
      <c r="U60" s="27"/>
      <c r="V60" s="25"/>
      <c r="W60" s="54"/>
      <c r="X60" s="17">
        <f>S60-P60</f>
        <v>-45219</v>
      </c>
      <c r="Y60" s="27"/>
      <c r="Z60" s="52"/>
      <c r="AA60" s="52"/>
      <c r="AB60" s="52"/>
      <c r="AC60" s="52"/>
      <c r="AD60" s="52"/>
      <c r="AE60" s="52"/>
      <c r="AF60"/>
    </row>
    <row r="61" spans="1:32" s="51" customFormat="1" x14ac:dyDescent="0.25">
      <c r="A61" s="17">
        <v>211</v>
      </c>
      <c r="B61" s="17" t="s">
        <v>58</v>
      </c>
      <c r="C61" s="17" t="s">
        <v>59</v>
      </c>
      <c r="D61" s="17" t="s">
        <v>60</v>
      </c>
      <c r="E61" s="52" t="s">
        <v>130</v>
      </c>
      <c r="F61" s="52"/>
      <c r="G61" s="58" t="s">
        <v>123</v>
      </c>
      <c r="H61">
        <v>41.56</v>
      </c>
      <c r="I61">
        <v>2.08</v>
      </c>
      <c r="J61" s="52"/>
      <c r="K61" s="17"/>
      <c r="L61" s="52"/>
      <c r="M61" s="52"/>
      <c r="N61" s="52"/>
      <c r="O61" s="19" t="str">
        <f>G61&amp;"_"&amp;TEXT(P61,"AAMMDD")</f>
        <v>V5_231027</v>
      </c>
      <c r="P61" s="53">
        <v>45226</v>
      </c>
      <c r="Q61" s="52"/>
      <c r="R61" s="27"/>
      <c r="S61" s="53"/>
      <c r="T61" s="52"/>
      <c r="U61" s="27"/>
      <c r="V61" s="25"/>
      <c r="W61" s="54"/>
      <c r="X61" s="17">
        <f>S61-P61</f>
        <v>-45226</v>
      </c>
      <c r="Y61" s="27"/>
      <c r="Z61" s="52"/>
      <c r="AA61" s="52"/>
      <c r="AB61" s="52"/>
      <c r="AC61" s="52"/>
      <c r="AD61" s="52"/>
      <c r="AE61" s="52"/>
      <c r="AF61"/>
    </row>
    <row r="62" spans="1:32" s="51" customFormat="1" x14ac:dyDescent="0.25">
      <c r="A62" s="17">
        <v>212</v>
      </c>
      <c r="B62" s="17" t="s">
        <v>58</v>
      </c>
      <c r="C62" s="17" t="s">
        <v>59</v>
      </c>
      <c r="D62" s="17" t="s">
        <v>60</v>
      </c>
      <c r="E62" s="52" t="s">
        <v>130</v>
      </c>
      <c r="F62" s="52"/>
      <c r="G62" s="54" t="s">
        <v>124</v>
      </c>
      <c r="H62">
        <v>41.56</v>
      </c>
      <c r="I62">
        <v>2.08</v>
      </c>
      <c r="J62" s="52"/>
      <c r="K62" s="17"/>
      <c r="L62" s="52"/>
      <c r="M62" s="52"/>
      <c r="N62" s="52"/>
      <c r="O62" s="19" t="str">
        <f>G62&amp;"_"&amp;TEXT(P62,"AAMMDD")</f>
        <v>V6_230920</v>
      </c>
      <c r="P62" s="53">
        <v>45189</v>
      </c>
      <c r="Q62" s="52"/>
      <c r="R62" s="27"/>
      <c r="S62" s="53"/>
      <c r="T62" s="52"/>
      <c r="U62" s="27"/>
      <c r="V62" s="25"/>
      <c r="W62" s="54"/>
      <c r="X62" s="17">
        <f>S62-P62</f>
        <v>-45189</v>
      </c>
      <c r="Y62" s="27"/>
      <c r="Z62" s="52"/>
      <c r="AA62" s="52"/>
      <c r="AB62" s="52"/>
      <c r="AC62" s="52"/>
      <c r="AD62" s="52"/>
      <c r="AE62" s="52"/>
      <c r="AF62"/>
    </row>
    <row r="63" spans="1:32" s="51" customFormat="1" x14ac:dyDescent="0.25">
      <c r="A63" s="17">
        <v>213</v>
      </c>
      <c r="B63" s="17" t="s">
        <v>58</v>
      </c>
      <c r="C63" s="17" t="s">
        <v>59</v>
      </c>
      <c r="D63" s="17" t="s">
        <v>60</v>
      </c>
      <c r="E63" s="52" t="s">
        <v>130</v>
      </c>
      <c r="F63" s="52"/>
      <c r="G63" s="54" t="s">
        <v>124</v>
      </c>
      <c r="H63">
        <v>41.56</v>
      </c>
      <c r="I63">
        <v>2.08</v>
      </c>
      <c r="J63" s="52"/>
      <c r="K63" s="17"/>
      <c r="L63" s="52"/>
      <c r="M63" s="52"/>
      <c r="N63" s="52"/>
      <c r="O63" s="19" t="str">
        <f>G63&amp;"_"&amp;TEXT(P63,"AAMMDD")</f>
        <v>V6_230927</v>
      </c>
      <c r="P63" s="53">
        <v>45196</v>
      </c>
      <c r="Q63" s="52"/>
      <c r="R63" s="27"/>
      <c r="S63" s="53"/>
      <c r="T63" s="52"/>
      <c r="U63" s="27"/>
      <c r="V63" s="25"/>
      <c r="W63" s="54"/>
      <c r="X63" s="17">
        <f>S63-P63</f>
        <v>-45196</v>
      </c>
      <c r="Y63" s="27"/>
      <c r="Z63" s="52"/>
      <c r="AA63" s="52"/>
      <c r="AB63" s="52"/>
      <c r="AC63" s="52"/>
      <c r="AD63" s="52"/>
      <c r="AE63" s="52"/>
      <c r="AF63"/>
    </row>
    <row r="64" spans="1:32" s="51" customFormat="1" x14ac:dyDescent="0.25">
      <c r="A64" s="17">
        <v>214</v>
      </c>
      <c r="B64" s="17" t="s">
        <v>58</v>
      </c>
      <c r="C64" s="17" t="s">
        <v>59</v>
      </c>
      <c r="D64" s="17" t="s">
        <v>60</v>
      </c>
      <c r="E64" s="52" t="s">
        <v>130</v>
      </c>
      <c r="F64" s="52"/>
      <c r="G64" s="54" t="s">
        <v>124</v>
      </c>
      <c r="H64">
        <v>41.56</v>
      </c>
      <c r="I64">
        <v>2.08</v>
      </c>
      <c r="J64" s="52"/>
      <c r="K64" s="17"/>
      <c r="L64" s="52"/>
      <c r="M64" s="52"/>
      <c r="N64" s="52"/>
      <c r="O64" s="19" t="str">
        <f>G64&amp;"_"&amp;TEXT(P64,"AAMMDD")</f>
        <v>V6_231004</v>
      </c>
      <c r="P64" s="53">
        <v>45203</v>
      </c>
      <c r="Q64" s="52"/>
      <c r="R64" s="27"/>
      <c r="S64" s="53"/>
      <c r="T64" s="52"/>
      <c r="U64" s="27"/>
      <c r="V64" s="25"/>
      <c r="W64" s="54"/>
      <c r="X64" s="17">
        <f>S64-P64</f>
        <v>-45203</v>
      </c>
      <c r="Y64" s="27"/>
      <c r="Z64" s="52"/>
      <c r="AA64" s="52"/>
      <c r="AB64" s="52"/>
      <c r="AC64" s="52"/>
      <c r="AD64" s="52"/>
      <c r="AE64" s="52"/>
      <c r="AF64"/>
    </row>
    <row r="65" spans="1:32" s="51" customFormat="1" x14ac:dyDescent="0.25">
      <c r="A65" s="17">
        <v>215</v>
      </c>
      <c r="B65" s="17" t="s">
        <v>58</v>
      </c>
      <c r="C65" s="17" t="s">
        <v>59</v>
      </c>
      <c r="D65" s="17" t="s">
        <v>60</v>
      </c>
      <c r="E65" s="52" t="s">
        <v>130</v>
      </c>
      <c r="F65" s="52"/>
      <c r="G65" s="54" t="s">
        <v>124</v>
      </c>
      <c r="H65">
        <v>41.56</v>
      </c>
      <c r="I65">
        <v>2.08</v>
      </c>
      <c r="J65" s="52"/>
      <c r="K65" s="17"/>
      <c r="L65" s="52"/>
      <c r="M65" s="52"/>
      <c r="N65" s="52"/>
      <c r="O65" s="19" t="str">
        <f>G65&amp;"_"&amp;TEXT(P65,"AAMMDD")</f>
        <v>V6_231011</v>
      </c>
      <c r="P65" s="53">
        <v>45210</v>
      </c>
      <c r="Q65" s="52"/>
      <c r="R65" s="27"/>
      <c r="S65" s="53"/>
      <c r="T65" s="52"/>
      <c r="U65" s="27"/>
      <c r="V65" s="25"/>
      <c r="W65" s="54"/>
      <c r="X65" s="17">
        <f>S65-P65</f>
        <v>-45210</v>
      </c>
      <c r="Y65" s="27"/>
      <c r="Z65" s="52"/>
      <c r="AA65" s="52"/>
      <c r="AB65" s="52"/>
      <c r="AC65" s="52"/>
      <c r="AD65" s="52"/>
      <c r="AE65" s="52"/>
      <c r="AF65"/>
    </row>
    <row r="66" spans="1:32" s="51" customFormat="1" x14ac:dyDescent="0.25">
      <c r="A66" s="17">
        <v>216</v>
      </c>
      <c r="B66" s="17" t="s">
        <v>58</v>
      </c>
      <c r="C66" s="17" t="s">
        <v>59</v>
      </c>
      <c r="D66" s="17" t="s">
        <v>60</v>
      </c>
      <c r="E66" s="52" t="s">
        <v>130</v>
      </c>
      <c r="F66" s="52"/>
      <c r="G66" s="54" t="s">
        <v>124</v>
      </c>
      <c r="H66">
        <v>41.56</v>
      </c>
      <c r="I66">
        <v>2.08</v>
      </c>
      <c r="J66" s="52"/>
      <c r="K66" s="17"/>
      <c r="L66" s="52"/>
      <c r="M66" s="52"/>
      <c r="N66" s="52"/>
      <c r="O66" s="19" t="str">
        <f>G66&amp;"_"&amp;TEXT(P66,"AAMMDD")</f>
        <v>V6_231020</v>
      </c>
      <c r="P66" s="53">
        <v>45219</v>
      </c>
      <c r="Q66" s="52"/>
      <c r="R66" s="27"/>
      <c r="S66" s="53"/>
      <c r="T66" s="52"/>
      <c r="U66" s="27"/>
      <c r="V66" s="25"/>
      <c r="W66" s="54"/>
      <c r="X66" s="17">
        <f>S66-P66</f>
        <v>-45219</v>
      </c>
      <c r="Y66" s="27"/>
      <c r="Z66" s="52"/>
      <c r="AA66" s="52"/>
      <c r="AB66" s="52"/>
      <c r="AC66" s="52"/>
      <c r="AD66" s="52"/>
      <c r="AE66" s="52"/>
      <c r="AF66"/>
    </row>
    <row r="67" spans="1:32" s="51" customFormat="1" x14ac:dyDescent="0.25">
      <c r="A67" s="17">
        <v>217</v>
      </c>
      <c r="B67" s="17" t="s">
        <v>58</v>
      </c>
      <c r="C67" s="17" t="s">
        <v>59</v>
      </c>
      <c r="D67" s="17" t="s">
        <v>60</v>
      </c>
      <c r="E67" s="52" t="s">
        <v>130</v>
      </c>
      <c r="F67" s="52"/>
      <c r="G67" s="54" t="s">
        <v>124</v>
      </c>
      <c r="H67">
        <v>41.56</v>
      </c>
      <c r="I67">
        <v>2.08</v>
      </c>
      <c r="J67" s="52"/>
      <c r="K67" s="17"/>
      <c r="L67" s="52"/>
      <c r="M67" s="52"/>
      <c r="N67" s="52"/>
      <c r="O67" s="19" t="str">
        <f>G67&amp;"_"&amp;TEXT(P67,"AAMMDD")</f>
        <v>V6_231027</v>
      </c>
      <c r="P67" s="53">
        <v>45226</v>
      </c>
      <c r="Q67" s="52"/>
      <c r="R67" s="27"/>
      <c r="S67" s="53"/>
      <c r="T67" s="52"/>
      <c r="U67" s="27"/>
      <c r="V67" s="25"/>
      <c r="W67" s="54"/>
      <c r="X67" s="17">
        <f>S67-P67</f>
        <v>-45226</v>
      </c>
      <c r="Y67" s="27"/>
      <c r="Z67" s="52"/>
      <c r="AA67" s="52"/>
      <c r="AB67" s="52"/>
      <c r="AC67" s="52"/>
      <c r="AD67" s="52"/>
      <c r="AE67" s="52"/>
      <c r="AF67"/>
    </row>
    <row r="68" spans="1:32" s="51" customFormat="1" x14ac:dyDescent="0.25">
      <c r="A68" s="17">
        <v>218</v>
      </c>
      <c r="B68" s="17" t="s">
        <v>58</v>
      </c>
      <c r="C68" s="17" t="s">
        <v>59</v>
      </c>
      <c r="D68" s="17" t="s">
        <v>60</v>
      </c>
      <c r="E68" s="52" t="s">
        <v>131</v>
      </c>
      <c r="F68" s="52"/>
      <c r="G68" s="54" t="s">
        <v>125</v>
      </c>
      <c r="H68">
        <v>41.54</v>
      </c>
      <c r="I68">
        <v>2.31</v>
      </c>
      <c r="J68" s="52"/>
      <c r="K68" s="17"/>
      <c r="L68" s="52"/>
      <c r="M68" s="52"/>
      <c r="N68" s="52"/>
      <c r="O68" s="19" t="str">
        <f>G68&amp;"_"&amp;TEXT(P68,"AAMMDD")</f>
        <v>V7_230919</v>
      </c>
      <c r="P68" s="53">
        <v>45188</v>
      </c>
      <c r="Q68" s="52"/>
      <c r="R68" s="27"/>
      <c r="S68" s="53"/>
      <c r="T68" s="52"/>
      <c r="U68" s="27"/>
      <c r="V68" s="25"/>
      <c r="W68" s="54"/>
      <c r="X68" s="17">
        <f>S68-P68</f>
        <v>-45188</v>
      </c>
      <c r="Y68" s="27"/>
      <c r="Z68" s="52"/>
      <c r="AA68" s="52"/>
      <c r="AB68" s="52"/>
      <c r="AC68" s="52"/>
      <c r="AD68" s="52"/>
      <c r="AE68" s="52"/>
      <c r="AF68"/>
    </row>
    <row r="69" spans="1:32" s="51" customFormat="1" x14ac:dyDescent="0.25">
      <c r="A69" s="17">
        <v>219</v>
      </c>
      <c r="B69" s="17" t="s">
        <v>58</v>
      </c>
      <c r="C69" s="17" t="s">
        <v>59</v>
      </c>
      <c r="D69" s="17" t="s">
        <v>60</v>
      </c>
      <c r="E69" s="52" t="s">
        <v>131</v>
      </c>
      <c r="F69" s="52"/>
      <c r="G69" s="54" t="s">
        <v>125</v>
      </c>
      <c r="H69">
        <v>41.54</v>
      </c>
      <c r="I69">
        <v>2.31</v>
      </c>
      <c r="J69" s="52"/>
      <c r="K69" s="17"/>
      <c r="L69" s="52"/>
      <c r="M69" s="52"/>
      <c r="N69" s="52"/>
      <c r="O69" s="19" t="str">
        <f>G69&amp;"_"&amp;TEXT(P69,"AAMMDD")</f>
        <v>V7_230927</v>
      </c>
      <c r="P69" s="53">
        <v>45196</v>
      </c>
      <c r="Q69" s="52"/>
      <c r="R69" s="27"/>
      <c r="S69" s="53"/>
      <c r="T69" s="52"/>
      <c r="U69" s="27"/>
      <c r="V69" s="25"/>
      <c r="W69" s="54"/>
      <c r="X69" s="17">
        <f>S69-P69</f>
        <v>-45196</v>
      </c>
      <c r="Y69" s="27"/>
      <c r="Z69" s="52"/>
      <c r="AA69" s="52"/>
      <c r="AB69" s="52"/>
      <c r="AC69" s="52"/>
      <c r="AD69" s="52"/>
      <c r="AE69" s="52"/>
      <c r="AF69"/>
    </row>
    <row r="70" spans="1:32" s="51" customFormat="1" x14ac:dyDescent="0.25">
      <c r="A70" s="17">
        <v>220</v>
      </c>
      <c r="B70" s="17" t="s">
        <v>58</v>
      </c>
      <c r="C70" s="17" t="s">
        <v>59</v>
      </c>
      <c r="D70" s="17" t="s">
        <v>60</v>
      </c>
      <c r="E70" s="52" t="s">
        <v>131</v>
      </c>
      <c r="F70" s="52"/>
      <c r="G70" s="54" t="s">
        <v>125</v>
      </c>
      <c r="H70">
        <v>41.54</v>
      </c>
      <c r="I70">
        <v>2.31</v>
      </c>
      <c r="J70" s="52"/>
      <c r="K70" s="17"/>
      <c r="L70" s="52"/>
      <c r="M70" s="52"/>
      <c r="N70" s="52"/>
      <c r="O70" s="19" t="str">
        <f>G70&amp;"_"&amp;TEXT(P70,"AAMMDD")</f>
        <v>V7_231003</v>
      </c>
      <c r="P70" s="53">
        <v>45202</v>
      </c>
      <c r="Q70" s="52"/>
      <c r="R70" s="27"/>
      <c r="S70" s="53"/>
      <c r="T70" s="52"/>
      <c r="U70" s="27"/>
      <c r="V70" s="25"/>
      <c r="W70" s="54"/>
      <c r="X70" s="17">
        <f>S70-P70</f>
        <v>-45202</v>
      </c>
      <c r="Y70" s="27"/>
      <c r="Z70" s="52"/>
      <c r="AA70" s="52"/>
      <c r="AB70" s="52"/>
      <c r="AC70" s="52"/>
      <c r="AD70" s="52"/>
      <c r="AE70" s="52"/>
      <c r="AF70"/>
    </row>
    <row r="71" spans="1:32" s="51" customFormat="1" x14ac:dyDescent="0.25">
      <c r="A71" s="17">
        <v>221</v>
      </c>
      <c r="B71" s="17" t="s">
        <v>58</v>
      </c>
      <c r="C71" s="17" t="s">
        <v>59</v>
      </c>
      <c r="D71" s="17" t="s">
        <v>60</v>
      </c>
      <c r="E71" s="52" t="s">
        <v>131</v>
      </c>
      <c r="F71" s="52"/>
      <c r="G71" s="54" t="s">
        <v>125</v>
      </c>
      <c r="H71">
        <v>41.54</v>
      </c>
      <c r="I71">
        <v>2.31</v>
      </c>
      <c r="J71" s="52"/>
      <c r="K71" s="17"/>
      <c r="L71" s="52"/>
      <c r="M71" s="52"/>
      <c r="N71" s="52"/>
      <c r="O71" s="19" t="str">
        <f>G71&amp;"_"&amp;TEXT(P71,"AAMMDD")</f>
        <v>V7_231010</v>
      </c>
      <c r="P71" s="53">
        <v>45209</v>
      </c>
      <c r="Q71" s="52"/>
      <c r="R71" s="27"/>
      <c r="S71" s="53"/>
      <c r="T71" s="52"/>
      <c r="U71" s="27"/>
      <c r="V71" s="25"/>
      <c r="W71" s="54"/>
      <c r="X71" s="17">
        <f>S71-P71</f>
        <v>-45209</v>
      </c>
      <c r="Y71" s="27"/>
      <c r="Z71" s="52"/>
      <c r="AA71" s="52"/>
      <c r="AB71" s="52"/>
      <c r="AC71" s="52"/>
      <c r="AD71" s="52"/>
      <c r="AE71" s="52"/>
      <c r="AF71"/>
    </row>
    <row r="72" spans="1:32" s="51" customFormat="1" x14ac:dyDescent="0.25">
      <c r="A72" s="17">
        <v>222</v>
      </c>
      <c r="B72" s="17" t="s">
        <v>58</v>
      </c>
      <c r="C72" s="17" t="s">
        <v>59</v>
      </c>
      <c r="D72" s="17" t="s">
        <v>60</v>
      </c>
      <c r="E72" s="52" t="s">
        <v>131</v>
      </c>
      <c r="F72" s="52"/>
      <c r="G72" s="54" t="s">
        <v>125</v>
      </c>
      <c r="H72">
        <v>41.54</v>
      </c>
      <c r="I72">
        <v>2.31</v>
      </c>
      <c r="J72" s="52"/>
      <c r="K72" s="17"/>
      <c r="L72" s="52"/>
      <c r="M72" s="52"/>
      <c r="N72" s="52"/>
      <c r="O72" s="19" t="str">
        <f>G72&amp;"_"&amp;TEXT(P72,"AAMMDD")</f>
        <v>V7_231017</v>
      </c>
      <c r="P72" s="53">
        <v>45216</v>
      </c>
      <c r="Q72" s="52"/>
      <c r="R72" s="27"/>
      <c r="S72" s="53"/>
      <c r="T72" s="52"/>
      <c r="U72" s="27"/>
      <c r="V72" s="25"/>
      <c r="W72" s="54"/>
      <c r="X72" s="17">
        <f>S72-P72</f>
        <v>-45216</v>
      </c>
      <c r="Y72" s="27"/>
      <c r="Z72" s="52"/>
      <c r="AA72" s="52"/>
      <c r="AB72" s="52"/>
      <c r="AC72" s="52"/>
      <c r="AD72" s="52"/>
      <c r="AE72" s="52"/>
      <c r="AF72"/>
    </row>
    <row r="73" spans="1:32" s="51" customFormat="1" x14ac:dyDescent="0.25">
      <c r="A73" s="17">
        <v>223</v>
      </c>
      <c r="B73" s="17" t="s">
        <v>58</v>
      </c>
      <c r="C73" s="17" t="s">
        <v>59</v>
      </c>
      <c r="D73" s="17" t="s">
        <v>60</v>
      </c>
      <c r="E73" s="52" t="s">
        <v>131</v>
      </c>
      <c r="F73" s="52"/>
      <c r="G73" s="54" t="s">
        <v>125</v>
      </c>
      <c r="H73">
        <v>41.54</v>
      </c>
      <c r="I73">
        <v>2.31</v>
      </c>
      <c r="J73" s="52"/>
      <c r="K73" s="17"/>
      <c r="L73" s="52"/>
      <c r="M73" s="52"/>
      <c r="N73" s="52"/>
      <c r="O73" s="19" t="str">
        <f>G73&amp;"_"&amp;TEXT(P73,"AAMMDD")</f>
        <v>V7_231024</v>
      </c>
      <c r="P73" s="53">
        <v>45223</v>
      </c>
      <c r="Q73" s="52"/>
      <c r="R73" s="27"/>
      <c r="S73" s="53"/>
      <c r="T73" s="52"/>
      <c r="U73" s="27"/>
      <c r="V73" s="25"/>
      <c r="W73" s="54"/>
      <c r="X73" s="17">
        <f>S73-P73</f>
        <v>-45223</v>
      </c>
      <c r="Y73" s="27"/>
      <c r="Z73" s="52"/>
      <c r="AA73" s="52"/>
      <c r="AB73" s="52"/>
      <c r="AC73" s="52"/>
      <c r="AD73" s="52"/>
      <c r="AE73" s="52"/>
      <c r="AF73"/>
    </row>
    <row r="74" spans="1:32" s="51" customFormat="1" x14ac:dyDescent="0.25">
      <c r="A74" s="17">
        <v>224</v>
      </c>
      <c r="B74" s="17" t="s">
        <v>58</v>
      </c>
      <c r="C74" s="17" t="s">
        <v>59</v>
      </c>
      <c r="D74" s="17" t="s">
        <v>60</v>
      </c>
      <c r="E74" s="52" t="s">
        <v>131</v>
      </c>
      <c r="F74" s="52"/>
      <c r="G74" s="58" t="s">
        <v>126</v>
      </c>
      <c r="H74">
        <v>41.55</v>
      </c>
      <c r="I74">
        <v>2.31</v>
      </c>
      <c r="J74" s="52"/>
      <c r="K74" s="17"/>
      <c r="L74" s="52"/>
      <c r="M74" s="52"/>
      <c r="N74" s="52"/>
      <c r="O74" s="19" t="str">
        <f>G74&amp;"_"&amp;TEXT(P74,"AAMMDD")</f>
        <v>V8_230919</v>
      </c>
      <c r="P74" s="53">
        <v>45188</v>
      </c>
      <c r="Q74" s="52"/>
      <c r="R74" s="27"/>
      <c r="S74" s="53"/>
      <c r="T74" s="52"/>
      <c r="U74" s="27"/>
      <c r="V74" s="25"/>
      <c r="W74" s="54"/>
      <c r="X74" s="17">
        <f>S74-P74</f>
        <v>-45188</v>
      </c>
      <c r="Y74" s="27"/>
      <c r="Z74" s="52"/>
      <c r="AA74" s="52"/>
      <c r="AB74" s="52"/>
      <c r="AC74" s="52"/>
      <c r="AD74" s="52"/>
      <c r="AE74" s="52"/>
      <c r="AF74"/>
    </row>
    <row r="75" spans="1:32" s="51" customFormat="1" x14ac:dyDescent="0.25">
      <c r="A75" s="17">
        <v>225</v>
      </c>
      <c r="B75" s="17" t="s">
        <v>58</v>
      </c>
      <c r="C75" s="17" t="s">
        <v>59</v>
      </c>
      <c r="D75" s="17" t="s">
        <v>60</v>
      </c>
      <c r="E75" s="52" t="s">
        <v>60</v>
      </c>
      <c r="F75" s="52"/>
      <c r="G75" s="58" t="s">
        <v>127</v>
      </c>
      <c r="H75">
        <v>41.46</v>
      </c>
      <c r="I75">
        <v>2.0499999999999998</v>
      </c>
      <c r="J75" s="52"/>
      <c r="K75" s="17"/>
      <c r="L75" s="52"/>
      <c r="M75" s="52"/>
      <c r="N75" s="52"/>
      <c r="O75" s="19" t="str">
        <f>G75&amp;"_"&amp;TEXT(P75,"AAMMDD")</f>
        <v>V9_230920</v>
      </c>
      <c r="P75" s="53">
        <v>45189</v>
      </c>
      <c r="Q75" s="52"/>
      <c r="R75" s="27"/>
      <c r="S75" s="53"/>
      <c r="T75" s="52"/>
      <c r="U75" s="27"/>
      <c r="V75" s="25"/>
      <c r="W75" s="54"/>
      <c r="X75" s="17">
        <f>S75-P75</f>
        <v>-45189</v>
      </c>
      <c r="Y75" s="27"/>
      <c r="Z75" s="52"/>
      <c r="AA75" s="52"/>
      <c r="AB75" s="52"/>
      <c r="AC75" s="52"/>
      <c r="AD75" s="52"/>
      <c r="AE75" s="52"/>
      <c r="AF75"/>
    </row>
    <row r="76" spans="1:32" s="51" customFormat="1" x14ac:dyDescent="0.25">
      <c r="A76" s="17">
        <v>226</v>
      </c>
      <c r="B76" s="17" t="s">
        <v>58</v>
      </c>
      <c r="C76" s="17" t="s">
        <v>59</v>
      </c>
      <c r="D76" s="17" t="s">
        <v>60</v>
      </c>
      <c r="E76" s="52" t="s">
        <v>60</v>
      </c>
      <c r="F76" s="52"/>
      <c r="G76" s="58" t="s">
        <v>127</v>
      </c>
      <c r="H76">
        <v>41.46</v>
      </c>
      <c r="I76">
        <v>2.0499999999999998</v>
      </c>
      <c r="J76" s="52"/>
      <c r="K76" s="17"/>
      <c r="L76" s="52"/>
      <c r="M76" s="52"/>
      <c r="N76" s="52"/>
      <c r="O76" s="19" t="str">
        <f t="shared" ref="O76:O86" si="1">G76&amp;"_"&amp;TEXT(P76,"AAMMDD")</f>
        <v>V9_230929</v>
      </c>
      <c r="P76" s="53">
        <v>45198</v>
      </c>
      <c r="Q76" s="52"/>
      <c r="R76" s="27"/>
      <c r="S76" s="53"/>
      <c r="T76" s="52"/>
      <c r="U76" s="27"/>
      <c r="V76" s="25"/>
      <c r="W76" s="54"/>
      <c r="X76" s="17">
        <f>S76-P76</f>
        <v>-45198</v>
      </c>
      <c r="Y76" s="27"/>
      <c r="Z76" s="52"/>
      <c r="AA76" s="52"/>
      <c r="AB76" s="52"/>
      <c r="AC76" s="52"/>
      <c r="AD76" s="52"/>
      <c r="AE76" s="52"/>
      <c r="AF76"/>
    </row>
    <row r="77" spans="1:32" s="51" customFormat="1" x14ac:dyDescent="0.25">
      <c r="A77" s="17">
        <v>227</v>
      </c>
      <c r="B77" s="17" t="s">
        <v>58</v>
      </c>
      <c r="C77" s="17" t="s">
        <v>59</v>
      </c>
      <c r="D77" s="17" t="s">
        <v>60</v>
      </c>
      <c r="E77" s="52" t="s">
        <v>60</v>
      </c>
      <c r="F77" s="52"/>
      <c r="G77" s="58" t="s">
        <v>127</v>
      </c>
      <c r="H77">
        <v>41.46</v>
      </c>
      <c r="I77">
        <v>2.0499999999999998</v>
      </c>
      <c r="J77" s="52"/>
      <c r="K77" s="17"/>
      <c r="L77" s="52"/>
      <c r="M77" s="52"/>
      <c r="N77" s="52"/>
      <c r="O77" s="19" t="str">
        <f t="shared" si="1"/>
        <v>V9_231004</v>
      </c>
      <c r="P77" s="53">
        <v>45203</v>
      </c>
      <c r="Q77" s="52"/>
      <c r="R77" s="27"/>
      <c r="S77" s="53"/>
      <c r="T77" s="52"/>
      <c r="U77" s="27"/>
      <c r="V77" s="25"/>
      <c r="W77" s="54"/>
      <c r="X77" s="17">
        <f>S77-P77</f>
        <v>-45203</v>
      </c>
      <c r="Y77" s="27"/>
      <c r="Z77" s="52"/>
      <c r="AA77" s="52"/>
      <c r="AB77" s="52"/>
      <c r="AC77" s="52"/>
      <c r="AD77" s="52"/>
      <c r="AE77" s="52"/>
      <c r="AF77"/>
    </row>
    <row r="78" spans="1:32" s="51" customFormat="1" x14ac:dyDescent="0.25">
      <c r="A78" s="17">
        <v>228</v>
      </c>
      <c r="B78" s="17" t="s">
        <v>58</v>
      </c>
      <c r="C78" s="17" t="s">
        <v>59</v>
      </c>
      <c r="D78" s="17" t="s">
        <v>60</v>
      </c>
      <c r="E78" s="52" t="s">
        <v>60</v>
      </c>
      <c r="F78" s="52"/>
      <c r="G78" s="58" t="s">
        <v>127</v>
      </c>
      <c r="H78">
        <v>41.46</v>
      </c>
      <c r="I78">
        <v>2.0499999999999998</v>
      </c>
      <c r="J78" s="52"/>
      <c r="K78" s="17"/>
      <c r="L78" s="52"/>
      <c r="M78" s="52"/>
      <c r="N78" s="52"/>
      <c r="O78" s="19" t="str">
        <f t="shared" si="1"/>
        <v>V9_231011</v>
      </c>
      <c r="P78" s="53">
        <v>45210</v>
      </c>
      <c r="Q78" s="52"/>
      <c r="R78" s="27"/>
      <c r="S78" s="53"/>
      <c r="T78" s="52"/>
      <c r="U78" s="27"/>
      <c r="V78" s="25"/>
      <c r="W78" s="54"/>
      <c r="X78" s="17">
        <f>S78-P78</f>
        <v>-45210</v>
      </c>
      <c r="Y78" s="27"/>
      <c r="Z78" s="52"/>
      <c r="AA78" s="52"/>
      <c r="AB78" s="52"/>
      <c r="AC78" s="52"/>
      <c r="AD78" s="52"/>
      <c r="AE78" s="52"/>
      <c r="AF78"/>
    </row>
    <row r="79" spans="1:32" s="51" customFormat="1" x14ac:dyDescent="0.25">
      <c r="A79" s="17">
        <v>229</v>
      </c>
      <c r="B79" s="17" t="s">
        <v>58</v>
      </c>
      <c r="C79" s="17" t="s">
        <v>59</v>
      </c>
      <c r="D79" s="17" t="s">
        <v>60</v>
      </c>
      <c r="E79" s="52" t="s">
        <v>60</v>
      </c>
      <c r="F79" s="52"/>
      <c r="G79" s="58" t="s">
        <v>128</v>
      </c>
      <c r="H79" s="56">
        <v>41.41</v>
      </c>
      <c r="I79" s="56">
        <v>2.15</v>
      </c>
      <c r="J79" s="52"/>
      <c r="K79" s="17"/>
      <c r="L79" s="52"/>
      <c r="M79" s="52"/>
      <c r="N79" s="52"/>
      <c r="O79" s="19" t="str">
        <f t="shared" si="1"/>
        <v>V10_230928</v>
      </c>
      <c r="P79" s="53">
        <v>45197</v>
      </c>
      <c r="Q79" s="52"/>
      <c r="R79" s="27"/>
      <c r="S79" s="53"/>
      <c r="T79" s="52"/>
      <c r="U79" s="27"/>
      <c r="V79" s="25"/>
      <c r="W79" s="54"/>
      <c r="X79" s="17">
        <f>S80-S79</f>
        <v>0</v>
      </c>
      <c r="Y79" s="27"/>
      <c r="Z79" s="52"/>
      <c r="AA79" s="52"/>
      <c r="AB79" s="52"/>
      <c r="AC79" s="52"/>
      <c r="AD79" s="52"/>
      <c r="AE79" s="52"/>
      <c r="AF79"/>
    </row>
    <row r="80" spans="1:32" s="51" customFormat="1" x14ac:dyDescent="0.25">
      <c r="B80" s="17" t="s">
        <v>58</v>
      </c>
      <c r="C80" s="17" t="s">
        <v>59</v>
      </c>
      <c r="D80" s="17" t="s">
        <v>60</v>
      </c>
      <c r="E80" s="52" t="s">
        <v>60</v>
      </c>
      <c r="F80" s="52"/>
      <c r="G80" s="58" t="s">
        <v>128</v>
      </c>
      <c r="H80" s="56">
        <v>41.41</v>
      </c>
      <c r="I80" s="56">
        <v>2.15</v>
      </c>
      <c r="J80" s="52"/>
      <c r="K80" s="17"/>
      <c r="L80" s="52"/>
      <c r="M80" s="52"/>
      <c r="N80" s="52"/>
      <c r="O80" s="19" t="str">
        <f t="shared" si="1"/>
        <v>V10_230929</v>
      </c>
      <c r="P80" s="53">
        <v>45198</v>
      </c>
      <c r="Q80" s="52"/>
      <c r="S80" s="53"/>
      <c r="T80" s="52"/>
      <c r="U80" s="52"/>
      <c r="V80" s="52"/>
      <c r="W80" s="54"/>
      <c r="X80" s="52"/>
      <c r="Y80" s="52"/>
      <c r="Z80" s="52"/>
      <c r="AA80" s="52"/>
      <c r="AB80" s="52"/>
      <c r="AC80" s="52"/>
      <c r="AD80" s="52"/>
      <c r="AE80" s="52"/>
      <c r="AF80"/>
    </row>
    <row r="81" spans="2:31" s="51" customFormat="1" x14ac:dyDescent="0.25">
      <c r="B81" s="17" t="s">
        <v>58</v>
      </c>
      <c r="C81" s="17" t="s">
        <v>59</v>
      </c>
      <c r="D81" s="17" t="s">
        <v>60</v>
      </c>
      <c r="E81" s="52" t="s">
        <v>60</v>
      </c>
      <c r="F81" s="52"/>
      <c r="G81" t="s">
        <v>133</v>
      </c>
      <c r="H81">
        <v>41.500172540000001</v>
      </c>
      <c r="I81">
        <v>2.1070772500000001</v>
      </c>
      <c r="J81" s="52"/>
      <c r="K81" s="52"/>
      <c r="L81" s="52"/>
      <c r="M81" s="52"/>
      <c r="N81" s="52"/>
      <c r="O81" s="19" t="str">
        <f t="shared" si="1"/>
        <v>S1_230908</v>
      </c>
      <c r="P81" s="53">
        <v>45177</v>
      </c>
      <c r="Q81" s="52"/>
      <c r="R81" s="52"/>
      <c r="S81" s="53"/>
      <c r="T81" s="52"/>
      <c r="U81" s="52"/>
      <c r="V81" s="52"/>
      <c r="W81" s="54"/>
      <c r="X81" s="52"/>
      <c r="Y81" s="52"/>
      <c r="Z81" s="52"/>
      <c r="AA81" s="52"/>
      <c r="AB81" s="52"/>
      <c r="AC81" s="52"/>
      <c r="AD81" s="52"/>
      <c r="AE81" s="52"/>
    </row>
    <row r="82" spans="2:31" s="51" customFormat="1" x14ac:dyDescent="0.25">
      <c r="B82" s="17" t="s">
        <v>58</v>
      </c>
      <c r="C82" s="17" t="s">
        <v>59</v>
      </c>
      <c r="D82" s="17" t="s">
        <v>60</v>
      </c>
      <c r="E82" s="52" t="s">
        <v>60</v>
      </c>
      <c r="F82" s="52"/>
      <c r="G82" t="s">
        <v>133</v>
      </c>
      <c r="H82">
        <v>41.500172540000001</v>
      </c>
      <c r="I82">
        <v>2.1070772500000001</v>
      </c>
      <c r="J82" s="52"/>
      <c r="K82" s="52"/>
      <c r="L82" s="52"/>
      <c r="M82" s="52"/>
      <c r="N82" s="52"/>
      <c r="O82" s="19" t="str">
        <f t="shared" si="1"/>
        <v>S1_230918</v>
      </c>
      <c r="P82" s="53">
        <v>45187</v>
      </c>
      <c r="Q82" s="52"/>
      <c r="R82" s="52"/>
      <c r="S82" s="53"/>
      <c r="T82" s="52"/>
      <c r="U82" s="52"/>
      <c r="V82" s="52"/>
      <c r="W82" s="54"/>
      <c r="X82" s="52"/>
      <c r="Y82" s="52"/>
      <c r="Z82" s="52"/>
      <c r="AA82" s="52"/>
      <c r="AB82" s="52"/>
      <c r="AC82" s="52"/>
      <c r="AD82" s="52"/>
      <c r="AE82" s="52"/>
    </row>
    <row r="83" spans="2:31" s="51" customFormat="1" x14ac:dyDescent="0.25">
      <c r="B83" s="17" t="s">
        <v>58</v>
      </c>
      <c r="C83" s="17" t="s">
        <v>59</v>
      </c>
      <c r="D83" s="17" t="s">
        <v>60</v>
      </c>
      <c r="E83" s="52" t="s">
        <v>60</v>
      </c>
      <c r="F83" s="52"/>
      <c r="G83" t="s">
        <v>134</v>
      </c>
      <c r="H83">
        <v>41.360565680000001</v>
      </c>
      <c r="I83">
        <v>2.0884348290000001</v>
      </c>
      <c r="J83" s="52"/>
      <c r="K83" s="52"/>
      <c r="L83" s="52"/>
      <c r="M83" s="52"/>
      <c r="N83" s="52"/>
      <c r="O83" s="19" t="str">
        <f t="shared" si="1"/>
        <v>S2_230908</v>
      </c>
      <c r="P83" s="53">
        <v>45177</v>
      </c>
      <c r="Q83" s="52"/>
      <c r="R83" s="52"/>
      <c r="S83" s="53"/>
      <c r="T83" s="52"/>
      <c r="U83" s="52"/>
      <c r="V83" s="52"/>
      <c r="W83" s="54"/>
      <c r="X83" s="52"/>
      <c r="Y83" s="52"/>
      <c r="Z83" s="52"/>
      <c r="AA83" s="52"/>
      <c r="AB83" s="52"/>
      <c r="AC83" s="52"/>
      <c r="AD83" s="52"/>
      <c r="AE83" s="52"/>
    </row>
    <row r="84" spans="2:31" s="51" customFormat="1" x14ac:dyDescent="0.25">
      <c r="B84" s="17" t="s">
        <v>58</v>
      </c>
      <c r="C84" s="17" t="s">
        <v>59</v>
      </c>
      <c r="D84" s="17" t="s">
        <v>60</v>
      </c>
      <c r="E84" s="52" t="s">
        <v>60</v>
      </c>
      <c r="F84" s="52"/>
      <c r="G84" t="s">
        <v>134</v>
      </c>
      <c r="H84">
        <v>41.360565680000001</v>
      </c>
      <c r="I84">
        <v>2.0884348290000001</v>
      </c>
      <c r="J84" s="52"/>
      <c r="K84" s="52"/>
      <c r="L84" s="52"/>
      <c r="M84" s="52"/>
      <c r="N84" s="52"/>
      <c r="O84" s="19" t="str">
        <f t="shared" si="1"/>
        <v>S2_230918</v>
      </c>
      <c r="P84" s="53">
        <v>45187</v>
      </c>
      <c r="Q84" s="52"/>
      <c r="R84" s="52"/>
      <c r="S84" s="53"/>
      <c r="T84" s="52"/>
      <c r="U84" s="52"/>
      <c r="V84" s="52"/>
      <c r="W84" s="54"/>
      <c r="X84" s="52"/>
      <c r="Y84" s="52"/>
      <c r="Z84" s="52"/>
      <c r="AA84" s="52"/>
      <c r="AB84" s="52"/>
      <c r="AC84" s="52"/>
      <c r="AD84" s="52"/>
      <c r="AE84" s="52"/>
    </row>
    <row r="85" spans="2:31" s="51" customFormat="1" x14ac:dyDescent="0.25">
      <c r="B85" s="17" t="s">
        <v>58</v>
      </c>
      <c r="C85" s="17" t="s">
        <v>59</v>
      </c>
      <c r="D85" s="17" t="s">
        <v>60</v>
      </c>
      <c r="E85" s="52" t="s">
        <v>60</v>
      </c>
      <c r="F85" s="52"/>
      <c r="G85" t="s">
        <v>134</v>
      </c>
      <c r="H85">
        <v>41.360565680000001</v>
      </c>
      <c r="I85">
        <v>2.0884348290000001</v>
      </c>
      <c r="J85" s="52"/>
      <c r="K85" s="52"/>
      <c r="L85" s="52"/>
      <c r="M85" s="52"/>
      <c r="N85" s="52"/>
      <c r="O85" s="19" t="str">
        <f t="shared" si="1"/>
        <v>S2_231012</v>
      </c>
      <c r="P85" s="53">
        <v>45211</v>
      </c>
      <c r="Q85" s="52"/>
      <c r="R85" s="52"/>
      <c r="S85" s="53"/>
      <c r="T85" s="52"/>
      <c r="U85" s="52"/>
      <c r="V85" s="52"/>
      <c r="W85" s="54"/>
      <c r="X85" s="52"/>
      <c r="Y85" s="52"/>
      <c r="Z85" s="52"/>
      <c r="AA85" s="52"/>
      <c r="AB85" s="52"/>
      <c r="AC85" s="52"/>
      <c r="AD85" s="52"/>
      <c r="AE85" s="52"/>
    </row>
    <row r="86" spans="2:31" s="51" customFormat="1" x14ac:dyDescent="0.25">
      <c r="B86" s="17" t="s">
        <v>58</v>
      </c>
      <c r="C86" s="17" t="s">
        <v>59</v>
      </c>
      <c r="D86" s="17" t="s">
        <v>60</v>
      </c>
      <c r="E86" s="52" t="s">
        <v>60</v>
      </c>
      <c r="F86" s="52"/>
      <c r="G86" t="s">
        <v>134</v>
      </c>
      <c r="H86">
        <v>41.360565680000001</v>
      </c>
      <c r="I86">
        <v>2.0884348290000001</v>
      </c>
      <c r="J86" s="52"/>
      <c r="K86" s="52"/>
      <c r="L86" s="52"/>
      <c r="M86" s="52"/>
      <c r="N86" s="52"/>
      <c r="O86" s="19" t="str">
        <f t="shared" si="1"/>
        <v>S2_231024</v>
      </c>
      <c r="P86" s="53">
        <v>45223</v>
      </c>
      <c r="Q86" s="52"/>
      <c r="R86" s="52"/>
      <c r="S86" s="53"/>
      <c r="T86" s="52"/>
      <c r="U86" s="52"/>
      <c r="V86" s="52"/>
      <c r="W86" s="54"/>
      <c r="X86" s="52"/>
      <c r="Y86" s="52"/>
      <c r="Z86" s="52"/>
      <c r="AA86" s="52"/>
      <c r="AB86" s="52"/>
      <c r="AC86" s="52"/>
      <c r="AD86" s="52"/>
      <c r="AE86" s="52"/>
    </row>
    <row r="87" spans="2:31" s="51" customFormat="1" x14ac:dyDescent="0.25"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3"/>
      <c r="Q87" s="52"/>
      <c r="R87" s="52"/>
      <c r="S87" s="53"/>
      <c r="T87" s="52"/>
      <c r="U87" s="52"/>
      <c r="V87" s="52"/>
      <c r="W87" s="54"/>
      <c r="X87" s="52"/>
      <c r="Y87" s="52"/>
      <c r="Z87" s="52"/>
      <c r="AA87" s="52"/>
      <c r="AB87" s="52"/>
      <c r="AC87" s="52"/>
      <c r="AD87" s="52"/>
      <c r="AE87" s="52"/>
    </row>
    <row r="88" spans="2:31" s="51" customFormat="1" x14ac:dyDescent="0.25"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3"/>
      <c r="Q88" s="52"/>
      <c r="R88" s="52"/>
      <c r="S88" s="53"/>
      <c r="T88" s="52"/>
      <c r="U88" s="52"/>
      <c r="V88" s="52"/>
      <c r="W88" s="54"/>
      <c r="X88" s="52"/>
      <c r="Y88" s="52"/>
      <c r="Z88" s="52"/>
      <c r="AA88" s="52"/>
      <c r="AB88" s="52"/>
      <c r="AC88" s="52"/>
      <c r="AD88" s="52"/>
      <c r="AE88" s="52"/>
    </row>
    <row r="89" spans="2:31" s="51" customFormat="1" x14ac:dyDescent="0.25"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3"/>
      <c r="Q89" s="52"/>
      <c r="R89" s="52"/>
      <c r="S89" s="53"/>
      <c r="T89" s="52"/>
      <c r="U89" s="52"/>
      <c r="V89" s="52"/>
      <c r="W89" s="54"/>
      <c r="X89" s="52"/>
      <c r="Y89" s="52"/>
      <c r="Z89" s="52"/>
      <c r="AA89" s="52"/>
      <c r="AB89" s="52"/>
      <c r="AC89" s="52"/>
      <c r="AD89" s="52"/>
      <c r="AE89" s="52"/>
    </row>
    <row r="90" spans="2:31" s="51" customFormat="1" x14ac:dyDescent="0.25"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3"/>
      <c r="Q90" s="52"/>
      <c r="R90" s="52"/>
      <c r="S90" s="53"/>
      <c r="T90" s="52"/>
      <c r="U90" s="52"/>
      <c r="V90" s="52"/>
      <c r="W90" s="54"/>
      <c r="X90" s="52"/>
      <c r="Y90" s="52"/>
      <c r="Z90" s="52"/>
      <c r="AA90" s="52"/>
      <c r="AB90" s="52"/>
      <c r="AC90" s="52"/>
      <c r="AD90" s="52"/>
      <c r="AE90" s="52"/>
    </row>
    <row r="91" spans="2:31" s="51" customFormat="1" x14ac:dyDescent="0.25"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3"/>
      <c r="Q91" s="52"/>
      <c r="R91" s="52"/>
      <c r="S91" s="53"/>
      <c r="T91" s="52"/>
      <c r="U91" s="52"/>
      <c r="V91" s="52"/>
      <c r="W91" s="54"/>
      <c r="X91" s="52"/>
      <c r="Y91" s="52"/>
      <c r="Z91" s="52"/>
      <c r="AA91" s="52"/>
      <c r="AB91" s="52"/>
      <c r="AC91" s="52"/>
      <c r="AD91" s="52"/>
      <c r="AE91" s="52"/>
    </row>
    <row r="92" spans="2:31" s="51" customFormat="1" x14ac:dyDescent="0.25"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3"/>
      <c r="Q92" s="52"/>
      <c r="R92" s="52"/>
      <c r="S92" s="53"/>
      <c r="T92" s="52"/>
      <c r="U92" s="52"/>
      <c r="V92" s="52"/>
      <c r="W92" s="54"/>
      <c r="X92" s="52"/>
      <c r="Y92" s="52"/>
      <c r="Z92" s="52"/>
      <c r="AA92" s="52"/>
      <c r="AB92" s="52"/>
      <c r="AC92" s="52"/>
      <c r="AD92" s="52"/>
      <c r="AE92" s="52"/>
    </row>
    <row r="93" spans="2:31" s="51" customFormat="1" x14ac:dyDescent="0.25"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3"/>
      <c r="Q93" s="52"/>
      <c r="R93" s="52"/>
      <c r="S93" s="53"/>
      <c r="T93" s="52"/>
      <c r="U93" s="52"/>
      <c r="V93" s="52"/>
      <c r="W93" s="54"/>
      <c r="X93" s="52"/>
      <c r="Y93" s="52"/>
      <c r="Z93" s="52"/>
      <c r="AA93" s="52"/>
      <c r="AB93" s="52"/>
      <c r="AC93" s="52"/>
      <c r="AD93" s="52"/>
      <c r="AE93" s="52"/>
    </row>
    <row r="94" spans="2:31" s="51" customFormat="1" x14ac:dyDescent="0.25"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52"/>
      <c r="R94" s="52"/>
      <c r="S94" s="53"/>
      <c r="T94" s="52"/>
      <c r="U94" s="52"/>
      <c r="V94" s="52"/>
      <c r="W94" s="54"/>
      <c r="X94" s="52"/>
      <c r="Y94" s="52"/>
      <c r="Z94" s="52"/>
      <c r="AA94" s="52"/>
      <c r="AB94" s="52"/>
      <c r="AC94" s="52"/>
      <c r="AD94" s="52"/>
      <c r="AE94" s="52"/>
    </row>
    <row r="95" spans="2:31" s="51" customFormat="1" x14ac:dyDescent="0.25"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3"/>
      <c r="Q95" s="52"/>
      <c r="R95" s="52"/>
      <c r="S95" s="53"/>
      <c r="T95" s="52"/>
      <c r="U95" s="52"/>
      <c r="V95" s="52"/>
      <c r="W95" s="54"/>
      <c r="X95" s="52"/>
      <c r="Y95" s="52"/>
      <c r="Z95" s="52"/>
      <c r="AA95" s="52"/>
      <c r="AB95" s="52"/>
      <c r="AC95" s="52"/>
      <c r="AD95" s="52"/>
      <c r="AE95" s="52"/>
    </row>
    <row r="96" spans="2:31" s="51" customFormat="1" x14ac:dyDescent="0.25"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3"/>
      <c r="Q96" s="52"/>
      <c r="R96" s="52"/>
      <c r="S96" s="53"/>
      <c r="T96" s="52"/>
      <c r="U96" s="52"/>
      <c r="V96" s="52"/>
      <c r="W96" s="54"/>
      <c r="X96" s="52"/>
      <c r="Y96" s="52"/>
      <c r="Z96" s="52"/>
      <c r="AA96" s="52"/>
      <c r="AB96" s="52"/>
      <c r="AC96" s="52"/>
      <c r="AD96" s="52"/>
      <c r="AE96" s="52"/>
    </row>
    <row r="97" spans="3:31" s="51" customFormat="1" x14ac:dyDescent="0.25"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3"/>
      <c r="Q97" s="52"/>
      <c r="R97" s="52"/>
      <c r="S97" s="53"/>
      <c r="T97" s="52"/>
      <c r="U97" s="52"/>
      <c r="V97" s="52"/>
      <c r="W97" s="54"/>
      <c r="X97" s="52"/>
      <c r="Y97" s="52"/>
      <c r="Z97" s="52"/>
      <c r="AA97" s="52"/>
      <c r="AB97" s="52"/>
      <c r="AC97" s="52"/>
      <c r="AD97" s="52"/>
      <c r="AE97" s="52"/>
    </row>
    <row r="98" spans="3:31" s="51" customFormat="1" x14ac:dyDescent="0.25"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3"/>
      <c r="Q98" s="52"/>
      <c r="R98" s="52"/>
      <c r="S98" s="53"/>
      <c r="T98" s="52"/>
      <c r="U98" s="52"/>
      <c r="V98" s="52"/>
      <c r="W98" s="54"/>
      <c r="X98" s="52"/>
      <c r="Y98" s="52"/>
      <c r="Z98" s="52"/>
      <c r="AA98" s="52"/>
      <c r="AB98" s="52"/>
      <c r="AC98" s="52"/>
      <c r="AD98" s="52"/>
      <c r="AE98" s="52"/>
    </row>
    <row r="99" spans="3:31" s="51" customFormat="1" x14ac:dyDescent="0.25"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3"/>
      <c r="Q99" s="52"/>
      <c r="R99" s="52"/>
      <c r="S99" s="53"/>
      <c r="T99" s="52"/>
      <c r="U99" s="52"/>
      <c r="V99" s="52"/>
      <c r="W99" s="54"/>
      <c r="X99" s="52"/>
      <c r="Y99" s="52"/>
      <c r="Z99" s="52"/>
      <c r="AA99" s="52"/>
      <c r="AB99" s="52"/>
      <c r="AC99" s="52"/>
      <c r="AD99" s="52"/>
      <c r="AE99" s="52"/>
    </row>
    <row r="100" spans="3:31" s="51" customFormat="1" x14ac:dyDescent="0.25"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3"/>
      <c r="Q100" s="52"/>
      <c r="R100" s="52"/>
      <c r="S100" s="53"/>
      <c r="T100" s="52"/>
      <c r="U100" s="52"/>
      <c r="V100" s="52"/>
      <c r="W100" s="54"/>
      <c r="X100" s="52"/>
      <c r="Y100" s="52"/>
      <c r="Z100" s="52"/>
      <c r="AA100" s="52"/>
      <c r="AB100" s="52"/>
      <c r="AC100" s="52"/>
      <c r="AD100" s="52"/>
      <c r="AE100" s="52"/>
    </row>
    <row r="101" spans="3:31" s="51" customFormat="1" x14ac:dyDescent="0.25"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3"/>
      <c r="Q101" s="52"/>
      <c r="R101" s="52"/>
      <c r="S101" s="53"/>
      <c r="T101" s="52"/>
      <c r="U101" s="52"/>
      <c r="V101" s="52"/>
      <c r="W101" s="54"/>
      <c r="X101" s="52"/>
      <c r="Y101" s="52"/>
      <c r="Z101" s="52"/>
      <c r="AA101" s="52"/>
      <c r="AB101" s="52"/>
      <c r="AC101" s="52"/>
      <c r="AD101" s="52"/>
      <c r="AE101" s="52"/>
    </row>
    <row r="102" spans="3:31" s="51" customFormat="1" x14ac:dyDescent="0.25"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3"/>
      <c r="Q102" s="52"/>
      <c r="R102" s="52"/>
      <c r="S102" s="53"/>
      <c r="T102" s="52"/>
      <c r="U102" s="52"/>
      <c r="V102" s="52"/>
      <c r="W102" s="54"/>
      <c r="X102" s="52"/>
      <c r="Y102" s="52"/>
      <c r="Z102" s="52"/>
      <c r="AA102" s="52"/>
      <c r="AB102" s="52"/>
      <c r="AC102" s="52"/>
      <c r="AD102" s="52"/>
      <c r="AE102" s="52"/>
    </row>
    <row r="103" spans="3:31" s="51" customFormat="1" x14ac:dyDescent="0.25"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3"/>
      <c r="Q103" s="52"/>
      <c r="R103" s="52"/>
      <c r="S103" s="53"/>
      <c r="T103" s="52"/>
      <c r="U103" s="52"/>
      <c r="V103" s="52"/>
      <c r="W103" s="54"/>
      <c r="X103" s="52"/>
      <c r="Y103" s="52"/>
      <c r="Z103" s="52"/>
      <c r="AA103" s="52"/>
      <c r="AB103" s="52"/>
      <c r="AC103" s="52"/>
      <c r="AD103" s="52"/>
      <c r="AE103" s="52"/>
    </row>
    <row r="104" spans="3:31" s="51" customFormat="1" x14ac:dyDescent="0.25"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3"/>
      <c r="Q104" s="52"/>
      <c r="R104" s="52"/>
      <c r="S104" s="53"/>
      <c r="T104" s="52"/>
      <c r="U104" s="52"/>
      <c r="V104" s="52"/>
      <c r="W104" s="54"/>
      <c r="X104" s="52"/>
      <c r="Y104" s="52"/>
      <c r="Z104" s="52"/>
      <c r="AA104" s="52"/>
      <c r="AB104" s="52"/>
      <c r="AC104" s="52"/>
      <c r="AD104" s="52"/>
      <c r="AE104" s="52"/>
    </row>
    <row r="105" spans="3:31" s="51" customFormat="1" x14ac:dyDescent="0.25"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3"/>
      <c r="Q105" s="52"/>
      <c r="R105" s="52"/>
      <c r="S105" s="53"/>
      <c r="T105" s="52"/>
      <c r="U105" s="52"/>
      <c r="V105" s="52"/>
      <c r="W105" s="54"/>
      <c r="X105" s="52"/>
      <c r="Y105" s="52"/>
      <c r="Z105" s="52"/>
      <c r="AA105" s="52"/>
      <c r="AB105" s="52"/>
      <c r="AC105" s="52"/>
      <c r="AD105" s="52"/>
      <c r="AE105" s="52"/>
    </row>
    <row r="106" spans="3:31" s="51" customFormat="1" x14ac:dyDescent="0.25"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52"/>
      <c r="R106" s="52"/>
      <c r="S106" s="53"/>
      <c r="T106" s="52"/>
      <c r="U106" s="52"/>
      <c r="V106" s="52"/>
      <c r="W106" s="54"/>
      <c r="X106" s="52"/>
      <c r="Y106" s="52"/>
      <c r="Z106" s="52"/>
      <c r="AA106" s="52"/>
      <c r="AB106" s="52"/>
      <c r="AC106" s="52"/>
      <c r="AD106" s="52"/>
      <c r="AE106" s="52"/>
    </row>
    <row r="107" spans="3:31" s="51" customFormat="1" x14ac:dyDescent="0.25"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3"/>
      <c r="Q107" s="52"/>
      <c r="R107" s="52"/>
      <c r="S107" s="53"/>
      <c r="T107" s="52"/>
      <c r="U107" s="52"/>
      <c r="V107" s="52"/>
      <c r="W107" s="54"/>
      <c r="X107" s="52"/>
      <c r="Y107" s="52"/>
      <c r="Z107" s="52"/>
      <c r="AA107" s="52"/>
      <c r="AB107" s="52"/>
      <c r="AC107" s="52"/>
      <c r="AD107" s="52"/>
      <c r="AE107" s="52"/>
    </row>
    <row r="108" spans="3:31" s="51" customFormat="1" x14ac:dyDescent="0.25"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3"/>
      <c r="Q108" s="52"/>
      <c r="R108" s="52"/>
      <c r="S108" s="53"/>
      <c r="T108" s="52"/>
      <c r="U108" s="52"/>
      <c r="V108" s="52"/>
      <c r="W108" s="54"/>
      <c r="X108" s="52"/>
      <c r="Y108" s="52"/>
      <c r="Z108" s="52"/>
      <c r="AA108" s="52"/>
      <c r="AB108" s="52"/>
      <c r="AC108" s="52"/>
      <c r="AD108" s="52"/>
      <c r="AE108" s="52"/>
    </row>
    <row r="109" spans="3:31" s="51" customFormat="1" x14ac:dyDescent="0.25"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3"/>
      <c r="Q109" s="52"/>
      <c r="R109" s="52"/>
      <c r="S109" s="53"/>
      <c r="T109" s="52"/>
      <c r="U109" s="52"/>
      <c r="V109" s="52"/>
      <c r="W109" s="54"/>
      <c r="X109" s="52"/>
      <c r="Y109" s="52"/>
      <c r="Z109" s="52"/>
      <c r="AA109" s="52"/>
      <c r="AB109" s="52"/>
      <c r="AC109" s="52"/>
      <c r="AD109" s="52"/>
      <c r="AE109" s="52"/>
    </row>
    <row r="110" spans="3:31" s="51" customFormat="1" x14ac:dyDescent="0.25"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3"/>
      <c r="Q110" s="52"/>
      <c r="R110" s="52"/>
      <c r="S110" s="53"/>
      <c r="T110" s="52"/>
      <c r="U110" s="52"/>
      <c r="V110" s="52"/>
      <c r="W110" s="54"/>
      <c r="X110" s="52"/>
      <c r="Y110" s="52"/>
      <c r="Z110" s="52"/>
      <c r="AA110" s="52"/>
      <c r="AB110" s="52"/>
      <c r="AC110" s="52"/>
      <c r="AD110" s="52"/>
      <c r="AE110" s="52"/>
    </row>
    <row r="111" spans="3:31" s="51" customFormat="1" x14ac:dyDescent="0.25"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3"/>
      <c r="Q111" s="52"/>
      <c r="R111" s="52"/>
      <c r="S111" s="53"/>
      <c r="T111" s="52"/>
      <c r="U111" s="52"/>
      <c r="V111" s="52"/>
      <c r="W111" s="54"/>
      <c r="X111" s="52"/>
      <c r="Y111" s="52"/>
      <c r="Z111" s="52"/>
      <c r="AA111" s="52"/>
      <c r="AB111" s="52"/>
      <c r="AC111" s="52"/>
      <c r="AD111" s="52"/>
      <c r="AE111" s="52"/>
    </row>
    <row r="112" spans="3:31" s="51" customFormat="1" x14ac:dyDescent="0.25"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3"/>
      <c r="Q112" s="52"/>
      <c r="R112" s="52"/>
      <c r="S112" s="53"/>
      <c r="T112" s="52"/>
      <c r="U112" s="52"/>
      <c r="V112" s="52"/>
      <c r="W112" s="54"/>
      <c r="X112" s="52"/>
      <c r="Y112" s="52"/>
      <c r="Z112" s="52"/>
      <c r="AA112" s="52"/>
      <c r="AB112" s="52"/>
      <c r="AC112" s="52"/>
      <c r="AD112" s="52"/>
      <c r="AE112" s="52"/>
    </row>
    <row r="113" spans="3:31" s="51" customFormat="1" x14ac:dyDescent="0.25"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3"/>
      <c r="Q113" s="52"/>
      <c r="R113" s="52"/>
      <c r="S113" s="53"/>
      <c r="T113" s="52"/>
      <c r="U113" s="52"/>
      <c r="V113" s="52"/>
      <c r="W113" s="54"/>
      <c r="X113" s="52"/>
      <c r="Y113" s="52"/>
      <c r="Z113" s="52"/>
      <c r="AA113" s="52"/>
      <c r="AB113" s="52"/>
      <c r="AC113" s="52"/>
      <c r="AD113" s="52"/>
      <c r="AE113" s="52"/>
    </row>
    <row r="114" spans="3:31" s="51" customFormat="1" x14ac:dyDescent="0.25"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3"/>
      <c r="Q114" s="52"/>
      <c r="R114" s="52"/>
      <c r="S114" s="53"/>
      <c r="T114" s="52"/>
      <c r="U114" s="52"/>
      <c r="V114" s="52"/>
      <c r="W114" s="54"/>
      <c r="X114" s="52"/>
      <c r="Y114" s="52"/>
      <c r="Z114" s="52"/>
      <c r="AA114" s="52"/>
      <c r="AB114" s="52"/>
      <c r="AC114" s="52"/>
      <c r="AD114" s="52"/>
      <c r="AE114" s="52"/>
    </row>
    <row r="115" spans="3:31" s="51" customFormat="1" x14ac:dyDescent="0.25"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52"/>
      <c r="R115" s="52"/>
      <c r="S115" s="53"/>
      <c r="T115" s="52"/>
      <c r="U115" s="52"/>
      <c r="V115" s="52"/>
      <c r="W115" s="54"/>
      <c r="X115" s="52"/>
      <c r="Y115" s="52"/>
      <c r="Z115" s="52"/>
      <c r="AA115" s="52"/>
      <c r="AB115" s="52"/>
      <c r="AC115" s="52"/>
      <c r="AD115" s="52"/>
      <c r="AE115" s="52"/>
    </row>
    <row r="116" spans="3:31" s="51" customFormat="1" x14ac:dyDescent="0.25"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3"/>
      <c r="Q116" s="52"/>
      <c r="R116" s="52"/>
      <c r="S116" s="53"/>
      <c r="T116" s="52"/>
      <c r="U116" s="52"/>
      <c r="V116" s="52"/>
      <c r="W116" s="54"/>
      <c r="X116" s="52"/>
      <c r="Y116" s="52"/>
      <c r="Z116" s="52"/>
      <c r="AA116" s="52"/>
      <c r="AB116" s="52"/>
      <c r="AC116" s="52"/>
      <c r="AD116" s="52"/>
      <c r="AE116" s="52"/>
    </row>
    <row r="117" spans="3:31" s="51" customFormat="1" x14ac:dyDescent="0.25"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3"/>
      <c r="Q117" s="52"/>
      <c r="R117" s="52"/>
      <c r="S117" s="53"/>
      <c r="T117" s="52"/>
      <c r="U117" s="52"/>
      <c r="V117" s="52"/>
      <c r="W117" s="54"/>
      <c r="X117" s="52"/>
      <c r="Y117" s="52"/>
      <c r="Z117" s="52"/>
      <c r="AA117" s="52"/>
      <c r="AB117" s="52"/>
      <c r="AC117" s="52"/>
      <c r="AD117" s="52"/>
      <c r="AE117" s="52"/>
    </row>
    <row r="118" spans="3:31" s="51" customFormat="1" x14ac:dyDescent="0.25"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3"/>
      <c r="Q118" s="52"/>
      <c r="R118" s="52"/>
      <c r="S118" s="53"/>
      <c r="T118" s="52"/>
      <c r="U118" s="52"/>
      <c r="V118" s="52"/>
      <c r="W118" s="54"/>
      <c r="X118" s="52"/>
      <c r="Y118" s="52"/>
      <c r="Z118" s="52"/>
      <c r="AA118" s="52"/>
      <c r="AB118" s="52"/>
      <c r="AC118" s="52"/>
      <c r="AD118" s="52"/>
      <c r="AE118" s="52"/>
    </row>
    <row r="119" spans="3:31" s="51" customFormat="1" x14ac:dyDescent="0.25"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3"/>
      <c r="Q119" s="52"/>
      <c r="R119" s="52"/>
      <c r="S119" s="53"/>
      <c r="T119" s="52"/>
      <c r="U119" s="52"/>
      <c r="V119" s="52"/>
      <c r="W119" s="54"/>
      <c r="X119" s="52"/>
      <c r="Y119" s="52"/>
      <c r="Z119" s="52"/>
      <c r="AA119" s="52"/>
      <c r="AB119" s="52"/>
      <c r="AC119" s="52"/>
      <c r="AD119" s="52"/>
      <c r="AE119" s="52"/>
    </row>
    <row r="120" spans="3:31" s="51" customFormat="1" x14ac:dyDescent="0.25"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3"/>
      <c r="Q120" s="52"/>
      <c r="R120" s="52"/>
      <c r="S120" s="53"/>
      <c r="T120" s="52"/>
      <c r="U120" s="52"/>
      <c r="V120" s="52"/>
      <c r="W120" s="54"/>
      <c r="X120" s="52"/>
      <c r="Y120" s="52"/>
      <c r="Z120" s="52"/>
      <c r="AA120" s="52"/>
      <c r="AB120" s="52"/>
      <c r="AC120" s="52"/>
      <c r="AD120" s="52"/>
      <c r="AE120" s="52"/>
    </row>
    <row r="121" spans="3:31" s="51" customFormat="1" x14ac:dyDescent="0.25"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3"/>
      <c r="Q121" s="52"/>
      <c r="R121" s="52"/>
      <c r="S121" s="53"/>
      <c r="T121" s="52"/>
      <c r="U121" s="52"/>
      <c r="V121" s="52"/>
      <c r="W121" s="54"/>
      <c r="X121" s="52"/>
      <c r="Y121" s="52"/>
      <c r="Z121" s="52"/>
      <c r="AA121" s="52"/>
      <c r="AB121" s="52"/>
      <c r="AC121" s="52"/>
      <c r="AD121" s="52"/>
      <c r="AE121" s="52"/>
    </row>
    <row r="122" spans="3:31" s="51" customFormat="1" x14ac:dyDescent="0.25"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3"/>
      <c r="Q122" s="52"/>
      <c r="R122" s="52"/>
      <c r="S122" s="53"/>
      <c r="T122" s="52"/>
      <c r="U122" s="52"/>
      <c r="V122" s="52"/>
      <c r="W122" s="54"/>
      <c r="X122" s="52"/>
      <c r="Y122" s="52"/>
      <c r="Z122" s="52"/>
      <c r="AA122" s="52"/>
      <c r="AB122" s="52"/>
      <c r="AC122" s="52"/>
      <c r="AD122" s="52"/>
      <c r="AE122" s="52"/>
    </row>
    <row r="123" spans="3:31" s="51" customFormat="1" x14ac:dyDescent="0.25"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3"/>
      <c r="Q123" s="52"/>
      <c r="R123" s="52"/>
      <c r="S123" s="53"/>
      <c r="T123" s="52"/>
      <c r="U123" s="52"/>
      <c r="V123" s="52"/>
      <c r="W123" s="54"/>
      <c r="X123" s="52"/>
      <c r="Y123" s="52"/>
      <c r="Z123" s="52"/>
      <c r="AA123" s="52"/>
      <c r="AB123" s="52"/>
      <c r="AC123" s="52"/>
      <c r="AD123" s="52"/>
      <c r="AE123" s="52"/>
    </row>
    <row r="124" spans="3:31" s="51" customFormat="1" x14ac:dyDescent="0.25"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3"/>
      <c r="Q124" s="52"/>
      <c r="R124" s="52"/>
      <c r="S124" s="53"/>
      <c r="T124" s="52"/>
      <c r="U124" s="52"/>
      <c r="V124" s="52"/>
      <c r="W124" s="54"/>
      <c r="X124" s="52"/>
      <c r="Y124" s="52"/>
      <c r="Z124" s="52"/>
      <c r="AA124" s="52"/>
      <c r="AB124" s="52"/>
      <c r="AC124" s="52"/>
      <c r="AD124" s="52"/>
      <c r="AE124" s="52"/>
    </row>
    <row r="125" spans="3:31" s="51" customFormat="1" x14ac:dyDescent="0.25"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3"/>
      <c r="Q125" s="52"/>
      <c r="R125" s="52"/>
      <c r="S125" s="53"/>
      <c r="T125" s="52"/>
      <c r="U125" s="52"/>
      <c r="V125" s="52"/>
      <c r="W125" s="54"/>
      <c r="X125" s="52"/>
      <c r="Y125" s="52"/>
      <c r="Z125" s="52"/>
      <c r="AA125" s="52"/>
      <c r="AB125" s="52"/>
      <c r="AC125" s="52"/>
      <c r="AD125" s="52"/>
      <c r="AE125" s="52"/>
    </row>
    <row r="126" spans="3:31" s="51" customFormat="1" x14ac:dyDescent="0.25"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3"/>
      <c r="Q126" s="52"/>
      <c r="R126" s="52"/>
      <c r="S126" s="53"/>
      <c r="T126" s="52"/>
      <c r="U126" s="52"/>
      <c r="V126" s="52"/>
      <c r="W126" s="54"/>
      <c r="X126" s="52"/>
      <c r="Y126" s="52"/>
      <c r="Z126" s="52"/>
      <c r="AA126" s="52"/>
      <c r="AB126" s="52"/>
      <c r="AC126" s="52"/>
      <c r="AD126" s="52"/>
      <c r="AE126" s="52"/>
    </row>
    <row r="127" spans="3:31" s="51" customFormat="1" x14ac:dyDescent="0.25"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3"/>
      <c r="Q127" s="52"/>
      <c r="R127" s="52"/>
      <c r="S127" s="53"/>
      <c r="T127" s="52"/>
      <c r="U127" s="52"/>
      <c r="V127" s="52"/>
      <c r="W127" s="54"/>
      <c r="X127" s="52"/>
      <c r="Y127" s="52"/>
      <c r="Z127" s="52"/>
      <c r="AA127" s="52"/>
      <c r="AB127" s="52"/>
      <c r="AC127" s="52"/>
      <c r="AD127" s="52"/>
      <c r="AE127" s="52"/>
    </row>
    <row r="128" spans="3:31" s="51" customFormat="1" x14ac:dyDescent="0.25"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3"/>
      <c r="Q128" s="52"/>
      <c r="R128" s="52"/>
      <c r="S128" s="53"/>
      <c r="T128" s="52"/>
      <c r="U128" s="52"/>
      <c r="V128" s="52"/>
      <c r="W128" s="54"/>
      <c r="X128" s="52"/>
      <c r="Y128" s="52"/>
      <c r="Z128" s="52"/>
      <c r="AA128" s="52"/>
      <c r="AB128" s="52"/>
      <c r="AC128" s="52"/>
      <c r="AD128" s="52"/>
      <c r="AE128" s="52"/>
    </row>
    <row r="129" spans="3:31" s="51" customFormat="1" x14ac:dyDescent="0.25"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3"/>
      <c r="Q129" s="52"/>
      <c r="R129" s="52"/>
      <c r="S129" s="53"/>
      <c r="T129" s="52"/>
      <c r="U129" s="52"/>
      <c r="V129" s="52"/>
      <c r="W129" s="54"/>
      <c r="X129" s="52"/>
      <c r="Y129" s="52"/>
      <c r="Z129" s="52"/>
      <c r="AA129" s="52"/>
      <c r="AB129" s="52"/>
      <c r="AC129" s="52"/>
      <c r="AD129" s="52"/>
      <c r="AE129" s="52"/>
    </row>
    <row r="130" spans="3:31" s="51" customFormat="1" x14ac:dyDescent="0.25"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52"/>
      <c r="R130" s="52"/>
      <c r="S130" s="53"/>
      <c r="T130" s="52"/>
      <c r="U130" s="52"/>
      <c r="V130" s="52"/>
      <c r="W130" s="54"/>
      <c r="X130" s="52"/>
      <c r="Y130" s="52"/>
      <c r="Z130" s="52"/>
      <c r="AA130" s="52"/>
      <c r="AB130" s="52"/>
      <c r="AC130" s="52"/>
      <c r="AD130" s="52"/>
      <c r="AE130" s="52"/>
    </row>
    <row r="131" spans="3:31" s="51" customFormat="1" x14ac:dyDescent="0.25"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3"/>
      <c r="Q131" s="52"/>
      <c r="R131" s="52"/>
      <c r="S131" s="53"/>
      <c r="T131" s="52"/>
      <c r="U131" s="52"/>
      <c r="V131" s="52"/>
      <c r="W131" s="54"/>
      <c r="X131" s="52"/>
      <c r="Y131" s="52"/>
      <c r="Z131" s="52"/>
      <c r="AA131" s="52"/>
      <c r="AB131" s="52"/>
      <c r="AC131" s="52"/>
      <c r="AD131" s="52"/>
      <c r="AE131" s="52"/>
    </row>
    <row r="132" spans="3:31" s="51" customFormat="1" x14ac:dyDescent="0.25"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3"/>
      <c r="Q132" s="52"/>
      <c r="R132" s="52"/>
      <c r="S132" s="53"/>
      <c r="T132" s="52"/>
      <c r="U132" s="52"/>
      <c r="V132" s="52"/>
      <c r="W132" s="54"/>
      <c r="X132" s="52"/>
      <c r="Y132" s="52"/>
      <c r="Z132" s="52"/>
      <c r="AA132" s="52"/>
      <c r="AB132" s="52"/>
      <c r="AC132" s="52"/>
      <c r="AD132" s="52"/>
      <c r="AE132" s="52"/>
    </row>
    <row r="133" spans="3:31" s="51" customFormat="1" x14ac:dyDescent="0.25"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3"/>
      <c r="Q133" s="52"/>
      <c r="R133" s="52"/>
      <c r="S133" s="53"/>
      <c r="T133" s="52"/>
      <c r="U133" s="52"/>
      <c r="V133" s="52"/>
      <c r="W133" s="54"/>
      <c r="X133" s="52"/>
      <c r="Y133" s="52"/>
      <c r="Z133" s="52"/>
      <c r="AA133" s="52"/>
      <c r="AB133" s="52"/>
      <c r="AC133" s="52"/>
      <c r="AD133" s="52"/>
      <c r="AE133" s="52"/>
    </row>
    <row r="134" spans="3:31" s="51" customFormat="1" x14ac:dyDescent="0.25"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3"/>
      <c r="Q134" s="52"/>
      <c r="R134" s="52"/>
      <c r="S134" s="53"/>
      <c r="T134" s="52"/>
      <c r="U134" s="52"/>
      <c r="V134" s="52"/>
      <c r="W134" s="54"/>
      <c r="X134" s="52"/>
      <c r="Y134" s="52"/>
      <c r="Z134" s="52"/>
      <c r="AA134" s="52"/>
      <c r="AB134" s="52"/>
      <c r="AC134" s="52"/>
      <c r="AD134" s="52"/>
      <c r="AE134" s="52"/>
    </row>
    <row r="135" spans="3:31" s="51" customFormat="1" x14ac:dyDescent="0.25"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3"/>
      <c r="Q135" s="52"/>
      <c r="R135" s="52"/>
      <c r="S135" s="53"/>
      <c r="T135" s="52"/>
      <c r="U135" s="52"/>
      <c r="V135" s="52"/>
      <c r="W135" s="54"/>
      <c r="X135" s="52"/>
      <c r="Y135" s="52"/>
      <c r="Z135" s="52"/>
      <c r="AA135" s="52"/>
      <c r="AB135" s="52"/>
      <c r="AC135" s="52"/>
      <c r="AD135" s="52"/>
      <c r="AE135" s="52"/>
    </row>
    <row r="136" spans="3:31" s="51" customFormat="1" x14ac:dyDescent="0.25"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3"/>
      <c r="Q136" s="52"/>
      <c r="R136" s="52"/>
      <c r="S136" s="53"/>
      <c r="T136" s="52"/>
      <c r="U136" s="52"/>
      <c r="V136" s="52"/>
      <c r="W136" s="54"/>
      <c r="X136" s="52"/>
      <c r="Y136" s="52"/>
      <c r="Z136" s="52"/>
      <c r="AA136" s="52"/>
      <c r="AB136" s="52"/>
      <c r="AC136" s="52"/>
      <c r="AD136" s="52"/>
      <c r="AE136" s="52"/>
    </row>
    <row r="137" spans="3:31" s="51" customFormat="1" x14ac:dyDescent="0.25"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3"/>
      <c r="Q137" s="52"/>
      <c r="R137" s="52"/>
      <c r="S137" s="53"/>
      <c r="T137" s="52"/>
      <c r="U137" s="52"/>
      <c r="V137" s="52"/>
      <c r="W137" s="54"/>
      <c r="X137" s="52"/>
      <c r="Y137" s="52"/>
      <c r="Z137" s="52"/>
      <c r="AA137" s="52"/>
      <c r="AB137" s="52"/>
      <c r="AC137" s="52"/>
      <c r="AD137" s="52"/>
      <c r="AE137" s="52"/>
    </row>
    <row r="138" spans="3:31" s="51" customFormat="1" x14ac:dyDescent="0.25"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3"/>
      <c r="Q138" s="52"/>
      <c r="R138" s="52"/>
      <c r="S138" s="53"/>
      <c r="T138" s="52"/>
      <c r="U138" s="52"/>
      <c r="V138" s="52"/>
      <c r="W138" s="54"/>
      <c r="X138" s="52"/>
      <c r="Y138" s="52"/>
      <c r="Z138" s="52"/>
      <c r="AA138" s="52"/>
      <c r="AB138" s="52"/>
      <c r="AC138" s="52"/>
      <c r="AD138" s="52"/>
      <c r="AE138" s="52"/>
    </row>
    <row r="139" spans="3:31" s="51" customFormat="1" x14ac:dyDescent="0.25"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3"/>
      <c r="Q139" s="52"/>
      <c r="R139" s="52"/>
      <c r="S139" s="53"/>
      <c r="T139" s="52"/>
      <c r="U139" s="52"/>
      <c r="V139" s="52"/>
      <c r="W139" s="54"/>
      <c r="X139" s="52"/>
      <c r="Y139" s="52"/>
      <c r="Z139" s="52"/>
      <c r="AA139" s="52"/>
      <c r="AB139" s="52"/>
      <c r="AC139" s="52"/>
      <c r="AD139" s="52"/>
      <c r="AE139" s="52"/>
    </row>
    <row r="140" spans="3:31" s="51" customFormat="1" x14ac:dyDescent="0.25"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3"/>
      <c r="Q140" s="52"/>
      <c r="R140" s="52"/>
      <c r="S140" s="53"/>
      <c r="T140" s="52"/>
      <c r="U140" s="52"/>
      <c r="V140" s="52"/>
      <c r="W140" s="54"/>
      <c r="X140" s="52"/>
      <c r="Y140" s="52"/>
      <c r="Z140" s="52"/>
      <c r="AA140" s="52"/>
      <c r="AB140" s="52"/>
      <c r="AC140" s="52"/>
      <c r="AD140" s="52"/>
      <c r="AE140" s="52"/>
    </row>
    <row r="141" spans="3:31" s="51" customFormat="1" x14ac:dyDescent="0.25"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3"/>
      <c r="Q141" s="52"/>
      <c r="R141" s="52"/>
      <c r="S141" s="53"/>
      <c r="T141" s="52"/>
      <c r="U141" s="52"/>
      <c r="V141" s="52"/>
      <c r="W141" s="54"/>
      <c r="X141" s="52"/>
      <c r="Y141" s="52"/>
      <c r="Z141" s="52"/>
      <c r="AA141" s="52"/>
      <c r="AB141" s="52"/>
      <c r="AC141" s="52"/>
      <c r="AD141" s="52"/>
      <c r="AE141" s="52"/>
    </row>
    <row r="142" spans="3:31" s="51" customFormat="1" x14ac:dyDescent="0.25"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52"/>
      <c r="R142" s="52"/>
      <c r="S142" s="53"/>
      <c r="T142" s="52"/>
      <c r="U142" s="52"/>
      <c r="V142" s="52"/>
      <c r="W142" s="54"/>
      <c r="X142" s="52"/>
      <c r="Y142" s="52"/>
      <c r="Z142" s="52"/>
      <c r="AA142" s="52"/>
      <c r="AB142" s="52"/>
      <c r="AC142" s="52"/>
      <c r="AD142" s="52"/>
      <c r="AE142" s="52"/>
    </row>
    <row r="143" spans="3:31" s="51" customFormat="1" x14ac:dyDescent="0.25"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3"/>
      <c r="Q143" s="52"/>
      <c r="R143" s="52"/>
      <c r="S143" s="53"/>
      <c r="T143" s="52"/>
      <c r="U143" s="52"/>
      <c r="V143" s="52"/>
      <c r="W143" s="54"/>
      <c r="X143" s="52"/>
      <c r="Y143" s="52"/>
      <c r="Z143" s="52"/>
      <c r="AA143" s="52"/>
      <c r="AB143" s="52"/>
      <c r="AC143" s="52"/>
      <c r="AD143" s="52"/>
      <c r="AE143" s="52"/>
    </row>
    <row r="144" spans="3:31" s="51" customFormat="1" x14ac:dyDescent="0.25"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3"/>
      <c r="Q144" s="52"/>
      <c r="R144" s="52"/>
      <c r="S144" s="53"/>
      <c r="T144" s="52"/>
      <c r="U144" s="52"/>
      <c r="V144" s="52"/>
      <c r="W144" s="54"/>
      <c r="X144" s="52"/>
      <c r="Y144" s="52"/>
      <c r="Z144" s="52"/>
      <c r="AA144" s="52"/>
      <c r="AB144" s="52"/>
      <c r="AC144" s="52"/>
      <c r="AD144" s="52"/>
      <c r="AE144" s="52"/>
    </row>
    <row r="145" spans="3:31" s="51" customFormat="1" x14ac:dyDescent="0.25"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3"/>
      <c r="Q145" s="52"/>
      <c r="R145" s="52"/>
      <c r="S145" s="53"/>
      <c r="T145" s="52"/>
      <c r="U145" s="52"/>
      <c r="V145" s="52"/>
      <c r="W145" s="54"/>
      <c r="X145" s="52"/>
      <c r="Y145" s="52"/>
      <c r="Z145" s="52"/>
      <c r="AA145" s="52"/>
      <c r="AB145" s="52"/>
      <c r="AC145" s="52"/>
      <c r="AD145" s="52"/>
      <c r="AE145" s="52"/>
    </row>
    <row r="146" spans="3:31" s="51" customFormat="1" x14ac:dyDescent="0.25"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3"/>
      <c r="Q146" s="52"/>
      <c r="R146" s="52"/>
      <c r="S146" s="53"/>
      <c r="T146" s="52"/>
      <c r="U146" s="52"/>
      <c r="V146" s="52"/>
      <c r="W146" s="54"/>
      <c r="X146" s="52"/>
      <c r="Y146" s="52"/>
      <c r="Z146" s="52"/>
      <c r="AA146" s="52"/>
      <c r="AB146" s="52"/>
      <c r="AC146" s="52"/>
      <c r="AD146" s="52"/>
      <c r="AE146" s="52"/>
    </row>
    <row r="147" spans="3:31" s="51" customFormat="1" x14ac:dyDescent="0.25"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3"/>
      <c r="Q147" s="52"/>
      <c r="R147" s="52"/>
      <c r="S147" s="53"/>
      <c r="T147" s="52"/>
      <c r="U147" s="52"/>
      <c r="V147" s="52"/>
      <c r="W147" s="54"/>
      <c r="X147" s="52"/>
      <c r="Y147" s="52"/>
      <c r="Z147" s="52"/>
      <c r="AA147" s="52"/>
      <c r="AB147" s="52"/>
      <c r="AC147" s="52"/>
      <c r="AD147" s="52"/>
      <c r="AE147" s="52"/>
    </row>
    <row r="148" spans="3:31" s="51" customFormat="1" x14ac:dyDescent="0.25"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3"/>
      <c r="Q148" s="52"/>
      <c r="R148" s="52"/>
      <c r="S148" s="53"/>
      <c r="T148" s="52"/>
      <c r="U148" s="52"/>
      <c r="V148" s="52"/>
      <c r="W148" s="54"/>
      <c r="X148" s="52"/>
      <c r="Y148" s="52"/>
      <c r="Z148" s="52"/>
      <c r="AA148" s="52"/>
      <c r="AB148" s="52"/>
      <c r="AC148" s="52"/>
      <c r="AD148" s="52"/>
      <c r="AE148" s="52"/>
    </row>
    <row r="149" spans="3:31" s="51" customFormat="1" x14ac:dyDescent="0.25"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3"/>
      <c r="Q149" s="52"/>
      <c r="R149" s="52"/>
      <c r="S149" s="53"/>
      <c r="T149" s="52"/>
      <c r="U149" s="52"/>
      <c r="V149" s="52"/>
      <c r="W149" s="54"/>
      <c r="X149" s="52"/>
      <c r="Y149" s="52"/>
      <c r="Z149" s="52"/>
      <c r="AA149" s="52"/>
      <c r="AB149" s="52"/>
      <c r="AC149" s="52"/>
      <c r="AD149" s="52"/>
      <c r="AE149" s="52"/>
    </row>
    <row r="150" spans="3:31" s="51" customFormat="1" x14ac:dyDescent="0.25"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3"/>
      <c r="Q150" s="52"/>
      <c r="R150" s="52"/>
      <c r="S150" s="53"/>
      <c r="T150" s="52"/>
      <c r="U150" s="52"/>
      <c r="V150" s="52"/>
      <c r="W150" s="54"/>
      <c r="X150" s="52"/>
      <c r="Y150" s="52"/>
      <c r="Z150" s="52"/>
      <c r="AA150" s="52"/>
      <c r="AB150" s="52"/>
      <c r="AC150" s="52"/>
      <c r="AD150" s="52"/>
      <c r="AE150" s="52"/>
    </row>
    <row r="151" spans="3:31" s="51" customFormat="1" x14ac:dyDescent="0.25"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3"/>
      <c r="Q151" s="52"/>
      <c r="R151" s="52"/>
      <c r="S151" s="53"/>
      <c r="T151" s="52"/>
      <c r="U151" s="52"/>
      <c r="V151" s="52"/>
      <c r="W151" s="54"/>
      <c r="X151" s="52"/>
      <c r="Y151" s="52"/>
      <c r="Z151" s="52"/>
      <c r="AA151" s="52"/>
      <c r="AB151" s="52"/>
      <c r="AC151" s="52"/>
      <c r="AD151" s="52"/>
      <c r="AE151" s="52"/>
    </row>
    <row r="152" spans="3:31" s="51" customFormat="1" x14ac:dyDescent="0.25"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3"/>
      <c r="Q152" s="52"/>
      <c r="R152" s="52"/>
      <c r="S152" s="53"/>
      <c r="T152" s="52"/>
      <c r="U152" s="52"/>
      <c r="V152" s="52"/>
      <c r="W152" s="54"/>
      <c r="X152" s="52"/>
      <c r="Y152" s="52"/>
      <c r="Z152" s="52"/>
      <c r="AA152" s="52"/>
      <c r="AB152" s="52"/>
      <c r="AC152" s="52"/>
      <c r="AD152" s="52"/>
      <c r="AE152" s="52"/>
    </row>
    <row r="153" spans="3:31" s="51" customFormat="1" x14ac:dyDescent="0.25"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52"/>
      <c r="R153" s="52"/>
      <c r="S153" s="53"/>
      <c r="T153" s="52"/>
      <c r="U153" s="52"/>
      <c r="V153" s="52"/>
      <c r="W153" s="54"/>
      <c r="X153" s="52"/>
      <c r="Y153" s="52"/>
      <c r="Z153" s="52"/>
      <c r="AA153" s="52"/>
      <c r="AB153" s="52"/>
      <c r="AC153" s="52"/>
      <c r="AD153" s="52"/>
      <c r="AE153" s="52"/>
    </row>
    <row r="154" spans="3:31" s="51" customFormat="1" x14ac:dyDescent="0.25"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3"/>
      <c r="Q154" s="52"/>
      <c r="R154" s="52"/>
      <c r="S154" s="53"/>
      <c r="T154" s="52"/>
      <c r="U154" s="52"/>
      <c r="V154" s="52"/>
      <c r="W154" s="54"/>
      <c r="X154" s="52"/>
      <c r="Y154" s="52"/>
      <c r="Z154" s="52"/>
      <c r="AA154" s="52"/>
      <c r="AB154" s="52"/>
      <c r="AC154" s="52"/>
      <c r="AD154" s="52"/>
      <c r="AE154" s="52"/>
    </row>
    <row r="155" spans="3:31" s="51" customFormat="1" x14ac:dyDescent="0.25"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3"/>
      <c r="Q155" s="52"/>
      <c r="R155" s="52"/>
      <c r="S155" s="53"/>
      <c r="T155" s="52"/>
      <c r="U155" s="52"/>
      <c r="V155" s="52"/>
      <c r="W155" s="54"/>
      <c r="X155" s="52"/>
      <c r="Y155" s="52"/>
      <c r="Z155" s="52"/>
      <c r="AA155" s="52"/>
      <c r="AB155" s="52"/>
      <c r="AC155" s="52"/>
      <c r="AD155" s="52"/>
      <c r="AE155" s="52"/>
    </row>
    <row r="156" spans="3:31" s="51" customFormat="1" x14ac:dyDescent="0.25"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3"/>
      <c r="Q156" s="52"/>
      <c r="R156" s="52"/>
      <c r="S156" s="53"/>
      <c r="T156" s="52"/>
      <c r="U156" s="52"/>
      <c r="V156" s="52"/>
      <c r="W156" s="54"/>
      <c r="X156" s="52"/>
      <c r="Y156" s="52"/>
      <c r="Z156" s="52"/>
      <c r="AA156" s="52"/>
      <c r="AB156" s="52"/>
      <c r="AC156" s="52"/>
      <c r="AD156" s="52"/>
      <c r="AE156" s="52"/>
    </row>
    <row r="157" spans="3:31" s="51" customFormat="1" x14ac:dyDescent="0.25"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3"/>
      <c r="Q157" s="52"/>
      <c r="R157" s="52"/>
      <c r="S157" s="53"/>
      <c r="T157" s="52"/>
      <c r="U157" s="52"/>
      <c r="V157" s="52"/>
      <c r="W157" s="54"/>
      <c r="X157" s="52"/>
      <c r="Y157" s="52"/>
      <c r="Z157" s="52"/>
      <c r="AA157" s="52"/>
      <c r="AB157" s="52"/>
      <c r="AC157" s="52"/>
      <c r="AD157" s="52"/>
      <c r="AE157" s="52"/>
    </row>
    <row r="158" spans="3:31" s="51" customFormat="1" x14ac:dyDescent="0.25"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3"/>
      <c r="Q158" s="52"/>
      <c r="R158" s="52"/>
      <c r="S158" s="53"/>
      <c r="T158" s="52"/>
      <c r="U158" s="52"/>
      <c r="V158" s="52"/>
      <c r="W158" s="54"/>
      <c r="X158" s="52"/>
      <c r="Y158" s="52"/>
      <c r="Z158" s="52"/>
      <c r="AA158" s="52"/>
      <c r="AB158" s="52"/>
      <c r="AC158" s="52"/>
      <c r="AD158" s="52"/>
      <c r="AE158" s="52"/>
    </row>
    <row r="159" spans="3:31" s="51" customFormat="1" x14ac:dyDescent="0.25"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3"/>
      <c r="Q159" s="52"/>
      <c r="R159" s="52"/>
      <c r="S159" s="53"/>
      <c r="T159" s="52"/>
      <c r="U159" s="52"/>
      <c r="V159" s="52"/>
      <c r="W159" s="54"/>
      <c r="X159" s="52"/>
      <c r="Y159" s="52"/>
      <c r="Z159" s="52"/>
      <c r="AA159" s="52"/>
      <c r="AB159" s="52"/>
      <c r="AC159" s="52"/>
      <c r="AD159" s="52"/>
      <c r="AE159" s="52"/>
    </row>
    <row r="160" spans="3:31" s="51" customFormat="1" x14ac:dyDescent="0.25"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3"/>
      <c r="Q160" s="52"/>
      <c r="R160" s="52"/>
      <c r="S160" s="53"/>
      <c r="T160" s="52"/>
      <c r="U160" s="52"/>
      <c r="V160" s="52"/>
      <c r="W160" s="54"/>
      <c r="X160" s="52"/>
      <c r="Y160" s="52"/>
      <c r="Z160" s="52"/>
      <c r="AA160" s="52"/>
      <c r="AB160" s="52"/>
      <c r="AC160" s="52"/>
      <c r="AD160" s="52"/>
      <c r="AE160" s="52"/>
    </row>
    <row r="161" spans="3:31" s="51" customFormat="1" x14ac:dyDescent="0.25"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3"/>
      <c r="Q161" s="52"/>
      <c r="R161" s="52"/>
      <c r="S161" s="53"/>
      <c r="T161" s="52"/>
      <c r="U161" s="52"/>
      <c r="V161" s="52"/>
      <c r="W161" s="54"/>
      <c r="X161" s="52"/>
      <c r="Y161" s="52"/>
      <c r="Z161" s="52"/>
      <c r="AA161" s="52"/>
      <c r="AB161" s="52"/>
      <c r="AC161" s="52"/>
      <c r="AD161" s="52"/>
      <c r="AE161" s="52"/>
    </row>
    <row r="162" spans="3:31" s="51" customFormat="1" x14ac:dyDescent="0.25"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3"/>
      <c r="Q162" s="52"/>
      <c r="R162" s="52"/>
      <c r="S162" s="53"/>
      <c r="T162" s="52"/>
      <c r="U162" s="52"/>
      <c r="V162" s="52"/>
      <c r="W162" s="54"/>
      <c r="X162" s="52"/>
      <c r="Y162" s="52"/>
      <c r="Z162" s="52"/>
      <c r="AA162" s="52"/>
      <c r="AB162" s="52"/>
      <c r="AC162" s="52"/>
      <c r="AD162" s="52"/>
      <c r="AE162" s="52"/>
    </row>
    <row r="163" spans="3:31" s="51" customFormat="1" x14ac:dyDescent="0.25"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3"/>
      <c r="Q163" s="52"/>
      <c r="R163" s="52"/>
      <c r="S163" s="53"/>
      <c r="T163" s="52"/>
      <c r="U163" s="52"/>
      <c r="V163" s="52"/>
      <c r="W163" s="54"/>
      <c r="X163" s="52"/>
      <c r="Y163" s="52"/>
      <c r="Z163" s="52"/>
      <c r="AA163" s="52"/>
      <c r="AB163" s="52"/>
      <c r="AC163" s="52"/>
      <c r="AD163" s="52"/>
      <c r="AE163" s="52"/>
    </row>
    <row r="164" spans="3:31" s="51" customFormat="1" x14ac:dyDescent="0.25"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3"/>
      <c r="Q164" s="52"/>
      <c r="R164" s="52"/>
      <c r="S164" s="53"/>
      <c r="T164" s="52"/>
      <c r="U164" s="52"/>
      <c r="V164" s="52"/>
      <c r="W164" s="54"/>
      <c r="X164" s="52"/>
      <c r="Y164" s="52"/>
      <c r="Z164" s="52"/>
      <c r="AA164" s="52"/>
      <c r="AB164" s="52"/>
      <c r="AC164" s="52"/>
      <c r="AD164" s="52"/>
      <c r="AE164" s="52"/>
    </row>
    <row r="165" spans="3:31" s="51" customFormat="1" x14ac:dyDescent="0.25"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3"/>
      <c r="Q165" s="52"/>
      <c r="R165" s="52"/>
      <c r="S165" s="53"/>
      <c r="T165" s="52"/>
      <c r="U165" s="52"/>
      <c r="V165" s="52"/>
      <c r="W165" s="54"/>
      <c r="X165" s="52"/>
      <c r="Y165" s="52"/>
      <c r="Z165" s="52"/>
      <c r="AA165" s="52"/>
      <c r="AB165" s="52"/>
      <c r="AC165" s="52"/>
      <c r="AD165" s="52"/>
      <c r="AE165" s="52"/>
    </row>
    <row r="166" spans="3:31" s="51" customFormat="1" x14ac:dyDescent="0.25"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52"/>
      <c r="R166" s="52"/>
      <c r="S166" s="53"/>
      <c r="T166" s="52"/>
      <c r="U166" s="52"/>
      <c r="V166" s="52"/>
      <c r="W166" s="54"/>
      <c r="X166" s="52"/>
      <c r="Y166" s="52"/>
      <c r="Z166" s="52"/>
      <c r="AA166" s="52"/>
      <c r="AB166" s="52"/>
      <c r="AC166" s="52"/>
      <c r="AD166" s="52"/>
      <c r="AE166" s="52"/>
    </row>
    <row r="167" spans="3:31" s="51" customFormat="1" x14ac:dyDescent="0.25"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3"/>
      <c r="Q167" s="52"/>
      <c r="R167" s="52"/>
      <c r="S167" s="53"/>
      <c r="T167" s="52"/>
      <c r="U167" s="52"/>
      <c r="V167" s="52"/>
      <c r="W167" s="54"/>
      <c r="X167" s="52"/>
      <c r="Y167" s="52"/>
      <c r="Z167" s="52"/>
      <c r="AA167" s="52"/>
      <c r="AB167" s="52"/>
      <c r="AC167" s="52"/>
      <c r="AD167" s="52"/>
      <c r="AE167" s="52"/>
    </row>
    <row r="168" spans="3:31" s="51" customFormat="1" x14ac:dyDescent="0.25"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3"/>
      <c r="Q168" s="52"/>
      <c r="R168" s="52"/>
      <c r="S168" s="53"/>
      <c r="T168" s="52"/>
      <c r="U168" s="52"/>
      <c r="V168" s="52"/>
      <c r="W168" s="54"/>
      <c r="X168" s="52"/>
      <c r="Y168" s="52"/>
      <c r="Z168" s="52"/>
      <c r="AA168" s="52"/>
      <c r="AB168" s="52"/>
      <c r="AC168" s="52"/>
      <c r="AD168" s="52"/>
      <c r="AE168" s="52"/>
    </row>
    <row r="169" spans="3:31" s="51" customFormat="1" x14ac:dyDescent="0.25"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3"/>
      <c r="Q169" s="52"/>
      <c r="R169" s="52"/>
      <c r="S169" s="53"/>
      <c r="T169" s="52"/>
      <c r="U169" s="52"/>
      <c r="V169" s="52"/>
      <c r="W169" s="54"/>
      <c r="X169" s="52"/>
      <c r="Y169" s="52"/>
      <c r="Z169" s="52"/>
      <c r="AA169" s="52"/>
      <c r="AB169" s="52"/>
      <c r="AC169" s="52"/>
      <c r="AD169" s="52"/>
      <c r="AE169" s="52"/>
    </row>
    <row r="170" spans="3:31" s="51" customFormat="1" x14ac:dyDescent="0.25"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3"/>
      <c r="Q170" s="52"/>
      <c r="R170" s="52"/>
      <c r="S170" s="53"/>
      <c r="T170" s="52"/>
      <c r="U170" s="52"/>
      <c r="V170" s="52"/>
      <c r="W170" s="54"/>
      <c r="X170" s="52"/>
      <c r="Y170" s="52"/>
      <c r="Z170" s="52"/>
      <c r="AA170" s="52"/>
      <c r="AB170" s="52"/>
      <c r="AC170" s="52"/>
      <c r="AD170" s="52"/>
      <c r="AE170" s="52"/>
    </row>
    <row r="171" spans="3:31" s="51" customFormat="1" x14ac:dyDescent="0.25"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3"/>
      <c r="Q171" s="52"/>
      <c r="R171" s="52"/>
      <c r="S171" s="53"/>
      <c r="T171" s="52"/>
      <c r="U171" s="52"/>
      <c r="V171" s="52"/>
      <c r="W171" s="54"/>
      <c r="X171" s="52"/>
      <c r="Y171" s="52"/>
      <c r="Z171" s="52"/>
      <c r="AA171" s="52"/>
      <c r="AB171" s="52"/>
      <c r="AC171" s="52"/>
      <c r="AD171" s="52"/>
      <c r="AE171" s="52"/>
    </row>
    <row r="172" spans="3:31" s="51" customFormat="1" x14ac:dyDescent="0.25"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3"/>
      <c r="Q172" s="52"/>
      <c r="R172" s="52"/>
      <c r="S172" s="53"/>
      <c r="T172" s="52"/>
      <c r="U172" s="52"/>
      <c r="V172" s="52"/>
      <c r="W172" s="54"/>
      <c r="X172" s="52"/>
      <c r="Y172" s="52"/>
      <c r="Z172" s="52"/>
      <c r="AA172" s="52"/>
      <c r="AB172" s="52"/>
      <c r="AC172" s="52"/>
      <c r="AD172" s="52"/>
      <c r="AE172" s="52"/>
    </row>
    <row r="173" spans="3:31" s="51" customFormat="1" x14ac:dyDescent="0.25"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3"/>
      <c r="Q173" s="52"/>
      <c r="R173" s="52"/>
      <c r="S173" s="53"/>
      <c r="T173" s="52"/>
      <c r="U173" s="52"/>
      <c r="V173" s="52"/>
      <c r="W173" s="54"/>
      <c r="X173" s="52"/>
      <c r="Y173" s="52"/>
      <c r="Z173" s="52"/>
      <c r="AA173" s="52"/>
      <c r="AB173" s="52"/>
      <c r="AC173" s="52"/>
      <c r="AD173" s="52"/>
      <c r="AE173" s="52"/>
    </row>
    <row r="174" spans="3:31" s="51" customFormat="1" x14ac:dyDescent="0.25"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3"/>
      <c r="Q174" s="52"/>
      <c r="R174" s="52"/>
      <c r="S174" s="53"/>
      <c r="T174" s="52"/>
      <c r="U174" s="52"/>
      <c r="V174" s="52"/>
      <c r="W174" s="54"/>
      <c r="X174" s="52"/>
      <c r="Y174" s="52"/>
      <c r="Z174" s="52"/>
      <c r="AA174" s="52"/>
      <c r="AB174" s="52"/>
      <c r="AC174" s="52"/>
      <c r="AD174" s="52"/>
      <c r="AE174" s="52"/>
    </row>
    <row r="175" spans="3:31" s="51" customFormat="1" x14ac:dyDescent="0.25"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3"/>
      <c r="Q175" s="52"/>
      <c r="R175" s="52"/>
      <c r="S175" s="53"/>
      <c r="T175" s="52"/>
      <c r="U175" s="52"/>
      <c r="V175" s="52"/>
      <c r="W175" s="54"/>
      <c r="X175" s="52"/>
      <c r="Y175" s="52"/>
      <c r="Z175" s="52"/>
      <c r="AA175" s="52"/>
      <c r="AB175" s="52"/>
      <c r="AC175" s="52"/>
      <c r="AD175" s="52"/>
      <c r="AE175" s="52"/>
    </row>
    <row r="176" spans="3:31" s="51" customFormat="1" x14ac:dyDescent="0.25"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3"/>
      <c r="Q176" s="52"/>
      <c r="R176" s="52"/>
      <c r="S176" s="53"/>
      <c r="T176" s="52"/>
      <c r="U176" s="52"/>
      <c r="V176" s="52"/>
      <c r="W176" s="54"/>
      <c r="X176" s="52"/>
      <c r="Y176" s="52"/>
      <c r="Z176" s="52"/>
      <c r="AA176" s="52"/>
      <c r="AB176" s="52"/>
      <c r="AC176" s="52"/>
      <c r="AD176" s="52"/>
      <c r="AE176" s="52"/>
    </row>
    <row r="177" spans="3:31" s="51" customFormat="1" x14ac:dyDescent="0.25"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3"/>
      <c r="Q177" s="52"/>
      <c r="R177" s="52"/>
      <c r="S177" s="53"/>
      <c r="T177" s="52"/>
      <c r="U177" s="52"/>
      <c r="V177" s="52"/>
      <c r="W177" s="54"/>
      <c r="X177" s="52"/>
      <c r="Y177" s="52"/>
      <c r="Z177" s="52"/>
      <c r="AA177" s="52"/>
      <c r="AB177" s="52"/>
      <c r="AC177" s="52"/>
      <c r="AD177" s="52"/>
      <c r="AE177" s="52"/>
    </row>
    <row r="178" spans="3:31" s="51" customFormat="1" x14ac:dyDescent="0.25"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52"/>
      <c r="R178" s="52"/>
      <c r="S178" s="53"/>
      <c r="T178" s="52"/>
      <c r="U178" s="52"/>
      <c r="V178" s="52"/>
      <c r="W178" s="54"/>
      <c r="X178" s="52"/>
      <c r="Y178" s="52"/>
      <c r="Z178" s="52"/>
      <c r="AA178" s="52"/>
      <c r="AB178" s="52"/>
      <c r="AC178" s="52"/>
      <c r="AD178" s="52"/>
      <c r="AE178" s="52"/>
    </row>
    <row r="179" spans="3:31" s="51" customFormat="1" x14ac:dyDescent="0.25"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3"/>
      <c r="Q179" s="52"/>
      <c r="R179" s="52"/>
      <c r="S179" s="53"/>
      <c r="T179" s="52"/>
      <c r="U179" s="52"/>
      <c r="V179" s="52"/>
      <c r="W179" s="54"/>
      <c r="X179" s="52"/>
      <c r="Y179" s="52"/>
      <c r="Z179" s="52"/>
      <c r="AA179" s="52"/>
      <c r="AB179" s="52"/>
      <c r="AC179" s="52"/>
      <c r="AD179" s="52"/>
      <c r="AE179" s="52"/>
    </row>
    <row r="180" spans="3:31" s="51" customFormat="1" x14ac:dyDescent="0.25"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3"/>
      <c r="Q180" s="52"/>
      <c r="R180" s="52"/>
      <c r="S180" s="53"/>
      <c r="T180" s="52"/>
      <c r="U180" s="52"/>
      <c r="V180" s="52"/>
      <c r="W180" s="54"/>
      <c r="X180" s="52"/>
      <c r="Y180" s="52"/>
      <c r="Z180" s="52"/>
      <c r="AA180" s="52"/>
      <c r="AB180" s="52"/>
      <c r="AC180" s="52"/>
      <c r="AD180" s="52"/>
      <c r="AE180" s="52"/>
    </row>
    <row r="181" spans="3:31" s="51" customFormat="1" x14ac:dyDescent="0.25"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3"/>
      <c r="Q181" s="52"/>
      <c r="R181" s="52"/>
      <c r="S181" s="53"/>
      <c r="T181" s="52"/>
      <c r="U181" s="52"/>
      <c r="V181" s="52"/>
      <c r="W181" s="54"/>
      <c r="X181" s="52"/>
      <c r="Y181" s="52"/>
      <c r="Z181" s="52"/>
      <c r="AA181" s="52"/>
      <c r="AB181" s="52"/>
      <c r="AC181" s="52"/>
      <c r="AD181" s="52"/>
      <c r="AE181" s="52"/>
    </row>
    <row r="182" spans="3:31" s="51" customFormat="1" x14ac:dyDescent="0.25"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3"/>
      <c r="Q182" s="52"/>
      <c r="R182" s="52"/>
      <c r="S182" s="53"/>
      <c r="T182" s="52"/>
      <c r="U182" s="52"/>
      <c r="V182" s="52"/>
      <c r="W182" s="54"/>
      <c r="X182" s="52"/>
      <c r="Y182" s="52"/>
      <c r="Z182" s="52"/>
      <c r="AA182" s="52"/>
      <c r="AB182" s="52"/>
      <c r="AC182" s="52"/>
      <c r="AD182" s="52"/>
      <c r="AE182" s="52"/>
    </row>
    <row r="183" spans="3:31" s="51" customFormat="1" x14ac:dyDescent="0.25"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3"/>
      <c r="Q183" s="52"/>
      <c r="R183" s="52"/>
      <c r="S183" s="53"/>
      <c r="T183" s="52"/>
      <c r="U183" s="52"/>
      <c r="V183" s="52"/>
      <c r="W183" s="54"/>
      <c r="X183" s="52"/>
      <c r="Y183" s="52"/>
      <c r="Z183" s="52"/>
      <c r="AA183" s="52"/>
      <c r="AB183" s="52"/>
      <c r="AC183" s="52"/>
      <c r="AD183" s="52"/>
      <c r="AE183" s="52"/>
    </row>
    <row r="184" spans="3:31" s="51" customFormat="1" x14ac:dyDescent="0.25"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3"/>
      <c r="Q184" s="52"/>
      <c r="R184" s="52"/>
      <c r="S184" s="53"/>
      <c r="T184" s="52"/>
      <c r="U184" s="52"/>
      <c r="V184" s="52"/>
      <c r="W184" s="54"/>
      <c r="X184" s="52"/>
      <c r="Y184" s="52"/>
      <c r="Z184" s="52"/>
      <c r="AA184" s="52"/>
      <c r="AB184" s="52"/>
      <c r="AC184" s="52"/>
      <c r="AD184" s="52"/>
      <c r="AE184" s="52"/>
    </row>
    <row r="185" spans="3:31" s="51" customFormat="1" x14ac:dyDescent="0.25"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3"/>
      <c r="Q185" s="52"/>
      <c r="R185" s="52"/>
      <c r="S185" s="53"/>
      <c r="T185" s="52"/>
      <c r="U185" s="52"/>
      <c r="V185" s="52"/>
      <c r="W185" s="54"/>
      <c r="X185" s="52"/>
      <c r="Y185" s="52"/>
      <c r="Z185" s="52"/>
      <c r="AA185" s="52"/>
      <c r="AB185" s="52"/>
      <c r="AC185" s="52"/>
      <c r="AD185" s="52"/>
      <c r="AE185" s="52"/>
    </row>
    <row r="186" spans="3:31" s="51" customFormat="1" x14ac:dyDescent="0.25"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3"/>
      <c r="Q186" s="52"/>
      <c r="R186" s="52"/>
      <c r="S186" s="53"/>
      <c r="T186" s="52"/>
      <c r="U186" s="52"/>
      <c r="V186" s="52"/>
      <c r="W186" s="54"/>
      <c r="X186" s="52"/>
      <c r="Y186" s="52"/>
      <c r="Z186" s="52"/>
      <c r="AA186" s="52"/>
      <c r="AB186" s="52"/>
      <c r="AC186" s="52"/>
      <c r="AD186" s="52"/>
      <c r="AE186" s="52"/>
    </row>
    <row r="187" spans="3:31" s="51" customFormat="1" x14ac:dyDescent="0.25"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3"/>
      <c r="Q187" s="52"/>
      <c r="R187" s="52"/>
      <c r="S187" s="53"/>
      <c r="T187" s="52"/>
      <c r="U187" s="52"/>
      <c r="V187" s="52"/>
      <c r="W187" s="54"/>
      <c r="X187" s="52"/>
      <c r="Y187" s="52"/>
      <c r="Z187" s="52"/>
      <c r="AA187" s="52"/>
      <c r="AB187" s="52"/>
      <c r="AC187" s="52"/>
      <c r="AD187" s="52"/>
      <c r="AE187" s="52"/>
    </row>
    <row r="188" spans="3:31" s="51" customFormat="1" x14ac:dyDescent="0.25"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3"/>
      <c r="Q188" s="52"/>
      <c r="R188" s="52"/>
      <c r="S188" s="53"/>
      <c r="T188" s="52"/>
      <c r="U188" s="52"/>
      <c r="V188" s="52"/>
      <c r="W188" s="54"/>
      <c r="X188" s="52"/>
      <c r="Y188" s="52"/>
      <c r="Z188" s="52"/>
      <c r="AA188" s="52"/>
      <c r="AB188" s="52"/>
      <c r="AC188" s="52"/>
      <c r="AD188" s="52"/>
      <c r="AE188" s="52"/>
    </row>
    <row r="189" spans="3:31" s="51" customFormat="1" x14ac:dyDescent="0.25"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3"/>
      <c r="Q189" s="52"/>
      <c r="R189" s="52"/>
      <c r="S189" s="53"/>
      <c r="T189" s="52"/>
      <c r="U189" s="52"/>
      <c r="V189" s="52"/>
      <c r="W189" s="54"/>
      <c r="X189" s="52"/>
      <c r="Y189" s="52"/>
      <c r="Z189" s="52"/>
      <c r="AA189" s="52"/>
      <c r="AB189" s="52"/>
      <c r="AC189" s="52"/>
      <c r="AD189" s="52"/>
      <c r="AE189" s="52"/>
    </row>
    <row r="190" spans="3:31" s="51" customFormat="1" x14ac:dyDescent="0.25"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52"/>
      <c r="R190" s="52"/>
      <c r="S190" s="53"/>
      <c r="T190" s="52"/>
      <c r="U190" s="52"/>
      <c r="V190" s="52"/>
      <c r="W190" s="54"/>
      <c r="X190" s="52"/>
      <c r="Y190" s="52"/>
      <c r="Z190" s="52"/>
      <c r="AA190" s="52"/>
      <c r="AB190" s="52"/>
      <c r="AC190" s="52"/>
      <c r="AD190" s="52"/>
      <c r="AE190" s="52"/>
    </row>
    <row r="191" spans="3:31" s="51" customFormat="1" x14ac:dyDescent="0.25"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3"/>
      <c r="Q191" s="52"/>
      <c r="R191" s="52"/>
      <c r="S191" s="53"/>
      <c r="T191" s="52"/>
      <c r="U191" s="52"/>
      <c r="V191" s="52"/>
      <c r="W191" s="54"/>
      <c r="X191" s="52"/>
      <c r="Y191" s="52"/>
      <c r="Z191" s="52"/>
      <c r="AA191" s="52"/>
      <c r="AB191" s="52"/>
      <c r="AC191" s="52"/>
      <c r="AD191" s="52"/>
      <c r="AE191" s="52"/>
    </row>
    <row r="192" spans="3:31" s="51" customFormat="1" x14ac:dyDescent="0.25"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3"/>
      <c r="Q192" s="52"/>
      <c r="R192" s="52"/>
      <c r="S192" s="53"/>
      <c r="T192" s="52"/>
      <c r="U192" s="52"/>
      <c r="V192" s="52"/>
      <c r="W192" s="54"/>
      <c r="X192" s="52"/>
      <c r="Y192" s="52"/>
      <c r="Z192" s="52"/>
      <c r="AA192" s="52"/>
      <c r="AB192" s="52"/>
      <c r="AC192" s="52"/>
      <c r="AD192" s="52"/>
      <c r="AE192" s="52"/>
    </row>
    <row r="193" spans="3:31" s="51" customFormat="1" x14ac:dyDescent="0.25"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3"/>
      <c r="Q193" s="52"/>
      <c r="R193" s="52"/>
      <c r="S193" s="53"/>
      <c r="T193" s="52"/>
      <c r="U193" s="52"/>
      <c r="V193" s="52"/>
      <c r="W193" s="54"/>
      <c r="X193" s="52"/>
      <c r="Y193" s="52"/>
      <c r="Z193" s="52"/>
      <c r="AA193" s="52"/>
      <c r="AB193" s="52"/>
      <c r="AC193" s="52"/>
      <c r="AD193" s="52"/>
      <c r="AE193" s="52"/>
    </row>
    <row r="194" spans="3:31" s="51" customFormat="1" x14ac:dyDescent="0.25"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3"/>
      <c r="Q194" s="52"/>
      <c r="R194" s="52"/>
      <c r="S194" s="53"/>
      <c r="T194" s="52"/>
      <c r="U194" s="52"/>
      <c r="V194" s="52"/>
      <c r="W194" s="54"/>
      <c r="X194" s="52"/>
      <c r="Y194" s="52"/>
      <c r="Z194" s="52"/>
      <c r="AA194" s="52"/>
      <c r="AB194" s="52"/>
      <c r="AC194" s="52"/>
      <c r="AD194" s="52"/>
      <c r="AE194" s="52"/>
    </row>
    <row r="195" spans="3:31" s="51" customFormat="1" x14ac:dyDescent="0.25"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3"/>
      <c r="Q195" s="52"/>
      <c r="R195" s="52"/>
      <c r="S195" s="53"/>
      <c r="T195" s="52"/>
      <c r="U195" s="52"/>
      <c r="V195" s="52"/>
      <c r="W195" s="54"/>
      <c r="X195" s="52"/>
      <c r="Y195" s="52"/>
      <c r="Z195" s="52"/>
      <c r="AA195" s="52"/>
      <c r="AB195" s="52"/>
      <c r="AC195" s="52"/>
      <c r="AD195" s="52"/>
      <c r="AE195" s="52"/>
    </row>
  </sheetData>
  <autoFilter ref="A4:AG4" xr:uid="{0CC73114-471D-42CA-A827-5EF0CC12CD59}"/>
  <mergeCells count="5">
    <mergeCell ref="A1:F2"/>
    <mergeCell ref="G1:W1"/>
    <mergeCell ref="Y1:AE2"/>
    <mergeCell ref="G2:N2"/>
    <mergeCell ref="O2:W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</vt:lpstr>
      <vt:lpstr>BGBData recording sheet AIM</vt:lpstr>
      <vt:lpstr>Vacuuming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Salasan</dc:creator>
  <cp:lastModifiedBy>Isis Sanpera Calbet</cp:lastModifiedBy>
  <cp:lastPrinted>2019-07-01T05:18:14Z</cp:lastPrinted>
  <dcterms:created xsi:type="dcterms:W3CDTF">2017-07-05T08:25:30Z</dcterms:created>
  <dcterms:modified xsi:type="dcterms:W3CDTF">2024-01-23T21:57:02Z</dcterms:modified>
</cp:coreProperties>
</file>